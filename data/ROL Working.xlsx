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pple/AI Matics/Fibro/ROL Project/data/"/>
    </mc:Choice>
  </mc:AlternateContent>
  <xr:revisionPtr revIDLastSave="0" documentId="13_ncr:1_{838542BC-649F-E347-B215-27AC33D2356B}" xr6:coauthVersionLast="47" xr6:coauthVersionMax="47" xr10:uidLastSave="{00000000-0000-0000-0000-000000000000}"/>
  <bookViews>
    <workbookView minimized="1" xWindow="0" yWindow="660" windowWidth="29400" windowHeight="17020" activeTab="3" xr2:uid="{00000000-000D-0000-FFFF-FFFF00000000}"/>
  </bookViews>
  <sheets>
    <sheet name="Sheet2" sheetId="6" r:id="rId1"/>
    <sheet name="Data" sheetId="1" r:id="rId2"/>
    <sheet name="Summary" sheetId="5" r:id="rId3"/>
    <sheet name="All Sizes" sheetId="4" r:id="rId4"/>
    <sheet name="Sample Working" sheetId="3" r:id="rId5"/>
  </sheets>
  <definedNames>
    <definedName name="_xlnm._FilterDatabase" localSheetId="3" hidden="1">'All Sizes'!$A$3:$B$77</definedName>
    <definedName name="_xlnm._FilterDatabase" localSheetId="1" hidden="1">Data!$A$1:$G$6081</definedName>
    <definedName name="_xlnm._FilterDatabase" localSheetId="4" hidden="1">'Sample Working'!$A$3:$B$105</definedName>
    <definedName name="_xlnm._FilterDatabase" localSheetId="2" hidden="1">Summary!$A$3:$B$54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4" l="1"/>
  <c r="S18" i="4"/>
  <c r="AA19" i="4"/>
  <c r="AA18" i="4"/>
  <c r="AJ24" i="4"/>
  <c r="AJ23" i="4"/>
  <c r="AI23" i="4"/>
  <c r="K27" i="3"/>
  <c r="E6" i="6"/>
  <c r="E5" i="6"/>
  <c r="E4" i="6"/>
  <c r="E7" i="6"/>
  <c r="E8" i="6"/>
  <c r="E9" i="6"/>
  <c r="E10" i="6"/>
  <c r="E11" i="6"/>
  <c r="E12" i="6"/>
  <c r="E13" i="6"/>
  <c r="E14" i="6"/>
  <c r="E15" i="6"/>
  <c r="E16" i="6"/>
  <c r="E17" i="6"/>
  <c r="X10" i="4"/>
  <c r="O8" i="5"/>
  <c r="O7" i="5"/>
  <c r="O6" i="5"/>
  <c r="O4" i="5"/>
  <c r="G18" i="4"/>
  <c r="H17" i="4"/>
  <c r="H16" i="4"/>
  <c r="H15" i="4"/>
  <c r="H14" i="4"/>
  <c r="H13" i="4"/>
  <c r="H12" i="4"/>
  <c r="H11" i="4"/>
  <c r="H10" i="4"/>
  <c r="H9" i="4"/>
  <c r="H8" i="4"/>
  <c r="E8" i="4"/>
  <c r="J7" i="4"/>
  <c r="H7" i="4"/>
  <c r="I7" i="4" s="1"/>
  <c r="P17" i="4"/>
  <c r="P16" i="4"/>
  <c r="P15" i="4"/>
  <c r="P14" i="4"/>
  <c r="P13" i="4"/>
  <c r="P12" i="4"/>
  <c r="P11" i="4"/>
  <c r="P10" i="4"/>
  <c r="P9" i="4"/>
  <c r="P8" i="4"/>
  <c r="M8" i="4"/>
  <c r="N8" i="4" s="1"/>
  <c r="R7" i="4"/>
  <c r="O18" i="4"/>
  <c r="W7" i="4"/>
  <c r="X7" i="4" s="1"/>
  <c r="W18" i="4"/>
  <c r="X17" i="4"/>
  <c r="X16" i="4"/>
  <c r="X15" i="4"/>
  <c r="X14" i="4"/>
  <c r="X13" i="4"/>
  <c r="X12" i="4"/>
  <c r="X11" i="4"/>
  <c r="X9" i="4"/>
  <c r="X8" i="4"/>
  <c r="U8" i="4"/>
  <c r="V8" i="4" s="1"/>
  <c r="AA20" i="4" s="1"/>
  <c r="Z7" i="4"/>
  <c r="M25" i="5"/>
  <c r="L25" i="5" s="1"/>
  <c r="M24" i="5"/>
  <c r="L24" i="5" s="1"/>
  <c r="M23" i="5"/>
  <c r="O23" i="5" s="1"/>
  <c r="M22" i="5"/>
  <c r="O22" i="5" s="1"/>
  <c r="M21" i="5"/>
  <c r="L21" i="5" s="1"/>
  <c r="M20" i="5"/>
  <c r="O20" i="5" s="1"/>
  <c r="M19" i="5"/>
  <c r="L19" i="5" s="1"/>
  <c r="M18" i="5"/>
  <c r="L18" i="5" s="1"/>
  <c r="M17" i="5"/>
  <c r="O17" i="5" s="1"/>
  <c r="M16" i="5"/>
  <c r="L16" i="5" s="1"/>
  <c r="M15" i="5"/>
  <c r="L15" i="5" s="1"/>
  <c r="M14" i="5"/>
  <c r="L14" i="5" s="1"/>
  <c r="M13" i="5"/>
  <c r="L13" i="5" s="1"/>
  <c r="M12" i="5"/>
  <c r="O12" i="5" s="1"/>
  <c r="M11" i="5"/>
  <c r="O11" i="5" s="1"/>
  <c r="M10" i="5"/>
  <c r="O10" i="5" s="1"/>
  <c r="M9" i="5"/>
  <c r="O9" i="5" s="1"/>
  <c r="AE18" i="4"/>
  <c r="AF17" i="4"/>
  <c r="AF16" i="4"/>
  <c r="AF15" i="4"/>
  <c r="AF14" i="4"/>
  <c r="AF13" i="4"/>
  <c r="AF12" i="4"/>
  <c r="AF11" i="4"/>
  <c r="AF10" i="4"/>
  <c r="AF9" i="4"/>
  <c r="AF8" i="4"/>
  <c r="AC8" i="4"/>
  <c r="AD8" i="4" s="1"/>
  <c r="AH7" i="4"/>
  <c r="AF7" i="4"/>
  <c r="AQ21" i="4"/>
  <c r="AM18" i="4"/>
  <c r="AN17" i="4"/>
  <c r="AN16" i="4"/>
  <c r="AN15" i="4"/>
  <c r="AN14" i="4"/>
  <c r="AN13" i="4"/>
  <c r="AN12" i="4"/>
  <c r="AN11" i="4"/>
  <c r="AN10" i="4"/>
  <c r="AN9" i="4"/>
  <c r="AN8" i="4"/>
  <c r="AK8" i="4"/>
  <c r="AL8" i="4" s="1"/>
  <c r="AP7" i="4"/>
  <c r="AN7" i="4"/>
  <c r="AU18" i="4"/>
  <c r="AV17" i="4"/>
  <c r="AV16" i="4"/>
  <c r="AV15" i="4"/>
  <c r="AV14" i="4"/>
  <c r="AV13" i="4"/>
  <c r="AV12" i="4"/>
  <c r="AV11" i="4"/>
  <c r="AV10" i="4"/>
  <c r="AV9" i="4"/>
  <c r="AV8" i="4"/>
  <c r="AS8" i="4"/>
  <c r="AT8" i="4" s="1"/>
  <c r="AX7" i="4"/>
  <c r="AV7" i="4"/>
  <c r="AW7" i="4" s="1"/>
  <c r="BC18" i="4"/>
  <c r="BD17" i="4"/>
  <c r="BD16" i="4"/>
  <c r="BD15" i="4"/>
  <c r="BD14" i="4"/>
  <c r="BD13" i="4"/>
  <c r="BD12" i="4"/>
  <c r="BD11" i="4"/>
  <c r="BD10" i="4"/>
  <c r="BD9" i="4"/>
  <c r="BD8" i="4"/>
  <c r="BA8" i="4"/>
  <c r="BB8" i="4" s="1"/>
  <c r="BF7" i="4"/>
  <c r="BD7" i="4"/>
  <c r="M5" i="5"/>
  <c r="O5" i="5" s="1"/>
  <c r="F46" i="5"/>
  <c r="G11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" i="5"/>
  <c r="BK18" i="4"/>
  <c r="BL17" i="4"/>
  <c r="BL16" i="4"/>
  <c r="BL15" i="4"/>
  <c r="BL14" i="4"/>
  <c r="BL13" i="4"/>
  <c r="BL12" i="4"/>
  <c r="BL11" i="4"/>
  <c r="BL10" i="4"/>
  <c r="BL9" i="4"/>
  <c r="BL8" i="4"/>
  <c r="BI8" i="4"/>
  <c r="BJ8" i="4" s="1"/>
  <c r="BN7" i="4"/>
  <c r="BL7" i="4"/>
  <c r="BM7" i="4" s="1"/>
  <c r="N21" i="3"/>
  <c r="K25" i="3"/>
  <c r="L8" i="3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7" i="3"/>
  <c r="L6" i="3"/>
  <c r="N15" i="3"/>
  <c r="M8" i="3"/>
  <c r="N8" i="3" s="1"/>
  <c r="M14" i="3"/>
  <c r="N14" i="3" s="1"/>
  <c r="M15" i="3"/>
  <c r="M16" i="3"/>
  <c r="N16" i="3" s="1"/>
  <c r="M6" i="3"/>
  <c r="V6" i="3"/>
  <c r="T7" i="3"/>
  <c r="T8" i="3"/>
  <c r="T9" i="3"/>
  <c r="T10" i="3"/>
  <c r="T11" i="3"/>
  <c r="T12" i="3"/>
  <c r="T6" i="3"/>
  <c r="S13" i="3"/>
  <c r="Q8" i="3"/>
  <c r="R8" i="3" s="1"/>
  <c r="Q7" i="3"/>
  <c r="U7" i="3" s="1"/>
  <c r="V7" i="3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6" i="3"/>
  <c r="K20" i="3" s="1"/>
  <c r="L6" i="1"/>
  <c r="J20" i="3"/>
  <c r="H7" i="3"/>
  <c r="I7" i="3" s="1"/>
  <c r="H8" i="3" s="1"/>
  <c r="I8" i="3" s="1"/>
  <c r="H9" i="3" s="1"/>
  <c r="I9" i="3" s="1"/>
  <c r="H10" i="3" s="1"/>
  <c r="I10" i="3" s="1"/>
  <c r="H11" i="3" s="1"/>
  <c r="I11" i="3" s="1"/>
  <c r="H12" i="3" s="1"/>
  <c r="I12" i="3" s="1"/>
  <c r="H13" i="3" s="1"/>
  <c r="I13" i="3" s="1"/>
  <c r="H14" i="3" s="1"/>
  <c r="I14" i="3" s="1"/>
  <c r="H15" i="3" s="1"/>
  <c r="I15" i="3" s="1"/>
  <c r="H16" i="3" s="1"/>
  <c r="I16" i="3" s="1"/>
  <c r="H17" i="3" s="1"/>
  <c r="I17" i="3" s="1"/>
  <c r="H18" i="3" s="1"/>
  <c r="I18" i="3" s="1"/>
  <c r="H19" i="3" s="1"/>
  <c r="I19" i="3" s="1"/>
  <c r="M19" i="3" s="1"/>
  <c r="N19" i="3" s="1"/>
  <c r="E4812" i="1"/>
  <c r="E4813" i="1"/>
  <c r="E4814" i="1"/>
  <c r="E4815" i="1"/>
  <c r="E4816" i="1"/>
  <c r="E4817" i="1"/>
  <c r="E4807" i="1"/>
  <c r="E4808" i="1"/>
  <c r="E4809" i="1"/>
  <c r="E4810" i="1"/>
  <c r="E4811" i="1"/>
  <c r="E4805" i="1"/>
  <c r="E4806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784" i="1"/>
  <c r="E4785" i="1"/>
  <c r="E4777" i="1"/>
  <c r="E4778" i="1"/>
  <c r="E4779" i="1"/>
  <c r="E4780" i="1"/>
  <c r="E4781" i="1"/>
  <c r="E4782" i="1"/>
  <c r="E4783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51" i="1"/>
  <c r="E4752" i="1"/>
  <c r="E4753" i="1"/>
  <c r="E4754" i="1"/>
  <c r="E4755" i="1"/>
  <c r="E4756" i="1"/>
  <c r="E4757" i="1"/>
  <c r="E4758" i="1"/>
  <c r="E4759" i="1"/>
  <c r="E4745" i="1"/>
  <c r="E4746" i="1"/>
  <c r="E4747" i="1"/>
  <c r="E4748" i="1"/>
  <c r="E4749" i="1"/>
  <c r="E4750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26" i="1"/>
  <c r="E4727" i="1"/>
  <c r="E4728" i="1"/>
  <c r="E4729" i="1"/>
  <c r="E4730" i="1"/>
  <c r="E4731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689" i="1"/>
  <c r="E4690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53" i="1"/>
  <c r="E4654" i="1"/>
  <c r="E4655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33" i="1"/>
  <c r="E4634" i="1"/>
  <c r="E4635" i="1"/>
  <c r="E4636" i="1"/>
  <c r="E4637" i="1"/>
  <c r="E463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15" i="1"/>
  <c r="E4616" i="1"/>
  <c r="E4617" i="1"/>
  <c r="E4618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581" i="1"/>
  <c r="E4582" i="1"/>
  <c r="E4583" i="1"/>
  <c r="E4584" i="1"/>
  <c r="E4585" i="1"/>
  <c r="E4586" i="1"/>
  <c r="E4587" i="1"/>
  <c r="E4570" i="1"/>
  <c r="E4571" i="1"/>
  <c r="E4572" i="1"/>
  <c r="E4573" i="1"/>
  <c r="E4574" i="1"/>
  <c r="E4575" i="1"/>
  <c r="E4576" i="1"/>
  <c r="E4577" i="1"/>
  <c r="E4578" i="1"/>
  <c r="E4579" i="1"/>
  <c r="E4580" i="1"/>
  <c r="E4565" i="1"/>
  <c r="E4566" i="1"/>
  <c r="E4567" i="1"/>
  <c r="E4568" i="1"/>
  <c r="E4569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35" i="1"/>
  <c r="E4536" i="1"/>
  <c r="E4537" i="1"/>
  <c r="E4538" i="1"/>
  <c r="E4539" i="1"/>
  <c r="E4540" i="1"/>
  <c r="E4541" i="1"/>
  <c r="E4542" i="1"/>
  <c r="E4528" i="1"/>
  <c r="E4529" i="1"/>
  <c r="E4530" i="1"/>
  <c r="E4531" i="1"/>
  <c r="E4532" i="1"/>
  <c r="E4533" i="1"/>
  <c r="E4534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488" i="1"/>
  <c r="E4489" i="1"/>
  <c r="E4490" i="1"/>
  <c r="E4491" i="1"/>
  <c r="E4492" i="1"/>
  <c r="E4493" i="1"/>
  <c r="E4494" i="1"/>
  <c r="E449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44" i="1"/>
  <c r="E4445" i="1"/>
  <c r="E4446" i="1"/>
  <c r="E4447" i="1"/>
  <c r="E4448" i="1"/>
  <c r="E4449" i="1"/>
  <c r="E4450" i="1"/>
  <c r="E4451" i="1"/>
  <c r="E4435" i="1"/>
  <c r="E4436" i="1"/>
  <c r="E4437" i="1"/>
  <c r="E4438" i="1"/>
  <c r="E4439" i="1"/>
  <c r="E4440" i="1"/>
  <c r="E4441" i="1"/>
  <c r="E4442" i="1"/>
  <c r="E4443" i="1"/>
  <c r="E4432" i="1"/>
  <c r="E4433" i="1"/>
  <c r="E4434" i="1"/>
  <c r="E4422" i="1"/>
  <c r="E4423" i="1"/>
  <c r="E4424" i="1"/>
  <c r="E4425" i="1"/>
  <c r="E4426" i="1"/>
  <c r="E4427" i="1"/>
  <c r="E4428" i="1"/>
  <c r="E4429" i="1"/>
  <c r="E4430" i="1"/>
  <c r="E4431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366" i="1"/>
  <c r="E4367" i="1"/>
  <c r="E4368" i="1"/>
  <c r="E4369" i="1"/>
  <c r="E4370" i="1"/>
  <c r="E4371" i="1"/>
  <c r="E4372" i="1"/>
  <c r="E4373" i="1"/>
  <c r="E4374" i="1"/>
  <c r="E4375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32" i="1"/>
  <c r="E4333" i="1"/>
  <c r="E4334" i="1"/>
  <c r="E4335" i="1"/>
  <c r="E4336" i="1"/>
  <c r="E4337" i="1"/>
  <c r="E4338" i="1"/>
  <c r="E433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23" i="1"/>
  <c r="E4224" i="1"/>
  <c r="E4225" i="1"/>
  <c r="E4226" i="1"/>
  <c r="E4227" i="1"/>
  <c r="E4228" i="1"/>
  <c r="E4229" i="1"/>
  <c r="E4230" i="1"/>
  <c r="E4231" i="1"/>
  <c r="E4232" i="1"/>
  <c r="E4233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01" i="1"/>
  <c r="E4191" i="1"/>
  <c r="E4192" i="1"/>
  <c r="E4193" i="1"/>
  <c r="E4194" i="1"/>
  <c r="E4195" i="1"/>
  <c r="E4196" i="1"/>
  <c r="E4197" i="1"/>
  <c r="E4198" i="1"/>
  <c r="E4199" i="1"/>
  <c r="E4200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45" i="1"/>
  <c r="E4146" i="1"/>
  <c r="E4147" i="1"/>
  <c r="E4148" i="1"/>
  <c r="E4149" i="1"/>
  <c r="E4150" i="1"/>
  <c r="E4151" i="1"/>
  <c r="E4152" i="1"/>
  <c r="E4153" i="1"/>
  <c r="E4154" i="1"/>
  <c r="E4138" i="1"/>
  <c r="E4139" i="1"/>
  <c r="E4140" i="1"/>
  <c r="E4141" i="1"/>
  <c r="E4142" i="1"/>
  <c r="E4143" i="1"/>
  <c r="E4144" i="1"/>
  <c r="E4128" i="1"/>
  <c r="E4129" i="1"/>
  <c r="E4130" i="1"/>
  <c r="E4131" i="1"/>
  <c r="E4132" i="1"/>
  <c r="E4133" i="1"/>
  <c r="E4134" i="1"/>
  <c r="E4135" i="1"/>
  <c r="E4136" i="1"/>
  <c r="E4137" i="1"/>
  <c r="E4126" i="1"/>
  <c r="E4127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41" i="1"/>
  <c r="E4042" i="1"/>
  <c r="E4043" i="1"/>
  <c r="E4044" i="1"/>
  <c r="E4045" i="1"/>
  <c r="E4046" i="1"/>
  <c r="E4047" i="1"/>
  <c r="E4048" i="1"/>
  <c r="E4039" i="1"/>
  <c r="E4040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00" i="1"/>
  <c r="E4001" i="1"/>
  <c r="E3995" i="1"/>
  <c r="E3996" i="1"/>
  <c r="E3997" i="1"/>
  <c r="E3998" i="1"/>
  <c r="E3999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41" i="1"/>
  <c r="E3942" i="1"/>
  <c r="E3943" i="1"/>
  <c r="E3944" i="1"/>
  <c r="E3945" i="1"/>
  <c r="E3938" i="1"/>
  <c r="E3939" i="1"/>
  <c r="E3940" i="1"/>
  <c r="E3929" i="1"/>
  <c r="E3930" i="1"/>
  <c r="E3931" i="1"/>
  <c r="E3932" i="1"/>
  <c r="E3933" i="1"/>
  <c r="E3934" i="1"/>
  <c r="E3935" i="1"/>
  <c r="E3936" i="1"/>
  <c r="E3937" i="1"/>
  <c r="E3921" i="1"/>
  <c r="E3922" i="1"/>
  <c r="E3923" i="1"/>
  <c r="E3924" i="1"/>
  <c r="E3925" i="1"/>
  <c r="E3926" i="1"/>
  <c r="E3927" i="1"/>
  <c r="E3928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893" i="1"/>
  <c r="E3894" i="1"/>
  <c r="E3895" i="1"/>
  <c r="E3896" i="1"/>
  <c r="E3897" i="1"/>
  <c r="E3898" i="1"/>
  <c r="E3899" i="1"/>
  <c r="E3900" i="1"/>
  <c r="E3901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79" i="1"/>
  <c r="E3876" i="1"/>
  <c r="E3877" i="1"/>
  <c r="E3878" i="1"/>
  <c r="E3870" i="1"/>
  <c r="E3871" i="1"/>
  <c r="E3872" i="1"/>
  <c r="E3873" i="1"/>
  <c r="E3874" i="1"/>
  <c r="E3875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14" i="1"/>
  <c r="E3815" i="1"/>
  <c r="E3816" i="1"/>
  <c r="E3817" i="1"/>
  <c r="E3818" i="1"/>
  <c r="E3819" i="1"/>
  <c r="E3820" i="1"/>
  <c r="E3821" i="1"/>
  <c r="E3809" i="1"/>
  <c r="E3810" i="1"/>
  <c r="E3811" i="1"/>
  <c r="E3812" i="1"/>
  <c r="E3813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755" i="1"/>
  <c r="E3756" i="1"/>
  <c r="E3757" i="1"/>
  <c r="E3758" i="1"/>
  <c r="E3753" i="1"/>
  <c r="E3754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32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645" i="1"/>
  <c r="E3646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592" i="1"/>
  <c r="E3588" i="1"/>
  <c r="E3589" i="1"/>
  <c r="E3590" i="1"/>
  <c r="E3591" i="1"/>
  <c r="E3581" i="1"/>
  <c r="E3582" i="1"/>
  <c r="E3583" i="1"/>
  <c r="E3584" i="1"/>
  <c r="E3585" i="1"/>
  <c r="E3586" i="1"/>
  <c r="E3587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60" i="1"/>
  <c r="E3561" i="1"/>
  <c r="E3562" i="1"/>
  <c r="E3563" i="1"/>
  <c r="E3564" i="1"/>
  <c r="E3565" i="1"/>
  <c r="E3566" i="1"/>
  <c r="E3567" i="1"/>
  <c r="E3568" i="1"/>
  <c r="E3552" i="1"/>
  <c r="E3553" i="1"/>
  <c r="E3554" i="1"/>
  <c r="E3555" i="1"/>
  <c r="E3556" i="1"/>
  <c r="E3557" i="1"/>
  <c r="E3558" i="1"/>
  <c r="E3559" i="1"/>
  <c r="E3551" i="1"/>
  <c r="E3540" i="1"/>
  <c r="E3541" i="1"/>
  <c r="E3542" i="1"/>
  <c r="E3543" i="1"/>
  <c r="E3544" i="1"/>
  <c r="E3545" i="1"/>
  <c r="E3546" i="1"/>
  <c r="E3547" i="1"/>
  <c r="E3548" i="1"/>
  <c r="E3549" i="1"/>
  <c r="E355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20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497" i="1"/>
  <c r="E3498" i="1"/>
  <c r="E3499" i="1"/>
  <c r="E3500" i="1"/>
  <c r="E3501" i="1"/>
  <c r="E3502" i="1"/>
  <c r="E3503" i="1"/>
  <c r="E3504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23" i="1"/>
  <c r="E3424" i="1"/>
  <c r="E3421" i="1"/>
  <c r="E3422" i="1"/>
  <c r="E3419" i="1"/>
  <c r="E3420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19" i="1"/>
  <c r="E3320" i="1"/>
  <c r="E3321" i="1"/>
  <c r="E3322" i="1"/>
  <c r="E3323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255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15" i="1"/>
  <c r="E3116" i="1"/>
  <c r="E3117" i="1"/>
  <c r="E3118" i="1"/>
  <c r="E3119" i="1"/>
  <c r="E3120" i="1"/>
  <c r="E3121" i="1"/>
  <c r="E3122" i="1"/>
  <c r="E3123" i="1"/>
  <c r="E3106" i="1"/>
  <c r="E3107" i="1"/>
  <c r="E3108" i="1"/>
  <c r="E3109" i="1"/>
  <c r="E3110" i="1"/>
  <c r="E3111" i="1"/>
  <c r="E3112" i="1"/>
  <c r="E3113" i="1"/>
  <c r="E3114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080" i="1"/>
  <c r="E3081" i="1"/>
  <c r="E3075" i="1"/>
  <c r="E3076" i="1"/>
  <c r="E3077" i="1"/>
  <c r="E3078" i="1"/>
  <c r="E3079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35" i="1"/>
  <c r="E3036" i="1"/>
  <c r="E3037" i="1"/>
  <c r="E3038" i="1"/>
  <c r="E3039" i="1"/>
  <c r="E3040" i="1"/>
  <c r="E3041" i="1"/>
  <c r="E3042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02" i="1"/>
  <c r="E3003" i="1"/>
  <c r="E3004" i="1"/>
  <c r="E2993" i="1"/>
  <c r="E2994" i="1"/>
  <c r="E2995" i="1"/>
  <c r="E2996" i="1"/>
  <c r="E2997" i="1"/>
  <c r="E2998" i="1"/>
  <c r="E2999" i="1"/>
  <c r="E3000" i="1"/>
  <c r="E3001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892" i="1"/>
  <c r="E2893" i="1"/>
  <c r="E2882" i="1"/>
  <c r="E2883" i="1"/>
  <c r="E2884" i="1"/>
  <c r="E2885" i="1"/>
  <c r="E2886" i="1"/>
  <c r="E2887" i="1"/>
  <c r="E2888" i="1"/>
  <c r="E2889" i="1"/>
  <c r="E2890" i="1"/>
  <c r="E2891" i="1"/>
  <c r="E2879" i="1"/>
  <c r="E2880" i="1"/>
  <c r="E2881" i="1"/>
  <c r="E2878" i="1"/>
  <c r="E2872" i="1"/>
  <c r="E2873" i="1"/>
  <c r="E2874" i="1"/>
  <c r="E2875" i="1"/>
  <c r="E2876" i="1"/>
  <c r="E2877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40" i="1"/>
  <c r="E2841" i="1"/>
  <c r="E2842" i="1"/>
  <c r="E2843" i="1"/>
  <c r="E2844" i="1"/>
  <c r="E2845" i="1"/>
  <c r="E2832" i="1"/>
  <c r="E2833" i="1"/>
  <c r="E2834" i="1"/>
  <c r="E2835" i="1"/>
  <c r="E2836" i="1"/>
  <c r="E2837" i="1"/>
  <c r="E2838" i="1"/>
  <c r="E2839" i="1"/>
  <c r="E2824" i="1"/>
  <c r="E2825" i="1"/>
  <c r="E2826" i="1"/>
  <c r="E2827" i="1"/>
  <c r="E2828" i="1"/>
  <c r="E2829" i="1"/>
  <c r="E2830" i="1"/>
  <c r="E2831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59" i="1"/>
  <c r="E2760" i="1"/>
  <c r="E2761" i="1"/>
  <c r="E2762" i="1"/>
  <c r="E2763" i="1"/>
  <c r="E2764" i="1"/>
  <c r="E2765" i="1"/>
  <c r="E2766" i="1"/>
  <c r="E2748" i="1"/>
  <c r="E2749" i="1"/>
  <c r="E2750" i="1"/>
  <c r="E2751" i="1"/>
  <c r="E2752" i="1"/>
  <c r="E2753" i="1"/>
  <c r="E2754" i="1"/>
  <c r="E2755" i="1"/>
  <c r="E2756" i="1"/>
  <c r="E2757" i="1"/>
  <c r="E2758" i="1"/>
  <c r="E2744" i="1"/>
  <c r="E2745" i="1"/>
  <c r="E2746" i="1"/>
  <c r="E2747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12" i="1"/>
  <c r="E2713" i="1"/>
  <c r="E2714" i="1"/>
  <c r="E2715" i="1"/>
  <c r="E2716" i="1"/>
  <c r="E2717" i="1"/>
  <c r="E2718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07" i="1"/>
  <c r="E2608" i="1"/>
  <c r="E2609" i="1"/>
  <c r="E2605" i="1"/>
  <c r="E2606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588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36" i="1"/>
  <c r="E2537" i="1"/>
  <c r="E2538" i="1"/>
  <c r="E2539" i="1"/>
  <c r="E2540" i="1"/>
  <c r="E2541" i="1"/>
  <c r="E2542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474" i="1"/>
  <c r="E2475" i="1"/>
  <c r="E2476" i="1"/>
  <c r="E2477" i="1"/>
  <c r="E2478" i="1"/>
  <c r="E2479" i="1"/>
  <c r="E2472" i="1"/>
  <c r="E2473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58" i="1"/>
  <c r="E2447" i="1"/>
  <c r="E2448" i="1"/>
  <c r="E2449" i="1"/>
  <c r="E2450" i="1"/>
  <c r="E2451" i="1"/>
  <c r="E2452" i="1"/>
  <c r="E2453" i="1"/>
  <c r="E2454" i="1"/>
  <c r="E2455" i="1"/>
  <c r="E2456" i="1"/>
  <c r="E2457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393" i="1"/>
  <c r="E2394" i="1"/>
  <c r="E2395" i="1"/>
  <c r="E2396" i="1"/>
  <c r="E2397" i="1"/>
  <c r="E2398" i="1"/>
  <c r="E2399" i="1"/>
  <c r="E2400" i="1"/>
  <c r="E2401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74" i="1"/>
  <c r="E2375" i="1"/>
  <c r="E2376" i="1"/>
  <c r="E2377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44" i="1"/>
  <c r="E2345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26" i="1"/>
  <c r="E2327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291" i="1"/>
  <c r="E2292" i="1"/>
  <c r="E2293" i="1"/>
  <c r="E2294" i="1"/>
  <c r="E2295" i="1"/>
  <c r="E2296" i="1"/>
  <c r="E2297" i="1"/>
  <c r="E2298" i="1"/>
  <c r="E2299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32" i="1"/>
  <c r="E2233" i="1"/>
  <c r="E2234" i="1"/>
  <c r="E223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181" i="1"/>
  <c r="E2182" i="1"/>
  <c r="E2183" i="1"/>
  <c r="E2184" i="1"/>
  <c r="E2185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28" i="1"/>
  <c r="E2129" i="1"/>
  <c r="E2130" i="1"/>
  <c r="E2131" i="1"/>
  <c r="E2132" i="1"/>
  <c r="E2133" i="1"/>
  <c r="E2134" i="1"/>
  <c r="E2135" i="1"/>
  <c r="E2136" i="1"/>
  <c r="E2127" i="1"/>
  <c r="E2125" i="1"/>
  <c r="E2126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71" i="1"/>
  <c r="E2072" i="1"/>
  <c r="E2073" i="1"/>
  <c r="E2065" i="1"/>
  <c r="E2066" i="1"/>
  <c r="E2067" i="1"/>
  <c r="E2068" i="1"/>
  <c r="E2069" i="1"/>
  <c r="E2070" i="1"/>
  <c r="E2057" i="1"/>
  <c r="E2058" i="1"/>
  <c r="E2059" i="1"/>
  <c r="E2060" i="1"/>
  <c r="E2061" i="1"/>
  <c r="E2062" i="1"/>
  <c r="E2063" i="1"/>
  <c r="E2064" i="1"/>
  <c r="E2055" i="1"/>
  <c r="E205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1990" i="1"/>
  <c r="E1991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33" i="1"/>
  <c r="E1834" i="1"/>
  <c r="E1835" i="1"/>
  <c r="E1836" i="1"/>
  <c r="E1829" i="1"/>
  <c r="E1830" i="1"/>
  <c r="E1831" i="1"/>
  <c r="E1832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07" i="1"/>
  <c r="E1808" i="1"/>
  <c r="E1809" i="1"/>
  <c r="E1810" i="1"/>
  <c r="E1811" i="1"/>
  <c r="E1812" i="1"/>
  <c r="E1813" i="1"/>
  <c r="E1806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780" i="1"/>
  <c r="E1781" i="1"/>
  <c r="E1782" i="1"/>
  <c r="E1783" i="1"/>
  <c r="E1784" i="1"/>
  <c r="E1777" i="1"/>
  <c r="E1778" i="1"/>
  <c r="E1779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649" i="1"/>
  <c r="E1647" i="1"/>
  <c r="E1648" i="1"/>
  <c r="E1642" i="1"/>
  <c r="E1643" i="1"/>
  <c r="E1644" i="1"/>
  <c r="E1645" i="1"/>
  <c r="E1646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21" i="1"/>
  <c r="E1622" i="1"/>
  <c r="E1623" i="1"/>
  <c r="E1624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28" i="1"/>
  <c r="E1529" i="1"/>
  <c r="E1524" i="1"/>
  <c r="E1525" i="1"/>
  <c r="E1526" i="1"/>
  <c r="E1527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486" i="1"/>
  <c r="E1487" i="1"/>
  <c r="E1488" i="1"/>
  <c r="E1489" i="1"/>
  <c r="E1490" i="1"/>
  <c r="E1491" i="1"/>
  <c r="E149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61" i="1"/>
  <c r="E1462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36" i="1"/>
  <c r="E1437" i="1"/>
  <c r="E1438" i="1"/>
  <c r="E1439" i="1"/>
  <c r="E1440" i="1"/>
  <c r="E1441" i="1"/>
  <c r="E1442" i="1"/>
  <c r="E1443" i="1"/>
  <c r="E1428" i="1"/>
  <c r="E1429" i="1"/>
  <c r="E1430" i="1"/>
  <c r="E1431" i="1"/>
  <c r="E1432" i="1"/>
  <c r="E1433" i="1"/>
  <c r="E1434" i="1"/>
  <c r="E1435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10" i="1"/>
  <c r="E1399" i="1"/>
  <c r="E1400" i="1"/>
  <c r="E1401" i="1"/>
  <c r="E1402" i="1"/>
  <c r="E1403" i="1"/>
  <c r="E1404" i="1"/>
  <c r="E1405" i="1"/>
  <c r="E1406" i="1"/>
  <c r="E1407" i="1"/>
  <c r="E1408" i="1"/>
  <c r="E1409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80" i="1"/>
  <c r="E1381" i="1"/>
  <c r="E1382" i="1"/>
  <c r="E1383" i="1"/>
  <c r="E1384" i="1"/>
  <c r="E1385" i="1"/>
  <c r="E1379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15" i="1"/>
  <c r="E1316" i="1"/>
  <c r="E1317" i="1"/>
  <c r="E1318" i="1"/>
  <c r="E1319" i="1"/>
  <c r="E1320" i="1"/>
  <c r="E1306" i="1"/>
  <c r="E1307" i="1"/>
  <c r="E1308" i="1"/>
  <c r="E1309" i="1"/>
  <c r="E1310" i="1"/>
  <c r="E1311" i="1"/>
  <c r="E1312" i="1"/>
  <c r="E1313" i="1"/>
  <c r="E1314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285" i="1"/>
  <c r="E1286" i="1"/>
  <c r="E1287" i="1"/>
  <c r="E1288" i="1"/>
  <c r="E1289" i="1"/>
  <c r="E1290" i="1"/>
  <c r="E1291" i="1"/>
  <c r="E1276" i="1"/>
  <c r="E1277" i="1"/>
  <c r="E1278" i="1"/>
  <c r="E1279" i="1"/>
  <c r="E1280" i="1"/>
  <c r="E1281" i="1"/>
  <c r="E1282" i="1"/>
  <c r="E1283" i="1"/>
  <c r="E1284" i="1"/>
  <c r="E1267" i="1"/>
  <c r="E1268" i="1"/>
  <c r="E1269" i="1"/>
  <c r="E1270" i="1"/>
  <c r="E1271" i="1"/>
  <c r="E1272" i="1"/>
  <c r="E1273" i="1"/>
  <c r="E1274" i="1"/>
  <c r="E1275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07" i="1"/>
  <c r="E1208" i="1"/>
  <c r="E1209" i="1"/>
  <c r="E1210" i="1"/>
  <c r="E1211" i="1"/>
  <c r="E1212" i="1"/>
  <c r="E1213" i="1"/>
  <c r="E1214" i="1"/>
  <c r="E1215" i="1"/>
  <c r="E1216" i="1"/>
  <c r="E1217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165" i="1"/>
  <c r="E1166" i="1"/>
  <c r="E1167" i="1"/>
  <c r="E1168" i="1"/>
  <c r="E1169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46" i="1"/>
  <c r="E1147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17" i="1"/>
  <c r="E1118" i="1"/>
  <c r="E1119" i="1"/>
  <c r="E1120" i="1"/>
  <c r="E1121" i="1"/>
  <c r="E1122" i="1"/>
  <c r="E1123" i="1"/>
  <c r="E1124" i="1"/>
  <c r="E1114" i="1"/>
  <c r="E1115" i="1"/>
  <c r="E1116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069" i="1"/>
  <c r="E1070" i="1"/>
  <c r="E1071" i="1"/>
  <c r="E1072" i="1"/>
  <c r="E1073" i="1"/>
  <c r="E1062" i="1"/>
  <c r="E1063" i="1"/>
  <c r="E1064" i="1"/>
  <c r="E1065" i="1"/>
  <c r="E1066" i="1"/>
  <c r="E1067" i="1"/>
  <c r="E106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34" i="1"/>
  <c r="E1035" i="1"/>
  <c r="E1036" i="1"/>
  <c r="E1037" i="1"/>
  <c r="E1038" i="1"/>
  <c r="E1023" i="1"/>
  <c r="E1024" i="1"/>
  <c r="E1025" i="1"/>
  <c r="E1026" i="1"/>
  <c r="E1027" i="1"/>
  <c r="E1028" i="1"/>
  <c r="E1029" i="1"/>
  <c r="E1030" i="1"/>
  <c r="E1031" i="1"/>
  <c r="E1032" i="1"/>
  <c r="E1033" i="1"/>
  <c r="E1020" i="1"/>
  <c r="E1021" i="1"/>
  <c r="E1022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55" i="1"/>
  <c r="E956" i="1"/>
  <c r="E957" i="1"/>
  <c r="E958" i="1"/>
  <c r="E959" i="1"/>
  <c r="E960" i="1"/>
  <c r="E961" i="1"/>
  <c r="E962" i="1"/>
  <c r="E963" i="1"/>
  <c r="E947" i="1"/>
  <c r="E948" i="1"/>
  <c r="E949" i="1"/>
  <c r="E950" i="1"/>
  <c r="E951" i="1"/>
  <c r="E952" i="1"/>
  <c r="E953" i="1"/>
  <c r="E954" i="1"/>
  <c r="E936" i="1"/>
  <c r="E937" i="1"/>
  <c r="E938" i="1"/>
  <c r="E939" i="1"/>
  <c r="E940" i="1"/>
  <c r="E941" i="1"/>
  <c r="E942" i="1"/>
  <c r="E943" i="1"/>
  <c r="E944" i="1"/>
  <c r="E945" i="1"/>
  <c r="E946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13" i="1"/>
  <c r="E914" i="1"/>
  <c r="E915" i="1"/>
  <c r="E916" i="1"/>
  <c r="E917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66" i="1"/>
  <c r="E867" i="1"/>
  <c r="E857" i="1"/>
  <c r="E858" i="1"/>
  <c r="E859" i="1"/>
  <c r="E860" i="1"/>
  <c r="E861" i="1"/>
  <c r="E862" i="1"/>
  <c r="E863" i="1"/>
  <c r="E864" i="1"/>
  <c r="E865" i="1"/>
  <c r="E851" i="1"/>
  <c r="E852" i="1"/>
  <c r="E853" i="1"/>
  <c r="E854" i="1"/>
  <c r="E855" i="1"/>
  <c r="E856" i="1"/>
  <c r="E843" i="1"/>
  <c r="E844" i="1"/>
  <c r="E845" i="1"/>
  <c r="E846" i="1"/>
  <c r="E847" i="1"/>
  <c r="E848" i="1"/>
  <c r="E849" i="1"/>
  <c r="E850" i="1"/>
  <c r="E840" i="1"/>
  <c r="E841" i="1"/>
  <c r="E842" i="1"/>
  <c r="E829" i="1"/>
  <c r="E830" i="1"/>
  <c r="E831" i="1"/>
  <c r="E832" i="1"/>
  <c r="E833" i="1"/>
  <c r="E834" i="1"/>
  <c r="E835" i="1"/>
  <c r="E836" i="1"/>
  <c r="E837" i="1"/>
  <c r="E838" i="1"/>
  <c r="E839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782" i="1"/>
  <c r="E783" i="1"/>
  <c r="E784" i="1"/>
  <c r="E785" i="1"/>
  <c r="E786" i="1"/>
  <c r="E78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52" i="1"/>
  <c r="E753" i="1"/>
  <c r="E754" i="1"/>
  <c r="E755" i="1"/>
  <c r="E756" i="1"/>
  <c r="E757" i="1"/>
  <c r="E742" i="1"/>
  <c r="E743" i="1"/>
  <c r="E744" i="1"/>
  <c r="E745" i="1"/>
  <c r="E746" i="1"/>
  <c r="E747" i="1"/>
  <c r="E748" i="1"/>
  <c r="E749" i="1"/>
  <c r="E750" i="1"/>
  <c r="E751" i="1"/>
  <c r="E740" i="1"/>
  <c r="E741" i="1"/>
  <c r="E729" i="1"/>
  <c r="E730" i="1"/>
  <c r="E731" i="1"/>
  <c r="E732" i="1"/>
  <c r="E733" i="1"/>
  <c r="E734" i="1"/>
  <c r="E735" i="1"/>
  <c r="E736" i="1"/>
  <c r="E737" i="1"/>
  <c r="E738" i="1"/>
  <c r="E739" i="1"/>
  <c r="E722" i="1"/>
  <c r="E723" i="1"/>
  <c r="E724" i="1"/>
  <c r="E725" i="1"/>
  <c r="E726" i="1"/>
  <c r="E727" i="1"/>
  <c r="E728" i="1"/>
  <c r="E716" i="1"/>
  <c r="E717" i="1"/>
  <c r="E718" i="1"/>
  <c r="E719" i="1"/>
  <c r="E720" i="1"/>
  <c r="E721" i="1"/>
  <c r="E715" i="1"/>
  <c r="E708" i="1"/>
  <c r="E709" i="1"/>
  <c r="E710" i="1"/>
  <c r="E711" i="1"/>
  <c r="E712" i="1"/>
  <c r="E713" i="1"/>
  <c r="E714" i="1"/>
  <c r="E700" i="1"/>
  <c r="E701" i="1"/>
  <c r="E702" i="1"/>
  <c r="E703" i="1"/>
  <c r="E704" i="1"/>
  <c r="E705" i="1"/>
  <c r="E706" i="1"/>
  <c r="E707" i="1"/>
  <c r="E698" i="1"/>
  <c r="E699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72" i="1"/>
  <c r="E673" i="1"/>
  <c r="E674" i="1"/>
  <c r="E669" i="1"/>
  <c r="E670" i="1"/>
  <c r="E671" i="1"/>
  <c r="E660" i="1"/>
  <c r="E661" i="1"/>
  <c r="E662" i="1"/>
  <c r="E663" i="1"/>
  <c r="E664" i="1"/>
  <c r="E665" i="1"/>
  <c r="E666" i="1"/>
  <c r="E667" i="1"/>
  <c r="E668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34" i="1"/>
  <c r="E635" i="1"/>
  <c r="E636" i="1"/>
  <c r="E637" i="1"/>
  <c r="E638" i="1"/>
  <c r="E639" i="1"/>
  <c r="E640" i="1"/>
  <c r="E641" i="1"/>
  <c r="E623" i="1"/>
  <c r="E624" i="1"/>
  <c r="E625" i="1"/>
  <c r="E626" i="1"/>
  <c r="E627" i="1"/>
  <c r="E628" i="1"/>
  <c r="E629" i="1"/>
  <c r="E630" i="1"/>
  <c r="E631" i="1"/>
  <c r="E632" i="1"/>
  <c r="E633" i="1"/>
  <c r="E617" i="1"/>
  <c r="E618" i="1"/>
  <c r="E619" i="1"/>
  <c r="E620" i="1"/>
  <c r="E621" i="1"/>
  <c r="E622" i="1"/>
  <c r="E612" i="1"/>
  <c r="E613" i="1"/>
  <c r="E614" i="1"/>
  <c r="E615" i="1"/>
  <c r="E616" i="1"/>
  <c r="E603" i="1"/>
  <c r="E604" i="1"/>
  <c r="E605" i="1"/>
  <c r="E606" i="1"/>
  <c r="E607" i="1"/>
  <c r="E608" i="1"/>
  <c r="E609" i="1"/>
  <c r="E610" i="1"/>
  <c r="E611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48" i="1"/>
  <c r="E549" i="1"/>
  <c r="E550" i="1"/>
  <c r="E551" i="1"/>
  <c r="E552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471" i="1"/>
  <c r="E472" i="1"/>
  <c r="E473" i="1"/>
  <c r="E474" i="1"/>
  <c r="E475" i="1"/>
  <c r="E476" i="1"/>
  <c r="E477" i="1"/>
  <c r="E478" i="1"/>
  <c r="E479" i="1"/>
  <c r="E469" i="1"/>
  <c r="E470" i="1"/>
  <c r="E468" i="1"/>
  <c r="E466" i="1"/>
  <c r="E467" i="1"/>
  <c r="E465" i="1"/>
  <c r="E463" i="1"/>
  <c r="E464" i="1"/>
  <c r="E456" i="1"/>
  <c r="E457" i="1"/>
  <c r="E458" i="1"/>
  <c r="E459" i="1"/>
  <c r="E460" i="1"/>
  <c r="E461" i="1"/>
  <c r="E462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37" i="1"/>
  <c r="E438" i="1"/>
  <c r="E439" i="1"/>
  <c r="E440" i="1"/>
  <c r="E441" i="1"/>
  <c r="E442" i="1"/>
  <c r="E443" i="1"/>
  <c r="E436" i="1"/>
  <c r="E428" i="1"/>
  <c r="E429" i="1"/>
  <c r="E430" i="1"/>
  <c r="E431" i="1"/>
  <c r="E432" i="1"/>
  <c r="E433" i="1"/>
  <c r="E434" i="1"/>
  <c r="E435" i="1"/>
  <c r="E424" i="1"/>
  <c r="E425" i="1"/>
  <c r="E426" i="1"/>
  <c r="E427" i="1"/>
  <c r="E421" i="1"/>
  <c r="E422" i="1"/>
  <c r="E423" i="1"/>
  <c r="E417" i="1"/>
  <c r="E418" i="1"/>
  <c r="E419" i="1"/>
  <c r="E420" i="1"/>
  <c r="E411" i="1"/>
  <c r="E412" i="1"/>
  <c r="E413" i="1"/>
  <c r="E414" i="1"/>
  <c r="E415" i="1"/>
  <c r="E416" i="1"/>
  <c r="E410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396" i="1"/>
  <c r="E393" i="1"/>
  <c r="E394" i="1"/>
  <c r="E395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73" i="1"/>
  <c r="E374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49" i="1"/>
  <c r="E350" i="1"/>
  <c r="E351" i="1"/>
  <c r="E352" i="1"/>
  <c r="E353" i="1"/>
  <c r="E354" i="1"/>
  <c r="E355" i="1"/>
  <c r="E344" i="1"/>
  <c r="E345" i="1"/>
  <c r="E346" i="1"/>
  <c r="E347" i="1"/>
  <c r="E348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16" i="1"/>
  <c r="E317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298" i="1"/>
  <c r="E299" i="1"/>
  <c r="E292" i="1"/>
  <c r="E293" i="1"/>
  <c r="E294" i="1"/>
  <c r="E295" i="1"/>
  <c r="E296" i="1"/>
  <c r="E297" i="1"/>
  <c r="E290" i="1"/>
  <c r="E291" i="1"/>
  <c r="E284" i="1"/>
  <c r="E285" i="1"/>
  <c r="E286" i="1"/>
  <c r="E287" i="1"/>
  <c r="E288" i="1"/>
  <c r="E289" i="1"/>
  <c r="E283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63" i="1"/>
  <c r="E264" i="1"/>
  <c r="E265" i="1"/>
  <c r="E266" i="1"/>
  <c r="E267" i="1"/>
  <c r="E268" i="1"/>
  <c r="E269" i="1"/>
  <c r="E270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41" i="1"/>
  <c r="E242" i="1"/>
  <c r="E243" i="1"/>
  <c r="E244" i="1"/>
  <c r="E245" i="1"/>
  <c r="E246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22" i="1"/>
  <c r="E223" i="1"/>
  <c r="E224" i="1"/>
  <c r="E225" i="1"/>
  <c r="E226" i="1"/>
  <c r="E227" i="1"/>
  <c r="E228" i="1"/>
  <c r="E220" i="1"/>
  <c r="E221" i="1"/>
  <c r="E211" i="1"/>
  <c r="E212" i="1"/>
  <c r="E213" i="1"/>
  <c r="E214" i="1"/>
  <c r="E215" i="1"/>
  <c r="E216" i="1"/>
  <c r="E217" i="1"/>
  <c r="E218" i="1"/>
  <c r="E219" i="1"/>
  <c r="E201" i="1"/>
  <c r="E202" i="1"/>
  <c r="E203" i="1"/>
  <c r="E204" i="1"/>
  <c r="E205" i="1"/>
  <c r="E206" i="1"/>
  <c r="E207" i="1"/>
  <c r="E208" i="1"/>
  <c r="E209" i="1"/>
  <c r="E210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178" i="1"/>
  <c r="E179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35" i="1"/>
  <c r="E136" i="1"/>
  <c r="E137" i="1"/>
  <c r="E138" i="1"/>
  <c r="E139" i="1"/>
  <c r="E140" i="1"/>
  <c r="E141" i="1"/>
  <c r="E142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19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81" i="1"/>
  <c r="E82" i="1"/>
  <c r="E83" i="1"/>
  <c r="E84" i="1"/>
  <c r="E85" i="1"/>
  <c r="E86" i="1"/>
  <c r="E87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43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E3" i="1"/>
  <c r="E4" i="1"/>
  <c r="E5" i="1"/>
  <c r="E6" i="1"/>
  <c r="E4818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649" i="1"/>
  <c r="D1647" i="1"/>
  <c r="D1648" i="1"/>
  <c r="D1642" i="1"/>
  <c r="D1643" i="1"/>
  <c r="D1644" i="1"/>
  <c r="D1645" i="1"/>
  <c r="D1646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21" i="1"/>
  <c r="D1622" i="1"/>
  <c r="D1623" i="1"/>
  <c r="D1624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28" i="1"/>
  <c r="D1529" i="1"/>
  <c r="D1524" i="1"/>
  <c r="D1525" i="1"/>
  <c r="D1526" i="1"/>
  <c r="D1527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486" i="1"/>
  <c r="D1487" i="1"/>
  <c r="D1488" i="1"/>
  <c r="D1489" i="1"/>
  <c r="D1490" i="1"/>
  <c r="D1491" i="1"/>
  <c r="D149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61" i="1"/>
  <c r="D1462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36" i="1"/>
  <c r="D1437" i="1"/>
  <c r="D1438" i="1"/>
  <c r="D1439" i="1"/>
  <c r="D1440" i="1"/>
  <c r="D1441" i="1"/>
  <c r="D1442" i="1"/>
  <c r="D1443" i="1"/>
  <c r="D1428" i="1"/>
  <c r="D1429" i="1"/>
  <c r="D1430" i="1"/>
  <c r="D1431" i="1"/>
  <c r="D1432" i="1"/>
  <c r="D1433" i="1"/>
  <c r="D1434" i="1"/>
  <c r="D1435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10" i="1"/>
  <c r="D1399" i="1"/>
  <c r="D1400" i="1"/>
  <c r="D1401" i="1"/>
  <c r="D1402" i="1"/>
  <c r="D1403" i="1"/>
  <c r="D1404" i="1"/>
  <c r="D1405" i="1"/>
  <c r="D1406" i="1"/>
  <c r="D1407" i="1"/>
  <c r="D1408" i="1"/>
  <c r="D1409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80" i="1"/>
  <c r="D1381" i="1"/>
  <c r="D1382" i="1"/>
  <c r="D1383" i="1"/>
  <c r="D1384" i="1"/>
  <c r="D1385" i="1"/>
  <c r="D1379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15" i="1"/>
  <c r="D1316" i="1"/>
  <c r="D1317" i="1"/>
  <c r="D1318" i="1"/>
  <c r="D1319" i="1"/>
  <c r="D1320" i="1"/>
  <c r="D1306" i="1"/>
  <c r="D1307" i="1"/>
  <c r="D1308" i="1"/>
  <c r="D1309" i="1"/>
  <c r="D1310" i="1"/>
  <c r="D1311" i="1"/>
  <c r="D1312" i="1"/>
  <c r="D1313" i="1"/>
  <c r="D1314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285" i="1"/>
  <c r="D1286" i="1"/>
  <c r="D1287" i="1"/>
  <c r="D1288" i="1"/>
  <c r="D1289" i="1"/>
  <c r="D1290" i="1"/>
  <c r="D1291" i="1"/>
  <c r="D1276" i="1"/>
  <c r="D1277" i="1"/>
  <c r="D1278" i="1"/>
  <c r="D1279" i="1"/>
  <c r="D1280" i="1"/>
  <c r="D1281" i="1"/>
  <c r="D1282" i="1"/>
  <c r="D1283" i="1"/>
  <c r="D1284" i="1"/>
  <c r="D1267" i="1"/>
  <c r="D1268" i="1"/>
  <c r="D1269" i="1"/>
  <c r="D1270" i="1"/>
  <c r="D1271" i="1"/>
  <c r="D1272" i="1"/>
  <c r="D1273" i="1"/>
  <c r="D1274" i="1"/>
  <c r="D1275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07" i="1"/>
  <c r="D1208" i="1"/>
  <c r="D1209" i="1"/>
  <c r="D1210" i="1"/>
  <c r="D1211" i="1"/>
  <c r="D1212" i="1"/>
  <c r="D1213" i="1"/>
  <c r="D1214" i="1"/>
  <c r="D1215" i="1"/>
  <c r="D1216" i="1"/>
  <c r="D1217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165" i="1"/>
  <c r="D1166" i="1"/>
  <c r="D1167" i="1"/>
  <c r="D1168" i="1"/>
  <c r="D1169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46" i="1"/>
  <c r="D1147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17" i="1"/>
  <c r="D1118" i="1"/>
  <c r="D1119" i="1"/>
  <c r="D1120" i="1"/>
  <c r="D1121" i="1"/>
  <c r="D1122" i="1"/>
  <c r="D1123" i="1"/>
  <c r="D1124" i="1"/>
  <c r="D1114" i="1"/>
  <c r="D1115" i="1"/>
  <c r="D1116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069" i="1"/>
  <c r="D1070" i="1"/>
  <c r="D1071" i="1"/>
  <c r="D1072" i="1"/>
  <c r="D1073" i="1"/>
  <c r="D1062" i="1"/>
  <c r="D1063" i="1"/>
  <c r="D1064" i="1"/>
  <c r="D1065" i="1"/>
  <c r="D1066" i="1"/>
  <c r="D1067" i="1"/>
  <c r="D106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34" i="1"/>
  <c r="D1035" i="1"/>
  <c r="D1036" i="1"/>
  <c r="D1037" i="1"/>
  <c r="D1038" i="1"/>
  <c r="D1023" i="1"/>
  <c r="D1024" i="1"/>
  <c r="D1025" i="1"/>
  <c r="D1026" i="1"/>
  <c r="D1027" i="1"/>
  <c r="D1028" i="1"/>
  <c r="D1029" i="1"/>
  <c r="D1030" i="1"/>
  <c r="D1031" i="1"/>
  <c r="D1032" i="1"/>
  <c r="D1033" i="1"/>
  <c r="D1020" i="1"/>
  <c r="D1021" i="1"/>
  <c r="D1022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55" i="1"/>
  <c r="D956" i="1"/>
  <c r="D957" i="1"/>
  <c r="D958" i="1"/>
  <c r="D959" i="1"/>
  <c r="D960" i="1"/>
  <c r="D961" i="1"/>
  <c r="D962" i="1"/>
  <c r="D963" i="1"/>
  <c r="D947" i="1"/>
  <c r="D948" i="1"/>
  <c r="D949" i="1"/>
  <c r="D950" i="1"/>
  <c r="D951" i="1"/>
  <c r="D952" i="1"/>
  <c r="D953" i="1"/>
  <c r="D954" i="1"/>
  <c r="D936" i="1"/>
  <c r="D937" i="1"/>
  <c r="D938" i="1"/>
  <c r="D939" i="1"/>
  <c r="D940" i="1"/>
  <c r="D941" i="1"/>
  <c r="D942" i="1"/>
  <c r="D943" i="1"/>
  <c r="D944" i="1"/>
  <c r="D945" i="1"/>
  <c r="D946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13" i="1"/>
  <c r="D914" i="1"/>
  <c r="D915" i="1"/>
  <c r="D916" i="1"/>
  <c r="D917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66" i="1"/>
  <c r="D867" i="1"/>
  <c r="D857" i="1"/>
  <c r="D858" i="1"/>
  <c r="D859" i="1"/>
  <c r="D860" i="1"/>
  <c r="D861" i="1"/>
  <c r="D862" i="1"/>
  <c r="D863" i="1"/>
  <c r="D864" i="1"/>
  <c r="D865" i="1"/>
  <c r="D851" i="1"/>
  <c r="D852" i="1"/>
  <c r="D853" i="1"/>
  <c r="D854" i="1"/>
  <c r="D855" i="1"/>
  <c r="D856" i="1"/>
  <c r="D843" i="1"/>
  <c r="D844" i="1"/>
  <c r="D845" i="1"/>
  <c r="D846" i="1"/>
  <c r="D847" i="1"/>
  <c r="D848" i="1"/>
  <c r="D849" i="1"/>
  <c r="D850" i="1"/>
  <c r="D840" i="1"/>
  <c r="D841" i="1"/>
  <c r="D842" i="1"/>
  <c r="D829" i="1"/>
  <c r="D830" i="1"/>
  <c r="D831" i="1"/>
  <c r="D832" i="1"/>
  <c r="D833" i="1"/>
  <c r="D834" i="1"/>
  <c r="D835" i="1"/>
  <c r="D836" i="1"/>
  <c r="D837" i="1"/>
  <c r="D838" i="1"/>
  <c r="D839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782" i="1"/>
  <c r="D783" i="1"/>
  <c r="D784" i="1"/>
  <c r="D785" i="1"/>
  <c r="D786" i="1"/>
  <c r="D78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52" i="1"/>
  <c r="D753" i="1"/>
  <c r="D754" i="1"/>
  <c r="D755" i="1"/>
  <c r="D756" i="1"/>
  <c r="D757" i="1"/>
  <c r="D742" i="1"/>
  <c r="D743" i="1"/>
  <c r="D744" i="1"/>
  <c r="D745" i="1"/>
  <c r="D746" i="1"/>
  <c r="D747" i="1"/>
  <c r="D748" i="1"/>
  <c r="D749" i="1"/>
  <c r="D750" i="1"/>
  <c r="D751" i="1"/>
  <c r="D740" i="1"/>
  <c r="D741" i="1"/>
  <c r="D729" i="1"/>
  <c r="D730" i="1"/>
  <c r="D731" i="1"/>
  <c r="D732" i="1"/>
  <c r="D733" i="1"/>
  <c r="D734" i="1"/>
  <c r="D735" i="1"/>
  <c r="D736" i="1"/>
  <c r="D737" i="1"/>
  <c r="D738" i="1"/>
  <c r="D739" i="1"/>
  <c r="D722" i="1"/>
  <c r="D723" i="1"/>
  <c r="D724" i="1"/>
  <c r="D725" i="1"/>
  <c r="D726" i="1"/>
  <c r="D727" i="1"/>
  <c r="D728" i="1"/>
  <c r="D716" i="1"/>
  <c r="D717" i="1"/>
  <c r="D718" i="1"/>
  <c r="D719" i="1"/>
  <c r="D720" i="1"/>
  <c r="D721" i="1"/>
  <c r="D715" i="1"/>
  <c r="D708" i="1"/>
  <c r="D709" i="1"/>
  <c r="D710" i="1"/>
  <c r="D711" i="1"/>
  <c r="D712" i="1"/>
  <c r="D713" i="1"/>
  <c r="D714" i="1"/>
  <c r="D700" i="1"/>
  <c r="D701" i="1"/>
  <c r="D702" i="1"/>
  <c r="D703" i="1"/>
  <c r="D704" i="1"/>
  <c r="D705" i="1"/>
  <c r="D706" i="1"/>
  <c r="D707" i="1"/>
  <c r="D698" i="1"/>
  <c r="D699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72" i="1"/>
  <c r="D673" i="1"/>
  <c r="D674" i="1"/>
  <c r="D669" i="1"/>
  <c r="D670" i="1"/>
  <c r="D671" i="1"/>
  <c r="D660" i="1"/>
  <c r="D661" i="1"/>
  <c r="D662" i="1"/>
  <c r="D663" i="1"/>
  <c r="D664" i="1"/>
  <c r="D665" i="1"/>
  <c r="D666" i="1"/>
  <c r="D667" i="1"/>
  <c r="D668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34" i="1"/>
  <c r="D635" i="1"/>
  <c r="D636" i="1"/>
  <c r="D637" i="1"/>
  <c r="D638" i="1"/>
  <c r="D639" i="1"/>
  <c r="D640" i="1"/>
  <c r="D641" i="1"/>
  <c r="D623" i="1"/>
  <c r="D624" i="1"/>
  <c r="D625" i="1"/>
  <c r="D626" i="1"/>
  <c r="D627" i="1"/>
  <c r="D628" i="1"/>
  <c r="D629" i="1"/>
  <c r="D630" i="1"/>
  <c r="D631" i="1"/>
  <c r="D632" i="1"/>
  <c r="D633" i="1"/>
  <c r="D617" i="1"/>
  <c r="D618" i="1"/>
  <c r="D619" i="1"/>
  <c r="D620" i="1"/>
  <c r="D621" i="1"/>
  <c r="D622" i="1"/>
  <c r="D612" i="1"/>
  <c r="D613" i="1"/>
  <c r="D614" i="1"/>
  <c r="D615" i="1"/>
  <c r="D616" i="1"/>
  <c r="D603" i="1"/>
  <c r="D604" i="1"/>
  <c r="D605" i="1"/>
  <c r="D606" i="1"/>
  <c r="D607" i="1"/>
  <c r="D608" i="1"/>
  <c r="D609" i="1"/>
  <c r="D610" i="1"/>
  <c r="D611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48" i="1"/>
  <c r="D549" i="1"/>
  <c r="D550" i="1"/>
  <c r="D551" i="1"/>
  <c r="D552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471" i="1"/>
  <c r="D472" i="1"/>
  <c r="D473" i="1"/>
  <c r="D474" i="1"/>
  <c r="D475" i="1"/>
  <c r="D476" i="1"/>
  <c r="D477" i="1"/>
  <c r="D478" i="1"/>
  <c r="D479" i="1"/>
  <c r="D469" i="1"/>
  <c r="D470" i="1"/>
  <c r="D468" i="1"/>
  <c r="D466" i="1"/>
  <c r="D467" i="1"/>
  <c r="D465" i="1"/>
  <c r="D463" i="1"/>
  <c r="D464" i="1"/>
  <c r="D456" i="1"/>
  <c r="D457" i="1"/>
  <c r="D458" i="1"/>
  <c r="D459" i="1"/>
  <c r="D460" i="1"/>
  <c r="D461" i="1"/>
  <c r="D462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37" i="1"/>
  <c r="D438" i="1"/>
  <c r="D439" i="1"/>
  <c r="D440" i="1"/>
  <c r="D441" i="1"/>
  <c r="D442" i="1"/>
  <c r="D443" i="1"/>
  <c r="D436" i="1"/>
  <c r="D428" i="1"/>
  <c r="D429" i="1"/>
  <c r="D430" i="1"/>
  <c r="D431" i="1"/>
  <c r="D432" i="1"/>
  <c r="D433" i="1"/>
  <c r="D434" i="1"/>
  <c r="D435" i="1"/>
  <c r="D424" i="1"/>
  <c r="D425" i="1"/>
  <c r="D426" i="1"/>
  <c r="D427" i="1"/>
  <c r="D421" i="1"/>
  <c r="D422" i="1"/>
  <c r="D423" i="1"/>
  <c r="D417" i="1"/>
  <c r="D418" i="1"/>
  <c r="D419" i="1"/>
  <c r="D420" i="1"/>
  <c r="D411" i="1"/>
  <c r="D412" i="1"/>
  <c r="D413" i="1"/>
  <c r="D414" i="1"/>
  <c r="D415" i="1"/>
  <c r="D416" i="1"/>
  <c r="D410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396" i="1"/>
  <c r="D393" i="1"/>
  <c r="D394" i="1"/>
  <c r="D395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73" i="1"/>
  <c r="D374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49" i="1"/>
  <c r="D350" i="1"/>
  <c r="D351" i="1"/>
  <c r="D352" i="1"/>
  <c r="D353" i="1"/>
  <c r="D354" i="1"/>
  <c r="D355" i="1"/>
  <c r="D344" i="1"/>
  <c r="D345" i="1"/>
  <c r="D346" i="1"/>
  <c r="D347" i="1"/>
  <c r="D348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16" i="1"/>
  <c r="D317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298" i="1"/>
  <c r="D299" i="1"/>
  <c r="D292" i="1"/>
  <c r="D293" i="1"/>
  <c r="D294" i="1"/>
  <c r="D295" i="1"/>
  <c r="D296" i="1"/>
  <c r="D297" i="1"/>
  <c r="D290" i="1"/>
  <c r="D291" i="1"/>
  <c r="D284" i="1"/>
  <c r="D285" i="1"/>
  <c r="D286" i="1"/>
  <c r="D287" i="1"/>
  <c r="D288" i="1"/>
  <c r="D289" i="1"/>
  <c r="D283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63" i="1"/>
  <c r="D264" i="1"/>
  <c r="D265" i="1"/>
  <c r="D266" i="1"/>
  <c r="D267" i="1"/>
  <c r="D268" i="1"/>
  <c r="D269" i="1"/>
  <c r="D270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41" i="1"/>
  <c r="D242" i="1"/>
  <c r="D243" i="1"/>
  <c r="D244" i="1"/>
  <c r="D245" i="1"/>
  <c r="D246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22" i="1"/>
  <c r="D223" i="1"/>
  <c r="D224" i="1"/>
  <c r="D225" i="1"/>
  <c r="D226" i="1"/>
  <c r="D227" i="1"/>
  <c r="D228" i="1"/>
  <c r="D220" i="1"/>
  <c r="D221" i="1"/>
  <c r="D211" i="1"/>
  <c r="D212" i="1"/>
  <c r="D213" i="1"/>
  <c r="D214" i="1"/>
  <c r="D215" i="1"/>
  <c r="D216" i="1"/>
  <c r="D217" i="1"/>
  <c r="D218" i="1"/>
  <c r="D219" i="1"/>
  <c r="D201" i="1"/>
  <c r="D202" i="1"/>
  <c r="D203" i="1"/>
  <c r="D204" i="1"/>
  <c r="D205" i="1"/>
  <c r="D206" i="1"/>
  <c r="D207" i="1"/>
  <c r="D208" i="1"/>
  <c r="D209" i="1"/>
  <c r="D210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178" i="1"/>
  <c r="D179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35" i="1"/>
  <c r="D136" i="1"/>
  <c r="D137" i="1"/>
  <c r="D138" i="1"/>
  <c r="D139" i="1"/>
  <c r="D140" i="1"/>
  <c r="D141" i="1"/>
  <c r="D142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19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81" i="1"/>
  <c r="D82" i="1"/>
  <c r="D83" i="1"/>
  <c r="D84" i="1"/>
  <c r="D85" i="1"/>
  <c r="D86" i="1"/>
  <c r="D87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43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D3" i="1"/>
  <c r="D4" i="1"/>
  <c r="D5" i="1"/>
  <c r="D6" i="1"/>
  <c r="F4812" i="1"/>
  <c r="F4813" i="1"/>
  <c r="F4814" i="1"/>
  <c r="F4815" i="1"/>
  <c r="F4816" i="1"/>
  <c r="F4817" i="1"/>
  <c r="F4807" i="1"/>
  <c r="F4808" i="1"/>
  <c r="F4809" i="1"/>
  <c r="F4810" i="1"/>
  <c r="F4811" i="1"/>
  <c r="F4805" i="1"/>
  <c r="F4806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784" i="1"/>
  <c r="F4785" i="1"/>
  <c r="F4777" i="1"/>
  <c r="F4778" i="1"/>
  <c r="F4779" i="1"/>
  <c r="F4780" i="1"/>
  <c r="F4781" i="1"/>
  <c r="F4782" i="1"/>
  <c r="F4783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51" i="1"/>
  <c r="F4752" i="1"/>
  <c r="F4753" i="1"/>
  <c r="F4754" i="1"/>
  <c r="F4755" i="1"/>
  <c r="F4756" i="1"/>
  <c r="F4757" i="1"/>
  <c r="F4758" i="1"/>
  <c r="F4759" i="1"/>
  <c r="F4745" i="1"/>
  <c r="F4746" i="1"/>
  <c r="F4747" i="1"/>
  <c r="F4748" i="1"/>
  <c r="F4749" i="1"/>
  <c r="F4750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26" i="1"/>
  <c r="F4727" i="1"/>
  <c r="F4728" i="1"/>
  <c r="F4729" i="1"/>
  <c r="F4730" i="1"/>
  <c r="F4731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689" i="1"/>
  <c r="F4690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53" i="1"/>
  <c r="F4654" i="1"/>
  <c r="F4655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33" i="1"/>
  <c r="F4634" i="1"/>
  <c r="F4635" i="1"/>
  <c r="F4636" i="1"/>
  <c r="F4637" i="1"/>
  <c r="F463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15" i="1"/>
  <c r="F4616" i="1"/>
  <c r="F4617" i="1"/>
  <c r="F4618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581" i="1"/>
  <c r="F4582" i="1"/>
  <c r="F4583" i="1"/>
  <c r="F4584" i="1"/>
  <c r="F4585" i="1"/>
  <c r="F4586" i="1"/>
  <c r="F4587" i="1"/>
  <c r="F4570" i="1"/>
  <c r="F4571" i="1"/>
  <c r="F4572" i="1"/>
  <c r="F4573" i="1"/>
  <c r="F4574" i="1"/>
  <c r="F4575" i="1"/>
  <c r="F4576" i="1"/>
  <c r="F4577" i="1"/>
  <c r="F4578" i="1"/>
  <c r="F4579" i="1"/>
  <c r="F4580" i="1"/>
  <c r="F4565" i="1"/>
  <c r="F4566" i="1"/>
  <c r="F4567" i="1"/>
  <c r="F4568" i="1"/>
  <c r="F4569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35" i="1"/>
  <c r="F4536" i="1"/>
  <c r="F4537" i="1"/>
  <c r="F4538" i="1"/>
  <c r="F4539" i="1"/>
  <c r="F4540" i="1"/>
  <c r="F4541" i="1"/>
  <c r="F4542" i="1"/>
  <c r="F4528" i="1"/>
  <c r="F4529" i="1"/>
  <c r="F4530" i="1"/>
  <c r="F4531" i="1"/>
  <c r="F4532" i="1"/>
  <c r="F4533" i="1"/>
  <c r="F4534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488" i="1"/>
  <c r="F4489" i="1"/>
  <c r="F4490" i="1"/>
  <c r="F4491" i="1"/>
  <c r="F4492" i="1"/>
  <c r="F4493" i="1"/>
  <c r="F4494" i="1"/>
  <c r="F449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44" i="1"/>
  <c r="F4445" i="1"/>
  <c r="F4446" i="1"/>
  <c r="F4447" i="1"/>
  <c r="F4448" i="1"/>
  <c r="F4449" i="1"/>
  <c r="F4450" i="1"/>
  <c r="F4451" i="1"/>
  <c r="F4435" i="1"/>
  <c r="F4436" i="1"/>
  <c r="F4437" i="1"/>
  <c r="F4438" i="1"/>
  <c r="F4439" i="1"/>
  <c r="F4440" i="1"/>
  <c r="F4441" i="1"/>
  <c r="F4442" i="1"/>
  <c r="F4443" i="1"/>
  <c r="F4432" i="1"/>
  <c r="F4433" i="1"/>
  <c r="F4434" i="1"/>
  <c r="F4422" i="1"/>
  <c r="F4423" i="1"/>
  <c r="F4424" i="1"/>
  <c r="F4425" i="1"/>
  <c r="F4426" i="1"/>
  <c r="F4427" i="1"/>
  <c r="F4428" i="1"/>
  <c r="F4429" i="1"/>
  <c r="F4430" i="1"/>
  <c r="F4431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366" i="1"/>
  <c r="F4367" i="1"/>
  <c r="F4368" i="1"/>
  <c r="F4369" i="1"/>
  <c r="F4370" i="1"/>
  <c r="F4371" i="1"/>
  <c r="F4372" i="1"/>
  <c r="F4373" i="1"/>
  <c r="F4374" i="1"/>
  <c r="F4375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32" i="1"/>
  <c r="F4333" i="1"/>
  <c r="F4334" i="1"/>
  <c r="F4335" i="1"/>
  <c r="F4336" i="1"/>
  <c r="F4337" i="1"/>
  <c r="F4338" i="1"/>
  <c r="F433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23" i="1"/>
  <c r="F4224" i="1"/>
  <c r="F4225" i="1"/>
  <c r="F4226" i="1"/>
  <c r="F4227" i="1"/>
  <c r="F4228" i="1"/>
  <c r="F4229" i="1"/>
  <c r="F4230" i="1"/>
  <c r="F4231" i="1"/>
  <c r="F4232" i="1"/>
  <c r="F4233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01" i="1"/>
  <c r="F4191" i="1"/>
  <c r="F4192" i="1"/>
  <c r="F4193" i="1"/>
  <c r="F4194" i="1"/>
  <c r="F4195" i="1"/>
  <c r="F4196" i="1"/>
  <c r="F4197" i="1"/>
  <c r="F4198" i="1"/>
  <c r="F4199" i="1"/>
  <c r="F4200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45" i="1"/>
  <c r="F4146" i="1"/>
  <c r="F4147" i="1"/>
  <c r="F4148" i="1"/>
  <c r="F4149" i="1"/>
  <c r="F4150" i="1"/>
  <c r="F4151" i="1"/>
  <c r="F4152" i="1"/>
  <c r="F4153" i="1"/>
  <c r="F4154" i="1"/>
  <c r="F4138" i="1"/>
  <c r="F4139" i="1"/>
  <c r="F4140" i="1"/>
  <c r="F4141" i="1"/>
  <c r="F4142" i="1"/>
  <c r="F4143" i="1"/>
  <c r="F4144" i="1"/>
  <c r="F4128" i="1"/>
  <c r="F4129" i="1"/>
  <c r="F4130" i="1"/>
  <c r="F4131" i="1"/>
  <c r="F4132" i="1"/>
  <c r="F4133" i="1"/>
  <c r="F4134" i="1"/>
  <c r="F4135" i="1"/>
  <c r="F4136" i="1"/>
  <c r="F4137" i="1"/>
  <c r="F4126" i="1"/>
  <c r="F4127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41" i="1"/>
  <c r="F4042" i="1"/>
  <c r="F4043" i="1"/>
  <c r="F4044" i="1"/>
  <c r="F4045" i="1"/>
  <c r="F4046" i="1"/>
  <c r="F4047" i="1"/>
  <c r="F4048" i="1"/>
  <c r="F4039" i="1"/>
  <c r="F4040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00" i="1"/>
  <c r="F4001" i="1"/>
  <c r="F3995" i="1"/>
  <c r="F3996" i="1"/>
  <c r="F3997" i="1"/>
  <c r="F3998" i="1"/>
  <c r="F3999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41" i="1"/>
  <c r="F3942" i="1"/>
  <c r="F3943" i="1"/>
  <c r="F3944" i="1"/>
  <c r="F3945" i="1"/>
  <c r="F3938" i="1"/>
  <c r="F3939" i="1"/>
  <c r="F3940" i="1"/>
  <c r="F3929" i="1"/>
  <c r="F3930" i="1"/>
  <c r="F3931" i="1"/>
  <c r="F3932" i="1"/>
  <c r="F3933" i="1"/>
  <c r="F3934" i="1"/>
  <c r="F3935" i="1"/>
  <c r="F3936" i="1"/>
  <c r="F3937" i="1"/>
  <c r="F3921" i="1"/>
  <c r="F3922" i="1"/>
  <c r="F3923" i="1"/>
  <c r="F3924" i="1"/>
  <c r="F3925" i="1"/>
  <c r="F3926" i="1"/>
  <c r="F3927" i="1"/>
  <c r="F3928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893" i="1"/>
  <c r="F3894" i="1"/>
  <c r="F3895" i="1"/>
  <c r="F3896" i="1"/>
  <c r="F3897" i="1"/>
  <c r="F3898" i="1"/>
  <c r="F3899" i="1"/>
  <c r="F3900" i="1"/>
  <c r="F3901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79" i="1"/>
  <c r="F3876" i="1"/>
  <c r="F3877" i="1"/>
  <c r="F3878" i="1"/>
  <c r="F3870" i="1"/>
  <c r="F3871" i="1"/>
  <c r="F3872" i="1"/>
  <c r="F3873" i="1"/>
  <c r="F3874" i="1"/>
  <c r="F3875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14" i="1"/>
  <c r="F3815" i="1"/>
  <c r="F3816" i="1"/>
  <c r="F3817" i="1"/>
  <c r="F3818" i="1"/>
  <c r="F3819" i="1"/>
  <c r="F3820" i="1"/>
  <c r="F3821" i="1"/>
  <c r="F3809" i="1"/>
  <c r="F3810" i="1"/>
  <c r="F3811" i="1"/>
  <c r="F3812" i="1"/>
  <c r="F3813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755" i="1"/>
  <c r="F3756" i="1"/>
  <c r="F3757" i="1"/>
  <c r="F3758" i="1"/>
  <c r="F3753" i="1"/>
  <c r="F3754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32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645" i="1"/>
  <c r="F3646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592" i="1"/>
  <c r="F3588" i="1"/>
  <c r="F3589" i="1"/>
  <c r="F3590" i="1"/>
  <c r="F3591" i="1"/>
  <c r="F3581" i="1"/>
  <c r="F3582" i="1"/>
  <c r="F3583" i="1"/>
  <c r="F3584" i="1"/>
  <c r="F3585" i="1"/>
  <c r="F3586" i="1"/>
  <c r="F3587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60" i="1"/>
  <c r="F3561" i="1"/>
  <c r="F3562" i="1"/>
  <c r="F3563" i="1"/>
  <c r="F3564" i="1"/>
  <c r="F3565" i="1"/>
  <c r="F3566" i="1"/>
  <c r="F3567" i="1"/>
  <c r="F3568" i="1"/>
  <c r="F3552" i="1"/>
  <c r="F3553" i="1"/>
  <c r="F3554" i="1"/>
  <c r="F3555" i="1"/>
  <c r="F3556" i="1"/>
  <c r="F3557" i="1"/>
  <c r="F3558" i="1"/>
  <c r="F3559" i="1"/>
  <c r="F3551" i="1"/>
  <c r="F3540" i="1"/>
  <c r="F3541" i="1"/>
  <c r="F3542" i="1"/>
  <c r="F3543" i="1"/>
  <c r="F3544" i="1"/>
  <c r="F3545" i="1"/>
  <c r="F3546" i="1"/>
  <c r="F3547" i="1"/>
  <c r="F3548" i="1"/>
  <c r="F3549" i="1"/>
  <c r="F355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20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497" i="1"/>
  <c r="F3498" i="1"/>
  <c r="F3499" i="1"/>
  <c r="F3500" i="1"/>
  <c r="F3501" i="1"/>
  <c r="F3502" i="1"/>
  <c r="F3503" i="1"/>
  <c r="F3504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23" i="1"/>
  <c r="F3424" i="1"/>
  <c r="F3421" i="1"/>
  <c r="F3422" i="1"/>
  <c r="F3419" i="1"/>
  <c r="F3420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19" i="1"/>
  <c r="F3320" i="1"/>
  <c r="F3321" i="1"/>
  <c r="F3322" i="1"/>
  <c r="F3323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255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15" i="1"/>
  <c r="F3116" i="1"/>
  <c r="F3117" i="1"/>
  <c r="F3118" i="1"/>
  <c r="F3119" i="1"/>
  <c r="F3120" i="1"/>
  <c r="F3121" i="1"/>
  <c r="F3122" i="1"/>
  <c r="F3123" i="1"/>
  <c r="F3106" i="1"/>
  <c r="F3107" i="1"/>
  <c r="F3108" i="1"/>
  <c r="F3109" i="1"/>
  <c r="F3110" i="1"/>
  <c r="F3111" i="1"/>
  <c r="F3112" i="1"/>
  <c r="F3113" i="1"/>
  <c r="F3114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080" i="1"/>
  <c r="F3081" i="1"/>
  <c r="F3075" i="1"/>
  <c r="F3076" i="1"/>
  <c r="F3077" i="1"/>
  <c r="F3078" i="1"/>
  <c r="F3079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35" i="1"/>
  <c r="F3036" i="1"/>
  <c r="F3037" i="1"/>
  <c r="F3038" i="1"/>
  <c r="F3039" i="1"/>
  <c r="F3040" i="1"/>
  <c r="F3041" i="1"/>
  <c r="F3042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02" i="1"/>
  <c r="F3003" i="1"/>
  <c r="F3004" i="1"/>
  <c r="F2993" i="1"/>
  <c r="F2994" i="1"/>
  <c r="F2995" i="1"/>
  <c r="F2996" i="1"/>
  <c r="F2997" i="1"/>
  <c r="F2998" i="1"/>
  <c r="F2999" i="1"/>
  <c r="F3000" i="1"/>
  <c r="F3001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892" i="1"/>
  <c r="F2893" i="1"/>
  <c r="F2882" i="1"/>
  <c r="F2883" i="1"/>
  <c r="F2884" i="1"/>
  <c r="F2885" i="1"/>
  <c r="F2886" i="1"/>
  <c r="F2887" i="1"/>
  <c r="F2888" i="1"/>
  <c r="F2889" i="1"/>
  <c r="F2890" i="1"/>
  <c r="F2891" i="1"/>
  <c r="F2879" i="1"/>
  <c r="F2880" i="1"/>
  <c r="F2881" i="1"/>
  <c r="F2878" i="1"/>
  <c r="F2872" i="1"/>
  <c r="F2873" i="1"/>
  <c r="F2874" i="1"/>
  <c r="F2875" i="1"/>
  <c r="F2876" i="1"/>
  <c r="F2877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40" i="1"/>
  <c r="F2841" i="1"/>
  <c r="F2842" i="1"/>
  <c r="F2843" i="1"/>
  <c r="F2844" i="1"/>
  <c r="F2845" i="1"/>
  <c r="F2832" i="1"/>
  <c r="F2833" i="1"/>
  <c r="F2834" i="1"/>
  <c r="F2835" i="1"/>
  <c r="F2836" i="1"/>
  <c r="F2837" i="1"/>
  <c r="F2838" i="1"/>
  <c r="F2839" i="1"/>
  <c r="F2824" i="1"/>
  <c r="F2825" i="1"/>
  <c r="F2826" i="1"/>
  <c r="F2827" i="1"/>
  <c r="F2828" i="1"/>
  <c r="F2829" i="1"/>
  <c r="F2830" i="1"/>
  <c r="F2831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59" i="1"/>
  <c r="F2760" i="1"/>
  <c r="F2761" i="1"/>
  <c r="F2762" i="1"/>
  <c r="F2763" i="1"/>
  <c r="F2764" i="1"/>
  <c r="F2765" i="1"/>
  <c r="F2766" i="1"/>
  <c r="F2748" i="1"/>
  <c r="F2749" i="1"/>
  <c r="F2750" i="1"/>
  <c r="F2751" i="1"/>
  <c r="F2752" i="1"/>
  <c r="F2753" i="1"/>
  <c r="F2754" i="1"/>
  <c r="F2755" i="1"/>
  <c r="F2756" i="1"/>
  <c r="F2757" i="1"/>
  <c r="F2758" i="1"/>
  <c r="F2744" i="1"/>
  <c r="F2745" i="1"/>
  <c r="F2746" i="1"/>
  <c r="F2747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12" i="1"/>
  <c r="F2713" i="1"/>
  <c r="F2714" i="1"/>
  <c r="F2715" i="1"/>
  <c r="F2716" i="1"/>
  <c r="F2717" i="1"/>
  <c r="F2718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07" i="1"/>
  <c r="F2608" i="1"/>
  <c r="F2609" i="1"/>
  <c r="F2605" i="1"/>
  <c r="F2606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588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36" i="1"/>
  <c r="F2537" i="1"/>
  <c r="F2538" i="1"/>
  <c r="F2539" i="1"/>
  <c r="F2540" i="1"/>
  <c r="F2541" i="1"/>
  <c r="F2542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474" i="1"/>
  <c r="F2475" i="1"/>
  <c r="F2476" i="1"/>
  <c r="F2477" i="1"/>
  <c r="F2478" i="1"/>
  <c r="F2479" i="1"/>
  <c r="F2472" i="1"/>
  <c r="F2473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58" i="1"/>
  <c r="F2447" i="1"/>
  <c r="F2448" i="1"/>
  <c r="F2449" i="1"/>
  <c r="F2450" i="1"/>
  <c r="F2451" i="1"/>
  <c r="F2452" i="1"/>
  <c r="F2453" i="1"/>
  <c r="F2454" i="1"/>
  <c r="F2455" i="1"/>
  <c r="F2456" i="1"/>
  <c r="F2457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393" i="1"/>
  <c r="F2394" i="1"/>
  <c r="F2395" i="1"/>
  <c r="F2396" i="1"/>
  <c r="F2397" i="1"/>
  <c r="F2398" i="1"/>
  <c r="F2399" i="1"/>
  <c r="F2400" i="1"/>
  <c r="F2401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74" i="1"/>
  <c r="F2375" i="1"/>
  <c r="F2376" i="1"/>
  <c r="F2377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44" i="1"/>
  <c r="F2345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26" i="1"/>
  <c r="F2327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291" i="1"/>
  <c r="F2292" i="1"/>
  <c r="F2293" i="1"/>
  <c r="F2294" i="1"/>
  <c r="F2295" i="1"/>
  <c r="F2296" i="1"/>
  <c r="F2297" i="1"/>
  <c r="F2298" i="1"/>
  <c r="F2299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32" i="1"/>
  <c r="F2233" i="1"/>
  <c r="F2234" i="1"/>
  <c r="F223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181" i="1"/>
  <c r="F2182" i="1"/>
  <c r="F2183" i="1"/>
  <c r="F2184" i="1"/>
  <c r="F2185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28" i="1"/>
  <c r="F2129" i="1"/>
  <c r="F2130" i="1"/>
  <c r="F2131" i="1"/>
  <c r="F2132" i="1"/>
  <c r="F2133" i="1"/>
  <c r="F2134" i="1"/>
  <c r="F2135" i="1"/>
  <c r="F2136" i="1"/>
  <c r="F2127" i="1"/>
  <c r="F2125" i="1"/>
  <c r="F2126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71" i="1"/>
  <c r="F2072" i="1"/>
  <c r="F2073" i="1"/>
  <c r="F2065" i="1"/>
  <c r="F2066" i="1"/>
  <c r="F2067" i="1"/>
  <c r="F2068" i="1"/>
  <c r="F2069" i="1"/>
  <c r="F2070" i="1"/>
  <c r="F2057" i="1"/>
  <c r="F2058" i="1"/>
  <c r="F2059" i="1"/>
  <c r="F2060" i="1"/>
  <c r="F2061" i="1"/>
  <c r="F2062" i="1"/>
  <c r="F2063" i="1"/>
  <c r="F2064" i="1"/>
  <c r="F2055" i="1"/>
  <c r="F205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1990" i="1"/>
  <c r="F1991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33" i="1"/>
  <c r="F1834" i="1"/>
  <c r="F1835" i="1"/>
  <c r="F1836" i="1"/>
  <c r="F1829" i="1"/>
  <c r="F1830" i="1"/>
  <c r="F1831" i="1"/>
  <c r="F1832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07" i="1"/>
  <c r="F1808" i="1"/>
  <c r="F1809" i="1"/>
  <c r="F1810" i="1"/>
  <c r="F1811" i="1"/>
  <c r="F1812" i="1"/>
  <c r="F1813" i="1"/>
  <c r="F1806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780" i="1"/>
  <c r="F1781" i="1"/>
  <c r="F1782" i="1"/>
  <c r="F1783" i="1"/>
  <c r="F1784" i="1"/>
  <c r="F1777" i="1"/>
  <c r="F1778" i="1"/>
  <c r="F1779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649" i="1"/>
  <c r="F1647" i="1"/>
  <c r="F1648" i="1"/>
  <c r="F1642" i="1"/>
  <c r="F1643" i="1"/>
  <c r="F1644" i="1"/>
  <c r="F1645" i="1"/>
  <c r="F1646" i="1"/>
  <c r="F1625" i="1"/>
  <c r="F1626" i="1"/>
  <c r="F1627" i="1"/>
  <c r="F1628" i="1"/>
  <c r="F1629" i="1"/>
  <c r="F1630" i="1"/>
  <c r="F1631" i="1"/>
  <c r="F1632" i="1"/>
  <c r="G1632" i="1" s="1"/>
  <c r="F1633" i="1"/>
  <c r="F1634" i="1"/>
  <c r="G1634" i="1" s="1"/>
  <c r="F1635" i="1"/>
  <c r="F1636" i="1"/>
  <c r="F1637" i="1"/>
  <c r="F1638" i="1"/>
  <c r="G1638" i="1" s="1"/>
  <c r="F1639" i="1"/>
  <c r="F1640" i="1"/>
  <c r="G1640" i="1" s="1"/>
  <c r="F1641" i="1"/>
  <c r="F1621" i="1"/>
  <c r="G1621" i="1" s="1"/>
  <c r="F1622" i="1"/>
  <c r="F1623" i="1"/>
  <c r="F1624" i="1"/>
  <c r="F1591" i="1"/>
  <c r="G1591" i="1" s="1"/>
  <c r="F1592" i="1"/>
  <c r="F1593" i="1"/>
  <c r="G1593" i="1" s="1"/>
  <c r="F1594" i="1"/>
  <c r="F1595" i="1"/>
  <c r="G1595" i="1" s="1"/>
  <c r="F1596" i="1"/>
  <c r="F1597" i="1"/>
  <c r="F1598" i="1"/>
  <c r="F1599" i="1"/>
  <c r="G1599" i="1" s="1"/>
  <c r="F1600" i="1"/>
  <c r="F1601" i="1"/>
  <c r="G1601" i="1" s="1"/>
  <c r="F1602" i="1"/>
  <c r="F1603" i="1"/>
  <c r="G1603" i="1" s="1"/>
  <c r="F1604" i="1"/>
  <c r="F1605" i="1"/>
  <c r="F1606" i="1"/>
  <c r="F1607" i="1"/>
  <c r="G1607" i="1" s="1"/>
  <c r="F1608" i="1"/>
  <c r="F1609" i="1"/>
  <c r="G1609" i="1" s="1"/>
  <c r="F1610" i="1"/>
  <c r="F1611" i="1"/>
  <c r="G1611" i="1" s="1"/>
  <c r="F1612" i="1"/>
  <c r="F1613" i="1"/>
  <c r="F1614" i="1"/>
  <c r="F1615" i="1"/>
  <c r="G1615" i="1" s="1"/>
  <c r="F1616" i="1"/>
  <c r="F1617" i="1"/>
  <c r="G1617" i="1" s="1"/>
  <c r="F1618" i="1"/>
  <c r="F1619" i="1"/>
  <c r="G1619" i="1" s="1"/>
  <c r="F1620" i="1"/>
  <c r="F1569" i="1"/>
  <c r="F1570" i="1"/>
  <c r="F1571" i="1"/>
  <c r="G1571" i="1" s="1"/>
  <c r="F1572" i="1"/>
  <c r="F1573" i="1"/>
  <c r="G1573" i="1" s="1"/>
  <c r="F1574" i="1"/>
  <c r="F1575" i="1"/>
  <c r="G1575" i="1" s="1"/>
  <c r="F1576" i="1"/>
  <c r="F1577" i="1"/>
  <c r="F1578" i="1"/>
  <c r="F1579" i="1"/>
  <c r="G1579" i="1" s="1"/>
  <c r="F1580" i="1"/>
  <c r="F1581" i="1"/>
  <c r="G1581" i="1" s="1"/>
  <c r="F1582" i="1"/>
  <c r="F1583" i="1"/>
  <c r="G1583" i="1" s="1"/>
  <c r="F1584" i="1"/>
  <c r="F1585" i="1"/>
  <c r="F1586" i="1"/>
  <c r="F1587" i="1"/>
  <c r="G1587" i="1" s="1"/>
  <c r="F1588" i="1"/>
  <c r="F1589" i="1"/>
  <c r="G1589" i="1" s="1"/>
  <c r="F1590" i="1"/>
  <c r="F1530" i="1"/>
  <c r="G1530" i="1" s="1"/>
  <c r="F1531" i="1"/>
  <c r="F1532" i="1"/>
  <c r="F1533" i="1"/>
  <c r="F1534" i="1"/>
  <c r="G1534" i="1" s="1"/>
  <c r="F1535" i="1"/>
  <c r="F1536" i="1"/>
  <c r="G1536" i="1" s="1"/>
  <c r="F1537" i="1"/>
  <c r="F1538" i="1"/>
  <c r="G1538" i="1" s="1"/>
  <c r="F1539" i="1"/>
  <c r="F1540" i="1"/>
  <c r="F1541" i="1"/>
  <c r="F1542" i="1"/>
  <c r="G1542" i="1" s="1"/>
  <c r="F1543" i="1"/>
  <c r="F1544" i="1"/>
  <c r="G1544" i="1" s="1"/>
  <c r="F1545" i="1"/>
  <c r="F1546" i="1"/>
  <c r="G1546" i="1" s="1"/>
  <c r="F1547" i="1"/>
  <c r="F1548" i="1"/>
  <c r="F1549" i="1"/>
  <c r="F1550" i="1"/>
  <c r="G1550" i="1" s="1"/>
  <c r="F1551" i="1"/>
  <c r="F1552" i="1"/>
  <c r="G1552" i="1" s="1"/>
  <c r="F1553" i="1"/>
  <c r="F1554" i="1"/>
  <c r="G1554" i="1" s="1"/>
  <c r="F1555" i="1"/>
  <c r="F1556" i="1"/>
  <c r="F1557" i="1"/>
  <c r="F1558" i="1"/>
  <c r="G1558" i="1" s="1"/>
  <c r="F1559" i="1"/>
  <c r="F1560" i="1"/>
  <c r="G1560" i="1" s="1"/>
  <c r="F1561" i="1"/>
  <c r="F1562" i="1"/>
  <c r="G1562" i="1" s="1"/>
  <c r="F1563" i="1"/>
  <c r="F1564" i="1"/>
  <c r="F1565" i="1"/>
  <c r="F1566" i="1"/>
  <c r="G1566" i="1" s="1"/>
  <c r="F1567" i="1"/>
  <c r="F1568" i="1"/>
  <c r="G1568" i="1" s="1"/>
  <c r="F1528" i="1"/>
  <c r="F1529" i="1"/>
  <c r="G1529" i="1" s="1"/>
  <c r="F1524" i="1"/>
  <c r="F1525" i="1"/>
  <c r="F1526" i="1"/>
  <c r="F1527" i="1"/>
  <c r="G1527" i="1" s="1"/>
  <c r="F1493" i="1"/>
  <c r="F1494" i="1"/>
  <c r="G1494" i="1" s="1"/>
  <c r="F1495" i="1"/>
  <c r="F1496" i="1"/>
  <c r="G1496" i="1" s="1"/>
  <c r="F1497" i="1"/>
  <c r="F1498" i="1"/>
  <c r="F1499" i="1"/>
  <c r="F1500" i="1"/>
  <c r="G1500" i="1" s="1"/>
  <c r="F1501" i="1"/>
  <c r="F1502" i="1"/>
  <c r="G1502" i="1" s="1"/>
  <c r="F1503" i="1"/>
  <c r="F1504" i="1"/>
  <c r="G1504" i="1" s="1"/>
  <c r="F1505" i="1"/>
  <c r="F1506" i="1"/>
  <c r="F1507" i="1"/>
  <c r="F1508" i="1"/>
  <c r="G1508" i="1" s="1"/>
  <c r="F1509" i="1"/>
  <c r="F1510" i="1"/>
  <c r="G1510" i="1" s="1"/>
  <c r="F1511" i="1"/>
  <c r="F1512" i="1"/>
  <c r="G1512" i="1" s="1"/>
  <c r="F1513" i="1"/>
  <c r="F1514" i="1"/>
  <c r="F1515" i="1"/>
  <c r="F1516" i="1"/>
  <c r="G1516" i="1" s="1"/>
  <c r="F1517" i="1"/>
  <c r="F1518" i="1"/>
  <c r="G1518" i="1" s="1"/>
  <c r="F1519" i="1"/>
  <c r="F1520" i="1"/>
  <c r="G1520" i="1" s="1"/>
  <c r="F1521" i="1"/>
  <c r="F1522" i="1"/>
  <c r="F1523" i="1"/>
  <c r="F1486" i="1"/>
  <c r="G1486" i="1" s="1"/>
  <c r="F1487" i="1"/>
  <c r="F1488" i="1"/>
  <c r="G1488" i="1" s="1"/>
  <c r="F1489" i="1"/>
  <c r="F1490" i="1"/>
  <c r="G1490" i="1" s="1"/>
  <c r="F1491" i="1"/>
  <c r="F1492" i="1"/>
  <c r="F1463" i="1"/>
  <c r="F1464" i="1"/>
  <c r="G1464" i="1" s="1"/>
  <c r="F1465" i="1"/>
  <c r="F1466" i="1"/>
  <c r="G1466" i="1" s="1"/>
  <c r="F1467" i="1"/>
  <c r="F1468" i="1"/>
  <c r="G1468" i="1" s="1"/>
  <c r="F1469" i="1"/>
  <c r="F1470" i="1"/>
  <c r="F1471" i="1"/>
  <c r="F1472" i="1"/>
  <c r="G1472" i="1" s="1"/>
  <c r="F1473" i="1"/>
  <c r="F1474" i="1"/>
  <c r="G1474" i="1" s="1"/>
  <c r="F1475" i="1"/>
  <c r="F1476" i="1"/>
  <c r="G1476" i="1" s="1"/>
  <c r="F1477" i="1"/>
  <c r="F1478" i="1"/>
  <c r="F1479" i="1"/>
  <c r="F1480" i="1"/>
  <c r="G1480" i="1" s="1"/>
  <c r="F1481" i="1"/>
  <c r="F1482" i="1"/>
  <c r="G1482" i="1" s="1"/>
  <c r="F1483" i="1"/>
  <c r="F1484" i="1"/>
  <c r="G1484" i="1" s="1"/>
  <c r="F1485" i="1"/>
  <c r="F1461" i="1"/>
  <c r="F1462" i="1"/>
  <c r="F1444" i="1"/>
  <c r="G1444" i="1" s="1"/>
  <c r="F1445" i="1"/>
  <c r="F1446" i="1"/>
  <c r="G1446" i="1" s="1"/>
  <c r="F1447" i="1"/>
  <c r="F1448" i="1"/>
  <c r="G1448" i="1" s="1"/>
  <c r="F1449" i="1"/>
  <c r="F1450" i="1"/>
  <c r="F1451" i="1"/>
  <c r="F1452" i="1"/>
  <c r="G1452" i="1" s="1"/>
  <c r="F1453" i="1"/>
  <c r="F1454" i="1"/>
  <c r="G1454" i="1" s="1"/>
  <c r="F1455" i="1"/>
  <c r="F1456" i="1"/>
  <c r="G1456" i="1" s="1"/>
  <c r="F1457" i="1"/>
  <c r="F1458" i="1"/>
  <c r="F1459" i="1"/>
  <c r="F1460" i="1"/>
  <c r="G1460" i="1" s="1"/>
  <c r="F1436" i="1"/>
  <c r="F1437" i="1"/>
  <c r="G1437" i="1" s="1"/>
  <c r="F1438" i="1"/>
  <c r="F1439" i="1"/>
  <c r="G1439" i="1" s="1"/>
  <c r="F1440" i="1"/>
  <c r="F1441" i="1"/>
  <c r="F1442" i="1"/>
  <c r="F1443" i="1"/>
  <c r="G1443" i="1" s="1"/>
  <c r="F1428" i="1"/>
  <c r="F1429" i="1"/>
  <c r="G1429" i="1" s="1"/>
  <c r="F1430" i="1"/>
  <c r="F1431" i="1"/>
  <c r="G1431" i="1" s="1"/>
  <c r="F1432" i="1"/>
  <c r="F1433" i="1"/>
  <c r="F1434" i="1"/>
  <c r="F1435" i="1"/>
  <c r="G1435" i="1" s="1"/>
  <c r="F1411" i="1"/>
  <c r="F1412" i="1"/>
  <c r="G1412" i="1" s="1"/>
  <c r="F1413" i="1"/>
  <c r="F1414" i="1"/>
  <c r="G1414" i="1" s="1"/>
  <c r="F1415" i="1"/>
  <c r="F1416" i="1"/>
  <c r="F1417" i="1"/>
  <c r="F1418" i="1"/>
  <c r="G1418" i="1" s="1"/>
  <c r="F1419" i="1"/>
  <c r="F1420" i="1"/>
  <c r="G1420" i="1" s="1"/>
  <c r="F1421" i="1"/>
  <c r="F1422" i="1"/>
  <c r="G1422" i="1" s="1"/>
  <c r="F1423" i="1"/>
  <c r="F1424" i="1"/>
  <c r="F1425" i="1"/>
  <c r="F1426" i="1"/>
  <c r="G1426" i="1" s="1"/>
  <c r="F1427" i="1"/>
  <c r="F1410" i="1"/>
  <c r="G1410" i="1" s="1"/>
  <c r="F1399" i="1"/>
  <c r="F1400" i="1"/>
  <c r="G1400" i="1" s="1"/>
  <c r="F1401" i="1"/>
  <c r="F1402" i="1"/>
  <c r="F1403" i="1"/>
  <c r="F1404" i="1"/>
  <c r="G1404" i="1" s="1"/>
  <c r="F1405" i="1"/>
  <c r="F1406" i="1"/>
  <c r="G1406" i="1" s="1"/>
  <c r="F1407" i="1"/>
  <c r="F1408" i="1"/>
  <c r="G1408" i="1" s="1"/>
  <c r="F1409" i="1"/>
  <c r="F1386" i="1"/>
  <c r="F1387" i="1"/>
  <c r="F1388" i="1"/>
  <c r="G1388" i="1" s="1"/>
  <c r="F1389" i="1"/>
  <c r="F1390" i="1"/>
  <c r="G1390" i="1" s="1"/>
  <c r="F1391" i="1"/>
  <c r="F1392" i="1"/>
  <c r="G1392" i="1" s="1"/>
  <c r="F1393" i="1"/>
  <c r="F1394" i="1"/>
  <c r="F1395" i="1"/>
  <c r="F1396" i="1"/>
  <c r="G1396" i="1" s="1"/>
  <c r="F1397" i="1"/>
  <c r="F1398" i="1"/>
  <c r="F1380" i="1"/>
  <c r="F1381" i="1"/>
  <c r="G1381" i="1" s="1"/>
  <c r="F1382" i="1"/>
  <c r="F1383" i="1"/>
  <c r="F1384" i="1"/>
  <c r="F1385" i="1"/>
  <c r="G1385" i="1" s="1"/>
  <c r="F1379" i="1"/>
  <c r="F1362" i="1"/>
  <c r="F1363" i="1"/>
  <c r="F1364" i="1"/>
  <c r="G1364" i="1" s="1"/>
  <c r="F1365" i="1"/>
  <c r="F1366" i="1"/>
  <c r="F1367" i="1"/>
  <c r="F1368" i="1"/>
  <c r="G1368" i="1" s="1"/>
  <c r="F1369" i="1"/>
  <c r="F1370" i="1"/>
  <c r="F1371" i="1"/>
  <c r="F1372" i="1"/>
  <c r="G1372" i="1" s="1"/>
  <c r="F1373" i="1"/>
  <c r="F1374" i="1"/>
  <c r="F1375" i="1"/>
  <c r="F1376" i="1"/>
  <c r="G1376" i="1" s="1"/>
  <c r="F1377" i="1"/>
  <c r="F1378" i="1"/>
  <c r="F1349" i="1"/>
  <c r="F1350" i="1"/>
  <c r="G1350" i="1" s="1"/>
  <c r="F1351" i="1"/>
  <c r="F1352" i="1"/>
  <c r="F1353" i="1"/>
  <c r="F1354" i="1"/>
  <c r="G1354" i="1" s="1"/>
  <c r="F1355" i="1"/>
  <c r="F1356" i="1"/>
  <c r="F1357" i="1"/>
  <c r="F1358" i="1"/>
  <c r="G1358" i="1" s="1"/>
  <c r="F1359" i="1"/>
  <c r="F1360" i="1"/>
  <c r="F1361" i="1"/>
  <c r="F1333" i="1"/>
  <c r="G1333" i="1" s="1"/>
  <c r="F1334" i="1"/>
  <c r="F1335" i="1"/>
  <c r="F1336" i="1"/>
  <c r="F1337" i="1"/>
  <c r="G1337" i="1" s="1"/>
  <c r="F1338" i="1"/>
  <c r="F1339" i="1"/>
  <c r="F1340" i="1"/>
  <c r="F1341" i="1"/>
  <c r="G1341" i="1" s="1"/>
  <c r="F1342" i="1"/>
  <c r="F1343" i="1"/>
  <c r="F1344" i="1"/>
  <c r="F1345" i="1"/>
  <c r="G1345" i="1" s="1"/>
  <c r="F1346" i="1"/>
  <c r="F1347" i="1"/>
  <c r="F1348" i="1"/>
  <c r="F1321" i="1"/>
  <c r="G1321" i="1" s="1"/>
  <c r="F1322" i="1"/>
  <c r="F1323" i="1"/>
  <c r="F1324" i="1"/>
  <c r="F1325" i="1"/>
  <c r="G1325" i="1" s="1"/>
  <c r="F1326" i="1"/>
  <c r="F1327" i="1"/>
  <c r="F1328" i="1"/>
  <c r="F1329" i="1"/>
  <c r="G1329" i="1" s="1"/>
  <c r="F1330" i="1"/>
  <c r="F1331" i="1"/>
  <c r="F1332" i="1"/>
  <c r="F1315" i="1"/>
  <c r="G1315" i="1" s="1"/>
  <c r="F1316" i="1"/>
  <c r="F1317" i="1"/>
  <c r="F1318" i="1"/>
  <c r="F1319" i="1"/>
  <c r="G1319" i="1" s="1"/>
  <c r="F1320" i="1"/>
  <c r="F1306" i="1"/>
  <c r="F1307" i="1"/>
  <c r="F1308" i="1"/>
  <c r="G1308" i="1" s="1"/>
  <c r="F1309" i="1"/>
  <c r="F1310" i="1"/>
  <c r="F1311" i="1"/>
  <c r="F1312" i="1"/>
  <c r="G1312" i="1" s="1"/>
  <c r="F1313" i="1"/>
  <c r="F1314" i="1"/>
  <c r="F1292" i="1"/>
  <c r="F1293" i="1"/>
  <c r="G1293" i="1" s="1"/>
  <c r="F1294" i="1"/>
  <c r="F1295" i="1"/>
  <c r="F1296" i="1"/>
  <c r="F1297" i="1"/>
  <c r="G1297" i="1" s="1"/>
  <c r="F1298" i="1"/>
  <c r="F1299" i="1"/>
  <c r="F1300" i="1"/>
  <c r="F1301" i="1"/>
  <c r="G1301" i="1" s="1"/>
  <c r="F1302" i="1"/>
  <c r="F1303" i="1"/>
  <c r="F1304" i="1"/>
  <c r="F1305" i="1"/>
  <c r="G1305" i="1" s="1"/>
  <c r="F1285" i="1"/>
  <c r="F1286" i="1"/>
  <c r="F1287" i="1"/>
  <c r="F1288" i="1"/>
  <c r="G1288" i="1" s="1"/>
  <c r="F1289" i="1"/>
  <c r="F1290" i="1"/>
  <c r="F1291" i="1"/>
  <c r="F1276" i="1"/>
  <c r="G1276" i="1" s="1"/>
  <c r="F1277" i="1"/>
  <c r="F1278" i="1"/>
  <c r="F1279" i="1"/>
  <c r="F1280" i="1"/>
  <c r="G1280" i="1" s="1"/>
  <c r="F1281" i="1"/>
  <c r="F1282" i="1"/>
  <c r="F1283" i="1"/>
  <c r="F1284" i="1"/>
  <c r="G1284" i="1" s="1"/>
  <c r="F1267" i="1"/>
  <c r="F1268" i="1"/>
  <c r="F1269" i="1"/>
  <c r="F1270" i="1"/>
  <c r="G1270" i="1" s="1"/>
  <c r="F1271" i="1"/>
  <c r="F1272" i="1"/>
  <c r="F1273" i="1"/>
  <c r="F1274" i="1"/>
  <c r="G1274" i="1" s="1"/>
  <c r="F1275" i="1"/>
  <c r="F1248" i="1"/>
  <c r="F1249" i="1"/>
  <c r="F1250" i="1"/>
  <c r="G1250" i="1" s="1"/>
  <c r="F1251" i="1"/>
  <c r="F1252" i="1"/>
  <c r="F1253" i="1"/>
  <c r="F1254" i="1"/>
  <c r="G1254" i="1" s="1"/>
  <c r="F1255" i="1"/>
  <c r="F1256" i="1"/>
  <c r="F1257" i="1"/>
  <c r="F1258" i="1"/>
  <c r="G1258" i="1" s="1"/>
  <c r="F1259" i="1"/>
  <c r="F1260" i="1"/>
  <c r="F1261" i="1"/>
  <c r="F1262" i="1"/>
  <c r="G1262" i="1" s="1"/>
  <c r="F1263" i="1"/>
  <c r="F1264" i="1"/>
  <c r="F1265" i="1"/>
  <c r="F1266" i="1"/>
  <c r="G1266" i="1" s="1"/>
  <c r="F1218" i="1"/>
  <c r="F1219" i="1"/>
  <c r="F1220" i="1"/>
  <c r="F1221" i="1"/>
  <c r="G1221" i="1" s="1"/>
  <c r="F1222" i="1"/>
  <c r="F1223" i="1"/>
  <c r="F1224" i="1"/>
  <c r="F1225" i="1"/>
  <c r="G1225" i="1" s="1"/>
  <c r="F1226" i="1"/>
  <c r="F1227" i="1"/>
  <c r="F1228" i="1"/>
  <c r="F1229" i="1"/>
  <c r="G1229" i="1" s="1"/>
  <c r="F1230" i="1"/>
  <c r="F1231" i="1"/>
  <c r="F1232" i="1"/>
  <c r="F1233" i="1"/>
  <c r="G1233" i="1" s="1"/>
  <c r="F1234" i="1"/>
  <c r="F1235" i="1"/>
  <c r="F1236" i="1"/>
  <c r="F1237" i="1"/>
  <c r="G1237" i="1" s="1"/>
  <c r="F1238" i="1"/>
  <c r="F1239" i="1"/>
  <c r="F1240" i="1"/>
  <c r="F1241" i="1"/>
  <c r="G1241" i="1" s="1"/>
  <c r="F1242" i="1"/>
  <c r="F1243" i="1"/>
  <c r="F1244" i="1"/>
  <c r="F1245" i="1"/>
  <c r="G1245" i="1" s="1"/>
  <c r="F1246" i="1"/>
  <c r="F1247" i="1"/>
  <c r="F1207" i="1"/>
  <c r="F1208" i="1"/>
  <c r="G1208" i="1" s="1"/>
  <c r="F1209" i="1"/>
  <c r="F1210" i="1"/>
  <c r="F1211" i="1"/>
  <c r="F1212" i="1"/>
  <c r="G1212" i="1" s="1"/>
  <c r="F1213" i="1"/>
  <c r="F1214" i="1"/>
  <c r="F1215" i="1"/>
  <c r="F1216" i="1"/>
  <c r="G1216" i="1" s="1"/>
  <c r="F1217" i="1"/>
  <c r="F1170" i="1"/>
  <c r="F1171" i="1"/>
  <c r="F1172" i="1"/>
  <c r="G1172" i="1" s="1"/>
  <c r="F1173" i="1"/>
  <c r="F1174" i="1"/>
  <c r="F1175" i="1"/>
  <c r="F1176" i="1"/>
  <c r="G1176" i="1" s="1"/>
  <c r="F1177" i="1"/>
  <c r="F1178" i="1"/>
  <c r="F1179" i="1"/>
  <c r="F1180" i="1"/>
  <c r="G1180" i="1" s="1"/>
  <c r="F1181" i="1"/>
  <c r="F1182" i="1"/>
  <c r="F1183" i="1"/>
  <c r="F1184" i="1"/>
  <c r="G1184" i="1" s="1"/>
  <c r="F1185" i="1"/>
  <c r="F1186" i="1"/>
  <c r="F1187" i="1"/>
  <c r="F1188" i="1"/>
  <c r="G1188" i="1" s="1"/>
  <c r="F1189" i="1"/>
  <c r="F1190" i="1"/>
  <c r="F1191" i="1"/>
  <c r="F1192" i="1"/>
  <c r="G1192" i="1" s="1"/>
  <c r="F1193" i="1"/>
  <c r="F1194" i="1"/>
  <c r="F1195" i="1"/>
  <c r="F1196" i="1"/>
  <c r="G1196" i="1" s="1"/>
  <c r="F1197" i="1"/>
  <c r="F1198" i="1"/>
  <c r="F1199" i="1"/>
  <c r="F1200" i="1"/>
  <c r="G1200" i="1" s="1"/>
  <c r="F1201" i="1"/>
  <c r="F1202" i="1"/>
  <c r="F1203" i="1"/>
  <c r="F1204" i="1"/>
  <c r="G1204" i="1" s="1"/>
  <c r="F1205" i="1"/>
  <c r="F1206" i="1"/>
  <c r="F1165" i="1"/>
  <c r="F1166" i="1"/>
  <c r="G1166" i="1" s="1"/>
  <c r="F1167" i="1"/>
  <c r="F1168" i="1"/>
  <c r="F1169" i="1"/>
  <c r="F1148" i="1"/>
  <c r="G1148" i="1" s="1"/>
  <c r="F1149" i="1"/>
  <c r="F1150" i="1"/>
  <c r="F1151" i="1"/>
  <c r="F1152" i="1"/>
  <c r="G1152" i="1" s="1"/>
  <c r="F1153" i="1"/>
  <c r="F1154" i="1"/>
  <c r="F1155" i="1"/>
  <c r="F1156" i="1"/>
  <c r="G1156" i="1" s="1"/>
  <c r="F1157" i="1"/>
  <c r="F1158" i="1"/>
  <c r="F1159" i="1"/>
  <c r="F1160" i="1"/>
  <c r="G1160" i="1" s="1"/>
  <c r="F1161" i="1"/>
  <c r="F1162" i="1"/>
  <c r="F1163" i="1"/>
  <c r="F1164" i="1"/>
  <c r="G1164" i="1" s="1"/>
  <c r="F1146" i="1"/>
  <c r="F1147" i="1"/>
  <c r="F1125" i="1"/>
  <c r="F1126" i="1"/>
  <c r="G1126" i="1" s="1"/>
  <c r="F1127" i="1"/>
  <c r="F1128" i="1"/>
  <c r="F1129" i="1"/>
  <c r="F1130" i="1"/>
  <c r="G1130" i="1" s="1"/>
  <c r="F1131" i="1"/>
  <c r="F1132" i="1"/>
  <c r="F1133" i="1"/>
  <c r="F1134" i="1"/>
  <c r="G1134" i="1" s="1"/>
  <c r="F1135" i="1"/>
  <c r="F1136" i="1"/>
  <c r="F1137" i="1"/>
  <c r="F1138" i="1"/>
  <c r="G1138" i="1" s="1"/>
  <c r="F1139" i="1"/>
  <c r="F1140" i="1"/>
  <c r="F1141" i="1"/>
  <c r="F1142" i="1"/>
  <c r="G1142" i="1" s="1"/>
  <c r="F1143" i="1"/>
  <c r="F1144" i="1"/>
  <c r="F1145" i="1"/>
  <c r="F1117" i="1"/>
  <c r="F1118" i="1"/>
  <c r="F1119" i="1"/>
  <c r="F1120" i="1"/>
  <c r="F1121" i="1"/>
  <c r="F1122" i="1"/>
  <c r="F1123" i="1"/>
  <c r="F1124" i="1"/>
  <c r="F1114" i="1"/>
  <c r="F1115" i="1"/>
  <c r="F1116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069" i="1"/>
  <c r="F1070" i="1"/>
  <c r="F1071" i="1"/>
  <c r="F1072" i="1"/>
  <c r="F1073" i="1"/>
  <c r="F1062" i="1"/>
  <c r="F1063" i="1"/>
  <c r="F1064" i="1"/>
  <c r="F1065" i="1"/>
  <c r="F1066" i="1"/>
  <c r="F1067" i="1"/>
  <c r="F106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34" i="1"/>
  <c r="F1035" i="1"/>
  <c r="F1036" i="1"/>
  <c r="F1037" i="1"/>
  <c r="F1038" i="1"/>
  <c r="F1023" i="1"/>
  <c r="F1024" i="1"/>
  <c r="F1025" i="1"/>
  <c r="F1026" i="1"/>
  <c r="F1027" i="1"/>
  <c r="F1028" i="1"/>
  <c r="F1029" i="1"/>
  <c r="F1030" i="1"/>
  <c r="F1031" i="1"/>
  <c r="F1032" i="1"/>
  <c r="F1033" i="1"/>
  <c r="F1020" i="1"/>
  <c r="F1021" i="1"/>
  <c r="F1022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55" i="1"/>
  <c r="F956" i="1"/>
  <c r="F957" i="1"/>
  <c r="F958" i="1"/>
  <c r="F959" i="1"/>
  <c r="F960" i="1"/>
  <c r="F961" i="1"/>
  <c r="F962" i="1"/>
  <c r="F963" i="1"/>
  <c r="F947" i="1"/>
  <c r="F948" i="1"/>
  <c r="F949" i="1"/>
  <c r="F950" i="1"/>
  <c r="F951" i="1"/>
  <c r="F952" i="1"/>
  <c r="F953" i="1"/>
  <c r="F954" i="1"/>
  <c r="F936" i="1"/>
  <c r="F937" i="1"/>
  <c r="F938" i="1"/>
  <c r="F939" i="1"/>
  <c r="F940" i="1"/>
  <c r="F941" i="1"/>
  <c r="F942" i="1"/>
  <c r="F943" i="1"/>
  <c r="F944" i="1"/>
  <c r="F945" i="1"/>
  <c r="F946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13" i="1"/>
  <c r="F914" i="1"/>
  <c r="F915" i="1"/>
  <c r="F916" i="1"/>
  <c r="F917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66" i="1"/>
  <c r="F867" i="1"/>
  <c r="F857" i="1"/>
  <c r="F858" i="1"/>
  <c r="F859" i="1"/>
  <c r="F860" i="1"/>
  <c r="F861" i="1"/>
  <c r="F862" i="1"/>
  <c r="F863" i="1"/>
  <c r="F864" i="1"/>
  <c r="F865" i="1"/>
  <c r="F851" i="1"/>
  <c r="F852" i="1"/>
  <c r="F853" i="1"/>
  <c r="F854" i="1"/>
  <c r="F855" i="1"/>
  <c r="F856" i="1"/>
  <c r="F843" i="1"/>
  <c r="F844" i="1"/>
  <c r="F845" i="1"/>
  <c r="F846" i="1"/>
  <c r="F847" i="1"/>
  <c r="F848" i="1"/>
  <c r="F849" i="1"/>
  <c r="F850" i="1"/>
  <c r="F840" i="1"/>
  <c r="F841" i="1"/>
  <c r="F842" i="1"/>
  <c r="F829" i="1"/>
  <c r="F830" i="1"/>
  <c r="F831" i="1"/>
  <c r="F832" i="1"/>
  <c r="F833" i="1"/>
  <c r="F834" i="1"/>
  <c r="F835" i="1"/>
  <c r="F836" i="1"/>
  <c r="F837" i="1"/>
  <c r="F838" i="1"/>
  <c r="F839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782" i="1"/>
  <c r="F783" i="1"/>
  <c r="F784" i="1"/>
  <c r="F785" i="1"/>
  <c r="F786" i="1"/>
  <c r="F78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52" i="1"/>
  <c r="F753" i="1"/>
  <c r="F754" i="1"/>
  <c r="F755" i="1"/>
  <c r="F756" i="1"/>
  <c r="F757" i="1"/>
  <c r="F742" i="1"/>
  <c r="F743" i="1"/>
  <c r="F744" i="1"/>
  <c r="F745" i="1"/>
  <c r="F746" i="1"/>
  <c r="F747" i="1"/>
  <c r="F748" i="1"/>
  <c r="F749" i="1"/>
  <c r="F750" i="1"/>
  <c r="F751" i="1"/>
  <c r="F740" i="1"/>
  <c r="F741" i="1"/>
  <c r="F729" i="1"/>
  <c r="F730" i="1"/>
  <c r="F731" i="1"/>
  <c r="F732" i="1"/>
  <c r="F733" i="1"/>
  <c r="F734" i="1"/>
  <c r="F735" i="1"/>
  <c r="F736" i="1"/>
  <c r="F737" i="1"/>
  <c r="F738" i="1"/>
  <c r="F739" i="1"/>
  <c r="F722" i="1"/>
  <c r="F723" i="1"/>
  <c r="F724" i="1"/>
  <c r="F725" i="1"/>
  <c r="F726" i="1"/>
  <c r="F727" i="1"/>
  <c r="F728" i="1"/>
  <c r="F716" i="1"/>
  <c r="F717" i="1"/>
  <c r="F718" i="1"/>
  <c r="F719" i="1"/>
  <c r="F720" i="1"/>
  <c r="F721" i="1"/>
  <c r="F715" i="1"/>
  <c r="F708" i="1"/>
  <c r="F709" i="1"/>
  <c r="F710" i="1"/>
  <c r="F711" i="1"/>
  <c r="F712" i="1"/>
  <c r="F713" i="1"/>
  <c r="F714" i="1"/>
  <c r="F700" i="1"/>
  <c r="F701" i="1"/>
  <c r="F702" i="1"/>
  <c r="F703" i="1"/>
  <c r="F704" i="1"/>
  <c r="F705" i="1"/>
  <c r="F706" i="1"/>
  <c r="F707" i="1"/>
  <c r="F698" i="1"/>
  <c r="F699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72" i="1"/>
  <c r="F673" i="1"/>
  <c r="F674" i="1"/>
  <c r="F669" i="1"/>
  <c r="F670" i="1"/>
  <c r="F671" i="1"/>
  <c r="F660" i="1"/>
  <c r="F661" i="1"/>
  <c r="F662" i="1"/>
  <c r="F663" i="1"/>
  <c r="F664" i="1"/>
  <c r="F665" i="1"/>
  <c r="F666" i="1"/>
  <c r="F667" i="1"/>
  <c r="F668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G655" i="1" s="1"/>
  <c r="F656" i="1"/>
  <c r="F657" i="1"/>
  <c r="G657" i="1" s="1"/>
  <c r="F658" i="1"/>
  <c r="F659" i="1"/>
  <c r="G659" i="1" s="1"/>
  <c r="F634" i="1"/>
  <c r="F635" i="1"/>
  <c r="G635" i="1" s="1"/>
  <c r="F636" i="1"/>
  <c r="F637" i="1"/>
  <c r="G637" i="1" s="1"/>
  <c r="F638" i="1"/>
  <c r="F639" i="1"/>
  <c r="G639" i="1" s="1"/>
  <c r="F640" i="1"/>
  <c r="F641" i="1"/>
  <c r="G641" i="1" s="1"/>
  <c r="F623" i="1"/>
  <c r="F624" i="1"/>
  <c r="G624" i="1" s="1"/>
  <c r="F625" i="1"/>
  <c r="F626" i="1"/>
  <c r="G626" i="1" s="1"/>
  <c r="F627" i="1"/>
  <c r="F628" i="1"/>
  <c r="G628" i="1" s="1"/>
  <c r="F629" i="1"/>
  <c r="F630" i="1"/>
  <c r="G630" i="1" s="1"/>
  <c r="F631" i="1"/>
  <c r="F632" i="1"/>
  <c r="G632" i="1" s="1"/>
  <c r="F633" i="1"/>
  <c r="F617" i="1"/>
  <c r="G617" i="1" s="1"/>
  <c r="F618" i="1"/>
  <c r="F619" i="1"/>
  <c r="G619" i="1" s="1"/>
  <c r="F620" i="1"/>
  <c r="F621" i="1"/>
  <c r="G621" i="1" s="1"/>
  <c r="F622" i="1"/>
  <c r="F612" i="1"/>
  <c r="G612" i="1" s="1"/>
  <c r="F613" i="1"/>
  <c r="F614" i="1"/>
  <c r="G614" i="1" s="1"/>
  <c r="F615" i="1"/>
  <c r="F616" i="1"/>
  <c r="G616" i="1" s="1"/>
  <c r="F603" i="1"/>
  <c r="F604" i="1"/>
  <c r="G604" i="1" s="1"/>
  <c r="F605" i="1"/>
  <c r="F606" i="1"/>
  <c r="G606" i="1" s="1"/>
  <c r="F607" i="1"/>
  <c r="F608" i="1"/>
  <c r="G608" i="1" s="1"/>
  <c r="F609" i="1"/>
  <c r="F610" i="1"/>
  <c r="G610" i="1" s="1"/>
  <c r="F611" i="1"/>
  <c r="F590" i="1"/>
  <c r="G590" i="1" s="1"/>
  <c r="F591" i="1"/>
  <c r="F592" i="1"/>
  <c r="G592" i="1" s="1"/>
  <c r="F593" i="1"/>
  <c r="F594" i="1"/>
  <c r="G594" i="1" s="1"/>
  <c r="F595" i="1"/>
  <c r="F596" i="1"/>
  <c r="G596" i="1" s="1"/>
  <c r="F597" i="1"/>
  <c r="F598" i="1"/>
  <c r="G598" i="1" s="1"/>
  <c r="F599" i="1"/>
  <c r="F600" i="1"/>
  <c r="G600" i="1" s="1"/>
  <c r="F601" i="1"/>
  <c r="F602" i="1"/>
  <c r="G602" i="1" s="1"/>
  <c r="F553" i="1"/>
  <c r="F554" i="1"/>
  <c r="G554" i="1" s="1"/>
  <c r="F555" i="1"/>
  <c r="F556" i="1"/>
  <c r="G556" i="1" s="1"/>
  <c r="F557" i="1"/>
  <c r="F558" i="1"/>
  <c r="G558" i="1" s="1"/>
  <c r="F559" i="1"/>
  <c r="F560" i="1"/>
  <c r="G560" i="1" s="1"/>
  <c r="F561" i="1"/>
  <c r="F562" i="1"/>
  <c r="G562" i="1" s="1"/>
  <c r="F563" i="1"/>
  <c r="F564" i="1"/>
  <c r="G564" i="1" s="1"/>
  <c r="F565" i="1"/>
  <c r="F566" i="1"/>
  <c r="G566" i="1" s="1"/>
  <c r="F567" i="1"/>
  <c r="F568" i="1"/>
  <c r="G568" i="1" s="1"/>
  <c r="F569" i="1"/>
  <c r="F570" i="1"/>
  <c r="G570" i="1" s="1"/>
  <c r="F571" i="1"/>
  <c r="F572" i="1"/>
  <c r="G572" i="1" s="1"/>
  <c r="F573" i="1"/>
  <c r="F574" i="1"/>
  <c r="G574" i="1" s="1"/>
  <c r="F575" i="1"/>
  <c r="F576" i="1"/>
  <c r="G576" i="1" s="1"/>
  <c r="F577" i="1"/>
  <c r="F578" i="1"/>
  <c r="G578" i="1" s="1"/>
  <c r="F579" i="1"/>
  <c r="F580" i="1"/>
  <c r="G580" i="1" s="1"/>
  <c r="F581" i="1"/>
  <c r="F582" i="1"/>
  <c r="G582" i="1" s="1"/>
  <c r="F583" i="1"/>
  <c r="F584" i="1"/>
  <c r="G584" i="1" s="1"/>
  <c r="F585" i="1"/>
  <c r="F586" i="1"/>
  <c r="G586" i="1" s="1"/>
  <c r="F587" i="1"/>
  <c r="F588" i="1"/>
  <c r="G588" i="1" s="1"/>
  <c r="F589" i="1"/>
  <c r="F548" i="1"/>
  <c r="G548" i="1" s="1"/>
  <c r="F549" i="1"/>
  <c r="F550" i="1"/>
  <c r="G550" i="1" s="1"/>
  <c r="F551" i="1"/>
  <c r="F552" i="1"/>
  <c r="G552" i="1" s="1"/>
  <c r="F532" i="1"/>
  <c r="F533" i="1"/>
  <c r="G533" i="1" s="1"/>
  <c r="F534" i="1"/>
  <c r="F535" i="1"/>
  <c r="G535" i="1" s="1"/>
  <c r="F536" i="1"/>
  <c r="F537" i="1"/>
  <c r="G537" i="1" s="1"/>
  <c r="F538" i="1"/>
  <c r="F539" i="1"/>
  <c r="G539" i="1" s="1"/>
  <c r="F540" i="1"/>
  <c r="F541" i="1"/>
  <c r="G541" i="1" s="1"/>
  <c r="F542" i="1"/>
  <c r="F543" i="1"/>
  <c r="G543" i="1" s="1"/>
  <c r="F544" i="1"/>
  <c r="F545" i="1"/>
  <c r="G545" i="1" s="1"/>
  <c r="F546" i="1"/>
  <c r="F547" i="1"/>
  <c r="G547" i="1" s="1"/>
  <c r="F480" i="1"/>
  <c r="F481" i="1"/>
  <c r="G481" i="1" s="1"/>
  <c r="F482" i="1"/>
  <c r="F483" i="1"/>
  <c r="G483" i="1" s="1"/>
  <c r="F484" i="1"/>
  <c r="F485" i="1"/>
  <c r="G485" i="1" s="1"/>
  <c r="F486" i="1"/>
  <c r="F487" i="1"/>
  <c r="G487" i="1" s="1"/>
  <c r="F488" i="1"/>
  <c r="F489" i="1"/>
  <c r="G489" i="1" s="1"/>
  <c r="F490" i="1"/>
  <c r="F491" i="1"/>
  <c r="G491" i="1" s="1"/>
  <c r="F492" i="1"/>
  <c r="F493" i="1"/>
  <c r="G493" i="1" s="1"/>
  <c r="F494" i="1"/>
  <c r="F495" i="1"/>
  <c r="G495" i="1" s="1"/>
  <c r="F496" i="1"/>
  <c r="F497" i="1"/>
  <c r="G497" i="1" s="1"/>
  <c r="F498" i="1"/>
  <c r="F499" i="1"/>
  <c r="G499" i="1" s="1"/>
  <c r="F500" i="1"/>
  <c r="F501" i="1"/>
  <c r="G501" i="1" s="1"/>
  <c r="F502" i="1"/>
  <c r="F503" i="1"/>
  <c r="G503" i="1" s="1"/>
  <c r="F504" i="1"/>
  <c r="F505" i="1"/>
  <c r="G505" i="1" s="1"/>
  <c r="F506" i="1"/>
  <c r="F507" i="1"/>
  <c r="G507" i="1" s="1"/>
  <c r="F508" i="1"/>
  <c r="F509" i="1"/>
  <c r="G509" i="1" s="1"/>
  <c r="F510" i="1"/>
  <c r="F511" i="1"/>
  <c r="G511" i="1" s="1"/>
  <c r="F512" i="1"/>
  <c r="F513" i="1"/>
  <c r="G513" i="1" s="1"/>
  <c r="F514" i="1"/>
  <c r="F515" i="1"/>
  <c r="G515" i="1" s="1"/>
  <c r="F516" i="1"/>
  <c r="F517" i="1"/>
  <c r="G517" i="1" s="1"/>
  <c r="F518" i="1"/>
  <c r="F519" i="1"/>
  <c r="G519" i="1" s="1"/>
  <c r="F520" i="1"/>
  <c r="F521" i="1"/>
  <c r="G521" i="1" s="1"/>
  <c r="F522" i="1"/>
  <c r="F523" i="1"/>
  <c r="G523" i="1" s="1"/>
  <c r="F524" i="1"/>
  <c r="F525" i="1"/>
  <c r="G525" i="1" s="1"/>
  <c r="F526" i="1"/>
  <c r="F527" i="1"/>
  <c r="G527" i="1" s="1"/>
  <c r="F528" i="1"/>
  <c r="F529" i="1"/>
  <c r="G529" i="1" s="1"/>
  <c r="F530" i="1"/>
  <c r="F531" i="1"/>
  <c r="G531" i="1" s="1"/>
  <c r="F471" i="1"/>
  <c r="F472" i="1"/>
  <c r="G472" i="1" s="1"/>
  <c r="F473" i="1"/>
  <c r="F474" i="1"/>
  <c r="G474" i="1" s="1"/>
  <c r="F475" i="1"/>
  <c r="F476" i="1"/>
  <c r="G476" i="1" s="1"/>
  <c r="F477" i="1"/>
  <c r="F478" i="1"/>
  <c r="G478" i="1" s="1"/>
  <c r="F479" i="1"/>
  <c r="F469" i="1"/>
  <c r="G469" i="1" s="1"/>
  <c r="F470" i="1"/>
  <c r="F468" i="1"/>
  <c r="G468" i="1" s="1"/>
  <c r="F466" i="1"/>
  <c r="F467" i="1"/>
  <c r="G467" i="1" s="1"/>
  <c r="F465" i="1"/>
  <c r="F463" i="1"/>
  <c r="G463" i="1" s="1"/>
  <c r="F464" i="1"/>
  <c r="F456" i="1"/>
  <c r="G456" i="1" s="1"/>
  <c r="F457" i="1"/>
  <c r="F458" i="1"/>
  <c r="G458" i="1" s="1"/>
  <c r="F459" i="1"/>
  <c r="F460" i="1"/>
  <c r="G460" i="1" s="1"/>
  <c r="F461" i="1"/>
  <c r="F462" i="1"/>
  <c r="G462" i="1" s="1"/>
  <c r="F444" i="1"/>
  <c r="F445" i="1"/>
  <c r="G445" i="1" s="1"/>
  <c r="F446" i="1"/>
  <c r="F447" i="1"/>
  <c r="G447" i="1" s="1"/>
  <c r="F448" i="1"/>
  <c r="F449" i="1"/>
  <c r="G449" i="1" s="1"/>
  <c r="F450" i="1"/>
  <c r="F451" i="1"/>
  <c r="G451" i="1" s="1"/>
  <c r="F452" i="1"/>
  <c r="F453" i="1"/>
  <c r="G453" i="1" s="1"/>
  <c r="F454" i="1"/>
  <c r="F455" i="1"/>
  <c r="G455" i="1" s="1"/>
  <c r="F437" i="1"/>
  <c r="F438" i="1"/>
  <c r="G438" i="1" s="1"/>
  <c r="F439" i="1"/>
  <c r="F440" i="1"/>
  <c r="G440" i="1" s="1"/>
  <c r="F441" i="1"/>
  <c r="F442" i="1"/>
  <c r="G442" i="1" s="1"/>
  <c r="F443" i="1"/>
  <c r="F436" i="1"/>
  <c r="G436" i="1" s="1"/>
  <c r="F428" i="1"/>
  <c r="F429" i="1"/>
  <c r="G429" i="1" s="1"/>
  <c r="F430" i="1"/>
  <c r="F431" i="1"/>
  <c r="G431" i="1" s="1"/>
  <c r="F432" i="1"/>
  <c r="F433" i="1"/>
  <c r="G433" i="1" s="1"/>
  <c r="F434" i="1"/>
  <c r="F435" i="1"/>
  <c r="G435" i="1" s="1"/>
  <c r="F424" i="1"/>
  <c r="F425" i="1"/>
  <c r="G425" i="1" s="1"/>
  <c r="F426" i="1"/>
  <c r="F427" i="1"/>
  <c r="G427" i="1" s="1"/>
  <c r="F421" i="1"/>
  <c r="F422" i="1"/>
  <c r="G422" i="1" s="1"/>
  <c r="F423" i="1"/>
  <c r="F417" i="1"/>
  <c r="G417" i="1" s="1"/>
  <c r="F418" i="1"/>
  <c r="F419" i="1"/>
  <c r="G419" i="1" s="1"/>
  <c r="F420" i="1"/>
  <c r="F411" i="1"/>
  <c r="G411" i="1" s="1"/>
  <c r="F412" i="1"/>
  <c r="F413" i="1"/>
  <c r="G413" i="1" s="1"/>
  <c r="F414" i="1"/>
  <c r="F415" i="1"/>
  <c r="G415" i="1" s="1"/>
  <c r="F416" i="1"/>
  <c r="F410" i="1"/>
  <c r="G410" i="1" s="1"/>
  <c r="F397" i="1"/>
  <c r="F398" i="1"/>
  <c r="G398" i="1" s="1"/>
  <c r="F399" i="1"/>
  <c r="F400" i="1"/>
  <c r="G400" i="1" s="1"/>
  <c r="F401" i="1"/>
  <c r="F402" i="1"/>
  <c r="G402" i="1" s="1"/>
  <c r="F403" i="1"/>
  <c r="F404" i="1"/>
  <c r="G404" i="1" s="1"/>
  <c r="F405" i="1"/>
  <c r="F406" i="1"/>
  <c r="G406" i="1" s="1"/>
  <c r="F407" i="1"/>
  <c r="F408" i="1"/>
  <c r="G408" i="1" s="1"/>
  <c r="F409" i="1"/>
  <c r="F396" i="1"/>
  <c r="G396" i="1" s="1"/>
  <c r="F393" i="1"/>
  <c r="F394" i="1"/>
  <c r="G394" i="1" s="1"/>
  <c r="F395" i="1"/>
  <c r="F375" i="1"/>
  <c r="G375" i="1" s="1"/>
  <c r="F376" i="1"/>
  <c r="F377" i="1"/>
  <c r="G377" i="1" s="1"/>
  <c r="F378" i="1"/>
  <c r="F379" i="1"/>
  <c r="G379" i="1" s="1"/>
  <c r="F380" i="1"/>
  <c r="F381" i="1"/>
  <c r="G381" i="1" s="1"/>
  <c r="F382" i="1"/>
  <c r="F383" i="1"/>
  <c r="G383" i="1" s="1"/>
  <c r="F384" i="1"/>
  <c r="F385" i="1"/>
  <c r="G385" i="1" s="1"/>
  <c r="F386" i="1"/>
  <c r="F387" i="1"/>
  <c r="G387" i="1" s="1"/>
  <c r="F388" i="1"/>
  <c r="F389" i="1"/>
  <c r="G389" i="1" s="1"/>
  <c r="F390" i="1"/>
  <c r="F391" i="1"/>
  <c r="G391" i="1" s="1"/>
  <c r="F392" i="1"/>
  <c r="F373" i="1"/>
  <c r="G373" i="1" s="1"/>
  <c r="F374" i="1"/>
  <c r="F356" i="1"/>
  <c r="G356" i="1" s="1"/>
  <c r="F357" i="1"/>
  <c r="F358" i="1"/>
  <c r="G358" i="1" s="1"/>
  <c r="F359" i="1"/>
  <c r="F360" i="1"/>
  <c r="G360" i="1" s="1"/>
  <c r="F361" i="1"/>
  <c r="F362" i="1"/>
  <c r="G362" i="1" s="1"/>
  <c r="F363" i="1"/>
  <c r="F364" i="1"/>
  <c r="G364" i="1" s="1"/>
  <c r="F365" i="1"/>
  <c r="F366" i="1"/>
  <c r="G366" i="1" s="1"/>
  <c r="F367" i="1"/>
  <c r="F368" i="1"/>
  <c r="G368" i="1" s="1"/>
  <c r="F369" i="1"/>
  <c r="F370" i="1"/>
  <c r="G370" i="1" s="1"/>
  <c r="F371" i="1"/>
  <c r="F372" i="1"/>
  <c r="G372" i="1" s="1"/>
  <c r="F349" i="1"/>
  <c r="F350" i="1"/>
  <c r="G350" i="1" s="1"/>
  <c r="F351" i="1"/>
  <c r="F352" i="1"/>
  <c r="G352" i="1" s="1"/>
  <c r="F353" i="1"/>
  <c r="F354" i="1"/>
  <c r="G354" i="1" s="1"/>
  <c r="F355" i="1"/>
  <c r="F344" i="1"/>
  <c r="G344" i="1" s="1"/>
  <c r="F345" i="1"/>
  <c r="F346" i="1"/>
  <c r="G346" i="1" s="1"/>
  <c r="F347" i="1"/>
  <c r="F348" i="1"/>
  <c r="G348" i="1" s="1"/>
  <c r="F318" i="1"/>
  <c r="F319" i="1"/>
  <c r="G319" i="1" s="1"/>
  <c r="F320" i="1"/>
  <c r="F321" i="1"/>
  <c r="G321" i="1" s="1"/>
  <c r="F322" i="1"/>
  <c r="F323" i="1"/>
  <c r="G323" i="1" s="1"/>
  <c r="F324" i="1"/>
  <c r="F325" i="1"/>
  <c r="G325" i="1" s="1"/>
  <c r="F326" i="1"/>
  <c r="F327" i="1"/>
  <c r="G327" i="1" s="1"/>
  <c r="F328" i="1"/>
  <c r="F329" i="1"/>
  <c r="G329" i="1" s="1"/>
  <c r="F330" i="1"/>
  <c r="F331" i="1"/>
  <c r="G331" i="1" s="1"/>
  <c r="F332" i="1"/>
  <c r="F333" i="1"/>
  <c r="G333" i="1" s="1"/>
  <c r="F334" i="1"/>
  <c r="F335" i="1"/>
  <c r="G335" i="1" s="1"/>
  <c r="F336" i="1"/>
  <c r="F337" i="1"/>
  <c r="G337" i="1" s="1"/>
  <c r="F338" i="1"/>
  <c r="F339" i="1"/>
  <c r="G339" i="1" s="1"/>
  <c r="F340" i="1"/>
  <c r="F341" i="1"/>
  <c r="G341" i="1" s="1"/>
  <c r="F342" i="1"/>
  <c r="F343" i="1"/>
  <c r="G343" i="1" s="1"/>
  <c r="F316" i="1"/>
  <c r="F317" i="1"/>
  <c r="G317" i="1" s="1"/>
  <c r="F300" i="1"/>
  <c r="F301" i="1"/>
  <c r="G301" i="1" s="1"/>
  <c r="F302" i="1"/>
  <c r="F303" i="1"/>
  <c r="G303" i="1" s="1"/>
  <c r="F304" i="1"/>
  <c r="F305" i="1"/>
  <c r="G305" i="1" s="1"/>
  <c r="F306" i="1"/>
  <c r="F307" i="1"/>
  <c r="G307" i="1" s="1"/>
  <c r="F308" i="1"/>
  <c r="F309" i="1"/>
  <c r="G309" i="1" s="1"/>
  <c r="F310" i="1"/>
  <c r="F311" i="1"/>
  <c r="G311" i="1" s="1"/>
  <c r="F312" i="1"/>
  <c r="F313" i="1"/>
  <c r="G313" i="1" s="1"/>
  <c r="F314" i="1"/>
  <c r="F315" i="1"/>
  <c r="G315" i="1" s="1"/>
  <c r="F298" i="1"/>
  <c r="F299" i="1"/>
  <c r="G299" i="1" s="1"/>
  <c r="F292" i="1"/>
  <c r="F293" i="1"/>
  <c r="G293" i="1" s="1"/>
  <c r="F294" i="1"/>
  <c r="F295" i="1"/>
  <c r="G295" i="1" s="1"/>
  <c r="F296" i="1"/>
  <c r="F297" i="1"/>
  <c r="G297" i="1" s="1"/>
  <c r="F290" i="1"/>
  <c r="F291" i="1"/>
  <c r="G291" i="1" s="1"/>
  <c r="F284" i="1"/>
  <c r="F285" i="1"/>
  <c r="G285" i="1" s="1"/>
  <c r="F286" i="1"/>
  <c r="F287" i="1"/>
  <c r="G287" i="1" s="1"/>
  <c r="F288" i="1"/>
  <c r="F289" i="1"/>
  <c r="G289" i="1" s="1"/>
  <c r="F283" i="1"/>
  <c r="F271" i="1"/>
  <c r="G271" i="1" s="1"/>
  <c r="F272" i="1"/>
  <c r="F273" i="1"/>
  <c r="G273" i="1" s="1"/>
  <c r="F274" i="1"/>
  <c r="F275" i="1"/>
  <c r="G275" i="1" s="1"/>
  <c r="F276" i="1"/>
  <c r="F277" i="1"/>
  <c r="G277" i="1" s="1"/>
  <c r="F278" i="1"/>
  <c r="F279" i="1"/>
  <c r="G279" i="1" s="1"/>
  <c r="F280" i="1"/>
  <c r="F281" i="1"/>
  <c r="G281" i="1" s="1"/>
  <c r="F282" i="1"/>
  <c r="F263" i="1"/>
  <c r="G263" i="1" s="1"/>
  <c r="F264" i="1"/>
  <c r="F265" i="1"/>
  <c r="G265" i="1" s="1"/>
  <c r="F266" i="1"/>
  <c r="F267" i="1"/>
  <c r="G267" i="1" s="1"/>
  <c r="F268" i="1"/>
  <c r="F269" i="1"/>
  <c r="G269" i="1" s="1"/>
  <c r="F270" i="1"/>
  <c r="F247" i="1"/>
  <c r="G247" i="1" s="1"/>
  <c r="F248" i="1"/>
  <c r="F249" i="1"/>
  <c r="G249" i="1" s="1"/>
  <c r="F250" i="1"/>
  <c r="F251" i="1"/>
  <c r="G251" i="1" s="1"/>
  <c r="F252" i="1"/>
  <c r="F253" i="1"/>
  <c r="G253" i="1" s="1"/>
  <c r="F254" i="1"/>
  <c r="F255" i="1"/>
  <c r="G255" i="1" s="1"/>
  <c r="F256" i="1"/>
  <c r="F257" i="1"/>
  <c r="G257" i="1" s="1"/>
  <c r="F258" i="1"/>
  <c r="F259" i="1"/>
  <c r="G259" i="1" s="1"/>
  <c r="F260" i="1"/>
  <c r="F261" i="1"/>
  <c r="G261" i="1" s="1"/>
  <c r="F262" i="1"/>
  <c r="F241" i="1"/>
  <c r="G241" i="1" s="1"/>
  <c r="F242" i="1"/>
  <c r="F243" i="1"/>
  <c r="G243" i="1" s="1"/>
  <c r="F244" i="1"/>
  <c r="F245" i="1"/>
  <c r="G245" i="1" s="1"/>
  <c r="F246" i="1"/>
  <c r="F229" i="1"/>
  <c r="G229" i="1" s="1"/>
  <c r="F230" i="1"/>
  <c r="F231" i="1"/>
  <c r="G231" i="1" s="1"/>
  <c r="F232" i="1"/>
  <c r="F233" i="1"/>
  <c r="G233" i="1" s="1"/>
  <c r="F234" i="1"/>
  <c r="F235" i="1"/>
  <c r="G235" i="1" s="1"/>
  <c r="F236" i="1"/>
  <c r="F237" i="1"/>
  <c r="G237" i="1" s="1"/>
  <c r="F238" i="1"/>
  <c r="F239" i="1"/>
  <c r="G239" i="1" s="1"/>
  <c r="F240" i="1"/>
  <c r="F222" i="1"/>
  <c r="G222" i="1" s="1"/>
  <c r="F223" i="1"/>
  <c r="F224" i="1"/>
  <c r="G224" i="1" s="1"/>
  <c r="F225" i="1"/>
  <c r="F226" i="1"/>
  <c r="G226" i="1" s="1"/>
  <c r="F227" i="1"/>
  <c r="F228" i="1"/>
  <c r="G228" i="1" s="1"/>
  <c r="F220" i="1"/>
  <c r="F221" i="1"/>
  <c r="G221" i="1" s="1"/>
  <c r="F211" i="1"/>
  <c r="F212" i="1"/>
  <c r="G212" i="1" s="1"/>
  <c r="F213" i="1"/>
  <c r="F214" i="1"/>
  <c r="G214" i="1" s="1"/>
  <c r="F215" i="1"/>
  <c r="F216" i="1"/>
  <c r="G216" i="1" s="1"/>
  <c r="F217" i="1"/>
  <c r="F218" i="1"/>
  <c r="G218" i="1" s="1"/>
  <c r="F219" i="1"/>
  <c r="F201" i="1"/>
  <c r="G201" i="1" s="1"/>
  <c r="F202" i="1"/>
  <c r="F203" i="1"/>
  <c r="G203" i="1" s="1"/>
  <c r="F204" i="1"/>
  <c r="F205" i="1"/>
  <c r="G205" i="1" s="1"/>
  <c r="F206" i="1"/>
  <c r="F207" i="1"/>
  <c r="G207" i="1" s="1"/>
  <c r="F208" i="1"/>
  <c r="F209" i="1"/>
  <c r="G209" i="1" s="1"/>
  <c r="F210" i="1"/>
  <c r="F180" i="1"/>
  <c r="G180" i="1" s="1"/>
  <c r="F181" i="1"/>
  <c r="F182" i="1"/>
  <c r="G182" i="1" s="1"/>
  <c r="F183" i="1"/>
  <c r="F184" i="1"/>
  <c r="G184" i="1" s="1"/>
  <c r="F185" i="1"/>
  <c r="F186" i="1"/>
  <c r="G186" i="1" s="1"/>
  <c r="F187" i="1"/>
  <c r="F188" i="1"/>
  <c r="G188" i="1" s="1"/>
  <c r="F189" i="1"/>
  <c r="F190" i="1"/>
  <c r="G190" i="1" s="1"/>
  <c r="F191" i="1"/>
  <c r="F192" i="1"/>
  <c r="G192" i="1" s="1"/>
  <c r="F193" i="1"/>
  <c r="F194" i="1"/>
  <c r="G194" i="1" s="1"/>
  <c r="F195" i="1"/>
  <c r="F196" i="1"/>
  <c r="G196" i="1" s="1"/>
  <c r="F197" i="1"/>
  <c r="F198" i="1"/>
  <c r="G198" i="1" s="1"/>
  <c r="F199" i="1"/>
  <c r="F200" i="1"/>
  <c r="G200" i="1" s="1"/>
  <c r="F178" i="1"/>
  <c r="F179" i="1"/>
  <c r="G179" i="1" s="1"/>
  <c r="F162" i="1"/>
  <c r="F163" i="1"/>
  <c r="G163" i="1" s="1"/>
  <c r="F164" i="1"/>
  <c r="F165" i="1"/>
  <c r="G165" i="1" s="1"/>
  <c r="F166" i="1"/>
  <c r="F167" i="1"/>
  <c r="G167" i="1" s="1"/>
  <c r="F168" i="1"/>
  <c r="F169" i="1"/>
  <c r="G169" i="1" s="1"/>
  <c r="F170" i="1"/>
  <c r="F171" i="1"/>
  <c r="G171" i="1" s="1"/>
  <c r="F172" i="1"/>
  <c r="F173" i="1"/>
  <c r="G173" i="1" s="1"/>
  <c r="F174" i="1"/>
  <c r="F175" i="1"/>
  <c r="G175" i="1" s="1"/>
  <c r="F176" i="1"/>
  <c r="F177" i="1"/>
  <c r="G177" i="1" s="1"/>
  <c r="F143" i="1"/>
  <c r="F144" i="1"/>
  <c r="G144" i="1" s="1"/>
  <c r="F145" i="1"/>
  <c r="F146" i="1"/>
  <c r="G146" i="1" s="1"/>
  <c r="F147" i="1"/>
  <c r="F148" i="1"/>
  <c r="G148" i="1" s="1"/>
  <c r="F149" i="1"/>
  <c r="F150" i="1"/>
  <c r="G150" i="1" s="1"/>
  <c r="F151" i="1"/>
  <c r="F152" i="1"/>
  <c r="G152" i="1" s="1"/>
  <c r="F153" i="1"/>
  <c r="F154" i="1"/>
  <c r="G154" i="1" s="1"/>
  <c r="F155" i="1"/>
  <c r="F156" i="1"/>
  <c r="G156" i="1" s="1"/>
  <c r="F157" i="1"/>
  <c r="F158" i="1"/>
  <c r="G158" i="1" s="1"/>
  <c r="F159" i="1"/>
  <c r="F160" i="1"/>
  <c r="G160" i="1" s="1"/>
  <c r="F161" i="1"/>
  <c r="F135" i="1"/>
  <c r="G135" i="1" s="1"/>
  <c r="F136" i="1"/>
  <c r="F137" i="1"/>
  <c r="G137" i="1" s="1"/>
  <c r="F138" i="1"/>
  <c r="F139" i="1"/>
  <c r="G139" i="1" s="1"/>
  <c r="F140" i="1"/>
  <c r="F141" i="1"/>
  <c r="G141" i="1" s="1"/>
  <c r="F142" i="1"/>
  <c r="F120" i="1"/>
  <c r="G120" i="1" s="1"/>
  <c r="F121" i="1"/>
  <c r="F122" i="1"/>
  <c r="G122" i="1" s="1"/>
  <c r="F123" i="1"/>
  <c r="F124" i="1"/>
  <c r="G124" i="1" s="1"/>
  <c r="F125" i="1"/>
  <c r="F126" i="1"/>
  <c r="G126" i="1" s="1"/>
  <c r="F127" i="1"/>
  <c r="F128" i="1"/>
  <c r="G128" i="1" s="1"/>
  <c r="F129" i="1"/>
  <c r="F130" i="1"/>
  <c r="G130" i="1" s="1"/>
  <c r="F131" i="1"/>
  <c r="F132" i="1"/>
  <c r="G132" i="1" s="1"/>
  <c r="F133" i="1"/>
  <c r="F134" i="1"/>
  <c r="G134" i="1" s="1"/>
  <c r="F119" i="1"/>
  <c r="F101" i="1"/>
  <c r="G101" i="1" s="1"/>
  <c r="F102" i="1"/>
  <c r="F103" i="1"/>
  <c r="G103" i="1" s="1"/>
  <c r="F104" i="1"/>
  <c r="F105" i="1"/>
  <c r="G105" i="1" s="1"/>
  <c r="F106" i="1"/>
  <c r="F107" i="1"/>
  <c r="G107" i="1" s="1"/>
  <c r="F108" i="1"/>
  <c r="F109" i="1"/>
  <c r="G109" i="1" s="1"/>
  <c r="F110" i="1"/>
  <c r="F111" i="1"/>
  <c r="G111" i="1" s="1"/>
  <c r="F112" i="1"/>
  <c r="F113" i="1"/>
  <c r="G113" i="1" s="1"/>
  <c r="F114" i="1"/>
  <c r="F115" i="1"/>
  <c r="G115" i="1" s="1"/>
  <c r="F116" i="1"/>
  <c r="F117" i="1"/>
  <c r="G117" i="1" s="1"/>
  <c r="F118" i="1"/>
  <c r="F88" i="1"/>
  <c r="G88" i="1" s="1"/>
  <c r="F89" i="1"/>
  <c r="F90" i="1"/>
  <c r="G90" i="1" s="1"/>
  <c r="F91" i="1"/>
  <c r="F92" i="1"/>
  <c r="G92" i="1" s="1"/>
  <c r="F93" i="1"/>
  <c r="F94" i="1"/>
  <c r="G94" i="1" s="1"/>
  <c r="F95" i="1"/>
  <c r="F96" i="1"/>
  <c r="G96" i="1" s="1"/>
  <c r="F97" i="1"/>
  <c r="F98" i="1"/>
  <c r="G98" i="1" s="1"/>
  <c r="F99" i="1"/>
  <c r="F100" i="1"/>
  <c r="G100" i="1" s="1"/>
  <c r="F81" i="1"/>
  <c r="F82" i="1"/>
  <c r="G82" i="1" s="1"/>
  <c r="F83" i="1"/>
  <c r="F84" i="1"/>
  <c r="G84" i="1" s="1"/>
  <c r="F85" i="1"/>
  <c r="F86" i="1"/>
  <c r="G86" i="1" s="1"/>
  <c r="F87" i="1"/>
  <c r="F44" i="1"/>
  <c r="G44" i="1" s="1"/>
  <c r="F45" i="1"/>
  <c r="F46" i="1"/>
  <c r="G46" i="1" s="1"/>
  <c r="F47" i="1"/>
  <c r="F48" i="1"/>
  <c r="G48" i="1" s="1"/>
  <c r="F49" i="1"/>
  <c r="F50" i="1"/>
  <c r="G50" i="1" s="1"/>
  <c r="F51" i="1"/>
  <c r="F52" i="1"/>
  <c r="G52" i="1" s="1"/>
  <c r="F53" i="1"/>
  <c r="F54" i="1"/>
  <c r="G54" i="1" s="1"/>
  <c r="F55" i="1"/>
  <c r="F56" i="1"/>
  <c r="G56" i="1" s="1"/>
  <c r="F57" i="1"/>
  <c r="F58" i="1"/>
  <c r="G58" i="1" s="1"/>
  <c r="F59" i="1"/>
  <c r="F60" i="1"/>
  <c r="G60" i="1" s="1"/>
  <c r="F61" i="1"/>
  <c r="F62" i="1"/>
  <c r="G62" i="1" s="1"/>
  <c r="F63" i="1"/>
  <c r="F64" i="1"/>
  <c r="G64" i="1" s="1"/>
  <c r="F65" i="1"/>
  <c r="F66" i="1"/>
  <c r="G66" i="1" s="1"/>
  <c r="F67" i="1"/>
  <c r="F68" i="1"/>
  <c r="G68" i="1" s="1"/>
  <c r="F69" i="1"/>
  <c r="F70" i="1"/>
  <c r="G70" i="1" s="1"/>
  <c r="F71" i="1"/>
  <c r="F72" i="1"/>
  <c r="G72" i="1" s="1"/>
  <c r="F73" i="1"/>
  <c r="F74" i="1"/>
  <c r="G74" i="1" s="1"/>
  <c r="F75" i="1"/>
  <c r="F76" i="1"/>
  <c r="G76" i="1" s="1"/>
  <c r="F77" i="1"/>
  <c r="F78" i="1"/>
  <c r="G78" i="1" s="1"/>
  <c r="F79" i="1"/>
  <c r="F80" i="1"/>
  <c r="G80" i="1" s="1"/>
  <c r="F43" i="1"/>
  <c r="F21" i="1"/>
  <c r="G21" i="1" s="1"/>
  <c r="F22" i="1"/>
  <c r="F23" i="1"/>
  <c r="G23" i="1" s="1"/>
  <c r="F24" i="1"/>
  <c r="F25" i="1"/>
  <c r="G25" i="1" s="1"/>
  <c r="F26" i="1"/>
  <c r="F27" i="1"/>
  <c r="G27" i="1" s="1"/>
  <c r="F28" i="1"/>
  <c r="F29" i="1"/>
  <c r="G29" i="1" s="1"/>
  <c r="F30" i="1"/>
  <c r="F31" i="1"/>
  <c r="G31" i="1" s="1"/>
  <c r="F32" i="1"/>
  <c r="F33" i="1"/>
  <c r="G33" i="1" s="1"/>
  <c r="F34" i="1"/>
  <c r="F35" i="1"/>
  <c r="G35" i="1" s="1"/>
  <c r="F36" i="1"/>
  <c r="F37" i="1"/>
  <c r="G37" i="1" s="1"/>
  <c r="F38" i="1"/>
  <c r="F39" i="1"/>
  <c r="G39" i="1" s="1"/>
  <c r="F40" i="1"/>
  <c r="F41" i="1"/>
  <c r="G41" i="1" s="1"/>
  <c r="F42" i="1"/>
  <c r="F7" i="1"/>
  <c r="G7" i="1" s="1"/>
  <c r="F8" i="1"/>
  <c r="F9" i="1"/>
  <c r="G9" i="1" s="1"/>
  <c r="F10" i="1"/>
  <c r="F11" i="1"/>
  <c r="G11" i="1" s="1"/>
  <c r="F12" i="1"/>
  <c r="F13" i="1"/>
  <c r="G13" i="1" s="1"/>
  <c r="F14" i="1"/>
  <c r="F15" i="1"/>
  <c r="G15" i="1" s="1"/>
  <c r="F16" i="1"/>
  <c r="F17" i="1"/>
  <c r="G17" i="1" s="1"/>
  <c r="F18" i="1"/>
  <c r="F19" i="1"/>
  <c r="G19" i="1" s="1"/>
  <c r="F20" i="1"/>
  <c r="F2" i="1"/>
  <c r="G2" i="1" s="1"/>
  <c r="F3" i="1"/>
  <c r="F4" i="1"/>
  <c r="G4" i="1" s="1"/>
  <c r="F5" i="1"/>
  <c r="F6" i="1"/>
  <c r="G6" i="1" s="1"/>
  <c r="F4818" i="1"/>
  <c r="D4812" i="1"/>
  <c r="D4813" i="1"/>
  <c r="D4814" i="1"/>
  <c r="D4815" i="1"/>
  <c r="D4816" i="1"/>
  <c r="D4817" i="1"/>
  <c r="D4807" i="1"/>
  <c r="D4808" i="1"/>
  <c r="D4809" i="1"/>
  <c r="D4810" i="1"/>
  <c r="D4811" i="1"/>
  <c r="D4805" i="1"/>
  <c r="D4806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784" i="1"/>
  <c r="D4785" i="1"/>
  <c r="D4777" i="1"/>
  <c r="D4778" i="1"/>
  <c r="D4779" i="1"/>
  <c r="D4780" i="1"/>
  <c r="D4781" i="1"/>
  <c r="D4782" i="1"/>
  <c r="D4783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51" i="1"/>
  <c r="D4752" i="1"/>
  <c r="D4753" i="1"/>
  <c r="D4754" i="1"/>
  <c r="D4755" i="1"/>
  <c r="D4756" i="1"/>
  <c r="D4757" i="1"/>
  <c r="D4758" i="1"/>
  <c r="D4759" i="1"/>
  <c r="D4745" i="1"/>
  <c r="D4746" i="1"/>
  <c r="D4747" i="1"/>
  <c r="D4748" i="1"/>
  <c r="D4749" i="1"/>
  <c r="D4750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26" i="1"/>
  <c r="D4727" i="1"/>
  <c r="D4728" i="1"/>
  <c r="D4729" i="1"/>
  <c r="D4730" i="1"/>
  <c r="D4731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689" i="1"/>
  <c r="D4690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53" i="1"/>
  <c r="D4654" i="1"/>
  <c r="D4655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33" i="1"/>
  <c r="D4634" i="1"/>
  <c r="D4635" i="1"/>
  <c r="D4636" i="1"/>
  <c r="D4637" i="1"/>
  <c r="D463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15" i="1"/>
  <c r="D4616" i="1"/>
  <c r="D4617" i="1"/>
  <c r="D4618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581" i="1"/>
  <c r="D4582" i="1"/>
  <c r="D4583" i="1"/>
  <c r="D4584" i="1"/>
  <c r="D4585" i="1"/>
  <c r="D4586" i="1"/>
  <c r="D4587" i="1"/>
  <c r="D4570" i="1"/>
  <c r="D4571" i="1"/>
  <c r="D4572" i="1"/>
  <c r="D4573" i="1"/>
  <c r="D4574" i="1"/>
  <c r="D4575" i="1"/>
  <c r="D4576" i="1"/>
  <c r="D4577" i="1"/>
  <c r="D4578" i="1"/>
  <c r="D4579" i="1"/>
  <c r="D4580" i="1"/>
  <c r="D4565" i="1"/>
  <c r="D4566" i="1"/>
  <c r="D4567" i="1"/>
  <c r="D4568" i="1"/>
  <c r="D4569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35" i="1"/>
  <c r="D4536" i="1"/>
  <c r="D4537" i="1"/>
  <c r="D4538" i="1"/>
  <c r="D4539" i="1"/>
  <c r="D4540" i="1"/>
  <c r="D4541" i="1"/>
  <c r="D4542" i="1"/>
  <c r="D4528" i="1"/>
  <c r="D4529" i="1"/>
  <c r="D4530" i="1"/>
  <c r="D4531" i="1"/>
  <c r="D4532" i="1"/>
  <c r="D4533" i="1"/>
  <c r="D4534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488" i="1"/>
  <c r="D4489" i="1"/>
  <c r="D4490" i="1"/>
  <c r="D4491" i="1"/>
  <c r="D4492" i="1"/>
  <c r="D4493" i="1"/>
  <c r="D4494" i="1"/>
  <c r="D449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44" i="1"/>
  <c r="D4445" i="1"/>
  <c r="D4446" i="1"/>
  <c r="D4447" i="1"/>
  <c r="D4448" i="1"/>
  <c r="D4449" i="1"/>
  <c r="D4450" i="1"/>
  <c r="D4451" i="1"/>
  <c r="D4435" i="1"/>
  <c r="D4436" i="1"/>
  <c r="D4437" i="1"/>
  <c r="D4438" i="1"/>
  <c r="D4439" i="1"/>
  <c r="D4440" i="1"/>
  <c r="D4441" i="1"/>
  <c r="D4442" i="1"/>
  <c r="D4443" i="1"/>
  <c r="D4432" i="1"/>
  <c r="D4433" i="1"/>
  <c r="D4434" i="1"/>
  <c r="D4422" i="1"/>
  <c r="D4423" i="1"/>
  <c r="D4424" i="1"/>
  <c r="D4425" i="1"/>
  <c r="D4426" i="1"/>
  <c r="D4427" i="1"/>
  <c r="D4428" i="1"/>
  <c r="D4429" i="1"/>
  <c r="D4430" i="1"/>
  <c r="D4431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366" i="1"/>
  <c r="D4367" i="1"/>
  <c r="D4368" i="1"/>
  <c r="D4369" i="1"/>
  <c r="D4370" i="1"/>
  <c r="D4371" i="1"/>
  <c r="D4372" i="1"/>
  <c r="D4373" i="1"/>
  <c r="D4374" i="1"/>
  <c r="D4375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32" i="1"/>
  <c r="D4333" i="1"/>
  <c r="D4334" i="1"/>
  <c r="D4335" i="1"/>
  <c r="D4336" i="1"/>
  <c r="D4337" i="1"/>
  <c r="D4338" i="1"/>
  <c r="D433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23" i="1"/>
  <c r="D4224" i="1"/>
  <c r="D4225" i="1"/>
  <c r="D4226" i="1"/>
  <c r="D4227" i="1"/>
  <c r="D4228" i="1"/>
  <c r="D4229" i="1"/>
  <c r="D4230" i="1"/>
  <c r="D4231" i="1"/>
  <c r="D4232" i="1"/>
  <c r="D4233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01" i="1"/>
  <c r="D4191" i="1"/>
  <c r="D4192" i="1"/>
  <c r="D4193" i="1"/>
  <c r="D4194" i="1"/>
  <c r="D4195" i="1"/>
  <c r="D4196" i="1"/>
  <c r="D4197" i="1"/>
  <c r="D4198" i="1"/>
  <c r="D4199" i="1"/>
  <c r="D4200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45" i="1"/>
  <c r="D4146" i="1"/>
  <c r="D4147" i="1"/>
  <c r="D4148" i="1"/>
  <c r="D4149" i="1"/>
  <c r="D4150" i="1"/>
  <c r="D4151" i="1"/>
  <c r="D4152" i="1"/>
  <c r="D4153" i="1"/>
  <c r="D4154" i="1"/>
  <c r="D4138" i="1"/>
  <c r="D4139" i="1"/>
  <c r="D4140" i="1"/>
  <c r="D4141" i="1"/>
  <c r="D4142" i="1"/>
  <c r="D4143" i="1"/>
  <c r="D4144" i="1"/>
  <c r="D4128" i="1"/>
  <c r="D4129" i="1"/>
  <c r="D4130" i="1"/>
  <c r="D4131" i="1"/>
  <c r="D4132" i="1"/>
  <c r="D4133" i="1"/>
  <c r="D4134" i="1"/>
  <c r="D4135" i="1"/>
  <c r="D4136" i="1"/>
  <c r="D4137" i="1"/>
  <c r="D4126" i="1"/>
  <c r="D4127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41" i="1"/>
  <c r="D4042" i="1"/>
  <c r="D4043" i="1"/>
  <c r="D4044" i="1"/>
  <c r="D4045" i="1"/>
  <c r="D4046" i="1"/>
  <c r="D4047" i="1"/>
  <c r="D4048" i="1"/>
  <c r="D4039" i="1"/>
  <c r="D4040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00" i="1"/>
  <c r="D4001" i="1"/>
  <c r="D3995" i="1"/>
  <c r="D3996" i="1"/>
  <c r="D3997" i="1"/>
  <c r="D3998" i="1"/>
  <c r="D3999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41" i="1"/>
  <c r="D3942" i="1"/>
  <c r="D3943" i="1"/>
  <c r="D3944" i="1"/>
  <c r="D3945" i="1"/>
  <c r="D3938" i="1"/>
  <c r="D3939" i="1"/>
  <c r="D3940" i="1"/>
  <c r="D3929" i="1"/>
  <c r="D3930" i="1"/>
  <c r="D3931" i="1"/>
  <c r="D3932" i="1"/>
  <c r="D3933" i="1"/>
  <c r="D3934" i="1"/>
  <c r="D3935" i="1"/>
  <c r="D3936" i="1"/>
  <c r="D3937" i="1"/>
  <c r="D3921" i="1"/>
  <c r="D3922" i="1"/>
  <c r="D3923" i="1"/>
  <c r="D3924" i="1"/>
  <c r="D3925" i="1"/>
  <c r="D3926" i="1"/>
  <c r="D3927" i="1"/>
  <c r="D3928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893" i="1"/>
  <c r="D3894" i="1"/>
  <c r="D3895" i="1"/>
  <c r="D3896" i="1"/>
  <c r="D3897" i="1"/>
  <c r="D3898" i="1"/>
  <c r="D3899" i="1"/>
  <c r="D3900" i="1"/>
  <c r="D3901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79" i="1"/>
  <c r="D3876" i="1"/>
  <c r="D3877" i="1"/>
  <c r="D3878" i="1"/>
  <c r="D3870" i="1"/>
  <c r="D3871" i="1"/>
  <c r="D3872" i="1"/>
  <c r="D3873" i="1"/>
  <c r="D3874" i="1"/>
  <c r="D3875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14" i="1"/>
  <c r="D3815" i="1"/>
  <c r="D3816" i="1"/>
  <c r="D3817" i="1"/>
  <c r="D3818" i="1"/>
  <c r="D3819" i="1"/>
  <c r="D3820" i="1"/>
  <c r="D3821" i="1"/>
  <c r="D3809" i="1"/>
  <c r="D3810" i="1"/>
  <c r="D3811" i="1"/>
  <c r="D3812" i="1"/>
  <c r="D3813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755" i="1"/>
  <c r="D3756" i="1"/>
  <c r="D3757" i="1"/>
  <c r="D3758" i="1"/>
  <c r="D3753" i="1"/>
  <c r="D3754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32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645" i="1"/>
  <c r="D3646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592" i="1"/>
  <c r="D3588" i="1"/>
  <c r="D3589" i="1"/>
  <c r="D3590" i="1"/>
  <c r="D3591" i="1"/>
  <c r="D3581" i="1"/>
  <c r="D3582" i="1"/>
  <c r="D3583" i="1"/>
  <c r="D3584" i="1"/>
  <c r="D3585" i="1"/>
  <c r="D3586" i="1"/>
  <c r="D3587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60" i="1"/>
  <c r="D3561" i="1"/>
  <c r="D3562" i="1"/>
  <c r="D3563" i="1"/>
  <c r="D3564" i="1"/>
  <c r="D3565" i="1"/>
  <c r="D3566" i="1"/>
  <c r="D3567" i="1"/>
  <c r="D3568" i="1"/>
  <c r="D3552" i="1"/>
  <c r="D3553" i="1"/>
  <c r="D3554" i="1"/>
  <c r="D3555" i="1"/>
  <c r="D3556" i="1"/>
  <c r="D3557" i="1"/>
  <c r="D3558" i="1"/>
  <c r="D3559" i="1"/>
  <c r="D3551" i="1"/>
  <c r="D3540" i="1"/>
  <c r="D3541" i="1"/>
  <c r="D3542" i="1"/>
  <c r="D3543" i="1"/>
  <c r="D3544" i="1"/>
  <c r="D3545" i="1"/>
  <c r="D3546" i="1"/>
  <c r="D3547" i="1"/>
  <c r="D3548" i="1"/>
  <c r="D3549" i="1"/>
  <c r="D355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20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497" i="1"/>
  <c r="D3498" i="1"/>
  <c r="D3499" i="1"/>
  <c r="D3500" i="1"/>
  <c r="D3501" i="1"/>
  <c r="D3502" i="1"/>
  <c r="D3503" i="1"/>
  <c r="D3504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23" i="1"/>
  <c r="D3424" i="1"/>
  <c r="D3421" i="1"/>
  <c r="D3422" i="1"/>
  <c r="D3419" i="1"/>
  <c r="D3420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19" i="1"/>
  <c r="D3320" i="1"/>
  <c r="D3321" i="1"/>
  <c r="D3322" i="1"/>
  <c r="D3323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255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15" i="1"/>
  <c r="D3116" i="1"/>
  <c r="D3117" i="1"/>
  <c r="D3118" i="1"/>
  <c r="D3119" i="1"/>
  <c r="D3120" i="1"/>
  <c r="D3121" i="1"/>
  <c r="D3122" i="1"/>
  <c r="D3123" i="1"/>
  <c r="D3106" i="1"/>
  <c r="D3107" i="1"/>
  <c r="D3108" i="1"/>
  <c r="D3109" i="1"/>
  <c r="D3110" i="1"/>
  <c r="D3111" i="1"/>
  <c r="D3112" i="1"/>
  <c r="D3113" i="1"/>
  <c r="D3114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080" i="1"/>
  <c r="D3081" i="1"/>
  <c r="D3075" i="1"/>
  <c r="D3076" i="1"/>
  <c r="D3077" i="1"/>
  <c r="D3078" i="1"/>
  <c r="D3079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35" i="1"/>
  <c r="D3036" i="1"/>
  <c r="D3037" i="1"/>
  <c r="D3038" i="1"/>
  <c r="D3039" i="1"/>
  <c r="D3040" i="1"/>
  <c r="D3041" i="1"/>
  <c r="D3042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02" i="1"/>
  <c r="D3003" i="1"/>
  <c r="D3004" i="1"/>
  <c r="D2993" i="1"/>
  <c r="D2994" i="1"/>
  <c r="D2995" i="1"/>
  <c r="D2996" i="1"/>
  <c r="D2997" i="1"/>
  <c r="D2998" i="1"/>
  <c r="D2999" i="1"/>
  <c r="D3000" i="1"/>
  <c r="D3001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892" i="1"/>
  <c r="D2893" i="1"/>
  <c r="D2882" i="1"/>
  <c r="D2883" i="1"/>
  <c r="D2884" i="1"/>
  <c r="D2885" i="1"/>
  <c r="D2886" i="1"/>
  <c r="D2887" i="1"/>
  <c r="D2888" i="1"/>
  <c r="D2889" i="1"/>
  <c r="D2890" i="1"/>
  <c r="D2891" i="1"/>
  <c r="D2879" i="1"/>
  <c r="D2880" i="1"/>
  <c r="D2881" i="1"/>
  <c r="D2878" i="1"/>
  <c r="D2872" i="1"/>
  <c r="D2873" i="1"/>
  <c r="D2874" i="1"/>
  <c r="D2875" i="1"/>
  <c r="D2876" i="1"/>
  <c r="D2877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40" i="1"/>
  <c r="D2841" i="1"/>
  <c r="D2842" i="1"/>
  <c r="D2843" i="1"/>
  <c r="D2844" i="1"/>
  <c r="D2845" i="1"/>
  <c r="D2832" i="1"/>
  <c r="D2833" i="1"/>
  <c r="D2834" i="1"/>
  <c r="D2835" i="1"/>
  <c r="D2836" i="1"/>
  <c r="D2837" i="1"/>
  <c r="D2838" i="1"/>
  <c r="D2839" i="1"/>
  <c r="D2824" i="1"/>
  <c r="D2825" i="1"/>
  <c r="D2826" i="1"/>
  <c r="D2827" i="1"/>
  <c r="D2828" i="1"/>
  <c r="D2829" i="1"/>
  <c r="D2830" i="1"/>
  <c r="D2831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59" i="1"/>
  <c r="D2760" i="1"/>
  <c r="D2761" i="1"/>
  <c r="D2762" i="1"/>
  <c r="D2763" i="1"/>
  <c r="D2764" i="1"/>
  <c r="D2765" i="1"/>
  <c r="D2766" i="1"/>
  <c r="D2748" i="1"/>
  <c r="D2749" i="1"/>
  <c r="D2750" i="1"/>
  <c r="D2751" i="1"/>
  <c r="D2752" i="1"/>
  <c r="D2753" i="1"/>
  <c r="D2754" i="1"/>
  <c r="D2755" i="1"/>
  <c r="D2756" i="1"/>
  <c r="D2757" i="1"/>
  <c r="D2758" i="1"/>
  <c r="D2744" i="1"/>
  <c r="D2745" i="1"/>
  <c r="D2746" i="1"/>
  <c r="D2747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12" i="1"/>
  <c r="D2713" i="1"/>
  <c r="D2714" i="1"/>
  <c r="D2715" i="1"/>
  <c r="D2716" i="1"/>
  <c r="D2717" i="1"/>
  <c r="D2718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07" i="1"/>
  <c r="D2608" i="1"/>
  <c r="D2609" i="1"/>
  <c r="D2605" i="1"/>
  <c r="D2606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588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36" i="1"/>
  <c r="D2537" i="1"/>
  <c r="D2538" i="1"/>
  <c r="D2539" i="1"/>
  <c r="D2540" i="1"/>
  <c r="D2541" i="1"/>
  <c r="D2542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474" i="1"/>
  <c r="D2475" i="1"/>
  <c r="D2476" i="1"/>
  <c r="D2477" i="1"/>
  <c r="D2478" i="1"/>
  <c r="D2479" i="1"/>
  <c r="D2472" i="1"/>
  <c r="D2473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58" i="1"/>
  <c r="D2447" i="1"/>
  <c r="D2448" i="1"/>
  <c r="D2449" i="1"/>
  <c r="D2450" i="1"/>
  <c r="D2451" i="1"/>
  <c r="D2452" i="1"/>
  <c r="D2453" i="1"/>
  <c r="D2454" i="1"/>
  <c r="D2455" i="1"/>
  <c r="D2456" i="1"/>
  <c r="D2457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393" i="1"/>
  <c r="D2394" i="1"/>
  <c r="D2395" i="1"/>
  <c r="D2396" i="1"/>
  <c r="D2397" i="1"/>
  <c r="D2398" i="1"/>
  <c r="D2399" i="1"/>
  <c r="D2400" i="1"/>
  <c r="D2401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74" i="1"/>
  <c r="D2375" i="1"/>
  <c r="D2376" i="1"/>
  <c r="D2377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44" i="1"/>
  <c r="D2345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26" i="1"/>
  <c r="D2327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291" i="1"/>
  <c r="D2292" i="1"/>
  <c r="D2293" i="1"/>
  <c r="D2294" i="1"/>
  <c r="D2295" i="1"/>
  <c r="D2296" i="1"/>
  <c r="D2297" i="1"/>
  <c r="D2298" i="1"/>
  <c r="D2299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32" i="1"/>
  <c r="D2233" i="1"/>
  <c r="D2234" i="1"/>
  <c r="D223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181" i="1"/>
  <c r="D2182" i="1"/>
  <c r="D2183" i="1"/>
  <c r="D2184" i="1"/>
  <c r="D2185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28" i="1"/>
  <c r="D2129" i="1"/>
  <c r="D2130" i="1"/>
  <c r="D2131" i="1"/>
  <c r="D2132" i="1"/>
  <c r="D2133" i="1"/>
  <c r="D2134" i="1"/>
  <c r="D2135" i="1"/>
  <c r="D2136" i="1"/>
  <c r="D2127" i="1"/>
  <c r="D2125" i="1"/>
  <c r="D2126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71" i="1"/>
  <c r="D2072" i="1"/>
  <c r="D2073" i="1"/>
  <c r="D2065" i="1"/>
  <c r="D2066" i="1"/>
  <c r="D2067" i="1"/>
  <c r="D2068" i="1"/>
  <c r="D2069" i="1"/>
  <c r="D2070" i="1"/>
  <c r="D2057" i="1"/>
  <c r="D2058" i="1"/>
  <c r="D2059" i="1"/>
  <c r="D2060" i="1"/>
  <c r="D2061" i="1"/>
  <c r="D2062" i="1"/>
  <c r="D2063" i="1"/>
  <c r="D2064" i="1"/>
  <c r="D2055" i="1"/>
  <c r="D205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1990" i="1"/>
  <c r="D1991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33" i="1"/>
  <c r="D1834" i="1"/>
  <c r="D1835" i="1"/>
  <c r="D1836" i="1"/>
  <c r="D1829" i="1"/>
  <c r="D1830" i="1"/>
  <c r="D1831" i="1"/>
  <c r="D1832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07" i="1"/>
  <c r="D1808" i="1"/>
  <c r="D1809" i="1"/>
  <c r="D1810" i="1"/>
  <c r="D1811" i="1"/>
  <c r="D1812" i="1"/>
  <c r="D1813" i="1"/>
  <c r="D1806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780" i="1"/>
  <c r="D1781" i="1"/>
  <c r="D1782" i="1"/>
  <c r="D1783" i="1"/>
  <c r="D1784" i="1"/>
  <c r="D1777" i="1"/>
  <c r="D1778" i="1"/>
  <c r="D1779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4818" i="1"/>
  <c r="D1650" i="1"/>
  <c r="C4" i="5"/>
  <c r="G1117" i="1" l="1"/>
  <c r="G1630" i="1"/>
  <c r="G1121" i="1"/>
  <c r="K29" i="3"/>
  <c r="G1114" i="1"/>
  <c r="G1075" i="1"/>
  <c r="G1079" i="1"/>
  <c r="G1083" i="1"/>
  <c r="G1087" i="1"/>
  <c r="G1091" i="1"/>
  <c r="G1095" i="1"/>
  <c r="G1099" i="1"/>
  <c r="G1103" i="1"/>
  <c r="G1107" i="1"/>
  <c r="G1111" i="1"/>
  <c r="G1070" i="1"/>
  <c r="G1062" i="1"/>
  <c r="G1066" i="1"/>
  <c r="G1040" i="1"/>
  <c r="G1044" i="1"/>
  <c r="G1046" i="1"/>
  <c r="G1048" i="1"/>
  <c r="G1052" i="1"/>
  <c r="G1054" i="1"/>
  <c r="G1056" i="1"/>
  <c r="G1060" i="1"/>
  <c r="G1034" i="1"/>
  <c r="G1036" i="1"/>
  <c r="G1024" i="1"/>
  <c r="G1651" i="1"/>
  <c r="G1653" i="1"/>
  <c r="G1655" i="1"/>
  <c r="G1659" i="1"/>
  <c r="G1661" i="1"/>
  <c r="G1663" i="1"/>
  <c r="G1667" i="1"/>
  <c r="G1669" i="1"/>
  <c r="G1671" i="1"/>
  <c r="G1675" i="1"/>
  <c r="G1677" i="1"/>
  <c r="G1679" i="1"/>
  <c r="G1683" i="1"/>
  <c r="G1685" i="1"/>
  <c r="G1687" i="1"/>
  <c r="G1691" i="1"/>
  <c r="G1693" i="1"/>
  <c r="G1695" i="1"/>
  <c r="G1699" i="1"/>
  <c r="G1701" i="1"/>
  <c r="G1703" i="1"/>
  <c r="G1707" i="1"/>
  <c r="G1709" i="1"/>
  <c r="G1711" i="1"/>
  <c r="G1715" i="1"/>
  <c r="G1717" i="1"/>
  <c r="G1647" i="1"/>
  <c r="G1644" i="1"/>
  <c r="G1646" i="1"/>
  <c r="G1626" i="1"/>
  <c r="G1026" i="1"/>
  <c r="G1028" i="1"/>
  <c r="G1032" i="1"/>
  <c r="G1020" i="1"/>
  <c r="G1022" i="1"/>
  <c r="G1000" i="1"/>
  <c r="G1002" i="1"/>
  <c r="G1004" i="1"/>
  <c r="G1008" i="1"/>
  <c r="G1010" i="1"/>
  <c r="G1012" i="1"/>
  <c r="G1016" i="1"/>
  <c r="G1018" i="1"/>
  <c r="G978" i="1"/>
  <c r="G982" i="1"/>
  <c r="G984" i="1"/>
  <c r="G986" i="1"/>
  <c r="G990" i="1"/>
  <c r="G992" i="1"/>
  <c r="G994" i="1"/>
  <c r="G965" i="1"/>
  <c r="G967" i="1"/>
  <c r="G969" i="1"/>
  <c r="G973" i="1"/>
  <c r="G975" i="1"/>
  <c r="G977" i="1"/>
  <c r="G958" i="1"/>
  <c r="G960" i="1"/>
  <c r="G962" i="1"/>
  <c r="G949" i="1"/>
  <c r="G951" i="1"/>
  <c r="G953" i="1"/>
  <c r="G938" i="1"/>
  <c r="G940" i="1"/>
  <c r="G942" i="1"/>
  <c r="G946" i="1"/>
  <c r="G919" i="1"/>
  <c r="G921" i="1"/>
  <c r="G925" i="1"/>
  <c r="G927" i="1"/>
  <c r="G929" i="1"/>
  <c r="G933" i="1"/>
  <c r="G935" i="1"/>
  <c r="G914" i="1"/>
  <c r="G897" i="1"/>
  <c r="G899" i="1"/>
  <c r="G901" i="1"/>
  <c r="G905" i="1"/>
  <c r="G907" i="1"/>
  <c r="G909" i="1"/>
  <c r="G868" i="1"/>
  <c r="G870" i="1"/>
  <c r="G872" i="1"/>
  <c r="G876" i="1"/>
  <c r="G878" i="1"/>
  <c r="G880" i="1"/>
  <c r="G884" i="1"/>
  <c r="G886" i="1"/>
  <c r="G888" i="1"/>
  <c r="G892" i="1"/>
  <c r="G894" i="1"/>
  <c r="G896" i="1"/>
  <c r="G858" i="1"/>
  <c r="G860" i="1"/>
  <c r="G862" i="1"/>
  <c r="G851" i="1"/>
  <c r="G853" i="1"/>
  <c r="G855" i="1"/>
  <c r="G845" i="1"/>
  <c r="G847" i="1"/>
  <c r="G849" i="1"/>
  <c r="G842" i="1"/>
  <c r="G830" i="1"/>
  <c r="G832" i="1"/>
  <c r="G836" i="1"/>
  <c r="G838" i="1"/>
  <c r="G811" i="1"/>
  <c r="G815" i="1"/>
  <c r="G817" i="1"/>
  <c r="G819" i="1"/>
  <c r="G823" i="1"/>
  <c r="G825" i="1"/>
  <c r="G827" i="1"/>
  <c r="G790" i="1"/>
  <c r="G792" i="1"/>
  <c r="G794" i="1"/>
  <c r="G798" i="1"/>
  <c r="G800" i="1"/>
  <c r="G802" i="1"/>
  <c r="G806" i="1"/>
  <c r="G808" i="1"/>
  <c r="G810" i="1"/>
  <c r="G785" i="1"/>
  <c r="G787" i="1"/>
  <c r="G759" i="1"/>
  <c r="G763" i="1"/>
  <c r="G765" i="1"/>
  <c r="G767" i="1"/>
  <c r="G771" i="1"/>
  <c r="G773" i="1"/>
  <c r="G775" i="1"/>
  <c r="G779" i="1"/>
  <c r="G781" i="1"/>
  <c r="G753" i="1"/>
  <c r="G757" i="1"/>
  <c r="G743" i="1"/>
  <c r="G745" i="1"/>
  <c r="G749" i="1"/>
  <c r="G751" i="1"/>
  <c r="G741" i="1"/>
  <c r="G732" i="1"/>
  <c r="G734" i="1"/>
  <c r="G736" i="1"/>
  <c r="G722" i="1"/>
  <c r="G724" i="1"/>
  <c r="G726" i="1"/>
  <c r="G717" i="1"/>
  <c r="G719" i="1"/>
  <c r="G721" i="1"/>
  <c r="G710" i="1"/>
  <c r="G712" i="1"/>
  <c r="G714" i="1"/>
  <c r="G701" i="1"/>
  <c r="G703" i="1"/>
  <c r="G705" i="1"/>
  <c r="G707" i="1"/>
  <c r="G699" i="1"/>
  <c r="G676" i="1"/>
  <c r="G678" i="1"/>
  <c r="G680" i="1"/>
  <c r="G682" i="1"/>
  <c r="G684" i="1"/>
  <c r="G686" i="1"/>
  <c r="G688" i="1"/>
  <c r="G690" i="1"/>
  <c r="G692" i="1"/>
  <c r="G694" i="1"/>
  <c r="G696" i="1"/>
  <c r="G672" i="1"/>
  <c r="G674" i="1"/>
  <c r="G670" i="1"/>
  <c r="G660" i="1"/>
  <c r="G662" i="1"/>
  <c r="G664" i="1"/>
  <c r="G666" i="1"/>
  <c r="G668" i="1"/>
  <c r="G643" i="1"/>
  <c r="G645" i="1"/>
  <c r="G647" i="1"/>
  <c r="G649" i="1"/>
  <c r="G651" i="1"/>
  <c r="G653" i="1"/>
  <c r="G26" i="5"/>
  <c r="G8" i="5"/>
  <c r="L17" i="5"/>
  <c r="O14" i="5"/>
  <c r="L20" i="5"/>
  <c r="O15" i="5"/>
  <c r="O16" i="5"/>
  <c r="L22" i="5"/>
  <c r="L23" i="5"/>
  <c r="O18" i="5"/>
  <c r="L12" i="5"/>
  <c r="I8" i="4"/>
  <c r="I9" i="4" s="1"/>
  <c r="I10" i="4" s="1"/>
  <c r="I11" i="4" s="1"/>
  <c r="I12" i="4" s="1"/>
  <c r="I13" i="4" s="1"/>
  <c r="I14" i="4" s="1"/>
  <c r="I15" i="4" s="1"/>
  <c r="I16" i="4" s="1"/>
  <c r="I17" i="4" s="1"/>
  <c r="K7" i="4"/>
  <c r="E9" i="4"/>
  <c r="F9" i="4" s="1"/>
  <c r="E10" i="4" s="1"/>
  <c r="F10" i="4" s="1"/>
  <c r="E11" i="4" s="1"/>
  <c r="F11" i="4" s="1"/>
  <c r="E12" i="4" s="1"/>
  <c r="F12" i="4" s="1"/>
  <c r="E13" i="4" s="1"/>
  <c r="F13" i="4" s="1"/>
  <c r="E14" i="4" s="1"/>
  <c r="F14" i="4" s="1"/>
  <c r="E15" i="4" s="1"/>
  <c r="F15" i="4" s="1"/>
  <c r="E16" i="4" s="1"/>
  <c r="F16" i="4" s="1"/>
  <c r="E17" i="4" s="1"/>
  <c r="F17" i="4" s="1"/>
  <c r="J8" i="4"/>
  <c r="K8" i="4" s="1"/>
  <c r="H18" i="4"/>
  <c r="AW8" i="4"/>
  <c r="AW9" i="4" s="1"/>
  <c r="AW10" i="4" s="1"/>
  <c r="AW11" i="4" s="1"/>
  <c r="AW12" i="4" s="1"/>
  <c r="AW13" i="4" s="1"/>
  <c r="AW14" i="4" s="1"/>
  <c r="AW15" i="4" s="1"/>
  <c r="AW16" i="4" s="1"/>
  <c r="AW17" i="4" s="1"/>
  <c r="M9" i="4"/>
  <c r="N9" i="4" s="1"/>
  <c r="S20" i="4"/>
  <c r="R8" i="4"/>
  <c r="P7" i="4"/>
  <c r="X18" i="4"/>
  <c r="AA7" i="4"/>
  <c r="U9" i="4"/>
  <c r="V9" i="4" s="1"/>
  <c r="Z8" i="4"/>
  <c r="AA8" i="4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AF18" i="4"/>
  <c r="AI7" i="4"/>
  <c r="AC9" i="4"/>
  <c r="AD9" i="4" s="1"/>
  <c r="AI20" i="4" s="1"/>
  <c r="AI21" i="4" s="1"/>
  <c r="AH8" i="4"/>
  <c r="AI8" i="4" s="1"/>
  <c r="AG7" i="4"/>
  <c r="AG8" i="4" s="1"/>
  <c r="AG9" i="4" s="1"/>
  <c r="AG10" i="4" s="1"/>
  <c r="AG11" i="4" s="1"/>
  <c r="AG12" i="4" s="1"/>
  <c r="AG13" i="4" s="1"/>
  <c r="AG14" i="4" s="1"/>
  <c r="AG15" i="4" s="1"/>
  <c r="AG16" i="4" s="1"/>
  <c r="AG17" i="4" s="1"/>
  <c r="AN18" i="4"/>
  <c r="AQ7" i="4"/>
  <c r="AK9" i="4"/>
  <c r="AL9" i="4" s="1"/>
  <c r="AP8" i="4"/>
  <c r="AQ8" i="4" s="1"/>
  <c r="AO7" i="4"/>
  <c r="AO8" i="4" s="1"/>
  <c r="AO9" i="4" s="1"/>
  <c r="AO10" i="4" s="1"/>
  <c r="AO11" i="4" s="1"/>
  <c r="AO12" i="4" s="1"/>
  <c r="AO13" i="4" s="1"/>
  <c r="AO14" i="4" s="1"/>
  <c r="AO15" i="4" s="1"/>
  <c r="AO16" i="4" s="1"/>
  <c r="AO17" i="4" s="1"/>
  <c r="G42" i="5"/>
  <c r="G24" i="5"/>
  <c r="G41" i="5"/>
  <c r="G34" i="5"/>
  <c r="G16" i="5"/>
  <c r="G25" i="5"/>
  <c r="G18" i="5"/>
  <c r="G33" i="5"/>
  <c r="G10" i="5"/>
  <c r="G40" i="5"/>
  <c r="G17" i="5"/>
  <c r="G32" i="5"/>
  <c r="G9" i="5"/>
  <c r="AY7" i="4"/>
  <c r="AS9" i="4"/>
  <c r="AT9" i="4" s="1"/>
  <c r="AX8" i="4"/>
  <c r="AY8" i="4" s="1"/>
  <c r="AV18" i="4"/>
  <c r="BG7" i="4"/>
  <c r="BA9" i="4"/>
  <c r="BB9" i="4" s="1"/>
  <c r="BA10" i="4" s="1"/>
  <c r="BB10" i="4" s="1"/>
  <c r="BE22" i="4" s="1"/>
  <c r="BE23" i="4" s="1"/>
  <c r="BF8" i="4"/>
  <c r="BG8" i="4" s="1"/>
  <c r="BD18" i="4"/>
  <c r="BE7" i="4"/>
  <c r="BE8" i="4" s="1"/>
  <c r="BE9" i="4" s="1"/>
  <c r="BE10" i="4" s="1"/>
  <c r="BE11" i="4" s="1"/>
  <c r="BE12" i="4" s="1"/>
  <c r="BE13" i="4" s="1"/>
  <c r="BE14" i="4" s="1"/>
  <c r="BE15" i="4" s="1"/>
  <c r="BE16" i="4" s="1"/>
  <c r="BE17" i="4" s="1"/>
  <c r="G39" i="5"/>
  <c r="G31" i="5"/>
  <c r="G23" i="5"/>
  <c r="G15" i="5"/>
  <c r="G7" i="5"/>
  <c r="G4" i="5"/>
  <c r="G38" i="5"/>
  <c r="G30" i="5"/>
  <c r="G22" i="5"/>
  <c r="G6" i="5"/>
  <c r="G5" i="5"/>
  <c r="G44" i="5"/>
  <c r="G36" i="5"/>
  <c r="G28" i="5"/>
  <c r="G20" i="5"/>
  <c r="G12" i="5"/>
  <c r="G14" i="5"/>
  <c r="G45" i="5"/>
  <c r="G37" i="5"/>
  <c r="G29" i="5"/>
  <c r="G21" i="5"/>
  <c r="G13" i="5"/>
  <c r="G43" i="5"/>
  <c r="G35" i="5"/>
  <c r="G27" i="5"/>
  <c r="G19" i="5"/>
  <c r="BL18" i="4"/>
  <c r="BO7" i="4"/>
  <c r="BM8" i="4"/>
  <c r="BM9" i="4" s="1"/>
  <c r="BM10" i="4" s="1"/>
  <c r="BM11" i="4" s="1"/>
  <c r="BM12" i="4" s="1"/>
  <c r="BM13" i="4" s="1"/>
  <c r="BM14" i="4" s="1"/>
  <c r="BM15" i="4" s="1"/>
  <c r="BM16" i="4" s="1"/>
  <c r="BM17" i="4" s="1"/>
  <c r="BN8" i="4"/>
  <c r="BO8" i="4" s="1"/>
  <c r="BI9" i="4"/>
  <c r="BJ9" i="4" s="1"/>
  <c r="N6" i="3"/>
  <c r="M13" i="3"/>
  <c r="N13" i="3" s="1"/>
  <c r="M7" i="3"/>
  <c r="N7" i="3" s="1"/>
  <c r="M12" i="3"/>
  <c r="N12" i="3" s="1"/>
  <c r="M11" i="3"/>
  <c r="N11" i="3" s="1"/>
  <c r="T13" i="3"/>
  <c r="M18" i="3"/>
  <c r="N18" i="3" s="1"/>
  <c r="M10" i="3"/>
  <c r="N10" i="3" s="1"/>
  <c r="M17" i="3"/>
  <c r="N17" i="3" s="1"/>
  <c r="M9" i="3"/>
  <c r="N9" i="3" s="1"/>
  <c r="Q9" i="3"/>
  <c r="R9" i="3" s="1"/>
  <c r="U8" i="3"/>
  <c r="V8" i="3" s="1"/>
  <c r="G708" i="1"/>
  <c r="G728" i="1"/>
  <c r="G738" i="1"/>
  <c r="G730" i="1"/>
  <c r="G747" i="1"/>
  <c r="G755" i="1"/>
  <c r="G777" i="1"/>
  <c r="G769" i="1"/>
  <c r="G761" i="1"/>
  <c r="G783" i="1"/>
  <c r="G804" i="1"/>
  <c r="G796" i="1"/>
  <c r="G788" i="1"/>
  <c r="G821" i="1"/>
  <c r="G813" i="1"/>
  <c r="G834" i="1"/>
  <c r="G840" i="1"/>
  <c r="G843" i="1"/>
  <c r="G864" i="1"/>
  <c r="G867" i="1"/>
  <c r="G890" i="1"/>
  <c r="G882" i="1"/>
  <c r="G874" i="1"/>
  <c r="G911" i="1"/>
  <c r="G903" i="1"/>
  <c r="G916" i="1"/>
  <c r="G931" i="1"/>
  <c r="G923" i="1"/>
  <c r="G944" i="1"/>
  <c r="G936" i="1"/>
  <c r="G947" i="1"/>
  <c r="G956" i="1"/>
  <c r="G971" i="1"/>
  <c r="G996" i="1"/>
  <c r="G988" i="1"/>
  <c r="G980" i="1"/>
  <c r="G1014" i="1"/>
  <c r="G1006" i="1"/>
  <c r="G998" i="1"/>
  <c r="G1030" i="1"/>
  <c r="G1038" i="1"/>
  <c r="G1058" i="1"/>
  <c r="G1050" i="1"/>
  <c r="G1042" i="1"/>
  <c r="G1064" i="1"/>
  <c r="G1113" i="1"/>
  <c r="G1105" i="1"/>
  <c r="G1097" i="1"/>
  <c r="G1089" i="1"/>
  <c r="G1081" i="1"/>
  <c r="G1116" i="1"/>
  <c r="G1119" i="1"/>
  <c r="G1140" i="1"/>
  <c r="G1132" i="1"/>
  <c r="G1147" i="1"/>
  <c r="G1158" i="1"/>
  <c r="G1150" i="1"/>
  <c r="G1206" i="1"/>
  <c r="G1198" i="1"/>
  <c r="G1190" i="1"/>
  <c r="G1182" i="1"/>
  <c r="G1174" i="1"/>
  <c r="G1214" i="1"/>
  <c r="G1247" i="1"/>
  <c r="G1239" i="1"/>
  <c r="G1231" i="1"/>
  <c r="G1223" i="1"/>
  <c r="G1264" i="1"/>
  <c r="G1256" i="1"/>
  <c r="G1248" i="1"/>
  <c r="G1268" i="1"/>
  <c r="G1278" i="1"/>
  <c r="G1286" i="1"/>
  <c r="G1299" i="1"/>
  <c r="G1314" i="1"/>
  <c r="G1306" i="1"/>
  <c r="G1331" i="1"/>
  <c r="G1323" i="1"/>
  <c r="G1343" i="1"/>
  <c r="G1335" i="1"/>
  <c r="G1356" i="1"/>
  <c r="G1378" i="1"/>
  <c r="G1370" i="1"/>
  <c r="G1362" i="1"/>
  <c r="G1398" i="1"/>
  <c r="G5" i="1"/>
  <c r="G16" i="1"/>
  <c r="G8" i="1"/>
  <c r="G36" i="1"/>
  <c r="G28" i="1"/>
  <c r="G43" i="1"/>
  <c r="G73" i="1"/>
  <c r="G65" i="1"/>
  <c r="G57" i="1"/>
  <c r="G49" i="1"/>
  <c r="G85" i="1"/>
  <c r="G97" i="1"/>
  <c r="G89" i="1"/>
  <c r="G112" i="1"/>
  <c r="G104" i="1"/>
  <c r="G131" i="1"/>
  <c r="G123" i="1"/>
  <c r="G138" i="1"/>
  <c r="G157" i="1"/>
  <c r="G149" i="1"/>
  <c r="G176" i="1"/>
  <c r="G168" i="1"/>
  <c r="G178" i="1"/>
  <c r="G193" i="1"/>
  <c r="G185" i="1"/>
  <c r="G208" i="1"/>
  <c r="G219" i="1"/>
  <c r="G211" i="1"/>
  <c r="G223" i="1"/>
  <c r="G234" i="1"/>
  <c r="G244" i="1"/>
  <c r="G258" i="1"/>
  <c r="G250" i="1"/>
  <c r="G266" i="1"/>
  <c r="G278" i="1"/>
  <c r="G283" i="1"/>
  <c r="G290" i="1"/>
  <c r="G298" i="1"/>
  <c r="G308" i="1"/>
  <c r="G300" i="1"/>
  <c r="G338" i="1"/>
  <c r="G330" i="1"/>
  <c r="G322" i="1"/>
  <c r="G345" i="1"/>
  <c r="G349" i="1"/>
  <c r="G365" i="1"/>
  <c r="G357" i="1"/>
  <c r="G388" i="1"/>
  <c r="G380" i="1"/>
  <c r="G393" i="1"/>
  <c r="G403" i="1"/>
  <c r="G416" i="1"/>
  <c r="G418" i="1"/>
  <c r="G424" i="1"/>
  <c r="G428" i="1"/>
  <c r="G437" i="1"/>
  <c r="G448" i="1"/>
  <c r="G459" i="1"/>
  <c r="G466" i="1"/>
  <c r="G475" i="1"/>
  <c r="G528" i="1"/>
  <c r="G520" i="1"/>
  <c r="G512" i="1"/>
  <c r="G504" i="1"/>
  <c r="G496" i="1"/>
  <c r="G488" i="1"/>
  <c r="G480" i="1"/>
  <c r="G540" i="1"/>
  <c r="G532" i="1"/>
  <c r="G587" i="1"/>
  <c r="G579" i="1"/>
  <c r="G571" i="1"/>
  <c r="G563" i="1"/>
  <c r="G555" i="1"/>
  <c r="G597" i="1"/>
  <c r="G611" i="1"/>
  <c r="G603" i="1"/>
  <c r="G620" i="1"/>
  <c r="G629" i="1"/>
  <c r="G640" i="1"/>
  <c r="G658" i="1"/>
  <c r="G650" i="1"/>
  <c r="G642" i="1"/>
  <c r="G661" i="1"/>
  <c r="G697" i="1"/>
  <c r="G689" i="1"/>
  <c r="G681" i="1"/>
  <c r="G698" i="1"/>
  <c r="G700" i="1"/>
  <c r="G715" i="1"/>
  <c r="G727" i="1"/>
  <c r="G737" i="1"/>
  <c r="G729" i="1"/>
  <c r="G746" i="1"/>
  <c r="G754" i="1"/>
  <c r="G776" i="1"/>
  <c r="G768" i="1"/>
  <c r="G760" i="1"/>
  <c r="G782" i="1"/>
  <c r="G803" i="1"/>
  <c r="G795" i="1"/>
  <c r="G828" i="1"/>
  <c r="G820" i="1"/>
  <c r="G812" i="1"/>
  <c r="G833" i="1"/>
  <c r="G850" i="1"/>
  <c r="G856" i="1"/>
  <c r="G863" i="1"/>
  <c r="G866" i="1"/>
  <c r="G889" i="1"/>
  <c r="G881" i="1"/>
  <c r="G873" i="1"/>
  <c r="G910" i="1"/>
  <c r="G902" i="1"/>
  <c r="G915" i="1"/>
  <c r="G930" i="1"/>
  <c r="G922" i="1"/>
  <c r="G943" i="1"/>
  <c r="G954" i="1"/>
  <c r="G963" i="1"/>
  <c r="G955" i="1"/>
  <c r="G970" i="1"/>
  <c r="G995" i="1"/>
  <c r="G987" i="1"/>
  <c r="G979" i="1"/>
  <c r="G1013" i="1"/>
  <c r="G1068" i="1"/>
  <c r="G1072" i="1"/>
  <c r="G1109" i="1"/>
  <c r="G1101" i="1"/>
  <c r="G1093" i="1"/>
  <c r="G1085" i="1"/>
  <c r="G1077" i="1"/>
  <c r="G1123" i="1"/>
  <c r="G1144" i="1"/>
  <c r="G1136" i="1"/>
  <c r="G1128" i="1"/>
  <c r="G1162" i="1"/>
  <c r="G1154" i="1"/>
  <c r="G1168" i="1"/>
  <c r="G1202" i="1"/>
  <c r="G1194" i="1"/>
  <c r="G1186" i="1"/>
  <c r="G1178" i="1"/>
  <c r="G1170" i="1"/>
  <c r="G1210" i="1"/>
  <c r="G1243" i="1"/>
  <c r="G1235" i="1"/>
  <c r="G1227" i="1"/>
  <c r="G1219" i="1"/>
  <c r="G1260" i="1"/>
  <c r="G1252" i="1"/>
  <c r="G1272" i="1"/>
  <c r="G1282" i="1"/>
  <c r="G1290" i="1"/>
  <c r="G1303" i="1"/>
  <c r="G1295" i="1"/>
  <c r="G1310" i="1"/>
  <c r="G1317" i="1"/>
  <c r="G1327" i="1"/>
  <c r="G1347" i="1"/>
  <c r="G1339" i="1"/>
  <c r="G1360" i="1"/>
  <c r="G1352" i="1"/>
  <c r="G1374" i="1"/>
  <c r="G1366" i="1"/>
  <c r="G1383" i="1"/>
  <c r="G1394" i="1"/>
  <c r="G1386" i="1"/>
  <c r="G1402" i="1"/>
  <c r="G1424" i="1"/>
  <c r="G1416" i="1"/>
  <c r="G1433" i="1"/>
  <c r="G1441" i="1"/>
  <c r="G1458" i="1"/>
  <c r="G1450" i="1"/>
  <c r="G1461" i="1"/>
  <c r="G1478" i="1"/>
  <c r="G1470" i="1"/>
  <c r="G1492" i="1"/>
  <c r="G1522" i="1"/>
  <c r="G1514" i="1"/>
  <c r="G1506" i="1"/>
  <c r="G1498" i="1"/>
  <c r="G1525" i="1"/>
  <c r="G1564" i="1"/>
  <c r="G1556" i="1"/>
  <c r="G1548" i="1"/>
  <c r="G1540" i="1"/>
  <c r="G1532" i="1"/>
  <c r="G1585" i="1"/>
  <c r="G1577" i="1"/>
  <c r="G1569" i="1"/>
  <c r="G1613" i="1"/>
  <c r="G1605" i="1"/>
  <c r="G1597" i="1"/>
  <c r="G1623" i="1"/>
  <c r="G1636" i="1"/>
  <c r="G1628" i="1"/>
  <c r="G1642" i="1"/>
  <c r="G1713" i="1"/>
  <c r="G1705" i="1"/>
  <c r="G1697" i="1"/>
  <c r="G1689" i="1"/>
  <c r="G1681" i="1"/>
  <c r="G1673" i="1"/>
  <c r="G1665" i="1"/>
  <c r="G1657" i="1"/>
  <c r="G20" i="1"/>
  <c r="G12" i="1"/>
  <c r="G40" i="1"/>
  <c r="G32" i="1"/>
  <c r="G24" i="1"/>
  <c r="G77" i="1"/>
  <c r="G69" i="1"/>
  <c r="G61" i="1"/>
  <c r="G53" i="1"/>
  <c r="G45" i="1"/>
  <c r="G81" i="1"/>
  <c r="G93" i="1"/>
  <c r="G116" i="1"/>
  <c r="G108" i="1"/>
  <c r="G119" i="1"/>
  <c r="G127" i="1"/>
  <c r="G142" i="1"/>
  <c r="G161" i="1"/>
  <c r="G153" i="1"/>
  <c r="G145" i="1"/>
  <c r="G172" i="1"/>
  <c r="G164" i="1"/>
  <c r="G197" i="1"/>
  <c r="G189" i="1"/>
  <c r="G181" i="1"/>
  <c r="G204" i="1"/>
  <c r="G215" i="1"/>
  <c r="G227" i="1"/>
  <c r="G238" i="1"/>
  <c r="G230" i="1"/>
  <c r="G262" i="1"/>
  <c r="G254" i="1"/>
  <c r="G270" i="1"/>
  <c r="G282" i="1"/>
  <c r="G274" i="1"/>
  <c r="G286" i="1"/>
  <c r="G294" i="1"/>
  <c r="G312" i="1"/>
  <c r="G304" i="1"/>
  <c r="G342" i="1"/>
  <c r="G334" i="1"/>
  <c r="G326" i="1"/>
  <c r="G318" i="1"/>
  <c r="G353" i="1"/>
  <c r="G369" i="1"/>
  <c r="G361" i="1"/>
  <c r="G392" i="1"/>
  <c r="G384" i="1"/>
  <c r="G376" i="1"/>
  <c r="G407" i="1"/>
  <c r="G399" i="1"/>
  <c r="G412" i="1"/>
  <c r="G421" i="1"/>
  <c r="G432" i="1"/>
  <c r="G441" i="1"/>
  <c r="G452" i="1"/>
  <c r="G444" i="1"/>
  <c r="G464" i="1"/>
  <c r="G479" i="1"/>
  <c r="G471" i="1"/>
  <c r="G524" i="1"/>
  <c r="G516" i="1"/>
  <c r="G508" i="1"/>
  <c r="G500" i="1"/>
  <c r="G492" i="1"/>
  <c r="G484" i="1"/>
  <c r="G544" i="1"/>
  <c r="G536" i="1"/>
  <c r="G549" i="1"/>
  <c r="G583" i="1"/>
  <c r="G575" i="1"/>
  <c r="G567" i="1"/>
  <c r="G559" i="1"/>
  <c r="G601" i="1"/>
  <c r="G593" i="1"/>
  <c r="G607" i="1"/>
  <c r="G613" i="1"/>
  <c r="G633" i="1"/>
  <c r="G625" i="1"/>
  <c r="G636" i="1"/>
  <c r="G654" i="1"/>
  <c r="G646" i="1"/>
  <c r="G665" i="1"/>
  <c r="G669" i="1"/>
  <c r="G693" i="1"/>
  <c r="G685" i="1"/>
  <c r="G677" i="1"/>
  <c r="G704" i="1"/>
  <c r="G711" i="1"/>
  <c r="G718" i="1"/>
  <c r="G723" i="1"/>
  <c r="G733" i="1"/>
  <c r="G750" i="1"/>
  <c r="G742" i="1"/>
  <c r="G780" i="1"/>
  <c r="G772" i="1"/>
  <c r="G764" i="1"/>
  <c r="G786" i="1"/>
  <c r="G807" i="1"/>
  <c r="G799" i="1"/>
  <c r="G791" i="1"/>
  <c r="G824" i="1"/>
  <c r="G816" i="1"/>
  <c r="G837" i="1"/>
  <c r="G1664" i="1"/>
  <c r="G1656" i="1"/>
  <c r="G18" i="1"/>
  <c r="G10" i="1"/>
  <c r="G38" i="1"/>
  <c r="G30" i="1"/>
  <c r="G22" i="1"/>
  <c r="G75" i="1"/>
  <c r="G67" i="1"/>
  <c r="G59" i="1"/>
  <c r="G51" i="1"/>
  <c r="G87" i="1"/>
  <c r="G99" i="1"/>
  <c r="G91" i="1"/>
  <c r="G114" i="1"/>
  <c r="G106" i="1"/>
  <c r="G133" i="1"/>
  <c r="G125" i="1"/>
  <c r="G140" i="1"/>
  <c r="G159" i="1"/>
  <c r="G151" i="1"/>
  <c r="G143" i="1"/>
  <c r="G170" i="1"/>
  <c r="G162" i="1"/>
  <c r="G195" i="1"/>
  <c r="G187" i="1"/>
  <c r="G210" i="1"/>
  <c r="G202" i="1"/>
  <c r="G213" i="1"/>
  <c r="G225" i="1"/>
  <c r="G236" i="1"/>
  <c r="G246" i="1"/>
  <c r="G260" i="1"/>
  <c r="G252" i="1"/>
  <c r="G268" i="1"/>
  <c r="G280" i="1"/>
  <c r="G272" i="1"/>
  <c r="G284" i="1"/>
  <c r="G292" i="1"/>
  <c r="G310" i="1"/>
  <c r="G302" i="1"/>
  <c r="G340" i="1"/>
  <c r="G332" i="1"/>
  <c r="G324" i="1"/>
  <c r="G347" i="1"/>
  <c r="G351" i="1"/>
  <c r="G367" i="1"/>
  <c r="G359" i="1"/>
  <c r="G390" i="1"/>
  <c r="G382" i="1"/>
  <c r="G395" i="1"/>
  <c r="G405" i="1"/>
  <c r="G397" i="1"/>
  <c r="G420" i="1"/>
  <c r="G426" i="1"/>
  <c r="G430" i="1"/>
  <c r="G439" i="1"/>
  <c r="G450" i="1"/>
  <c r="G461" i="1"/>
  <c r="G465" i="1"/>
  <c r="G477" i="1"/>
  <c r="G530" i="1"/>
  <c r="G522" i="1"/>
  <c r="G514" i="1"/>
  <c r="G506" i="1"/>
  <c r="G498" i="1"/>
  <c r="G490" i="1"/>
  <c r="G482" i="1"/>
  <c r="G542" i="1"/>
  <c r="G534" i="1"/>
  <c r="G589" i="1"/>
  <c r="G581" i="1"/>
  <c r="G573" i="1"/>
  <c r="G565" i="1"/>
  <c r="G557" i="1"/>
  <c r="G599" i="1"/>
  <c r="G591" i="1"/>
  <c r="G605" i="1"/>
  <c r="G622" i="1"/>
  <c r="G631" i="1"/>
  <c r="G623" i="1"/>
  <c r="G634" i="1"/>
  <c r="G652" i="1"/>
  <c r="G644" i="1"/>
  <c r="G663" i="1"/>
  <c r="G673" i="1"/>
  <c r="G691" i="1"/>
  <c r="G683" i="1"/>
  <c r="G675" i="1"/>
  <c r="G702" i="1"/>
  <c r="G709" i="1"/>
  <c r="G716" i="1"/>
  <c r="G739" i="1"/>
  <c r="G731" i="1"/>
  <c r="G748" i="1"/>
  <c r="G756" i="1"/>
  <c r="G778" i="1"/>
  <c r="G770" i="1"/>
  <c r="G762" i="1"/>
  <c r="G784" i="1"/>
  <c r="G805" i="1"/>
  <c r="G797" i="1"/>
  <c r="G789" i="1"/>
  <c r="G822" i="1"/>
  <c r="G814" i="1"/>
  <c r="G835" i="1"/>
  <c r="G841" i="1"/>
  <c r="G844" i="1"/>
  <c r="G865" i="1"/>
  <c r="G857" i="1"/>
  <c r="G891" i="1"/>
  <c r="G883" i="1"/>
  <c r="G875" i="1"/>
  <c r="G912" i="1"/>
  <c r="G904" i="1"/>
  <c r="G917" i="1"/>
  <c r="G932" i="1"/>
  <c r="G924" i="1"/>
  <c r="G945" i="1"/>
  <c r="G937" i="1"/>
  <c r="G948" i="1"/>
  <c r="G957" i="1"/>
  <c r="G972" i="1"/>
  <c r="G964" i="1"/>
  <c r="G989" i="1"/>
  <c r="G981" i="1"/>
  <c r="G1015" i="1"/>
  <c r="G1007" i="1"/>
  <c r="G999" i="1"/>
  <c r="G1031" i="1"/>
  <c r="G1023" i="1"/>
  <c r="G1059" i="1"/>
  <c r="G1051" i="1"/>
  <c r="G1043" i="1"/>
  <c r="G1065" i="1"/>
  <c r="G1069" i="1"/>
  <c r="G1106" i="1"/>
  <c r="G1098" i="1"/>
  <c r="G1090" i="1"/>
  <c r="G1082" i="1"/>
  <c r="G1074" i="1"/>
  <c r="G1120" i="1"/>
  <c r="G1141" i="1"/>
  <c r="G1133" i="1"/>
  <c r="G1125" i="1"/>
  <c r="G1005" i="1"/>
  <c r="G997" i="1"/>
  <c r="G1029" i="1"/>
  <c r="G1037" i="1"/>
  <c r="G1159" i="1"/>
  <c r="G1151" i="1"/>
  <c r="G1165" i="1"/>
  <c r="G1199" i="1"/>
  <c r="G1191" i="1"/>
  <c r="G1183" i="1"/>
  <c r="G1175" i="1"/>
  <c r="G1215" i="1"/>
  <c r="G1207" i="1"/>
  <c r="G1240" i="1"/>
  <c r="G1232" i="1"/>
  <c r="G1224" i="1"/>
  <c r="G1265" i="1"/>
  <c r="G1257" i="1"/>
  <c r="G1249" i="1"/>
  <c r="G1269" i="1"/>
  <c r="G1279" i="1"/>
  <c r="G1287" i="1"/>
  <c r="G1300" i="1"/>
  <c r="G1292" i="1"/>
  <c r="G1307" i="1"/>
  <c r="G1332" i="1"/>
  <c r="G1324" i="1"/>
  <c r="G1344" i="1"/>
  <c r="G1336" i="1"/>
  <c r="G1357" i="1"/>
  <c r="G1349" i="1"/>
  <c r="G1371" i="1"/>
  <c r="G1363" i="1"/>
  <c r="G1380" i="1"/>
  <c r="G1391" i="1"/>
  <c r="G1407" i="1"/>
  <c r="G1399" i="1"/>
  <c r="G1421" i="1"/>
  <c r="G1413" i="1"/>
  <c r="G1430" i="1"/>
  <c r="G1438" i="1"/>
  <c r="G1455" i="1"/>
  <c r="G1447" i="1"/>
  <c r="G1483" i="1"/>
  <c r="G1475" i="1"/>
  <c r="G1467" i="1"/>
  <c r="G1489" i="1"/>
  <c r="G1519" i="1"/>
  <c r="G1511" i="1"/>
  <c r="G1503" i="1"/>
  <c r="G1495" i="1"/>
  <c r="G1528" i="1"/>
  <c r="G1561" i="1"/>
  <c r="G1553" i="1"/>
  <c r="G1545" i="1"/>
  <c r="G1537" i="1"/>
  <c r="G1590" i="1"/>
  <c r="G1582" i="1"/>
  <c r="G1574" i="1"/>
  <c r="G1618" i="1"/>
  <c r="G1610" i="1"/>
  <c r="G1602" i="1"/>
  <c r="G1594" i="1"/>
  <c r="G1641" i="1"/>
  <c r="G1633" i="1"/>
  <c r="G1625" i="1"/>
  <c r="G1649" i="1"/>
  <c r="G1710" i="1"/>
  <c r="G1702" i="1"/>
  <c r="G1694" i="1"/>
  <c r="G1686" i="1"/>
  <c r="G1678" i="1"/>
  <c r="G1670" i="1"/>
  <c r="G1662" i="1"/>
  <c r="G1654" i="1"/>
  <c r="G1057" i="1"/>
  <c r="G1049" i="1"/>
  <c r="G1041" i="1"/>
  <c r="G1063" i="1"/>
  <c r="G1112" i="1"/>
  <c r="G1104" i="1"/>
  <c r="G1096" i="1"/>
  <c r="G1088" i="1"/>
  <c r="G1080" i="1"/>
  <c r="G1115" i="1"/>
  <c r="G1118" i="1"/>
  <c r="G1139" i="1"/>
  <c r="G1131" i="1"/>
  <c r="G1146" i="1"/>
  <c r="G1157" i="1"/>
  <c r="G1149" i="1"/>
  <c r="G1205" i="1"/>
  <c r="G1197" i="1"/>
  <c r="G1189" i="1"/>
  <c r="G1181" i="1"/>
  <c r="G1173" i="1"/>
  <c r="G1213" i="1"/>
  <c r="G1246" i="1"/>
  <c r="G1238" i="1"/>
  <c r="G1230" i="1"/>
  <c r="G1222" i="1"/>
  <c r="G1263" i="1"/>
  <c r="G1255" i="1"/>
  <c r="G1275" i="1"/>
  <c r="G1267" i="1"/>
  <c r="G1277" i="1"/>
  <c r="G1285" i="1"/>
  <c r="G1298" i="1"/>
  <c r="G1313" i="1"/>
  <c r="G1320" i="1"/>
  <c r="G1330" i="1"/>
  <c r="G1322" i="1"/>
  <c r="G1342" i="1"/>
  <c r="G1334" i="1"/>
  <c r="G1355" i="1"/>
  <c r="G1377" i="1"/>
  <c r="G1369" i="1"/>
  <c r="G1379" i="1"/>
  <c r="G1397" i="1"/>
  <c r="G1389" i="1"/>
  <c r="G1405" i="1"/>
  <c r="G1427" i="1"/>
  <c r="G1419" i="1"/>
  <c r="G1411" i="1"/>
  <c r="G1428" i="1"/>
  <c r="G1436" i="1"/>
  <c r="G1453" i="1"/>
  <c r="G1445" i="1"/>
  <c r="G1481" i="1"/>
  <c r="G1473" i="1"/>
  <c r="G1465" i="1"/>
  <c r="G1487" i="1"/>
  <c r="G1517" i="1"/>
  <c r="G1509" i="1"/>
  <c r="G1501" i="1"/>
  <c r="G1493" i="1"/>
  <c r="G1567" i="1"/>
  <c r="G1559" i="1"/>
  <c r="G1551" i="1"/>
  <c r="G1543" i="1"/>
  <c r="G1535" i="1"/>
  <c r="G1588" i="1"/>
  <c r="G1580" i="1"/>
  <c r="G1572" i="1"/>
  <c r="G1616" i="1"/>
  <c r="G1608" i="1"/>
  <c r="G1600" i="1"/>
  <c r="G1592" i="1"/>
  <c r="G1639" i="1"/>
  <c r="G1631" i="1"/>
  <c r="G1645" i="1"/>
  <c r="G1716" i="1"/>
  <c r="G1708" i="1"/>
  <c r="G1700" i="1"/>
  <c r="G1692" i="1"/>
  <c r="G1684" i="1"/>
  <c r="G1676" i="1"/>
  <c r="G1668" i="1"/>
  <c r="G1660" i="1"/>
  <c r="G1652" i="1"/>
  <c r="G829" i="1"/>
  <c r="G846" i="1"/>
  <c r="G852" i="1"/>
  <c r="G859" i="1"/>
  <c r="G893" i="1"/>
  <c r="G885" i="1"/>
  <c r="G877" i="1"/>
  <c r="G869" i="1"/>
  <c r="G906" i="1"/>
  <c r="G898" i="1"/>
  <c r="G934" i="1"/>
  <c r="G926" i="1"/>
  <c r="G918" i="1"/>
  <c r="G939" i="1"/>
  <c r="G950" i="1"/>
  <c r="G959" i="1"/>
  <c r="G974" i="1"/>
  <c r="G966" i="1"/>
  <c r="G991" i="1"/>
  <c r="G983" i="1"/>
  <c r="G1017" i="1"/>
  <c r="G1009" i="1"/>
  <c r="G1001" i="1"/>
  <c r="G1666" i="1"/>
  <c r="G1658" i="1"/>
  <c r="G1033" i="1"/>
  <c r="G1025" i="1"/>
  <c r="G1061" i="1"/>
  <c r="G1053" i="1"/>
  <c r="G1045" i="1"/>
  <c r="G1067" i="1"/>
  <c r="G1071" i="1"/>
  <c r="G1108" i="1"/>
  <c r="G1100" i="1"/>
  <c r="G1092" i="1"/>
  <c r="G1084" i="1"/>
  <c r="G1076" i="1"/>
  <c r="G1122" i="1"/>
  <c r="G1143" i="1"/>
  <c r="G1135" i="1"/>
  <c r="G1127" i="1"/>
  <c r="G1161" i="1"/>
  <c r="G1153" i="1"/>
  <c r="G1167" i="1"/>
  <c r="G1201" i="1"/>
  <c r="G1193" i="1"/>
  <c r="G1185" i="1"/>
  <c r="G1177" i="1"/>
  <c r="G1217" i="1"/>
  <c r="G1209" i="1"/>
  <c r="G1242" i="1"/>
  <c r="G1234" i="1"/>
  <c r="G1226" i="1"/>
  <c r="G1218" i="1"/>
  <c r="G1259" i="1"/>
  <c r="G1251" i="1"/>
  <c r="G1271" i="1"/>
  <c r="G1281" i="1"/>
  <c r="G1289" i="1"/>
  <c r="G1302" i="1"/>
  <c r="G1294" i="1"/>
  <c r="G1309" i="1"/>
  <c r="G1316" i="1"/>
  <c r="G1326" i="1"/>
  <c r="G1346" i="1"/>
  <c r="G1338" i="1"/>
  <c r="G1359" i="1"/>
  <c r="G1351" i="1"/>
  <c r="G1373" i="1"/>
  <c r="G1365" i="1"/>
  <c r="G1382" i="1"/>
  <c r="G1393" i="1"/>
  <c r="G1409" i="1"/>
  <c r="G1401" i="1"/>
  <c r="G1423" i="1"/>
  <c r="G1415" i="1"/>
  <c r="G1432" i="1"/>
  <c r="G1440" i="1"/>
  <c r="G1457" i="1"/>
  <c r="G1449" i="1"/>
  <c r="G1485" i="1"/>
  <c r="G1477" i="1"/>
  <c r="G1469" i="1"/>
  <c r="G1491" i="1"/>
  <c r="G1521" i="1"/>
  <c r="G1513" i="1"/>
  <c r="G1505" i="1"/>
  <c r="G1497" i="1"/>
  <c r="G1524" i="1"/>
  <c r="G1563" i="1"/>
  <c r="G1555" i="1"/>
  <c r="G1547" i="1"/>
  <c r="G1539" i="1"/>
  <c r="G1531" i="1"/>
  <c r="G1584" i="1"/>
  <c r="G1576" i="1"/>
  <c r="G1620" i="1"/>
  <c r="G1612" i="1"/>
  <c r="G1604" i="1"/>
  <c r="G1596" i="1"/>
  <c r="G1622" i="1"/>
  <c r="G1635" i="1"/>
  <c r="G1627" i="1"/>
  <c r="G1648" i="1"/>
  <c r="G1712" i="1"/>
  <c r="G1704" i="1"/>
  <c r="G1696" i="1"/>
  <c r="G1688" i="1"/>
  <c r="G1680" i="1"/>
  <c r="G1672" i="1"/>
  <c r="G3" i="1"/>
  <c r="G14" i="1"/>
  <c r="G42" i="1"/>
  <c r="G34" i="1"/>
  <c r="G26" i="1"/>
  <c r="G79" i="1"/>
  <c r="G71" i="1"/>
  <c r="G63" i="1"/>
  <c r="G55" i="1"/>
  <c r="G47" i="1"/>
  <c r="G83" i="1"/>
  <c r="G95" i="1"/>
  <c r="G118" i="1"/>
  <c r="G110" i="1"/>
  <c r="G102" i="1"/>
  <c r="G129" i="1"/>
  <c r="G121" i="1"/>
  <c r="G136" i="1"/>
  <c r="G155" i="1"/>
  <c r="G147" i="1"/>
  <c r="G174" i="1"/>
  <c r="G166" i="1"/>
  <c r="G199" i="1"/>
  <c r="G191" i="1"/>
  <c r="G183" i="1"/>
  <c r="G206" i="1"/>
  <c r="G217" i="1"/>
  <c r="G220" i="1"/>
  <c r="G240" i="1"/>
  <c r="G232" i="1"/>
  <c r="G242" i="1"/>
  <c r="G256" i="1"/>
  <c r="G248" i="1"/>
  <c r="G264" i="1"/>
  <c r="G276" i="1"/>
  <c r="G288" i="1"/>
  <c r="G296" i="1"/>
  <c r="G314" i="1"/>
  <c r="G306" i="1"/>
  <c r="G316" i="1"/>
  <c r="G336" i="1"/>
  <c r="G328" i="1"/>
  <c r="G320" i="1"/>
  <c r="G355" i="1"/>
  <c r="G371" i="1"/>
  <c r="G363" i="1"/>
  <c r="G374" i="1"/>
  <c r="G386" i="1"/>
  <c r="G378" i="1"/>
  <c r="G409" i="1"/>
  <c r="G401" i="1"/>
  <c r="G414" i="1"/>
  <c r="G423" i="1"/>
  <c r="G434" i="1"/>
  <c r="G443" i="1"/>
  <c r="G454" i="1"/>
  <c r="G446" i="1"/>
  <c r="G457" i="1"/>
  <c r="G470" i="1"/>
  <c r="G473" i="1"/>
  <c r="G526" i="1"/>
  <c r="G518" i="1"/>
  <c r="G510" i="1"/>
  <c r="G502" i="1"/>
  <c r="G494" i="1"/>
  <c r="G486" i="1"/>
  <c r="G546" i="1"/>
  <c r="G538" i="1"/>
  <c r="G551" i="1"/>
  <c r="G585" i="1"/>
  <c r="G577" i="1"/>
  <c r="G569" i="1"/>
  <c r="G561" i="1"/>
  <c r="G553" i="1"/>
  <c r="G595" i="1"/>
  <c r="G609" i="1"/>
  <c r="G615" i="1"/>
  <c r="G618" i="1"/>
  <c r="G627" i="1"/>
  <c r="G638" i="1"/>
  <c r="G656" i="1"/>
  <c r="G648" i="1"/>
  <c r="G667" i="1"/>
  <c r="G671" i="1"/>
  <c r="G695" i="1"/>
  <c r="G687" i="1"/>
  <c r="G679" i="1"/>
  <c r="G706" i="1"/>
  <c r="G713" i="1"/>
  <c r="G720" i="1"/>
  <c r="G725" i="1"/>
  <c r="G735" i="1"/>
  <c r="G740" i="1"/>
  <c r="G744" i="1"/>
  <c r="G752" i="1"/>
  <c r="G774" i="1"/>
  <c r="G766" i="1"/>
  <c r="G758" i="1"/>
  <c r="G809" i="1"/>
  <c r="G801" i="1"/>
  <c r="G793" i="1"/>
  <c r="G826" i="1"/>
  <c r="G818" i="1"/>
  <c r="G839" i="1"/>
  <c r="G831" i="1"/>
  <c r="G848" i="1"/>
  <c r="G854" i="1"/>
  <c r="G861" i="1"/>
  <c r="G895" i="1"/>
  <c r="G887" i="1"/>
  <c r="G879" i="1"/>
  <c r="G871" i="1"/>
  <c r="G908" i="1"/>
  <c r="G900" i="1"/>
  <c r="G913" i="1"/>
  <c r="G928" i="1"/>
  <c r="G920" i="1"/>
  <c r="G941" i="1"/>
  <c r="G952" i="1"/>
  <c r="G961" i="1"/>
  <c r="G976" i="1"/>
  <c r="G968" i="1"/>
  <c r="G993" i="1"/>
  <c r="G985" i="1"/>
  <c r="G1019" i="1"/>
  <c r="G1011" i="1"/>
  <c r="G1003" i="1"/>
  <c r="G1021" i="1"/>
  <c r="G1027" i="1"/>
  <c r="G1035" i="1"/>
  <c r="G1055" i="1"/>
  <c r="G1047" i="1"/>
  <c r="G1039" i="1"/>
  <c r="G1073" i="1"/>
  <c r="G1110" i="1"/>
  <c r="G1102" i="1"/>
  <c r="G1094" i="1"/>
  <c r="G1086" i="1"/>
  <c r="G1078" i="1"/>
  <c r="G1124" i="1"/>
  <c r="G1145" i="1"/>
  <c r="G1137" i="1"/>
  <c r="G1129" i="1"/>
  <c r="G1163" i="1"/>
  <c r="G1155" i="1"/>
  <c r="G1169" i="1"/>
  <c r="G1203" i="1"/>
  <c r="G1195" i="1"/>
  <c r="G1187" i="1"/>
  <c r="G1179" i="1"/>
  <c r="G1171" i="1"/>
  <c r="G1211" i="1"/>
  <c r="G1244" i="1"/>
  <c r="G1236" i="1"/>
  <c r="G1228" i="1"/>
  <c r="G1220" i="1"/>
  <c r="G1261" i="1"/>
  <c r="G1253" i="1"/>
  <c r="G1273" i="1"/>
  <c r="G1283" i="1"/>
  <c r="G1291" i="1"/>
  <c r="G1304" i="1"/>
  <c r="G1296" i="1"/>
  <c r="G1311" i="1"/>
  <c r="G1318" i="1"/>
  <c r="G1328" i="1"/>
  <c r="G1348" i="1"/>
  <c r="G1340" i="1"/>
  <c r="G1361" i="1"/>
  <c r="G1353" i="1"/>
  <c r="G1375" i="1"/>
  <c r="G1367" i="1"/>
  <c r="G1384" i="1"/>
  <c r="G1395" i="1"/>
  <c r="G1387" i="1"/>
  <c r="G1403" i="1"/>
  <c r="G1425" i="1"/>
  <c r="G1417" i="1"/>
  <c r="G1434" i="1"/>
  <c r="G1442" i="1"/>
  <c r="G1459" i="1"/>
  <c r="G1451" i="1"/>
  <c r="G1462" i="1"/>
  <c r="G1479" i="1"/>
  <c r="G1471" i="1"/>
  <c r="G1463" i="1"/>
  <c r="G1523" i="1"/>
  <c r="G1515" i="1"/>
  <c r="G1507" i="1"/>
  <c r="G1499" i="1"/>
  <c r="G1526" i="1"/>
  <c r="G1565" i="1"/>
  <c r="G1557" i="1"/>
  <c r="G1549" i="1"/>
  <c r="G1541" i="1"/>
  <c r="G1533" i="1"/>
  <c r="G1586" i="1"/>
  <c r="G1578" i="1"/>
  <c r="G1570" i="1"/>
  <c r="G1614" i="1"/>
  <c r="G1606" i="1"/>
  <c r="G1598" i="1"/>
  <c r="G1624" i="1"/>
  <c r="G1637" i="1"/>
  <c r="G1629" i="1"/>
  <c r="G1643" i="1"/>
  <c r="G1714" i="1"/>
  <c r="G1706" i="1"/>
  <c r="G1698" i="1"/>
  <c r="G1690" i="1"/>
  <c r="G1682" i="1"/>
  <c r="G1674" i="1"/>
  <c r="G1650" i="1"/>
  <c r="G1730" i="1"/>
  <c r="G1722" i="1"/>
  <c r="G1773" i="1"/>
  <c r="G1765" i="1"/>
  <c r="G1757" i="1"/>
  <c r="G1749" i="1"/>
  <c r="G1741" i="1"/>
  <c r="G1783" i="1"/>
  <c r="G1801" i="1"/>
  <c r="G1793" i="1"/>
  <c r="G1785" i="1"/>
  <c r="G1807" i="1"/>
  <c r="G1821" i="1"/>
  <c r="G1832" i="1"/>
  <c r="G1873" i="1"/>
  <c r="G1865" i="1"/>
  <c r="G1857" i="1"/>
  <c r="G1849" i="1"/>
  <c r="G1841" i="1"/>
  <c r="G1916" i="1"/>
  <c r="G1908" i="1"/>
  <c r="G1900" i="1"/>
  <c r="G1892" i="1"/>
  <c r="G1884" i="1"/>
  <c r="G1876" i="1"/>
  <c r="G1949" i="1"/>
  <c r="G1941" i="1"/>
  <c r="G1933" i="1"/>
  <c r="G1925" i="1"/>
  <c r="G1987" i="1"/>
  <c r="G1979" i="1"/>
  <c r="G1971" i="1"/>
  <c r="G1963" i="1"/>
  <c r="G1955" i="1"/>
  <c r="G2011" i="1"/>
  <c r="G2003" i="1"/>
  <c r="G1995" i="1"/>
  <c r="G2050" i="1"/>
  <c r="G2042" i="1"/>
  <c r="G2034" i="1"/>
  <c r="G2026" i="1"/>
  <c r="G2018" i="1"/>
  <c r="G2060" i="1"/>
  <c r="G2066" i="1"/>
  <c r="G2086" i="1"/>
  <c r="G2078" i="1"/>
  <c r="G2107" i="1"/>
  <c r="G2099" i="1"/>
  <c r="G2091" i="1"/>
  <c r="G2118" i="1"/>
  <c r="G2126" i="1"/>
  <c r="G2131" i="1"/>
  <c r="G2176" i="1"/>
  <c r="G2168" i="1"/>
  <c r="G1736" i="1"/>
  <c r="G1728" i="1"/>
  <c r="G1720" i="1"/>
  <c r="G1771" i="1"/>
  <c r="G1763" i="1"/>
  <c r="G1755" i="1"/>
  <c r="G1747" i="1"/>
  <c r="G1739" i="1"/>
  <c r="G1781" i="1"/>
  <c r="G1799" i="1"/>
  <c r="G1791" i="1"/>
  <c r="G1813" i="1"/>
  <c r="G1827" i="1"/>
  <c r="G1819" i="1"/>
  <c r="G1830" i="1"/>
  <c r="G1871" i="1"/>
  <c r="G1863" i="1"/>
  <c r="G1855" i="1"/>
  <c r="G1847" i="1"/>
  <c r="G1839" i="1"/>
  <c r="G1914" i="1"/>
  <c r="G1906" i="1"/>
  <c r="G1898" i="1"/>
  <c r="G1890" i="1"/>
  <c r="G1882" i="1"/>
  <c r="G1874" i="1"/>
  <c r="G1947" i="1"/>
  <c r="G1939" i="1"/>
  <c r="G1931" i="1"/>
  <c r="G1923" i="1"/>
  <c r="G1985" i="1"/>
  <c r="G1977" i="1"/>
  <c r="G1969" i="1"/>
  <c r="G1961" i="1"/>
  <c r="G1990" i="1"/>
  <c r="G2009" i="1"/>
  <c r="G2001" i="1"/>
  <c r="G1993" i="1"/>
  <c r="G2048" i="1"/>
  <c r="G2040" i="1"/>
  <c r="G2032" i="1"/>
  <c r="G2024" i="1"/>
  <c r="G2056" i="1"/>
  <c r="G2058" i="1"/>
  <c r="G2073" i="1"/>
  <c r="G2084" i="1"/>
  <c r="G2076" i="1"/>
  <c r="G2105" i="1"/>
  <c r="G2097" i="1"/>
  <c r="G2124" i="1"/>
  <c r="G2116" i="1"/>
  <c r="G2127" i="1"/>
  <c r="G2129" i="1"/>
  <c r="G2174" i="1"/>
  <c r="G2166" i="1"/>
  <c r="G2158" i="1"/>
  <c r="G2150" i="1"/>
  <c r="G2142" i="1"/>
  <c r="G2183" i="1"/>
  <c r="G2226" i="1"/>
  <c r="G2218" i="1"/>
  <c r="G2210" i="1"/>
  <c r="G2202" i="1"/>
  <c r="G2194" i="1"/>
  <c r="G2186" i="1"/>
  <c r="G2247" i="1"/>
  <c r="G2239" i="1"/>
  <c r="G2286" i="1"/>
  <c r="G2278" i="1"/>
  <c r="G2270" i="1"/>
  <c r="G2262" i="1"/>
  <c r="G2254" i="1"/>
  <c r="G2295" i="1"/>
  <c r="G2322" i="1"/>
  <c r="G2314" i="1"/>
  <c r="G2306" i="1"/>
  <c r="G2326" i="1"/>
  <c r="G2336" i="1"/>
  <c r="G2328" i="1"/>
  <c r="G2368" i="1"/>
  <c r="G2360" i="1"/>
  <c r="G2352" i="1"/>
  <c r="G2376" i="1"/>
  <c r="G2387" i="1"/>
  <c r="G2379" i="1"/>
  <c r="G2395" i="1"/>
  <c r="G2427" i="1"/>
  <c r="G2419" i="1"/>
  <c r="G2411" i="1"/>
  <c r="G2403" i="1"/>
  <c r="G2440" i="1"/>
  <c r="G2457" i="1"/>
  <c r="G2449" i="1"/>
  <c r="G2467" i="1"/>
  <c r="G2459" i="1"/>
  <c r="G2474" i="1"/>
  <c r="G2499" i="1"/>
  <c r="G2491" i="1"/>
  <c r="G2483" i="1"/>
  <c r="G2531" i="1"/>
  <c r="G2523" i="1"/>
  <c r="G2515" i="1"/>
  <c r="G2507" i="1"/>
  <c r="G2587" i="1"/>
  <c r="G2579" i="1"/>
  <c r="G2571" i="1"/>
  <c r="G2563" i="1"/>
  <c r="G2555" i="1"/>
  <c r="G2547" i="1"/>
  <c r="G2602" i="1"/>
  <c r="G2594" i="1"/>
  <c r="G2609" i="1"/>
  <c r="G2622" i="1"/>
  <c r="G2614" i="1"/>
  <c r="G2652" i="1"/>
  <c r="G2644" i="1"/>
  <c r="G2636" i="1"/>
  <c r="G2628" i="1"/>
  <c r="G2660" i="1"/>
  <c r="G2681" i="1"/>
  <c r="G2673" i="1"/>
  <c r="G2709" i="1"/>
  <c r="G2701" i="1"/>
  <c r="G2693" i="1"/>
  <c r="G2685" i="1"/>
  <c r="G2743" i="1"/>
  <c r="G2735" i="1"/>
  <c r="G2727" i="1"/>
  <c r="G2719" i="1"/>
  <c r="G2755" i="1"/>
  <c r="G2766" i="1"/>
  <c r="G2791" i="1"/>
  <c r="G2783" i="1"/>
  <c r="G2775" i="1"/>
  <c r="G2767" i="1"/>
  <c r="G2797" i="1"/>
  <c r="G2821" i="1"/>
  <c r="G2813" i="1"/>
  <c r="G2805" i="1"/>
  <c r="G2824" i="1"/>
  <c r="G2832" i="1"/>
  <c r="G2870" i="1"/>
  <c r="G2862" i="1"/>
  <c r="G2854" i="1"/>
  <c r="G2846" i="1"/>
  <c r="G2881" i="1"/>
  <c r="G2886" i="1"/>
  <c r="G2915" i="1"/>
  <c r="G2907" i="1"/>
  <c r="G2899" i="1"/>
  <c r="G2932" i="1"/>
  <c r="G2924" i="1"/>
  <c r="G2974" i="1"/>
  <c r="G2966" i="1"/>
  <c r="G2958" i="1"/>
  <c r="G2950" i="1"/>
  <c r="G2942" i="1"/>
  <c r="G2992" i="1"/>
  <c r="G2984" i="1"/>
  <c r="G2976" i="1"/>
  <c r="G2995" i="1"/>
  <c r="G3018" i="1"/>
  <c r="G3010" i="1"/>
  <c r="G3032" i="1"/>
  <c r="G3024" i="1"/>
  <c r="G3038" i="1"/>
  <c r="G3070" i="1"/>
  <c r="G3062" i="1"/>
  <c r="G3054" i="1"/>
  <c r="G3046" i="1"/>
  <c r="G3075" i="1"/>
  <c r="G3100" i="1"/>
  <c r="G3092" i="1"/>
  <c r="G3084" i="1"/>
  <c r="G3109" i="1"/>
  <c r="G3119" i="1"/>
  <c r="G3147" i="1"/>
  <c r="G3139" i="1"/>
  <c r="G3131" i="1"/>
  <c r="G3174" i="1"/>
  <c r="G3166" i="1"/>
  <c r="G3158" i="1"/>
  <c r="G3254" i="1"/>
  <c r="G3246" i="1"/>
  <c r="G3238" i="1"/>
  <c r="G3230" i="1"/>
  <c r="G3222" i="1"/>
  <c r="G3214" i="1"/>
  <c r="G3206" i="1"/>
  <c r="G3198" i="1"/>
  <c r="G3190" i="1"/>
  <c r="G3182" i="1"/>
  <c r="G3255" i="1"/>
  <c r="G3311" i="1"/>
  <c r="G3303" i="1"/>
  <c r="G3295" i="1"/>
  <c r="G3287" i="1"/>
  <c r="G3279" i="1"/>
  <c r="G3271" i="1"/>
  <c r="G3263" i="1"/>
  <c r="G3323" i="1"/>
  <c r="G3336" i="1"/>
  <c r="G3328" i="1"/>
  <c r="G3415" i="1"/>
  <c r="G3407" i="1"/>
  <c r="G3399" i="1"/>
  <c r="G3391" i="1"/>
  <c r="G3383" i="1"/>
  <c r="G3375" i="1"/>
  <c r="G3367" i="1"/>
  <c r="G3359" i="1"/>
  <c r="G3351" i="1"/>
  <c r="G3343" i="1"/>
  <c r="G3424" i="1"/>
  <c r="G3437" i="1"/>
  <c r="G3429" i="1"/>
  <c r="G3457" i="1"/>
  <c r="G3449" i="1"/>
  <c r="G3475" i="1"/>
  <c r="G3467" i="1"/>
  <c r="G3495" i="1"/>
  <c r="G3487" i="1"/>
  <c r="G3479" i="1"/>
  <c r="G3498" i="1"/>
  <c r="G3513" i="1"/>
  <c r="G3505" i="1"/>
  <c r="G3533" i="1"/>
  <c r="G3525" i="1"/>
  <c r="G3547" i="1"/>
  <c r="G3551" i="1"/>
  <c r="G3552" i="1"/>
  <c r="G3561" i="1"/>
  <c r="G3574" i="1"/>
  <c r="G3585" i="1"/>
  <c r="G3588" i="1"/>
  <c r="G3602" i="1"/>
  <c r="G3594" i="1"/>
  <c r="G3623" i="1"/>
  <c r="G3615" i="1"/>
  <c r="G3643" i="1"/>
  <c r="G3635" i="1"/>
  <c r="G1734" i="1"/>
  <c r="G1726" i="1"/>
  <c r="G1718" i="1"/>
  <c r="G1769" i="1"/>
  <c r="G1761" i="1"/>
  <c r="G1753" i="1"/>
  <c r="G1745" i="1"/>
  <c r="G1779" i="1"/>
  <c r="G1805" i="1"/>
  <c r="G1797" i="1"/>
  <c r="G1789" i="1"/>
  <c r="G1811" i="1"/>
  <c r="G1825" i="1"/>
  <c r="G1817" i="1"/>
  <c r="G1836" i="1"/>
  <c r="G1869" i="1"/>
  <c r="G1861" i="1"/>
  <c r="G1853" i="1"/>
  <c r="G1845" i="1"/>
  <c r="G1837" i="1"/>
  <c r="G1912" i="1"/>
  <c r="G1904" i="1"/>
  <c r="G1896" i="1"/>
  <c r="G1888" i="1"/>
  <c r="G1880" i="1"/>
  <c r="G1953" i="1"/>
  <c r="G1945" i="1"/>
  <c r="G1937" i="1"/>
  <c r="G1929" i="1"/>
  <c r="G1921" i="1"/>
  <c r="G1983" i="1"/>
  <c r="G1975" i="1"/>
  <c r="G1967" i="1"/>
  <c r="G1959" i="1"/>
  <c r="G2015" i="1"/>
  <c r="G2007" i="1"/>
  <c r="G1999" i="1"/>
  <c r="G2054" i="1"/>
  <c r="G2046" i="1"/>
  <c r="G2038" i="1"/>
  <c r="G2030" i="1"/>
  <c r="G2022" i="1"/>
  <c r="G2064" i="1"/>
  <c r="G2070" i="1"/>
  <c r="G2071" i="1"/>
  <c r="G2082" i="1"/>
  <c r="G2074" i="1"/>
  <c r="G2103" i="1"/>
  <c r="G2095" i="1"/>
  <c r="G2122" i="1"/>
  <c r="G2114" i="1"/>
  <c r="G2135" i="1"/>
  <c r="G2180" i="1"/>
  <c r="G2172" i="1"/>
  <c r="G2164" i="1"/>
  <c r="G2156" i="1"/>
  <c r="G2148" i="1"/>
  <c r="G2140" i="1"/>
  <c r="G2181" i="1"/>
  <c r="G2224" i="1"/>
  <c r="G2216" i="1"/>
  <c r="G2208" i="1"/>
  <c r="G2200" i="1"/>
  <c r="G2192" i="1"/>
  <c r="G2234" i="1"/>
  <c r="G2245" i="1"/>
  <c r="G2237" i="1"/>
  <c r="G2284" i="1"/>
  <c r="G2276" i="1"/>
  <c r="G2268" i="1"/>
  <c r="G2260" i="1"/>
  <c r="G2252" i="1"/>
  <c r="G2293" i="1"/>
  <c r="G2320" i="1"/>
  <c r="G2312" i="1"/>
  <c r="G2304" i="1"/>
  <c r="G4818" i="1"/>
  <c r="G1733" i="1"/>
  <c r="G1725" i="1"/>
  <c r="G1776" i="1"/>
  <c r="G1768" i="1"/>
  <c r="G1760" i="1"/>
  <c r="G1752" i="1"/>
  <c r="G1744" i="1"/>
  <c r="G1778" i="1"/>
  <c r="G1804" i="1"/>
  <c r="G1796" i="1"/>
  <c r="G1788" i="1"/>
  <c r="G1810" i="1"/>
  <c r="G1824" i="1"/>
  <c r="G1816" i="1"/>
  <c r="G1835" i="1"/>
  <c r="G1868" i="1"/>
  <c r="G1860" i="1"/>
  <c r="G1852" i="1"/>
  <c r="G1844" i="1"/>
  <c r="G1919" i="1"/>
  <c r="G1911" i="1"/>
  <c r="G1903" i="1"/>
  <c r="G1895" i="1"/>
  <c r="G1887" i="1"/>
  <c r="G1879" i="1"/>
  <c r="G1952" i="1"/>
  <c r="G1944" i="1"/>
  <c r="G1936" i="1"/>
  <c r="G1928" i="1"/>
  <c r="G1920" i="1"/>
  <c r="G1982" i="1"/>
  <c r="G1974" i="1"/>
  <c r="G1966" i="1"/>
  <c r="G1958" i="1"/>
  <c r="G2014" i="1"/>
  <c r="G2006" i="1"/>
  <c r="G1998" i="1"/>
  <c r="G2053" i="1"/>
  <c r="G2045" i="1"/>
  <c r="G2037" i="1"/>
  <c r="G2029" i="1"/>
  <c r="G2021" i="1"/>
  <c r="G2063" i="1"/>
  <c r="G2069" i="1"/>
  <c r="G2089" i="1"/>
  <c r="G2081" i="1"/>
  <c r="G2110" i="1"/>
  <c r="G2102" i="1"/>
  <c r="G2094" i="1"/>
  <c r="G2121" i="1"/>
  <c r="G2113" i="1"/>
  <c r="G2134" i="1"/>
  <c r="G2179" i="1"/>
  <c r="G2171" i="1"/>
  <c r="G2163" i="1"/>
  <c r="G2155" i="1"/>
  <c r="G2147" i="1"/>
  <c r="G2139" i="1"/>
  <c r="G2231" i="1"/>
  <c r="G2223" i="1"/>
  <c r="G2215" i="1"/>
  <c r="G2207" i="1"/>
  <c r="G2199" i="1"/>
  <c r="G2191" i="1"/>
  <c r="G2233" i="1"/>
  <c r="G2244" i="1"/>
  <c r="G2236" i="1"/>
  <c r="G2283" i="1"/>
  <c r="G2275" i="1"/>
  <c r="G2267" i="1"/>
  <c r="G2259" i="1"/>
  <c r="G2251" i="1"/>
  <c r="G2292" i="1"/>
  <c r="G2319" i="1"/>
  <c r="G2311" i="1"/>
  <c r="G2303" i="1"/>
  <c r="G2341" i="1"/>
  <c r="G2333" i="1"/>
  <c r="G2373" i="1"/>
  <c r="G2365" i="1"/>
  <c r="G2357" i="1"/>
  <c r="G2349" i="1"/>
  <c r="G2392" i="1"/>
  <c r="G2384" i="1"/>
  <c r="G2400" i="1"/>
  <c r="G2432" i="1"/>
  <c r="G2424" i="1"/>
  <c r="G2416" i="1"/>
  <c r="G2408" i="1"/>
  <c r="G2445" i="1"/>
  <c r="G2437" i="1"/>
  <c r="G2454" i="1"/>
  <c r="G2458" i="1"/>
  <c r="G2464" i="1"/>
  <c r="G2479" i="1"/>
  <c r="G2504" i="1"/>
  <c r="G2496" i="1"/>
  <c r="G2488" i="1"/>
  <c r="G2480" i="1"/>
  <c r="G2528" i="1"/>
  <c r="G2520" i="1"/>
  <c r="G2512" i="1"/>
  <c r="G2540" i="1"/>
  <c r="G2584" i="1"/>
  <c r="G2576" i="1"/>
  <c r="G2568" i="1"/>
  <c r="G2560" i="1"/>
  <c r="G2552" i="1"/>
  <c r="G2544" i="1"/>
  <c r="G2599" i="1"/>
  <c r="G2591" i="1"/>
  <c r="G2627" i="1"/>
  <c r="G2619" i="1"/>
  <c r="G2611" i="1"/>
  <c r="G2649" i="1"/>
  <c r="G2641" i="1"/>
  <c r="G2633" i="1"/>
  <c r="G2665" i="1"/>
  <c r="G2657" i="1"/>
  <c r="G2678" i="1"/>
  <c r="G2670" i="1"/>
  <c r="G2706" i="1"/>
  <c r="G2698" i="1"/>
  <c r="G2690" i="1"/>
  <c r="G2716" i="1"/>
  <c r="G2740" i="1"/>
  <c r="G2732" i="1"/>
  <c r="G2724" i="1"/>
  <c r="G2745" i="1"/>
  <c r="G2752" i="1"/>
  <c r="G2763" i="1"/>
  <c r="G2788" i="1"/>
  <c r="G2780" i="1"/>
  <c r="G2772" i="1"/>
  <c r="G2802" i="1"/>
  <c r="G2794" i="1"/>
  <c r="G2818" i="1"/>
  <c r="G2810" i="1"/>
  <c r="G2160" i="1"/>
  <c r="G2152" i="1"/>
  <c r="G2144" i="1"/>
  <c r="G2185" i="1"/>
  <c r="G2228" i="1"/>
  <c r="G2220" i="1"/>
  <c r="G2212" i="1"/>
  <c r="G2204" i="1"/>
  <c r="G2196" i="1"/>
  <c r="G2188" i="1"/>
  <c r="G2249" i="1"/>
  <c r="G2241" i="1"/>
  <c r="G2288" i="1"/>
  <c r="G2280" i="1"/>
  <c r="G2272" i="1"/>
  <c r="G2264" i="1"/>
  <c r="G2256" i="1"/>
  <c r="G2297" i="1"/>
  <c r="G2324" i="1"/>
  <c r="G2316" i="1"/>
  <c r="G2308" i="1"/>
  <c r="G2300" i="1"/>
  <c r="G2338" i="1"/>
  <c r="G2330" i="1"/>
  <c r="G2370" i="1"/>
  <c r="G2362" i="1"/>
  <c r="G2354" i="1"/>
  <c r="G2346" i="1"/>
  <c r="G2389" i="1"/>
  <c r="G2381" i="1"/>
  <c r="G2397" i="1"/>
  <c r="G2429" i="1"/>
  <c r="G2421" i="1"/>
  <c r="G2413" i="1"/>
  <c r="G2405" i="1"/>
  <c r="G2442" i="1"/>
  <c r="G2434" i="1"/>
  <c r="G2451" i="1"/>
  <c r="G2469" i="1"/>
  <c r="G2461" i="1"/>
  <c r="G2476" i="1"/>
  <c r="G2501" i="1"/>
  <c r="G2493" i="1"/>
  <c r="G2485" i="1"/>
  <c r="G2533" i="1"/>
  <c r="G2525" i="1"/>
  <c r="G2517" i="1"/>
  <c r="G2509" i="1"/>
  <c r="G2537" i="1"/>
  <c r="G2581" i="1"/>
  <c r="G2573" i="1"/>
  <c r="G2565" i="1"/>
  <c r="G2557" i="1"/>
  <c r="G2549" i="1"/>
  <c r="G2604" i="1"/>
  <c r="G2596" i="1"/>
  <c r="G2606" i="1"/>
  <c r="G2624" i="1"/>
  <c r="G2616" i="1"/>
  <c r="G2654" i="1"/>
  <c r="G2646" i="1"/>
  <c r="G2638" i="1"/>
  <c r="G2630" i="1"/>
  <c r="G2662" i="1"/>
  <c r="G2683" i="1"/>
  <c r="G2675" i="1"/>
  <c r="G2711" i="1"/>
  <c r="G2703" i="1"/>
  <c r="G2695" i="1"/>
  <c r="G2687" i="1"/>
  <c r="G2713" i="1"/>
  <c r="G2737" i="1"/>
  <c r="G2729" i="1"/>
  <c r="G2721" i="1"/>
  <c r="G2757" i="1"/>
  <c r="G2749" i="1"/>
  <c r="G2760" i="1"/>
  <c r="G2785" i="1"/>
  <c r="G2777" i="1"/>
  <c r="G2769" i="1"/>
  <c r="G2799" i="1"/>
  <c r="G2823" i="1"/>
  <c r="G2815" i="1"/>
  <c r="G2807" i="1"/>
  <c r="G2826" i="1"/>
  <c r="G2834" i="1"/>
  <c r="G2840" i="1"/>
  <c r="G2864" i="1"/>
  <c r="G2856" i="1"/>
  <c r="G2848" i="1"/>
  <c r="G2872" i="1"/>
  <c r="G2888" i="1"/>
  <c r="G2892" i="1"/>
  <c r="G2909" i="1"/>
  <c r="G2901" i="1"/>
  <c r="G2934" i="1"/>
  <c r="G2926" i="1"/>
  <c r="G2918" i="1"/>
  <c r="G2968" i="1"/>
  <c r="G2960" i="1"/>
  <c r="G2952" i="1"/>
  <c r="G2944" i="1"/>
  <c r="G2936" i="1"/>
  <c r="G2986" i="1"/>
  <c r="G2978" i="1"/>
  <c r="G2997" i="1"/>
  <c r="G3020" i="1"/>
  <c r="G3012" i="1"/>
  <c r="G3034" i="1"/>
  <c r="G3026" i="1"/>
  <c r="G3040" i="1"/>
  <c r="G3072" i="1"/>
  <c r="G3064" i="1"/>
  <c r="G3056" i="1"/>
  <c r="G3048" i="1"/>
  <c r="G3077" i="1"/>
  <c r="G3102" i="1"/>
  <c r="G3094" i="1"/>
  <c r="G3086" i="1"/>
  <c r="G3111" i="1"/>
  <c r="G3121" i="1"/>
  <c r="G3149" i="1"/>
  <c r="G3141" i="1"/>
  <c r="G3133" i="1"/>
  <c r="G3125" i="1"/>
  <c r="G3168" i="1"/>
  <c r="G3160" i="1"/>
  <c r="G3152" i="1"/>
  <c r="G3248" i="1"/>
  <c r="G3240" i="1"/>
  <c r="G3232" i="1"/>
  <c r="G3224" i="1"/>
  <c r="G3216" i="1"/>
  <c r="G3208" i="1"/>
  <c r="G3200" i="1"/>
  <c r="G3192" i="1"/>
  <c r="G3184" i="1"/>
  <c r="G3176" i="1"/>
  <c r="G3313" i="1"/>
  <c r="G3305" i="1"/>
  <c r="G3297" i="1"/>
  <c r="G3289" i="1"/>
  <c r="G3281" i="1"/>
  <c r="G3273" i="1"/>
  <c r="G3265" i="1"/>
  <c r="G3257" i="1"/>
  <c r="G3338" i="1"/>
  <c r="G3330" i="1"/>
  <c r="G3417" i="1"/>
  <c r="G3409" i="1"/>
  <c r="G3401" i="1"/>
  <c r="G3393" i="1"/>
  <c r="G3385" i="1"/>
  <c r="G3377" i="1"/>
  <c r="G3369" i="1"/>
  <c r="G3361" i="1"/>
  <c r="G3353" i="1"/>
  <c r="G3345" i="1"/>
  <c r="G3422" i="1"/>
  <c r="G3439" i="1"/>
  <c r="G3431" i="1"/>
  <c r="G3459" i="1"/>
  <c r="G3451" i="1"/>
  <c r="G3477" i="1"/>
  <c r="G3469" i="1"/>
  <c r="G3461" i="1"/>
  <c r="G3489" i="1"/>
  <c r="G3481" i="1"/>
  <c r="G3500" i="1"/>
  <c r="G3515" i="1"/>
  <c r="G1737" i="1"/>
  <c r="G1729" i="1"/>
  <c r="G1721" i="1"/>
  <c r="G1772" i="1"/>
  <c r="G1764" i="1"/>
  <c r="G1735" i="1"/>
  <c r="G1727" i="1"/>
  <c r="G1719" i="1"/>
  <c r="G1770" i="1"/>
  <c r="G1762" i="1"/>
  <c r="G1754" i="1"/>
  <c r="G1746" i="1"/>
  <c r="G1738" i="1"/>
  <c r="G1780" i="1"/>
  <c r="G1798" i="1"/>
  <c r="G1790" i="1"/>
  <c r="G1812" i="1"/>
  <c r="G1826" i="1"/>
  <c r="G1818" i="1"/>
  <c r="G1829" i="1"/>
  <c r="G1870" i="1"/>
  <c r="G1862" i="1"/>
  <c r="G1854" i="1"/>
  <c r="G1846" i="1"/>
  <c r="G1838" i="1"/>
  <c r="G2342" i="1"/>
  <c r="G2334" i="1"/>
  <c r="G2344" i="1"/>
  <c r="G2366" i="1"/>
  <c r="G2358" i="1"/>
  <c r="G2350" i="1"/>
  <c r="G2374" i="1"/>
  <c r="G2385" i="1"/>
  <c r="G2401" i="1"/>
  <c r="G2393" i="1"/>
  <c r="G2425" i="1"/>
  <c r="G2417" i="1"/>
  <c r="G2409" i="1"/>
  <c r="G2446" i="1"/>
  <c r="G2438" i="1"/>
  <c r="G2455" i="1"/>
  <c r="G2447" i="1"/>
  <c r="G2465" i="1"/>
  <c r="G2472" i="1"/>
  <c r="G2505" i="1"/>
  <c r="G2497" i="1"/>
  <c r="G2489" i="1"/>
  <c r="G2481" i="1"/>
  <c r="G2529" i="1"/>
  <c r="G2521" i="1"/>
  <c r="G2513" i="1"/>
  <c r="G2541" i="1"/>
  <c r="G2585" i="1"/>
  <c r="G2577" i="1"/>
  <c r="G2569" i="1"/>
  <c r="G2561" i="1"/>
  <c r="G2553" i="1"/>
  <c r="G2545" i="1"/>
  <c r="G2600" i="1"/>
  <c r="G2592" i="1"/>
  <c r="G2607" i="1"/>
  <c r="G2620" i="1"/>
  <c r="G2612" i="1"/>
  <c r="G2650" i="1"/>
  <c r="G2642" i="1"/>
  <c r="G2634" i="1"/>
  <c r="G2666" i="1"/>
  <c r="G2658" i="1"/>
  <c r="G2679" i="1"/>
  <c r="G2671" i="1"/>
  <c r="G2707" i="1"/>
  <c r="G2699" i="1"/>
  <c r="G2691" i="1"/>
  <c r="G2717" i="1"/>
  <c r="G2741" i="1"/>
  <c r="G2733" i="1"/>
  <c r="G2725" i="1"/>
  <c r="G2746" i="1"/>
  <c r="G2753" i="1"/>
  <c r="G2764" i="1"/>
  <c r="G2789" i="1"/>
  <c r="G2781" i="1"/>
  <c r="G2773" i="1"/>
  <c r="G2803" i="1"/>
  <c r="G2795" i="1"/>
  <c r="G2819" i="1"/>
  <c r="G2811" i="1"/>
  <c r="G2830" i="1"/>
  <c r="G2838" i="1"/>
  <c r="G2844" i="1"/>
  <c r="G2868" i="1"/>
  <c r="G2860" i="1"/>
  <c r="G2852" i="1"/>
  <c r="G2876" i="1"/>
  <c r="G2879" i="1"/>
  <c r="G2884" i="1"/>
  <c r="G2913" i="1"/>
  <c r="G2905" i="1"/>
  <c r="G2897" i="1"/>
  <c r="G2930" i="1"/>
  <c r="G2922" i="1"/>
  <c r="G2972" i="1"/>
  <c r="G2964" i="1"/>
  <c r="G2956" i="1"/>
  <c r="G2948" i="1"/>
  <c r="G2940" i="1"/>
  <c r="G2990" i="1"/>
  <c r="G2982" i="1"/>
  <c r="G3001" i="1"/>
  <c r="G2993" i="1"/>
  <c r="G3016" i="1"/>
  <c r="G3008" i="1"/>
  <c r="G3030" i="1"/>
  <c r="G3022" i="1"/>
  <c r="G3036" i="1"/>
  <c r="G3068" i="1"/>
  <c r="G3060" i="1"/>
  <c r="G3052" i="1"/>
  <c r="G3044" i="1"/>
  <c r="G3080" i="1"/>
  <c r="G3098" i="1"/>
  <c r="G3090" i="1"/>
  <c r="G3082" i="1"/>
  <c r="G3107" i="1"/>
  <c r="G3117" i="1"/>
  <c r="G3145" i="1"/>
  <c r="G3137" i="1"/>
  <c r="G3129" i="1"/>
  <c r="G3172" i="1"/>
  <c r="G3164" i="1"/>
  <c r="G3156" i="1"/>
  <c r="G3252" i="1"/>
  <c r="G3244" i="1"/>
  <c r="G3236" i="1"/>
  <c r="G3228" i="1"/>
  <c r="G3220" i="1"/>
  <c r="G3212" i="1"/>
  <c r="G3204" i="1"/>
  <c r="G3196" i="1"/>
  <c r="G3188" i="1"/>
  <c r="G3180" i="1"/>
  <c r="G3317" i="1"/>
  <c r="G3309" i="1"/>
  <c r="G3301" i="1"/>
  <c r="G3293" i="1"/>
  <c r="G3285" i="1"/>
  <c r="G3277" i="1"/>
  <c r="G3269" i="1"/>
  <c r="G3261" i="1"/>
  <c r="G3321" i="1"/>
  <c r="G3334" i="1"/>
  <c r="G3326" i="1"/>
  <c r="G3413" i="1"/>
  <c r="G3405" i="1"/>
  <c r="G3397" i="1"/>
  <c r="G3389" i="1"/>
  <c r="G3381" i="1"/>
  <c r="G3373" i="1"/>
  <c r="G3365" i="1"/>
  <c r="G3357" i="1"/>
  <c r="G3349" i="1"/>
  <c r="G3341" i="1"/>
  <c r="G3443" i="1"/>
  <c r="G3435" i="1"/>
  <c r="G3427" i="1"/>
  <c r="G3455" i="1"/>
  <c r="G3447" i="1"/>
  <c r="G3473" i="1"/>
  <c r="G3465" i="1"/>
  <c r="G3493" i="1"/>
  <c r="G3485" i="1"/>
  <c r="G3504" i="1"/>
  <c r="G3519" i="1"/>
  <c r="G3511" i="1"/>
  <c r="G3539" i="1"/>
  <c r="G3531" i="1"/>
  <c r="G3523" i="1"/>
  <c r="G3545" i="1"/>
  <c r="G3558" i="1"/>
  <c r="G3567" i="1"/>
  <c r="G3580" i="1"/>
  <c r="G3572" i="1"/>
  <c r="G3583" i="1"/>
  <c r="G3608" i="1"/>
  <c r="G3600" i="1"/>
  <c r="G3629" i="1"/>
  <c r="G3621" i="1"/>
  <c r="G3613" i="1"/>
  <c r="G3641" i="1"/>
  <c r="G3633" i="1"/>
  <c r="G3703" i="1"/>
  <c r="G3695" i="1"/>
  <c r="G3687" i="1"/>
  <c r="G3679" i="1"/>
  <c r="G3671" i="1"/>
  <c r="G3663" i="1"/>
  <c r="G3655" i="1"/>
  <c r="G3647" i="1"/>
  <c r="G3724" i="1"/>
  <c r="G3716" i="1"/>
  <c r="G3708" i="1"/>
  <c r="G3748" i="1"/>
  <c r="G3740" i="1"/>
  <c r="G3754" i="1"/>
  <c r="G3806" i="1"/>
  <c r="G3798" i="1"/>
  <c r="G2829" i="1"/>
  <c r="G2837" i="1"/>
  <c r="G2843" i="1"/>
  <c r="G2867" i="1"/>
  <c r="G2859" i="1"/>
  <c r="G2851" i="1"/>
  <c r="G2875" i="1"/>
  <c r="G2891" i="1"/>
  <c r="G2883" i="1"/>
  <c r="G2912" i="1"/>
  <c r="G2904" i="1"/>
  <c r="G2896" i="1"/>
  <c r="G2929" i="1"/>
  <c r="G2921" i="1"/>
  <c r="G2971" i="1"/>
  <c r="G2963" i="1"/>
  <c r="G2955" i="1"/>
  <c r="G2947" i="1"/>
  <c r="G2939" i="1"/>
  <c r="G2989" i="1"/>
  <c r="G2981" i="1"/>
  <c r="G3000" i="1"/>
  <c r="G3004" i="1"/>
  <c r="G3015" i="1"/>
  <c r="G3007" i="1"/>
  <c r="G3029" i="1"/>
  <c r="G3021" i="1"/>
  <c r="G3035" i="1"/>
  <c r="G3067" i="1"/>
  <c r="G3059" i="1"/>
  <c r="G3051" i="1"/>
  <c r="G3043" i="1"/>
  <c r="G3105" i="1"/>
  <c r="G3097" i="1"/>
  <c r="G3089" i="1"/>
  <c r="G3114" i="1"/>
  <c r="G3106" i="1"/>
  <c r="G3116" i="1"/>
  <c r="G3144" i="1"/>
  <c r="G3136" i="1"/>
  <c r="G3128" i="1"/>
  <c r="G3171" i="1"/>
  <c r="G3163" i="1"/>
  <c r="G3155" i="1"/>
  <c r="G3251" i="1"/>
  <c r="G3243" i="1"/>
  <c r="G3235" i="1"/>
  <c r="G3227" i="1"/>
  <c r="G3219" i="1"/>
  <c r="G3211" i="1"/>
  <c r="G3203" i="1"/>
  <c r="G3195" i="1"/>
  <c r="G3187" i="1"/>
  <c r="G3179" i="1"/>
  <c r="G3316" i="1"/>
  <c r="G3308" i="1"/>
  <c r="G3300" i="1"/>
  <c r="G3292" i="1"/>
  <c r="G3284" i="1"/>
  <c r="G3276" i="1"/>
  <c r="G3268" i="1"/>
  <c r="G3260" i="1"/>
  <c r="G3320" i="1"/>
  <c r="G3333" i="1"/>
  <c r="G3325" i="1"/>
  <c r="G3412" i="1"/>
  <c r="G3404" i="1"/>
  <c r="G3396" i="1"/>
  <c r="G3388" i="1"/>
  <c r="G3380" i="1"/>
  <c r="G3372" i="1"/>
  <c r="G3364" i="1"/>
  <c r="G3356" i="1"/>
  <c r="G3348" i="1"/>
  <c r="G3340" i="1"/>
  <c r="G3442" i="1"/>
  <c r="G3434" i="1"/>
  <c r="G3426" i="1"/>
  <c r="G3454" i="1"/>
  <c r="G3446" i="1"/>
  <c r="G3472" i="1"/>
  <c r="G3464" i="1"/>
  <c r="G3492" i="1"/>
  <c r="G3484" i="1"/>
  <c r="G3503" i="1"/>
  <c r="G3518" i="1"/>
  <c r="G3510" i="1"/>
  <c r="G3538" i="1"/>
  <c r="G3530" i="1"/>
  <c r="G3522" i="1"/>
  <c r="G3544" i="1"/>
  <c r="G3557" i="1"/>
  <c r="G3566" i="1"/>
  <c r="G3579" i="1"/>
  <c r="G3571" i="1"/>
  <c r="G3582" i="1"/>
  <c r="G3607" i="1"/>
  <c r="G3599" i="1"/>
  <c r="G3628" i="1"/>
  <c r="G3620" i="1"/>
  <c r="G3612" i="1"/>
  <c r="G3640" i="1"/>
  <c r="G3632" i="1"/>
  <c r="G3702" i="1"/>
  <c r="G3694" i="1"/>
  <c r="G3686" i="1"/>
  <c r="G3678" i="1"/>
  <c r="G3670" i="1"/>
  <c r="G3662" i="1"/>
  <c r="G3654" i="1"/>
  <c r="G3731" i="1"/>
  <c r="G3723" i="1"/>
  <c r="G3715" i="1"/>
  <c r="G1732" i="1"/>
  <c r="G1724" i="1"/>
  <c r="G1775" i="1"/>
  <c r="G1767" i="1"/>
  <c r="G1759" i="1"/>
  <c r="G1751" i="1"/>
  <c r="G1743" i="1"/>
  <c r="G1777" i="1"/>
  <c r="G1803" i="1"/>
  <c r="G1795" i="1"/>
  <c r="G1787" i="1"/>
  <c r="G1809" i="1"/>
  <c r="G1823" i="1"/>
  <c r="G1815" i="1"/>
  <c r="G1834" i="1"/>
  <c r="G1867" i="1"/>
  <c r="G1859" i="1"/>
  <c r="G1851" i="1"/>
  <c r="G1843" i="1"/>
  <c r="G1918" i="1"/>
  <c r="G1910" i="1"/>
  <c r="G1902" i="1"/>
  <c r="G1894" i="1"/>
  <c r="G1886" i="1"/>
  <c r="G1878" i="1"/>
  <c r="G1951" i="1"/>
  <c r="G1943" i="1"/>
  <c r="G1935" i="1"/>
  <c r="G1927" i="1"/>
  <c r="G1989" i="1"/>
  <c r="G1981" i="1"/>
  <c r="G1973" i="1"/>
  <c r="G1965" i="1"/>
  <c r="G1957" i="1"/>
  <c r="G2013" i="1"/>
  <c r="G2005" i="1"/>
  <c r="G1997" i="1"/>
  <c r="G2052" i="1"/>
  <c r="G2044" i="1"/>
  <c r="G2036" i="1"/>
  <c r="G2028" i="1"/>
  <c r="G2020" i="1"/>
  <c r="G2062" i="1"/>
  <c r="G2068" i="1"/>
  <c r="G2088" i="1"/>
  <c r="G2080" i="1"/>
  <c r="G2109" i="1"/>
  <c r="G2101" i="1"/>
  <c r="G2093" i="1"/>
  <c r="G2120" i="1"/>
  <c r="G2112" i="1"/>
  <c r="G2133" i="1"/>
  <c r="G2178" i="1"/>
  <c r="G2170" i="1"/>
  <c r="G2162" i="1"/>
  <c r="G2154" i="1"/>
  <c r="G2146" i="1"/>
  <c r="G2138" i="1"/>
  <c r="G2230" i="1"/>
  <c r="G2222" i="1"/>
  <c r="G2214" i="1"/>
  <c r="G2206" i="1"/>
  <c r="G2198" i="1"/>
  <c r="G2190" i="1"/>
  <c r="G2232" i="1"/>
  <c r="G2243" i="1"/>
  <c r="G2290" i="1"/>
  <c r="G2282" i="1"/>
  <c r="G2274" i="1"/>
  <c r="G2266" i="1"/>
  <c r="G2258" i="1"/>
  <c r="G2299" i="1"/>
  <c r="G2291" i="1"/>
  <c r="G2318" i="1"/>
  <c r="G2310" i="1"/>
  <c r="G2302" i="1"/>
  <c r="G2340" i="1"/>
  <c r="G2332" i="1"/>
  <c r="G2372" i="1"/>
  <c r="G2364" i="1"/>
  <c r="G2356" i="1"/>
  <c r="G2348" i="1"/>
  <c r="G2391" i="1"/>
  <c r="G2383" i="1"/>
  <c r="G2399" i="1"/>
  <c r="G2431" i="1"/>
  <c r="G2423" i="1"/>
  <c r="G2415" i="1"/>
  <c r="G2407" i="1"/>
  <c r="G2444" i="1"/>
  <c r="G2436" i="1"/>
  <c r="G2453" i="1"/>
  <c r="G2471" i="1"/>
  <c r="G2463" i="1"/>
  <c r="G2478" i="1"/>
  <c r="G2503" i="1"/>
  <c r="G2495" i="1"/>
  <c r="G2487" i="1"/>
  <c r="G2535" i="1"/>
  <c r="G2527" i="1"/>
  <c r="G2519" i="1"/>
  <c r="G2511" i="1"/>
  <c r="G2539" i="1"/>
  <c r="G2583" i="1"/>
  <c r="G2575" i="1"/>
  <c r="G2567" i="1"/>
  <c r="G2559" i="1"/>
  <c r="G2551" i="1"/>
  <c r="G2543" i="1"/>
  <c r="G2598" i="1"/>
  <c r="G2590" i="1"/>
  <c r="G2626" i="1"/>
  <c r="G2618" i="1"/>
  <c r="G2610" i="1"/>
  <c r="G2648" i="1"/>
  <c r="G2640" i="1"/>
  <c r="G2632" i="1"/>
  <c r="G2664" i="1"/>
  <c r="G2656" i="1"/>
  <c r="G2677" i="1"/>
  <c r="G2669" i="1"/>
  <c r="G2705" i="1"/>
  <c r="G2697" i="1"/>
  <c r="G2689" i="1"/>
  <c r="G2715" i="1"/>
  <c r="G2739" i="1"/>
  <c r="G2731" i="1"/>
  <c r="G2723" i="1"/>
  <c r="G2744" i="1"/>
  <c r="G2751" i="1"/>
  <c r="G2762" i="1"/>
  <c r="G2787" i="1"/>
  <c r="G2779" i="1"/>
  <c r="G2771" i="1"/>
  <c r="G2801" i="1"/>
  <c r="G2793" i="1"/>
  <c r="G2817" i="1"/>
  <c r="G2809" i="1"/>
  <c r="G2828" i="1"/>
  <c r="G2836" i="1"/>
  <c r="G2842" i="1"/>
  <c r="G2866" i="1"/>
  <c r="G2858" i="1"/>
  <c r="G2850" i="1"/>
  <c r="G2874" i="1"/>
  <c r="G2890" i="1"/>
  <c r="G2882" i="1"/>
  <c r="G2911" i="1"/>
  <c r="G2903" i="1"/>
  <c r="G2895" i="1"/>
  <c r="G2928" i="1"/>
  <c r="G2920" i="1"/>
  <c r="G2970" i="1"/>
  <c r="G2962" i="1"/>
  <c r="G2954" i="1"/>
  <c r="G2946" i="1"/>
  <c r="G2938" i="1"/>
  <c r="G2988" i="1"/>
  <c r="G2980" i="1"/>
  <c r="G2999" i="1"/>
  <c r="G3003" i="1"/>
  <c r="G3014" i="1"/>
  <c r="G3006" i="1"/>
  <c r="G3028" i="1"/>
  <c r="G3042" i="1"/>
  <c r="G3074" i="1"/>
  <c r="G3066" i="1"/>
  <c r="G3058" i="1"/>
  <c r="G3050" i="1"/>
  <c r="G3079" i="1"/>
  <c r="G3104" i="1"/>
  <c r="G3096" i="1"/>
  <c r="G3088" i="1"/>
  <c r="G1731" i="1"/>
  <c r="G1723" i="1"/>
  <c r="G1774" i="1"/>
  <c r="G1766" i="1"/>
  <c r="G1758" i="1"/>
  <c r="G1750" i="1"/>
  <c r="G1742" i="1"/>
  <c r="G1784" i="1"/>
  <c r="G1802" i="1"/>
  <c r="G1794" i="1"/>
  <c r="G1786" i="1"/>
  <c r="G1808" i="1"/>
  <c r="G1822" i="1"/>
  <c r="G1814" i="1"/>
  <c r="G1833" i="1"/>
  <c r="G1866" i="1"/>
  <c r="G1858" i="1"/>
  <c r="G1850" i="1"/>
  <c r="G1842" i="1"/>
  <c r="G1917" i="1"/>
  <c r="G1909" i="1"/>
  <c r="G1901" i="1"/>
  <c r="G1893" i="1"/>
  <c r="G1885" i="1"/>
  <c r="G1877" i="1"/>
  <c r="G1950" i="1"/>
  <c r="G1942" i="1"/>
  <c r="G1934" i="1"/>
  <c r="G1926" i="1"/>
  <c r="G1988" i="1"/>
  <c r="G1980" i="1"/>
  <c r="G1972" i="1"/>
  <c r="G1964" i="1"/>
  <c r="G1956" i="1"/>
  <c r="G2012" i="1"/>
  <c r="G2004" i="1"/>
  <c r="G1996" i="1"/>
  <c r="G2051" i="1"/>
  <c r="G2043" i="1"/>
  <c r="G2035" i="1"/>
  <c r="G2027" i="1"/>
  <c r="G2019" i="1"/>
  <c r="G2061" i="1"/>
  <c r="G2067" i="1"/>
  <c r="G2087" i="1"/>
  <c r="G2079" i="1"/>
  <c r="G2108" i="1"/>
  <c r="G2100" i="1"/>
  <c r="G2092" i="1"/>
  <c r="G2119" i="1"/>
  <c r="G2111" i="1"/>
  <c r="G2132" i="1"/>
  <c r="G2177" i="1"/>
  <c r="G2169" i="1"/>
  <c r="G2161" i="1"/>
  <c r="G2153" i="1"/>
  <c r="G2145" i="1"/>
  <c r="G2137" i="1"/>
  <c r="G2229" i="1"/>
  <c r="G2221" i="1"/>
  <c r="G2213" i="1"/>
  <c r="G2205" i="1"/>
  <c r="G2197" i="1"/>
  <c r="G2189" i="1"/>
  <c r="G2250" i="1"/>
  <c r="G2242" i="1"/>
  <c r="G2289" i="1"/>
  <c r="G2281" i="1"/>
  <c r="G2273" i="1"/>
  <c r="G2265" i="1"/>
  <c r="G2257" i="1"/>
  <c r="G2298" i="1"/>
  <c r="G2325" i="1"/>
  <c r="G2317" i="1"/>
  <c r="G2309" i="1"/>
  <c r="G2301" i="1"/>
  <c r="G2339" i="1"/>
  <c r="G2331" i="1"/>
  <c r="G2371" i="1"/>
  <c r="G2363" i="1"/>
  <c r="G2355" i="1"/>
  <c r="G1756" i="1"/>
  <c r="G1748" i="1"/>
  <c r="G1740" i="1"/>
  <c r="G1782" i="1"/>
  <c r="G1800" i="1"/>
  <c r="G1792" i="1"/>
  <c r="G1806" i="1"/>
  <c r="G1828" i="1"/>
  <c r="G1820" i="1"/>
  <c r="G1831" i="1"/>
  <c r="G1872" i="1"/>
  <c r="G1864" i="1"/>
  <c r="G1856" i="1"/>
  <c r="G1848" i="1"/>
  <c r="G1840" i="1"/>
  <c r="G1915" i="1"/>
  <c r="G1907" i="1"/>
  <c r="G1899" i="1"/>
  <c r="G1891" i="1"/>
  <c r="G1883" i="1"/>
  <c r="G1875" i="1"/>
  <c r="G1948" i="1"/>
  <c r="G1940" i="1"/>
  <c r="G1932" i="1"/>
  <c r="G1924" i="1"/>
  <c r="G1986" i="1"/>
  <c r="G1978" i="1"/>
  <c r="G1970" i="1"/>
  <c r="G1962" i="1"/>
  <c r="G1991" i="1"/>
  <c r="G2010" i="1"/>
  <c r="G2002" i="1"/>
  <c r="G1994" i="1"/>
  <c r="G2049" i="1"/>
  <c r="G2041" i="1"/>
  <c r="G2033" i="1"/>
  <c r="G2025" i="1"/>
  <c r="G2017" i="1"/>
  <c r="G2059" i="1"/>
  <c r="G2065" i="1"/>
  <c r="G2085" i="1"/>
  <c r="G2077" i="1"/>
  <c r="G2106" i="1"/>
  <c r="G2098" i="1"/>
  <c r="G2090" i="1"/>
  <c r="G2117" i="1"/>
  <c r="G2125" i="1"/>
  <c r="G2130" i="1"/>
  <c r="G2175" i="1"/>
  <c r="G2167" i="1"/>
  <c r="G2159" i="1"/>
  <c r="G2151" i="1"/>
  <c r="G2143" i="1"/>
  <c r="G2184" i="1"/>
  <c r="G2227" i="1"/>
  <c r="G2219" i="1"/>
  <c r="G2211" i="1"/>
  <c r="G2203" i="1"/>
  <c r="G2195" i="1"/>
  <c r="G2187" i="1"/>
  <c r="G2248" i="1"/>
  <c r="G2240" i="1"/>
  <c r="G2287" i="1"/>
  <c r="G2279" i="1"/>
  <c r="G2271" i="1"/>
  <c r="G2263" i="1"/>
  <c r="G2255" i="1"/>
  <c r="G2296" i="1"/>
  <c r="G2323" i="1"/>
  <c r="G2315" i="1"/>
  <c r="G2307" i="1"/>
  <c r="G2327" i="1"/>
  <c r="G2337" i="1"/>
  <c r="G2329" i="1"/>
  <c r="G2369" i="1"/>
  <c r="G2361" i="1"/>
  <c r="G2353" i="1"/>
  <c r="G2377" i="1"/>
  <c r="G2388" i="1"/>
  <c r="G2380" i="1"/>
  <c r="G2396" i="1"/>
  <c r="G2428" i="1"/>
  <c r="G2420" i="1"/>
  <c r="G2412" i="1"/>
  <c r="G2404" i="1"/>
  <c r="G2441" i="1"/>
  <c r="G2433" i="1"/>
  <c r="G2450" i="1"/>
  <c r="G2468" i="1"/>
  <c r="G2460" i="1"/>
  <c r="G2475" i="1"/>
  <c r="G2500" i="1"/>
  <c r="G2492" i="1"/>
  <c r="G2484" i="1"/>
  <c r="G2532" i="1"/>
  <c r="G2524" i="1"/>
  <c r="G2516" i="1"/>
  <c r="G2508" i="1"/>
  <c r="G2536" i="1"/>
  <c r="G2580" i="1"/>
  <c r="G2572" i="1"/>
  <c r="G2564" i="1"/>
  <c r="G2556" i="1"/>
  <c r="G2548" i="1"/>
  <c r="G2603" i="1"/>
  <c r="G2595" i="1"/>
  <c r="G2605" i="1"/>
  <c r="G2623" i="1"/>
  <c r="G2615" i="1"/>
  <c r="G2653" i="1"/>
  <c r="G2645" i="1"/>
  <c r="G2637" i="1"/>
  <c r="G2629" i="1"/>
  <c r="G2661" i="1"/>
  <c r="G2682" i="1"/>
  <c r="G2674" i="1"/>
  <c r="G2710" i="1"/>
  <c r="G2702" i="1"/>
  <c r="G2694" i="1"/>
  <c r="G2686" i="1"/>
  <c r="G2712" i="1"/>
  <c r="G2736" i="1"/>
  <c r="G2728" i="1"/>
  <c r="G2720" i="1"/>
  <c r="G2756" i="1"/>
  <c r="G2748" i="1"/>
  <c r="G2759" i="1"/>
  <c r="G2784" i="1"/>
  <c r="G2776" i="1"/>
  <c r="G2768" i="1"/>
  <c r="G2798" i="1"/>
  <c r="G2822" i="1"/>
  <c r="G2814" i="1"/>
  <c r="G2806" i="1"/>
  <c r="G2825" i="1"/>
  <c r="G2833" i="1"/>
  <c r="G2871" i="1"/>
  <c r="G2863" i="1"/>
  <c r="G2855" i="1"/>
  <c r="G2847" i="1"/>
  <c r="G2878" i="1"/>
  <c r="G2887" i="1"/>
  <c r="G2916" i="1"/>
  <c r="G2908" i="1"/>
  <c r="G2900" i="1"/>
  <c r="G2933" i="1"/>
  <c r="G2925" i="1"/>
  <c r="G2917" i="1"/>
  <c r="G2967" i="1"/>
  <c r="G2959" i="1"/>
  <c r="G2951" i="1"/>
  <c r="G2943" i="1"/>
  <c r="G2935" i="1"/>
  <c r="G2985" i="1"/>
  <c r="G2977" i="1"/>
  <c r="G2996" i="1"/>
  <c r="G3019" i="1"/>
  <c r="G3011" i="1"/>
  <c r="G3033" i="1"/>
  <c r="G3025" i="1"/>
  <c r="G3039" i="1"/>
  <c r="G3071" i="1"/>
  <c r="G3063" i="1"/>
  <c r="G3055" i="1"/>
  <c r="G3047" i="1"/>
  <c r="G3076" i="1"/>
  <c r="G3101" i="1"/>
  <c r="G3093" i="1"/>
  <c r="G3705" i="1"/>
  <c r="G3697" i="1"/>
  <c r="G3689" i="1"/>
  <c r="G3681" i="1"/>
  <c r="G3673" i="1"/>
  <c r="G3665" i="1"/>
  <c r="G3657" i="1"/>
  <c r="G3649" i="1"/>
  <c r="G3726" i="1"/>
  <c r="G3718" i="1"/>
  <c r="G3710" i="1"/>
  <c r="G3750" i="1"/>
  <c r="G3742" i="1"/>
  <c r="G3734" i="1"/>
  <c r="G3808" i="1"/>
  <c r="G3800" i="1"/>
  <c r="G3792" i="1"/>
  <c r="G3784" i="1"/>
  <c r="G3776" i="1"/>
  <c r="G3768" i="1"/>
  <c r="G3760" i="1"/>
  <c r="G3820" i="1"/>
  <c r="G3845" i="1"/>
  <c r="G3837" i="1"/>
  <c r="G3829" i="1"/>
  <c r="G3869" i="1"/>
  <c r="G3861" i="1"/>
  <c r="G3853" i="1"/>
  <c r="G3874" i="1"/>
  <c r="G3879" i="1"/>
  <c r="G3885" i="1"/>
  <c r="G3899" i="1"/>
  <c r="G3919" i="1"/>
  <c r="G3911" i="1"/>
  <c r="G3903" i="1"/>
  <c r="G3922" i="1"/>
  <c r="G3931" i="1"/>
  <c r="G3943" i="1"/>
  <c r="G3973" i="1"/>
  <c r="G3965" i="1"/>
  <c r="G3957" i="1"/>
  <c r="G3949" i="1"/>
  <c r="G3990" i="1"/>
  <c r="G3982" i="1"/>
  <c r="G3995" i="1"/>
  <c r="G4020" i="1"/>
  <c r="G4012" i="1"/>
  <c r="G4004" i="1"/>
  <c r="G4033" i="1"/>
  <c r="G4040" i="1"/>
  <c r="G4042" i="1"/>
  <c r="G4069" i="1"/>
  <c r="G4061" i="1"/>
  <c r="G4053" i="1"/>
  <c r="G4122" i="1"/>
  <c r="G4114" i="1"/>
  <c r="G4106" i="1"/>
  <c r="G4098" i="1"/>
  <c r="G4090" i="1"/>
  <c r="G4082" i="1"/>
  <c r="G4126" i="1"/>
  <c r="G4130" i="1"/>
  <c r="G4139" i="1"/>
  <c r="G4148" i="1"/>
  <c r="G4186" i="1"/>
  <c r="G4178" i="1"/>
  <c r="G4170" i="1"/>
  <c r="G4162" i="1"/>
  <c r="G4200" i="1"/>
  <c r="G4192" i="1"/>
  <c r="G4217" i="1"/>
  <c r="G4209" i="1"/>
  <c r="G4233" i="1"/>
  <c r="G4225" i="1"/>
  <c r="G4263" i="1"/>
  <c r="G4255" i="1"/>
  <c r="G4247" i="1"/>
  <c r="G4239" i="1"/>
  <c r="G4302" i="1"/>
  <c r="G4294" i="1"/>
  <c r="G4286" i="1"/>
  <c r="G4278" i="1"/>
  <c r="G4270" i="1"/>
  <c r="G4313" i="1"/>
  <c r="G4305" i="1"/>
  <c r="G4324" i="1"/>
  <c r="G4336" i="1"/>
  <c r="G4362" i="1"/>
  <c r="G4354" i="1"/>
  <c r="G4346" i="1"/>
  <c r="G4374" i="1"/>
  <c r="G4366" i="1"/>
  <c r="G4414" i="1"/>
  <c r="G4406" i="1"/>
  <c r="G4398" i="1"/>
  <c r="G4390" i="1"/>
  <c r="G4382" i="1"/>
  <c r="G4430" i="1"/>
  <c r="G4422" i="1"/>
  <c r="G4439" i="1"/>
  <c r="G4448" i="1"/>
  <c r="G4462" i="1"/>
  <c r="G4454" i="1"/>
  <c r="G4482" i="1"/>
  <c r="G4474" i="1"/>
  <c r="G4466" i="1"/>
  <c r="G4488" i="1"/>
  <c r="G4505" i="1"/>
  <c r="G4497" i="1"/>
  <c r="G4521" i="1"/>
  <c r="G4513" i="1"/>
  <c r="G4542" i="1"/>
  <c r="G4564" i="1"/>
  <c r="G4556" i="1"/>
  <c r="G4548" i="1"/>
  <c r="G4567" i="1"/>
  <c r="G4575" i="1"/>
  <c r="G4585" i="1"/>
  <c r="G4611" i="1"/>
  <c r="G4603" i="1"/>
  <c r="G4595" i="1"/>
  <c r="G4618" i="1"/>
  <c r="G4628" i="1"/>
  <c r="G4620" i="1"/>
  <c r="G4652" i="1"/>
  <c r="G4644" i="1"/>
  <c r="G4653" i="1"/>
  <c r="G4668" i="1"/>
  <c r="G4660" i="1"/>
  <c r="G4685" i="1"/>
  <c r="G4677" i="1"/>
  <c r="G4709" i="1"/>
  <c r="G4701" i="1"/>
  <c r="G4693" i="1"/>
  <c r="G4720" i="1"/>
  <c r="G4730" i="1"/>
  <c r="G4741" i="1"/>
  <c r="G4733" i="1"/>
  <c r="G4759" i="1"/>
  <c r="G4751" i="1"/>
  <c r="G4769" i="1"/>
  <c r="G4761" i="1"/>
  <c r="G4777" i="1"/>
  <c r="G4799" i="1"/>
  <c r="G4791" i="1"/>
  <c r="G4811" i="1"/>
  <c r="G4814" i="1"/>
  <c r="G1913" i="1"/>
  <c r="G1905" i="1"/>
  <c r="G1897" i="1"/>
  <c r="G1889" i="1"/>
  <c r="G1881" i="1"/>
  <c r="G1954" i="1"/>
  <c r="G1946" i="1"/>
  <c r="G1938" i="1"/>
  <c r="G1930" i="1"/>
  <c r="G1922" i="1"/>
  <c r="G1984" i="1"/>
  <c r="G1976" i="1"/>
  <c r="G1968" i="1"/>
  <c r="G1960" i="1"/>
  <c r="G2016" i="1"/>
  <c r="G2008" i="1"/>
  <c r="G2000" i="1"/>
  <c r="G1992" i="1"/>
  <c r="G2047" i="1"/>
  <c r="G2039" i="1"/>
  <c r="G2031" i="1"/>
  <c r="G2023" i="1"/>
  <c r="G2055" i="1"/>
  <c r="G2057" i="1"/>
  <c r="G2072" i="1"/>
  <c r="G2083" i="1"/>
  <c r="G2075" i="1"/>
  <c r="G2104" i="1"/>
  <c r="G2096" i="1"/>
  <c r="G2123" i="1"/>
  <c r="G2115" i="1"/>
  <c r="G2136" i="1"/>
  <c r="G2128" i="1"/>
  <c r="G2173" i="1"/>
  <c r="G2165" i="1"/>
  <c r="G2157" i="1"/>
  <c r="G2149" i="1"/>
  <c r="G2141" i="1"/>
  <c r="G2182" i="1"/>
  <c r="G2225" i="1"/>
  <c r="G2217" i="1"/>
  <c r="G2209" i="1"/>
  <c r="G2201" i="1"/>
  <c r="G2193" i="1"/>
  <c r="G2235" i="1"/>
  <c r="G2246" i="1"/>
  <c r="G2238" i="1"/>
  <c r="G2285" i="1"/>
  <c r="G2277" i="1"/>
  <c r="G2269" i="1"/>
  <c r="G2261" i="1"/>
  <c r="G2253" i="1"/>
  <c r="G2294" i="1"/>
  <c r="G2321" i="1"/>
  <c r="G2313" i="1"/>
  <c r="G2305" i="1"/>
  <c r="G2343" i="1"/>
  <c r="G2335" i="1"/>
  <c r="G2345" i="1"/>
  <c r="G2367" i="1"/>
  <c r="G2359" i="1"/>
  <c r="G2351" i="1"/>
  <c r="G2375" i="1"/>
  <c r="G2386" i="1"/>
  <c r="G2378" i="1"/>
  <c r="G2394" i="1"/>
  <c r="G2426" i="1"/>
  <c r="G2418" i="1"/>
  <c r="G2410" i="1"/>
  <c r="G2402" i="1"/>
  <c r="G2439" i="1"/>
  <c r="G2456" i="1"/>
  <c r="G2448" i="1"/>
  <c r="G2466" i="1"/>
  <c r="G2473" i="1"/>
  <c r="G2506" i="1"/>
  <c r="G2498" i="1"/>
  <c r="G2490" i="1"/>
  <c r="G2482" i="1"/>
  <c r="G2530" i="1"/>
  <c r="G2522" i="1"/>
  <c r="G2514" i="1"/>
  <c r="G2542" i="1"/>
  <c r="G2586" i="1"/>
  <c r="G2578" i="1"/>
  <c r="G2570" i="1"/>
  <c r="G2562" i="1"/>
  <c r="G2554" i="1"/>
  <c r="G2546" i="1"/>
  <c r="G2601" i="1"/>
  <c r="G2593" i="1"/>
  <c r="G2608" i="1"/>
  <c r="G2621" i="1"/>
  <c r="G2613" i="1"/>
  <c r="G2651" i="1"/>
  <c r="G2643" i="1"/>
  <c r="G2635" i="1"/>
  <c r="G2667" i="1"/>
  <c r="G2659" i="1"/>
  <c r="G2680" i="1"/>
  <c r="G2672" i="1"/>
  <c r="G2708" i="1"/>
  <c r="G2700" i="1"/>
  <c r="G2692" i="1"/>
  <c r="G2718" i="1"/>
  <c r="G2742" i="1"/>
  <c r="G2734" i="1"/>
  <c r="G2726" i="1"/>
  <c r="G2747" i="1"/>
  <c r="G2754" i="1"/>
  <c r="G2765" i="1"/>
  <c r="G2790" i="1"/>
  <c r="G2782" i="1"/>
  <c r="G2774" i="1"/>
  <c r="G2804" i="1"/>
  <c r="G2796" i="1"/>
  <c r="G2820" i="1"/>
  <c r="G2812" i="1"/>
  <c r="G2831" i="1"/>
  <c r="G2839" i="1"/>
  <c r="G2845" i="1"/>
  <c r="G2869" i="1"/>
  <c r="G2861" i="1"/>
  <c r="G2853" i="1"/>
  <c r="G2877" i="1"/>
  <c r="G2880" i="1"/>
  <c r="G2885" i="1"/>
  <c r="G2914" i="1"/>
  <c r="G2906" i="1"/>
  <c r="G2898" i="1"/>
  <c r="G2931" i="1"/>
  <c r="G2923" i="1"/>
  <c r="G2973" i="1"/>
  <c r="G2965" i="1"/>
  <c r="G2957" i="1"/>
  <c r="G2949" i="1"/>
  <c r="G2941" i="1"/>
  <c r="G2991" i="1"/>
  <c r="G2983" i="1"/>
  <c r="G2975" i="1"/>
  <c r="G2994" i="1"/>
  <c r="G3017" i="1"/>
  <c r="G3009" i="1"/>
  <c r="G3031" i="1"/>
  <c r="G3023" i="1"/>
  <c r="G3037" i="1"/>
  <c r="G3069" i="1"/>
  <c r="G3061" i="1"/>
  <c r="G3053" i="1"/>
  <c r="G3045" i="1"/>
  <c r="G3081" i="1"/>
  <c r="G3099" i="1"/>
  <c r="G3091" i="1"/>
  <c r="G3083" i="1"/>
  <c r="G3108" i="1"/>
  <c r="G3118" i="1"/>
  <c r="G3146" i="1"/>
  <c r="G3138" i="1"/>
  <c r="G3130" i="1"/>
  <c r="G3173" i="1"/>
  <c r="G3165" i="1"/>
  <c r="G3157" i="1"/>
  <c r="G3253" i="1"/>
  <c r="G3245" i="1"/>
  <c r="G3237" i="1"/>
  <c r="G3229" i="1"/>
  <c r="G3221" i="1"/>
  <c r="G3213" i="1"/>
  <c r="G3205" i="1"/>
  <c r="G3197" i="1"/>
  <c r="G3189" i="1"/>
  <c r="G3181" i="1"/>
  <c r="G3318" i="1"/>
  <c r="G3310" i="1"/>
  <c r="G3302" i="1"/>
  <c r="G3294" i="1"/>
  <c r="G3286" i="1"/>
  <c r="G3278" i="1"/>
  <c r="G3270" i="1"/>
  <c r="G3262" i="1"/>
  <c r="G3322" i="1"/>
  <c r="G3335" i="1"/>
  <c r="G3327" i="1"/>
  <c r="G3414" i="1"/>
  <c r="G3406" i="1"/>
  <c r="G3398" i="1"/>
  <c r="G3390" i="1"/>
  <c r="G3382" i="1"/>
  <c r="G3374" i="1"/>
  <c r="G3366" i="1"/>
  <c r="G3358" i="1"/>
  <c r="G3350" i="1"/>
  <c r="G3342" i="1"/>
  <c r="G3423" i="1"/>
  <c r="G3436" i="1"/>
  <c r="G3428" i="1"/>
  <c r="G3456" i="1"/>
  <c r="G3448" i="1"/>
  <c r="G3474" i="1"/>
  <c r="G3466" i="1"/>
  <c r="G3494" i="1"/>
  <c r="G3486" i="1"/>
  <c r="G3478" i="1"/>
  <c r="G3497" i="1"/>
  <c r="G3512" i="1"/>
  <c r="G3520" i="1"/>
  <c r="G3532" i="1"/>
  <c r="G3524" i="1"/>
  <c r="G3546" i="1"/>
  <c r="G3559" i="1"/>
  <c r="G3568" i="1"/>
  <c r="G3560" i="1"/>
  <c r="G3573" i="1"/>
  <c r="G3584" i="1"/>
  <c r="G3592" i="1"/>
  <c r="G3601" i="1"/>
  <c r="G3593" i="1"/>
  <c r="G3622" i="1"/>
  <c r="G3614" i="1"/>
  <c r="G3642" i="1"/>
  <c r="G3790" i="1"/>
  <c r="G3782" i="1"/>
  <c r="G3774" i="1"/>
  <c r="G3766" i="1"/>
  <c r="G3813" i="1"/>
  <c r="G3818" i="1"/>
  <c r="G3843" i="1"/>
  <c r="G3835" i="1"/>
  <c r="G3827" i="1"/>
  <c r="G3867" i="1"/>
  <c r="G3859" i="1"/>
  <c r="G3851" i="1"/>
  <c r="G3872" i="1"/>
  <c r="G3891" i="1"/>
  <c r="G3883" i="1"/>
  <c r="G3897" i="1"/>
  <c r="G3917" i="1"/>
  <c r="G3909" i="1"/>
  <c r="G3928" i="1"/>
  <c r="G3937" i="1"/>
  <c r="G3929" i="1"/>
  <c r="G3941" i="1"/>
  <c r="G3971" i="1"/>
  <c r="G3963" i="1"/>
  <c r="G3955" i="1"/>
  <c r="G3947" i="1"/>
  <c r="G3988" i="1"/>
  <c r="G3980" i="1"/>
  <c r="G4000" i="1"/>
  <c r="G4018" i="1"/>
  <c r="G4010" i="1"/>
  <c r="G4002" i="1"/>
  <c r="G4031" i="1"/>
  <c r="G4048" i="1"/>
  <c r="G4075" i="1"/>
  <c r="G4067" i="1"/>
  <c r="G4059" i="1"/>
  <c r="G4051" i="1"/>
  <c r="G4120" i="1"/>
  <c r="G4112" i="1"/>
  <c r="G4104" i="1"/>
  <c r="G4096" i="1"/>
  <c r="G4088" i="1"/>
  <c r="G4080" i="1"/>
  <c r="G4136" i="1"/>
  <c r="G4128" i="1"/>
  <c r="G4154" i="1"/>
  <c r="G4146" i="1"/>
  <c r="G4184" i="1"/>
  <c r="G4176" i="1"/>
  <c r="G4168" i="1"/>
  <c r="G4160" i="1"/>
  <c r="G4198" i="1"/>
  <c r="G4201" i="1"/>
  <c r="G4215" i="1"/>
  <c r="G4207" i="1"/>
  <c r="G4231" i="1"/>
  <c r="G4223" i="1"/>
  <c r="G4261" i="1"/>
  <c r="G4253" i="1"/>
  <c r="G4245" i="1"/>
  <c r="G4237" i="1"/>
  <c r="G4300" i="1"/>
  <c r="G4292" i="1"/>
  <c r="G4284" i="1"/>
  <c r="G4276" i="1"/>
  <c r="G4319" i="1"/>
  <c r="G4311" i="1"/>
  <c r="G4330" i="1"/>
  <c r="G4322" i="1"/>
  <c r="G4334" i="1"/>
  <c r="G4360" i="1"/>
  <c r="G4352" i="1"/>
  <c r="G4344" i="1"/>
  <c r="G4372" i="1"/>
  <c r="G4420" i="1"/>
  <c r="G4412" i="1"/>
  <c r="G4404" i="1"/>
  <c r="G4396" i="1"/>
  <c r="G4388" i="1"/>
  <c r="G4380" i="1"/>
  <c r="G4428" i="1"/>
  <c r="G4433" i="1"/>
  <c r="G4437" i="1"/>
  <c r="G4446" i="1"/>
  <c r="G4460" i="1"/>
  <c r="G4452" i="1"/>
  <c r="G4480" i="1"/>
  <c r="G4472" i="1"/>
  <c r="G4494" i="1"/>
  <c r="G4511" i="1"/>
  <c r="G4503" i="1"/>
  <c r="G4527" i="1"/>
  <c r="G4519" i="1"/>
  <c r="G4533" i="1"/>
  <c r="G4540" i="1"/>
  <c r="G4562" i="1"/>
  <c r="G4554" i="1"/>
  <c r="G4546" i="1"/>
  <c r="G4565" i="1"/>
  <c r="G4573" i="1"/>
  <c r="G4583" i="1"/>
  <c r="G4609" i="1"/>
  <c r="G4601" i="1"/>
  <c r="G4593" i="1"/>
  <c r="G4616" i="1"/>
  <c r="G4626" i="1"/>
  <c r="G4638" i="1"/>
  <c r="G4650" i="1"/>
  <c r="G4642" i="1"/>
  <c r="G4674" i="1"/>
  <c r="G4666" i="1"/>
  <c r="G4658" i="1"/>
  <c r="G4683" i="1"/>
  <c r="G4690" i="1"/>
  <c r="G4707" i="1"/>
  <c r="G4699" i="1"/>
  <c r="G4691" i="1"/>
  <c r="G4718" i="1"/>
  <c r="G4728" i="1"/>
  <c r="G4739" i="1"/>
  <c r="G4750" i="1"/>
  <c r="G4757" i="1"/>
  <c r="G4775" i="1"/>
  <c r="G4767" i="1"/>
  <c r="G4783" i="1"/>
  <c r="G4784" i="1"/>
  <c r="G4797" i="1"/>
  <c r="G4789" i="1"/>
  <c r="G4809" i="1"/>
  <c r="G4812" i="1"/>
  <c r="G3707" i="1"/>
  <c r="G3747" i="1"/>
  <c r="G3739" i="1"/>
  <c r="G3753" i="1"/>
  <c r="G3805" i="1"/>
  <c r="G3797" i="1"/>
  <c r="G3789" i="1"/>
  <c r="G3781" i="1"/>
  <c r="G3773" i="1"/>
  <c r="G3765" i="1"/>
  <c r="G3812" i="1"/>
  <c r="G3817" i="1"/>
  <c r="G3842" i="1"/>
  <c r="G3834" i="1"/>
  <c r="G3826" i="1"/>
  <c r="G3866" i="1"/>
  <c r="G3858" i="1"/>
  <c r="G3850" i="1"/>
  <c r="G3871" i="1"/>
  <c r="G3890" i="1"/>
  <c r="G3882" i="1"/>
  <c r="G3896" i="1"/>
  <c r="G3916" i="1"/>
  <c r="G3908" i="1"/>
  <c r="G3927" i="1"/>
  <c r="G3936" i="1"/>
  <c r="G3940" i="1"/>
  <c r="G3978" i="1"/>
  <c r="G3970" i="1"/>
  <c r="G3962" i="1"/>
  <c r="G3954" i="1"/>
  <c r="G3946" i="1"/>
  <c r="G3987" i="1"/>
  <c r="G3979" i="1"/>
  <c r="G4025" i="1"/>
  <c r="G4017" i="1"/>
  <c r="G4009" i="1"/>
  <c r="G4038" i="1"/>
  <c r="G4030" i="1"/>
  <c r="G4047" i="1"/>
  <c r="G4074" i="1"/>
  <c r="G4066" i="1"/>
  <c r="G4058" i="1"/>
  <c r="G4050" i="1"/>
  <c r="G4119" i="1"/>
  <c r="G4111" i="1"/>
  <c r="G4103" i="1"/>
  <c r="G4095" i="1"/>
  <c r="G4087" i="1"/>
  <c r="G4079" i="1"/>
  <c r="G4135" i="1"/>
  <c r="G4144" i="1"/>
  <c r="G4153" i="1"/>
  <c r="G4145" i="1"/>
  <c r="G4183" i="1"/>
  <c r="G4175" i="1"/>
  <c r="G4167" i="1"/>
  <c r="G4159" i="1"/>
  <c r="G4197" i="1"/>
  <c r="G4222" i="1"/>
  <c r="G4214" i="1"/>
  <c r="G4206" i="1"/>
  <c r="G4230" i="1"/>
  <c r="G4268" i="1"/>
  <c r="G4260" i="1"/>
  <c r="G4252" i="1"/>
  <c r="G4244" i="1"/>
  <c r="G4236" i="1"/>
  <c r="G4299" i="1"/>
  <c r="G4291" i="1"/>
  <c r="G4283" i="1"/>
  <c r="G4275" i="1"/>
  <c r="G4318" i="1"/>
  <c r="G4310" i="1"/>
  <c r="G4329" i="1"/>
  <c r="G4321" i="1"/>
  <c r="G4333" i="1"/>
  <c r="G4359" i="1"/>
  <c r="G4351" i="1"/>
  <c r="G4343" i="1"/>
  <c r="G4371" i="1"/>
  <c r="G4419" i="1"/>
  <c r="G4411" i="1"/>
  <c r="G4403" i="1"/>
  <c r="G4395" i="1"/>
  <c r="G4387" i="1"/>
  <c r="G4379" i="1"/>
  <c r="G4427" i="1"/>
  <c r="G4432" i="1"/>
  <c r="G4436" i="1"/>
  <c r="G4445" i="1"/>
  <c r="G4459" i="1"/>
  <c r="G4487" i="1"/>
  <c r="G4479" i="1"/>
  <c r="G4471" i="1"/>
  <c r="G4493" i="1"/>
  <c r="G4510" i="1"/>
  <c r="G4502" i="1"/>
  <c r="G4526" i="1"/>
  <c r="G4518" i="1"/>
  <c r="G4532" i="1"/>
  <c r="G4539" i="1"/>
  <c r="G4561" i="1"/>
  <c r="G4553" i="1"/>
  <c r="G4545" i="1"/>
  <c r="G4580" i="1"/>
  <c r="G4572" i="1"/>
  <c r="G4582" i="1"/>
  <c r="G4608" i="1"/>
  <c r="G4600" i="1"/>
  <c r="G4592" i="1"/>
  <c r="G4615" i="1"/>
  <c r="G4625" i="1"/>
  <c r="G4637" i="1"/>
  <c r="G4649" i="1"/>
  <c r="G4641" i="1"/>
  <c r="G4673" i="1"/>
  <c r="G4665" i="1"/>
  <c r="G4657" i="1"/>
  <c r="G4682" i="1"/>
  <c r="G4689" i="1"/>
  <c r="G4706" i="1"/>
  <c r="G4698" i="1"/>
  <c r="G4725" i="1"/>
  <c r="G4717" i="1"/>
  <c r="G4727" i="1"/>
  <c r="G4738" i="1"/>
  <c r="G4749" i="1"/>
  <c r="G4756" i="1"/>
  <c r="G4774" i="1"/>
  <c r="G4766" i="1"/>
  <c r="G4782" i="1"/>
  <c r="G4804" i="1"/>
  <c r="G4796" i="1"/>
  <c r="G4788" i="1"/>
  <c r="G4808" i="1"/>
  <c r="G3634" i="1"/>
  <c r="G3704" i="1"/>
  <c r="G3696" i="1"/>
  <c r="G3688" i="1"/>
  <c r="G3680" i="1"/>
  <c r="G3672" i="1"/>
  <c r="G3664" i="1"/>
  <c r="G3656" i="1"/>
  <c r="G3648" i="1"/>
  <c r="G3725" i="1"/>
  <c r="G3717" i="1"/>
  <c r="G3709" i="1"/>
  <c r="G3749" i="1"/>
  <c r="G3741" i="1"/>
  <c r="G3733" i="1"/>
  <c r="G3807" i="1"/>
  <c r="G3799" i="1"/>
  <c r="G3791" i="1"/>
  <c r="G3783" i="1"/>
  <c r="G3775" i="1"/>
  <c r="G3767" i="1"/>
  <c r="G3759" i="1"/>
  <c r="G3819" i="1"/>
  <c r="G3844" i="1"/>
  <c r="G3836" i="1"/>
  <c r="G3828" i="1"/>
  <c r="G3868" i="1"/>
  <c r="G3860" i="1"/>
  <c r="G3852" i="1"/>
  <c r="G3873" i="1"/>
  <c r="G3892" i="1"/>
  <c r="G3884" i="1"/>
  <c r="G3898" i="1"/>
  <c r="G3918" i="1"/>
  <c r="G3910" i="1"/>
  <c r="G3902" i="1"/>
  <c r="G3921" i="1"/>
  <c r="G3930" i="1"/>
  <c r="G3942" i="1"/>
  <c r="G3972" i="1"/>
  <c r="G3964" i="1"/>
  <c r="G3956" i="1"/>
  <c r="G3948" i="1"/>
  <c r="G3989" i="1"/>
  <c r="G3981" i="1"/>
  <c r="G4001" i="1"/>
  <c r="G4019" i="1"/>
  <c r="G4011" i="1"/>
  <c r="G4003" i="1"/>
  <c r="G4032" i="1"/>
  <c r="G4039" i="1"/>
  <c r="G4041" i="1"/>
  <c r="G4068" i="1"/>
  <c r="G4060" i="1"/>
  <c r="G4052" i="1"/>
  <c r="G4121" i="1"/>
  <c r="G4113" i="1"/>
  <c r="G4105" i="1"/>
  <c r="G4097" i="1"/>
  <c r="G4089" i="1"/>
  <c r="G4081" i="1"/>
  <c r="G4137" i="1"/>
  <c r="G4129" i="1"/>
  <c r="G4138" i="1"/>
  <c r="G4147" i="1"/>
  <c r="G4185" i="1"/>
  <c r="G4177" i="1"/>
  <c r="G4169" i="1"/>
  <c r="G4161" i="1"/>
  <c r="G4199" i="1"/>
  <c r="G4191" i="1"/>
  <c r="G4216" i="1"/>
  <c r="G4208" i="1"/>
  <c r="G4232" i="1"/>
  <c r="G4224" i="1"/>
  <c r="G4262" i="1"/>
  <c r="G4254" i="1"/>
  <c r="G4246" i="1"/>
  <c r="G4238" i="1"/>
  <c r="G4301" i="1"/>
  <c r="G4293" i="1"/>
  <c r="G4285" i="1"/>
  <c r="G4277" i="1"/>
  <c r="G4269" i="1"/>
  <c r="G4312" i="1"/>
  <c r="G4331" i="1"/>
  <c r="G4323" i="1"/>
  <c r="G4335" i="1"/>
  <c r="G4361" i="1"/>
  <c r="G4353" i="1"/>
  <c r="G4345" i="1"/>
  <c r="G4373" i="1"/>
  <c r="G4421" i="1"/>
  <c r="G4413" i="1"/>
  <c r="G4405" i="1"/>
  <c r="G4397" i="1"/>
  <c r="G4389" i="1"/>
  <c r="G4381" i="1"/>
  <c r="G4429" i="1"/>
  <c r="G4434" i="1"/>
  <c r="G4438" i="1"/>
  <c r="G4447" i="1"/>
  <c r="G4461" i="1"/>
  <c r="G4453" i="1"/>
  <c r="G4481" i="1"/>
  <c r="G4473" i="1"/>
  <c r="G4495" i="1"/>
  <c r="G4512" i="1"/>
  <c r="G4504" i="1"/>
  <c r="G4496" i="1"/>
  <c r="G4520" i="1"/>
  <c r="G4534" i="1"/>
  <c r="G4541" i="1"/>
  <c r="G4563" i="1"/>
  <c r="G4555" i="1"/>
  <c r="G4547" i="1"/>
  <c r="G4566" i="1"/>
  <c r="G4574" i="1"/>
  <c r="G4584" i="1"/>
  <c r="G4610" i="1"/>
  <c r="G4602" i="1"/>
  <c r="G4594" i="1"/>
  <c r="G4617" i="1"/>
  <c r="G4627" i="1"/>
  <c r="G4619" i="1"/>
  <c r="G4651" i="1"/>
  <c r="G4643" i="1"/>
  <c r="G4675" i="1"/>
  <c r="G4667" i="1"/>
  <c r="G4659" i="1"/>
  <c r="G4684" i="1"/>
  <c r="G4676" i="1"/>
  <c r="G4708" i="1"/>
  <c r="G4700" i="1"/>
  <c r="G4692" i="1"/>
  <c r="G4719" i="1"/>
  <c r="G4729" i="1"/>
  <c r="G4740" i="1"/>
  <c r="G4732" i="1"/>
  <c r="G4758" i="1"/>
  <c r="G4776" i="1"/>
  <c r="G4768" i="1"/>
  <c r="G4760" i="1"/>
  <c r="G4785" i="1"/>
  <c r="G4798" i="1"/>
  <c r="G4790" i="1"/>
  <c r="G4810" i="1"/>
  <c r="G4813" i="1"/>
  <c r="G3113" i="1"/>
  <c r="G3123" i="1"/>
  <c r="G3115" i="1"/>
  <c r="G3143" i="1"/>
  <c r="G3135" i="1"/>
  <c r="G3127" i="1"/>
  <c r="G3170" i="1"/>
  <c r="G3162" i="1"/>
  <c r="G3154" i="1"/>
  <c r="G3250" i="1"/>
  <c r="G3242" i="1"/>
  <c r="G3234" i="1"/>
  <c r="G3226" i="1"/>
  <c r="G3218" i="1"/>
  <c r="G3210" i="1"/>
  <c r="G3202" i="1"/>
  <c r="G3194" i="1"/>
  <c r="G3186" i="1"/>
  <c r="G3178" i="1"/>
  <c r="G3315" i="1"/>
  <c r="G3307" i="1"/>
  <c r="G3299" i="1"/>
  <c r="G3291" i="1"/>
  <c r="G3283" i="1"/>
  <c r="G3275" i="1"/>
  <c r="G3267" i="1"/>
  <c r="G3259" i="1"/>
  <c r="G3319" i="1"/>
  <c r="G3332" i="1"/>
  <c r="G3324" i="1"/>
  <c r="G3411" i="1"/>
  <c r="G3403" i="1"/>
  <c r="G3395" i="1"/>
  <c r="G3387" i="1"/>
  <c r="G3379" i="1"/>
  <c r="G3371" i="1"/>
  <c r="G3363" i="1"/>
  <c r="G3355" i="1"/>
  <c r="G3347" i="1"/>
  <c r="G3420" i="1"/>
  <c r="G3441" i="1"/>
  <c r="G3433" i="1"/>
  <c r="G3425" i="1"/>
  <c r="G3453" i="1"/>
  <c r="G3445" i="1"/>
  <c r="G3471" i="1"/>
  <c r="G3463" i="1"/>
  <c r="G3491" i="1"/>
  <c r="G3483" i="1"/>
  <c r="G3502" i="1"/>
  <c r="G3517" i="1"/>
  <c r="G3509" i="1"/>
  <c r="G3537" i="1"/>
  <c r="G3529" i="1"/>
  <c r="G3521" i="1"/>
  <c r="G3543" i="1"/>
  <c r="G3556" i="1"/>
  <c r="G3565" i="1"/>
  <c r="G3578" i="1"/>
  <c r="G3570" i="1"/>
  <c r="G3581" i="1"/>
  <c r="G3606" i="1"/>
  <c r="G3598" i="1"/>
  <c r="G3627" i="1"/>
  <c r="G3619" i="1"/>
  <c r="G3611" i="1"/>
  <c r="G3639" i="1"/>
  <c r="G3631" i="1"/>
  <c r="G3701" i="1"/>
  <c r="G3693" i="1"/>
  <c r="G3685" i="1"/>
  <c r="G3677" i="1"/>
  <c r="G3669" i="1"/>
  <c r="G3661" i="1"/>
  <c r="G3653" i="1"/>
  <c r="G3730" i="1"/>
  <c r="G3722" i="1"/>
  <c r="G3714" i="1"/>
  <c r="G3706" i="1"/>
  <c r="G3746" i="1"/>
  <c r="G3738" i="1"/>
  <c r="G3758" i="1"/>
  <c r="G3804" i="1"/>
  <c r="G3796" i="1"/>
  <c r="G3788" i="1"/>
  <c r="G3780" i="1"/>
  <c r="G3772" i="1"/>
  <c r="G3764" i="1"/>
  <c r="G3811" i="1"/>
  <c r="G3816" i="1"/>
  <c r="G3841" i="1"/>
  <c r="G3833" i="1"/>
  <c r="G3825" i="1"/>
  <c r="G3865" i="1"/>
  <c r="G3857" i="1"/>
  <c r="G3849" i="1"/>
  <c r="G3870" i="1"/>
  <c r="G3889" i="1"/>
  <c r="G3881" i="1"/>
  <c r="G3895" i="1"/>
  <c r="G3915" i="1"/>
  <c r="G3907" i="1"/>
  <c r="G3926" i="1"/>
  <c r="G3935" i="1"/>
  <c r="G3939" i="1"/>
  <c r="G3977" i="1"/>
  <c r="G3969" i="1"/>
  <c r="G3961" i="1"/>
  <c r="G3953" i="1"/>
  <c r="G3994" i="1"/>
  <c r="G3986" i="1"/>
  <c r="G3999" i="1"/>
  <c r="G4024" i="1"/>
  <c r="G4016" i="1"/>
  <c r="G4008" i="1"/>
  <c r="G4037" i="1"/>
  <c r="G4029" i="1"/>
  <c r="G4046" i="1"/>
  <c r="G4073" i="1"/>
  <c r="G4065" i="1"/>
  <c r="G4057" i="1"/>
  <c r="G4049" i="1"/>
  <c r="G4118" i="1"/>
  <c r="G4110" i="1"/>
  <c r="G4102" i="1"/>
  <c r="G4094" i="1"/>
  <c r="G4086" i="1"/>
  <c r="G4078" i="1"/>
  <c r="G4134" i="1"/>
  <c r="G4143" i="1"/>
  <c r="G4152" i="1"/>
  <c r="G4190" i="1"/>
  <c r="G4182" i="1"/>
  <c r="G4174" i="1"/>
  <c r="G4166" i="1"/>
  <c r="G4158" i="1"/>
  <c r="G4196" i="1"/>
  <c r="G4221" i="1"/>
  <c r="G4213" i="1"/>
  <c r="G4205" i="1"/>
  <c r="G4229" i="1"/>
  <c r="G4267" i="1"/>
  <c r="G4259" i="1"/>
  <c r="G4251" i="1"/>
  <c r="G4243" i="1"/>
  <c r="G4235" i="1"/>
  <c r="G4298" i="1"/>
  <c r="G4290" i="1"/>
  <c r="G4282" i="1"/>
  <c r="G4274" i="1"/>
  <c r="G4317" i="1"/>
  <c r="G4309" i="1"/>
  <c r="G4328" i="1"/>
  <c r="G4320" i="1"/>
  <c r="G4332" i="1"/>
  <c r="G4358" i="1"/>
  <c r="G4350" i="1"/>
  <c r="G4342" i="1"/>
  <c r="G4370" i="1"/>
  <c r="G4418" i="1"/>
  <c r="G4410" i="1"/>
  <c r="G4402" i="1"/>
  <c r="G4394" i="1"/>
  <c r="G4386" i="1"/>
  <c r="G4378" i="1"/>
  <c r="G4426" i="1"/>
  <c r="G4443" i="1"/>
  <c r="G4435" i="1"/>
  <c r="G4444" i="1"/>
  <c r="G4458" i="1"/>
  <c r="G4486" i="1"/>
  <c r="G4478" i="1"/>
  <c r="G4470" i="1"/>
  <c r="G4492" i="1"/>
  <c r="G4509" i="1"/>
  <c r="G4501" i="1"/>
  <c r="G4525" i="1"/>
  <c r="G4517" i="1"/>
  <c r="G4531" i="1"/>
  <c r="G4538" i="1"/>
  <c r="G4560" i="1"/>
  <c r="G4552" i="1"/>
  <c r="G4544" i="1"/>
  <c r="G4579" i="1"/>
  <c r="G4571" i="1"/>
  <c r="G4581" i="1"/>
  <c r="G4607" i="1"/>
  <c r="G4599" i="1"/>
  <c r="G4591" i="1"/>
  <c r="G4632" i="1"/>
  <c r="G4624" i="1"/>
  <c r="G4636" i="1"/>
  <c r="G4648" i="1"/>
  <c r="G4640" i="1"/>
  <c r="G4672" i="1"/>
  <c r="G4664" i="1"/>
  <c r="G4656" i="1"/>
  <c r="G4681" i="1"/>
  <c r="G4713" i="1"/>
  <c r="G4705" i="1"/>
  <c r="G4697" i="1"/>
  <c r="G4724" i="1"/>
  <c r="G4716" i="1"/>
  <c r="G4726" i="1"/>
  <c r="G4737" i="1"/>
  <c r="G4748" i="1"/>
  <c r="G4755" i="1"/>
  <c r="G4773" i="1"/>
  <c r="G4765" i="1"/>
  <c r="G4781" i="1"/>
  <c r="G4803" i="1"/>
  <c r="G4795" i="1"/>
  <c r="G4787" i="1"/>
  <c r="G4807" i="1"/>
  <c r="G2347" i="1"/>
  <c r="G2390" i="1"/>
  <c r="G2382" i="1"/>
  <c r="G2398" i="1"/>
  <c r="G2430" i="1"/>
  <c r="G2422" i="1"/>
  <c r="G2414" i="1"/>
  <c r="G2406" i="1"/>
  <c r="G2443" i="1"/>
  <c r="G2435" i="1"/>
  <c r="G2452" i="1"/>
  <c r="G2470" i="1"/>
  <c r="G2462" i="1"/>
  <c r="G2477" i="1"/>
  <c r="G2502" i="1"/>
  <c r="G2494" i="1"/>
  <c r="G2486" i="1"/>
  <c r="G2534" i="1"/>
  <c r="G2526" i="1"/>
  <c r="G2518" i="1"/>
  <c r="G2510" i="1"/>
  <c r="G2538" i="1"/>
  <c r="G2582" i="1"/>
  <c r="G2574" i="1"/>
  <c r="G2566" i="1"/>
  <c r="G2558" i="1"/>
  <c r="G2550" i="1"/>
  <c r="G2588" i="1"/>
  <c r="G2597" i="1"/>
  <c r="G2589" i="1"/>
  <c r="G2625" i="1"/>
  <c r="G2617" i="1"/>
  <c r="G2655" i="1"/>
  <c r="G2647" i="1"/>
  <c r="G2639" i="1"/>
  <c r="G2631" i="1"/>
  <c r="G2663" i="1"/>
  <c r="G2684" i="1"/>
  <c r="G2676" i="1"/>
  <c r="G2668" i="1"/>
  <c r="G2704" i="1"/>
  <c r="G2696" i="1"/>
  <c r="G2688" i="1"/>
  <c r="G2714" i="1"/>
  <c r="G2738" i="1"/>
  <c r="G2730" i="1"/>
  <c r="G2722" i="1"/>
  <c r="G2758" i="1"/>
  <c r="G2750" i="1"/>
  <c r="G2761" i="1"/>
  <c r="G2786" i="1"/>
  <c r="G2778" i="1"/>
  <c r="G2770" i="1"/>
  <c r="G2800" i="1"/>
  <c r="G2792" i="1"/>
  <c r="G2816" i="1"/>
  <c r="G2808" i="1"/>
  <c r="G2827" i="1"/>
  <c r="G2835" i="1"/>
  <c r="G2841" i="1"/>
  <c r="G2865" i="1"/>
  <c r="G2857" i="1"/>
  <c r="G2849" i="1"/>
  <c r="G2873" i="1"/>
  <c r="G2889" i="1"/>
  <c r="G2893" i="1"/>
  <c r="G2910" i="1"/>
  <c r="G2902" i="1"/>
  <c r="G2894" i="1"/>
  <c r="G2927" i="1"/>
  <c r="G2919" i="1"/>
  <c r="G2969" i="1"/>
  <c r="G2961" i="1"/>
  <c r="G2953" i="1"/>
  <c r="G2945" i="1"/>
  <c r="G2937" i="1"/>
  <c r="G2987" i="1"/>
  <c r="G2979" i="1"/>
  <c r="G2998" i="1"/>
  <c r="G3002" i="1"/>
  <c r="G3013" i="1"/>
  <c r="G3005" i="1"/>
  <c r="G3027" i="1"/>
  <c r="G3041" i="1"/>
  <c r="G3073" i="1"/>
  <c r="G3065" i="1"/>
  <c r="G3057" i="1"/>
  <c r="G3049" i="1"/>
  <c r="G3078" i="1"/>
  <c r="G3103" i="1"/>
  <c r="G3095" i="1"/>
  <c r="G3087" i="1"/>
  <c r="G3112" i="1"/>
  <c r="G3122" i="1"/>
  <c r="G3150" i="1"/>
  <c r="G3142" i="1"/>
  <c r="G3134" i="1"/>
  <c r="G3126" i="1"/>
  <c r="G3169" i="1"/>
  <c r="G3161" i="1"/>
  <c r="G3153" i="1"/>
  <c r="G3249" i="1"/>
  <c r="G3241" i="1"/>
  <c r="G3233" i="1"/>
  <c r="G3225" i="1"/>
  <c r="G3217" i="1"/>
  <c r="G3209" i="1"/>
  <c r="G3201" i="1"/>
  <c r="G3193" i="1"/>
  <c r="G3185" i="1"/>
  <c r="G3177" i="1"/>
  <c r="G3314" i="1"/>
  <c r="G3306" i="1"/>
  <c r="G3298" i="1"/>
  <c r="G3290" i="1"/>
  <c r="G3282" i="1"/>
  <c r="G3274" i="1"/>
  <c r="G3266" i="1"/>
  <c r="G3258" i="1"/>
  <c r="G3339" i="1"/>
  <c r="G3331" i="1"/>
  <c r="G3418" i="1"/>
  <c r="G3410" i="1"/>
  <c r="G3402" i="1"/>
  <c r="G3394" i="1"/>
  <c r="G3386" i="1"/>
  <c r="G3378" i="1"/>
  <c r="G3370" i="1"/>
  <c r="G3362" i="1"/>
  <c r="G3354" i="1"/>
  <c r="G3346" i="1"/>
  <c r="G3419" i="1"/>
  <c r="G3440" i="1"/>
  <c r="G3432" i="1"/>
  <c r="G3460" i="1"/>
  <c r="G3452" i="1"/>
  <c r="G3444" i="1"/>
  <c r="G3470" i="1"/>
  <c r="G3462" i="1"/>
  <c r="G3490" i="1"/>
  <c r="G3482" i="1"/>
  <c r="G3501" i="1"/>
  <c r="G3516" i="1"/>
  <c r="G3508" i="1"/>
  <c r="G3536" i="1"/>
  <c r="G3528" i="1"/>
  <c r="G3550" i="1"/>
  <c r="G3542" i="1"/>
  <c r="G3555" i="1"/>
  <c r="G3564" i="1"/>
  <c r="G3577" i="1"/>
  <c r="G3569" i="1"/>
  <c r="G3591" i="1"/>
  <c r="G3605" i="1"/>
  <c r="G3597" i="1"/>
  <c r="G3626" i="1"/>
  <c r="G3618" i="1"/>
  <c r="G3610" i="1"/>
  <c r="G3638" i="1"/>
  <c r="G3630" i="1"/>
  <c r="G3700" i="1"/>
  <c r="G3692" i="1"/>
  <c r="G3684" i="1"/>
  <c r="G3676" i="1"/>
  <c r="G3668" i="1"/>
  <c r="G3660" i="1"/>
  <c r="G3652" i="1"/>
  <c r="G3729" i="1"/>
  <c r="G3721" i="1"/>
  <c r="G3713" i="1"/>
  <c r="G3732" i="1"/>
  <c r="G3745" i="1"/>
  <c r="G3737" i="1"/>
  <c r="G3757" i="1"/>
  <c r="G3803" i="1"/>
  <c r="G3795" i="1"/>
  <c r="G3787" i="1"/>
  <c r="G3779" i="1"/>
  <c r="G3771" i="1"/>
  <c r="G3763" i="1"/>
  <c r="G3810" i="1"/>
  <c r="G3815" i="1"/>
  <c r="G3840" i="1"/>
  <c r="G3832" i="1"/>
  <c r="G3824" i="1"/>
  <c r="G3864" i="1"/>
  <c r="G3856" i="1"/>
  <c r="G3848" i="1"/>
  <c r="G3878" i="1"/>
  <c r="G3888" i="1"/>
  <c r="G3880" i="1"/>
  <c r="G3894" i="1"/>
  <c r="G3914" i="1"/>
  <c r="G3906" i="1"/>
  <c r="G3925" i="1"/>
  <c r="G3934" i="1"/>
  <c r="G3938" i="1"/>
  <c r="G3976" i="1"/>
  <c r="G3968" i="1"/>
  <c r="G3960" i="1"/>
  <c r="G3952" i="1"/>
  <c r="G3993" i="1"/>
  <c r="G3985" i="1"/>
  <c r="G3998" i="1"/>
  <c r="G4023" i="1"/>
  <c r="G4015" i="1"/>
  <c r="G4007" i="1"/>
  <c r="G4036" i="1"/>
  <c r="G4028" i="1"/>
  <c r="G4045" i="1"/>
  <c r="G4072" i="1"/>
  <c r="G4064" i="1"/>
  <c r="G4056" i="1"/>
  <c r="G4125" i="1"/>
  <c r="G4117" i="1"/>
  <c r="G4109" i="1"/>
  <c r="G4101" i="1"/>
  <c r="G4093" i="1"/>
  <c r="G4085" i="1"/>
  <c r="G4077" i="1"/>
  <c r="G4133" i="1"/>
  <c r="G4142" i="1"/>
  <c r="G4151" i="1"/>
  <c r="G4189" i="1"/>
  <c r="G4181" i="1"/>
  <c r="G4173" i="1"/>
  <c r="G4165" i="1"/>
  <c r="G4157" i="1"/>
  <c r="G4195" i="1"/>
  <c r="G4220" i="1"/>
  <c r="G4212" i="1"/>
  <c r="G4204" i="1"/>
  <c r="G4228" i="1"/>
  <c r="G4266" i="1"/>
  <c r="G4258" i="1"/>
  <c r="G4250" i="1"/>
  <c r="G4242" i="1"/>
  <c r="G4234" i="1"/>
  <c r="G4297" i="1"/>
  <c r="G4289" i="1"/>
  <c r="G4281" i="1"/>
  <c r="G4273" i="1"/>
  <c r="G4316" i="1"/>
  <c r="G4308" i="1"/>
  <c r="G4327" i="1"/>
  <c r="G4339" i="1"/>
  <c r="G4365" i="1"/>
  <c r="G4357" i="1"/>
  <c r="G4349" i="1"/>
  <c r="G4341" i="1"/>
  <c r="G4369" i="1"/>
  <c r="G4417" i="1"/>
  <c r="G4409" i="1"/>
  <c r="G4401" i="1"/>
  <c r="G4393" i="1"/>
  <c r="G4385" i="1"/>
  <c r="G4377" i="1"/>
  <c r="G4425" i="1"/>
  <c r="G4442" i="1"/>
  <c r="G4451" i="1"/>
  <c r="G4465" i="1"/>
  <c r="G4457" i="1"/>
  <c r="G4485" i="1"/>
  <c r="G4477" i="1"/>
  <c r="G4469" i="1"/>
  <c r="G4491" i="1"/>
  <c r="G4508" i="1"/>
  <c r="G4500" i="1"/>
  <c r="G4524" i="1"/>
  <c r="G4516" i="1"/>
  <c r="G4530" i="1"/>
  <c r="G4537" i="1"/>
  <c r="G4559" i="1"/>
  <c r="G4551" i="1"/>
  <c r="G4543" i="1"/>
  <c r="G4578" i="1"/>
  <c r="G4570" i="1"/>
  <c r="G4614" i="1"/>
  <c r="G4606" i="1"/>
  <c r="G4598" i="1"/>
  <c r="G4590" i="1"/>
  <c r="G4631" i="1"/>
  <c r="G4623" i="1"/>
  <c r="G4635" i="1"/>
  <c r="G4647" i="1"/>
  <c r="G4639" i="1"/>
  <c r="G4671" i="1"/>
  <c r="G4663" i="1"/>
  <c r="G4688" i="1"/>
  <c r="G4680" i="1"/>
  <c r="G4712" i="1"/>
  <c r="G4704" i="1"/>
  <c r="G4696" i="1"/>
  <c r="G4723" i="1"/>
  <c r="G4715" i="1"/>
  <c r="G4744" i="1"/>
  <c r="G4736" i="1"/>
  <c r="G4747" i="1"/>
  <c r="G4754" i="1"/>
  <c r="G4772" i="1"/>
  <c r="G4764" i="1"/>
  <c r="G4780" i="1"/>
  <c r="G4802" i="1"/>
  <c r="G4794" i="1"/>
  <c r="G4786" i="1"/>
  <c r="G4817" i="1"/>
  <c r="G3507" i="1"/>
  <c r="G3535" i="1"/>
  <c r="G3527" i="1"/>
  <c r="G3549" i="1"/>
  <c r="G3541" i="1"/>
  <c r="G3554" i="1"/>
  <c r="G3563" i="1"/>
  <c r="G3576" i="1"/>
  <c r="G3587" i="1"/>
  <c r="G3590" i="1"/>
  <c r="G3604" i="1"/>
  <c r="G3596" i="1"/>
  <c r="G3625" i="1"/>
  <c r="G3617" i="1"/>
  <c r="G3609" i="1"/>
  <c r="G3637" i="1"/>
  <c r="G3646" i="1"/>
  <c r="G3699" i="1"/>
  <c r="G3691" i="1"/>
  <c r="G3683" i="1"/>
  <c r="G3675" i="1"/>
  <c r="G3667" i="1"/>
  <c r="G3659" i="1"/>
  <c r="G3651" i="1"/>
  <c r="G3728" i="1"/>
  <c r="G3720" i="1"/>
  <c r="G3712" i="1"/>
  <c r="G3752" i="1"/>
  <c r="G3744" i="1"/>
  <c r="G3736" i="1"/>
  <c r="G3756" i="1"/>
  <c r="G3802" i="1"/>
  <c r="G3794" i="1"/>
  <c r="G3786" i="1"/>
  <c r="G3778" i="1"/>
  <c r="G3770" i="1"/>
  <c r="G3762" i="1"/>
  <c r="G3809" i="1"/>
  <c r="G3814" i="1"/>
  <c r="G3839" i="1"/>
  <c r="G3831" i="1"/>
  <c r="G3823" i="1"/>
  <c r="G3863" i="1"/>
  <c r="G3855" i="1"/>
  <c r="G3847" i="1"/>
  <c r="G3877" i="1"/>
  <c r="G3887" i="1"/>
  <c r="G3901" i="1"/>
  <c r="G3893" i="1"/>
  <c r="G3913" i="1"/>
  <c r="G3905" i="1"/>
  <c r="G3924" i="1"/>
  <c r="G3933" i="1"/>
  <c r="G3945" i="1"/>
  <c r="G3975" i="1"/>
  <c r="G3967" i="1"/>
  <c r="G3959" i="1"/>
  <c r="G3951" i="1"/>
  <c r="G3992" i="1"/>
  <c r="G3984" i="1"/>
  <c r="G3997" i="1"/>
  <c r="G4022" i="1"/>
  <c r="G4014" i="1"/>
  <c r="G4006" i="1"/>
  <c r="G4035" i="1"/>
  <c r="G4027" i="1"/>
  <c r="G4044" i="1"/>
  <c r="G4071" i="1"/>
  <c r="G4063" i="1"/>
  <c r="G4055" i="1"/>
  <c r="G4124" i="1"/>
  <c r="G4116" i="1"/>
  <c r="G4108" i="1"/>
  <c r="G4100" i="1"/>
  <c r="G4092" i="1"/>
  <c r="G4084" i="1"/>
  <c r="G4076" i="1"/>
  <c r="G4132" i="1"/>
  <c r="G4141" i="1"/>
  <c r="G4150" i="1"/>
  <c r="G4188" i="1"/>
  <c r="G4180" i="1"/>
  <c r="G4172" i="1"/>
  <c r="G4164" i="1"/>
  <c r="G4156" i="1"/>
  <c r="G4194" i="1"/>
  <c r="G4219" i="1"/>
  <c r="G4211" i="1"/>
  <c r="G4203" i="1"/>
  <c r="G4227" i="1"/>
  <c r="G4265" i="1"/>
  <c r="G4257" i="1"/>
  <c r="G4249" i="1"/>
  <c r="G4241" i="1"/>
  <c r="G4304" i="1"/>
  <c r="G4296" i="1"/>
  <c r="G4288" i="1"/>
  <c r="G4280" i="1"/>
  <c r="G4272" i="1"/>
  <c r="G4315" i="1"/>
  <c r="G4307" i="1"/>
  <c r="G4326" i="1"/>
  <c r="G4338" i="1"/>
  <c r="G4364" i="1"/>
  <c r="G4356" i="1"/>
  <c r="G4348" i="1"/>
  <c r="G4340" i="1"/>
  <c r="G4368" i="1"/>
  <c r="G4416" i="1"/>
  <c r="G4408" i="1"/>
  <c r="G4400" i="1"/>
  <c r="G4392" i="1"/>
  <c r="G4384" i="1"/>
  <c r="G4376" i="1"/>
  <c r="G4424" i="1"/>
  <c r="G4441" i="1"/>
  <c r="G4450" i="1"/>
  <c r="G4464" i="1"/>
  <c r="G4456" i="1"/>
  <c r="G4484" i="1"/>
  <c r="G4476" i="1"/>
  <c r="G4468" i="1"/>
  <c r="G4490" i="1"/>
  <c r="G4507" i="1"/>
  <c r="G4499" i="1"/>
  <c r="G4523" i="1"/>
  <c r="G4515" i="1"/>
  <c r="G4529" i="1"/>
  <c r="G4536" i="1"/>
  <c r="G4558" i="1"/>
  <c r="G4550" i="1"/>
  <c r="G4569" i="1"/>
  <c r="G4577" i="1"/>
  <c r="G4587" i="1"/>
  <c r="G4613" i="1"/>
  <c r="G4605" i="1"/>
  <c r="G4597" i="1"/>
  <c r="G4589" i="1"/>
  <c r="G4630" i="1"/>
  <c r="G4622" i="1"/>
  <c r="G4634" i="1"/>
  <c r="G4646" i="1"/>
  <c r="G4655" i="1"/>
  <c r="G4670" i="1"/>
  <c r="G4662" i="1"/>
  <c r="G4687" i="1"/>
  <c r="G4679" i="1"/>
  <c r="G4711" i="1"/>
  <c r="G4703" i="1"/>
  <c r="G4695" i="1"/>
  <c r="G4722" i="1"/>
  <c r="G4714" i="1"/>
  <c r="G4743" i="1"/>
  <c r="G4735" i="1"/>
  <c r="G4746" i="1"/>
  <c r="G4753" i="1"/>
  <c r="G4771" i="1"/>
  <c r="G4763" i="1"/>
  <c r="G4779" i="1"/>
  <c r="G4801" i="1"/>
  <c r="G4793" i="1"/>
  <c r="G4806" i="1"/>
  <c r="G4816" i="1"/>
  <c r="G3085" i="1"/>
  <c r="G3110" i="1"/>
  <c r="G3120" i="1"/>
  <c r="G3148" i="1"/>
  <c r="G3140" i="1"/>
  <c r="G3132" i="1"/>
  <c r="G3124" i="1"/>
  <c r="G3167" i="1"/>
  <c r="G3159" i="1"/>
  <c r="G3151" i="1"/>
  <c r="G3247" i="1"/>
  <c r="G3239" i="1"/>
  <c r="G3231" i="1"/>
  <c r="G3223" i="1"/>
  <c r="G3215" i="1"/>
  <c r="G3207" i="1"/>
  <c r="G3199" i="1"/>
  <c r="G3191" i="1"/>
  <c r="G3183" i="1"/>
  <c r="G3175" i="1"/>
  <c r="G3312" i="1"/>
  <c r="G3304" i="1"/>
  <c r="G3296" i="1"/>
  <c r="G3288" i="1"/>
  <c r="G3280" i="1"/>
  <c r="G3272" i="1"/>
  <c r="G3264" i="1"/>
  <c r="G3256" i="1"/>
  <c r="G3337" i="1"/>
  <c r="G3329" i="1"/>
  <c r="G3416" i="1"/>
  <c r="G3408" i="1"/>
  <c r="G3400" i="1"/>
  <c r="G3392" i="1"/>
  <c r="G3384" i="1"/>
  <c r="G3376" i="1"/>
  <c r="G3368" i="1"/>
  <c r="G3360" i="1"/>
  <c r="G3352" i="1"/>
  <c r="G3344" i="1"/>
  <c r="G3421" i="1"/>
  <c r="G3438" i="1"/>
  <c r="G3430" i="1"/>
  <c r="G3458" i="1"/>
  <c r="G3450" i="1"/>
  <c r="G3476" i="1"/>
  <c r="G3468" i="1"/>
  <c r="G3496" i="1"/>
  <c r="G3488" i="1"/>
  <c r="G3480" i="1"/>
  <c r="G3499" i="1"/>
  <c r="G3514" i="1"/>
  <c r="G3506" i="1"/>
  <c r="G3534" i="1"/>
  <c r="G3526" i="1"/>
  <c r="G3548" i="1"/>
  <c r="G3540" i="1"/>
  <c r="G3553" i="1"/>
  <c r="G3562" i="1"/>
  <c r="G3575" i="1"/>
  <c r="G3586" i="1"/>
  <c r="G3589" i="1"/>
  <c r="G3603" i="1"/>
  <c r="G3595" i="1"/>
  <c r="G3624" i="1"/>
  <c r="G3616" i="1"/>
  <c r="G3644" i="1"/>
  <c r="G3636" i="1"/>
  <c r="G3645" i="1"/>
  <c r="G3698" i="1"/>
  <c r="G3690" i="1"/>
  <c r="G3682" i="1"/>
  <c r="G3674" i="1"/>
  <c r="G3666" i="1"/>
  <c r="G3658" i="1"/>
  <c r="G3650" i="1"/>
  <c r="G3727" i="1"/>
  <c r="G3719" i="1"/>
  <c r="G3711" i="1"/>
  <c r="G3751" i="1"/>
  <c r="G3743" i="1"/>
  <c r="G3735" i="1"/>
  <c r="G3755" i="1"/>
  <c r="G3801" i="1"/>
  <c r="G3793" i="1"/>
  <c r="G3785" i="1"/>
  <c r="G3777" i="1"/>
  <c r="G3769" i="1"/>
  <c r="G3761" i="1"/>
  <c r="G3821" i="1"/>
  <c r="G3846" i="1"/>
  <c r="G3838" i="1"/>
  <c r="G3830" i="1"/>
  <c r="G3822" i="1"/>
  <c r="G3862" i="1"/>
  <c r="G3854" i="1"/>
  <c r="G3875" i="1"/>
  <c r="G3876" i="1"/>
  <c r="G3886" i="1"/>
  <c r="G3900" i="1"/>
  <c r="G3920" i="1"/>
  <c r="G3912" i="1"/>
  <c r="G3904" i="1"/>
  <c r="G3923" i="1"/>
  <c r="G3932" i="1"/>
  <c r="G3944" i="1"/>
  <c r="G3974" i="1"/>
  <c r="G3966" i="1"/>
  <c r="G3958" i="1"/>
  <c r="G3950" i="1"/>
  <c r="G3991" i="1"/>
  <c r="G3983" i="1"/>
  <c r="G3996" i="1"/>
  <c r="G4021" i="1"/>
  <c r="G4013" i="1"/>
  <c r="G4005" i="1"/>
  <c r="G4034" i="1"/>
  <c r="G4026" i="1"/>
  <c r="G4043" i="1"/>
  <c r="G4070" i="1"/>
  <c r="G4062" i="1"/>
  <c r="G4054" i="1"/>
  <c r="G4123" i="1"/>
  <c r="G4115" i="1"/>
  <c r="G4107" i="1"/>
  <c r="G4099" i="1"/>
  <c r="G4091" i="1"/>
  <c r="G4083" i="1"/>
  <c r="G4127" i="1"/>
  <c r="G4131" i="1"/>
  <c r="G4140" i="1"/>
  <c r="G4149" i="1"/>
  <c r="G4187" i="1"/>
  <c r="G4179" i="1"/>
  <c r="G4171" i="1"/>
  <c r="G4163" i="1"/>
  <c r="G4155" i="1"/>
  <c r="G4193" i="1"/>
  <c r="G4218" i="1"/>
  <c r="G4210" i="1"/>
  <c r="G4202" i="1"/>
  <c r="G4226" i="1"/>
  <c r="G4264" i="1"/>
  <c r="G4256" i="1"/>
  <c r="G4248" i="1"/>
  <c r="G4240" i="1"/>
  <c r="G4303" i="1"/>
  <c r="G4295" i="1"/>
  <c r="G4287" i="1"/>
  <c r="G4279" i="1"/>
  <c r="G4271" i="1"/>
  <c r="G4314" i="1"/>
  <c r="G4306" i="1"/>
  <c r="G4325" i="1"/>
  <c r="G4337" i="1"/>
  <c r="G4363" i="1"/>
  <c r="G4355" i="1"/>
  <c r="G4347" i="1"/>
  <c r="G4375" i="1"/>
  <c r="G4367" i="1"/>
  <c r="G4415" i="1"/>
  <c r="G4407" i="1"/>
  <c r="G4399" i="1"/>
  <c r="G4391" i="1"/>
  <c r="G4383" i="1"/>
  <c r="G4431" i="1"/>
  <c r="G4423" i="1"/>
  <c r="G4440" i="1"/>
  <c r="G4449" i="1"/>
  <c r="G4463" i="1"/>
  <c r="G4455" i="1"/>
  <c r="G4483" i="1"/>
  <c r="G4475" i="1"/>
  <c r="G4467" i="1"/>
  <c r="G4489" i="1"/>
  <c r="G4506" i="1"/>
  <c r="G4498" i="1"/>
  <c r="G4522" i="1"/>
  <c r="G4514" i="1"/>
  <c r="G4528" i="1"/>
  <c r="G4535" i="1"/>
  <c r="G4557" i="1"/>
  <c r="G4549" i="1"/>
  <c r="G4568" i="1"/>
  <c r="G4576" i="1"/>
  <c r="G4586" i="1"/>
  <c r="G4612" i="1"/>
  <c r="G4604" i="1"/>
  <c r="G4596" i="1"/>
  <c r="G4588" i="1"/>
  <c r="G4629" i="1"/>
  <c r="G4621" i="1"/>
  <c r="G4633" i="1"/>
  <c r="G4645" i="1"/>
  <c r="G4654" i="1"/>
  <c r="G4669" i="1"/>
  <c r="G4661" i="1"/>
  <c r="G4686" i="1"/>
  <c r="G4678" i="1"/>
  <c r="G4710" i="1"/>
  <c r="G4702" i="1"/>
  <c r="G4694" i="1"/>
  <c r="G4721" i="1"/>
  <c r="G4731" i="1"/>
  <c r="G4742" i="1"/>
  <c r="G4734" i="1"/>
  <c r="G4745" i="1"/>
  <c r="G4752" i="1"/>
  <c r="G4770" i="1"/>
  <c r="G4762" i="1"/>
  <c r="G4778" i="1"/>
  <c r="G4800" i="1"/>
  <c r="G4792" i="1"/>
  <c r="G4805" i="1"/>
  <c r="G4815" i="1"/>
  <c r="K21" i="4" l="1"/>
  <c r="J9" i="4"/>
  <c r="K9" i="4" s="1"/>
  <c r="P18" i="4"/>
  <c r="Q7" i="4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S21" i="4"/>
  <c r="R9" i="4"/>
  <c r="S9" i="4" s="1"/>
  <c r="M10" i="4"/>
  <c r="N10" i="4" s="1"/>
  <c r="S7" i="4"/>
  <c r="Z9" i="4"/>
  <c r="AA9" i="4" s="1"/>
  <c r="U10" i="4"/>
  <c r="V10" i="4" s="1"/>
  <c r="AH9" i="4"/>
  <c r="AI9" i="4" s="1"/>
  <c r="AC10" i="4"/>
  <c r="AD10" i="4" s="1"/>
  <c r="AP9" i="4"/>
  <c r="AQ9" i="4" s="1"/>
  <c r="AK10" i="4"/>
  <c r="AL10" i="4" s="1"/>
  <c r="AX9" i="4"/>
  <c r="AY9" i="4" s="1"/>
  <c r="AS10" i="4"/>
  <c r="AT10" i="4" s="1"/>
  <c r="BF9" i="4"/>
  <c r="BG9" i="4" s="1"/>
  <c r="BA11" i="4"/>
  <c r="BB11" i="4" s="1"/>
  <c r="BF10" i="4"/>
  <c r="BG10" i="4" s="1"/>
  <c r="BI10" i="4"/>
  <c r="BJ10" i="4" s="1"/>
  <c r="BN9" i="4"/>
  <c r="BO9" i="4" s="1"/>
  <c r="N20" i="3"/>
  <c r="Q10" i="3"/>
  <c r="R10" i="3" s="1"/>
  <c r="U9" i="3"/>
  <c r="V9" i="3" s="1"/>
  <c r="J10" i="4" l="1"/>
  <c r="K10" i="4" s="1"/>
  <c r="M11" i="4"/>
  <c r="N11" i="4" s="1"/>
  <c r="R10" i="4"/>
  <c r="S10" i="4" s="1"/>
  <c r="AA21" i="4"/>
  <c r="U11" i="4"/>
  <c r="V11" i="4" s="1"/>
  <c r="Z10" i="4"/>
  <c r="AA10" i="4" s="1"/>
  <c r="AC11" i="4"/>
  <c r="AD11" i="4" s="1"/>
  <c r="AH10" i="4"/>
  <c r="AI10" i="4" s="1"/>
  <c r="AK11" i="4"/>
  <c r="AL11" i="4" s="1"/>
  <c r="AP10" i="4"/>
  <c r="AQ10" i="4" s="1"/>
  <c r="AS11" i="4"/>
  <c r="AT11" i="4" s="1"/>
  <c r="AX10" i="4"/>
  <c r="AY10" i="4" s="1"/>
  <c r="BA12" i="4"/>
  <c r="BB12" i="4" s="1"/>
  <c r="BF11" i="4"/>
  <c r="BG11" i="4" s="1"/>
  <c r="BI11" i="4"/>
  <c r="BJ11" i="4" s="1"/>
  <c r="BM22" i="4" s="1"/>
  <c r="BM23" i="4" s="1"/>
  <c r="BN10" i="4"/>
  <c r="BO10" i="4" s="1"/>
  <c r="Q11" i="3"/>
  <c r="R11" i="3" s="1"/>
  <c r="U10" i="3"/>
  <c r="V10" i="3" s="1"/>
  <c r="J11" i="4" l="1"/>
  <c r="K11" i="4" s="1"/>
  <c r="M12" i="4"/>
  <c r="N12" i="4" s="1"/>
  <c r="R11" i="4"/>
  <c r="S11" i="4" s="1"/>
  <c r="Z11" i="4"/>
  <c r="AA11" i="4" s="1"/>
  <c r="U12" i="4"/>
  <c r="V12" i="4" s="1"/>
  <c r="AC12" i="4"/>
  <c r="AD12" i="4" s="1"/>
  <c r="AH11" i="4"/>
  <c r="AI11" i="4" s="1"/>
  <c r="AK12" i="4"/>
  <c r="AL12" i="4" s="1"/>
  <c r="AP11" i="4"/>
  <c r="AQ11" i="4" s="1"/>
  <c r="AY21" i="4"/>
  <c r="AS12" i="4"/>
  <c r="AT12" i="4" s="1"/>
  <c r="AX11" i="4"/>
  <c r="AY11" i="4" s="1"/>
  <c r="BA13" i="4"/>
  <c r="BB13" i="4" s="1"/>
  <c r="BF12" i="4"/>
  <c r="BG12" i="4" s="1"/>
  <c r="BI12" i="4"/>
  <c r="BJ12" i="4" s="1"/>
  <c r="BN11" i="4"/>
  <c r="BO11" i="4" s="1"/>
  <c r="Q12" i="3"/>
  <c r="R12" i="3" s="1"/>
  <c r="U12" i="3" s="1"/>
  <c r="V12" i="3" s="1"/>
  <c r="U11" i="3"/>
  <c r="V11" i="3" s="1"/>
  <c r="J12" i="4" l="1"/>
  <c r="K12" i="4" s="1"/>
  <c r="M13" i="4"/>
  <c r="N13" i="4" s="1"/>
  <c r="R12" i="4"/>
  <c r="S12" i="4" s="1"/>
  <c r="U13" i="4"/>
  <c r="V13" i="4" s="1"/>
  <c r="Z12" i="4"/>
  <c r="AA12" i="4" s="1"/>
  <c r="AC13" i="4"/>
  <c r="AD13" i="4" s="1"/>
  <c r="AH12" i="4"/>
  <c r="AI12" i="4" s="1"/>
  <c r="AP12" i="4"/>
  <c r="AQ12" i="4" s="1"/>
  <c r="AK13" i="4"/>
  <c r="AL13" i="4" s="1"/>
  <c r="AS13" i="4"/>
  <c r="AT13" i="4" s="1"/>
  <c r="AX12" i="4"/>
  <c r="AY12" i="4" s="1"/>
  <c r="BF13" i="4"/>
  <c r="BG13" i="4" s="1"/>
  <c r="BA14" i="4"/>
  <c r="BB14" i="4" s="1"/>
  <c r="BN12" i="4"/>
  <c r="BO12" i="4" s="1"/>
  <c r="BI13" i="4"/>
  <c r="BJ13" i="4" s="1"/>
  <c r="V13" i="3"/>
  <c r="T15" i="3" s="1"/>
  <c r="J13" i="4" l="1"/>
  <c r="K13" i="4" s="1"/>
  <c r="R13" i="4"/>
  <c r="S13" i="4" s="1"/>
  <c r="M14" i="4"/>
  <c r="N14" i="4" s="1"/>
  <c r="Z13" i="4"/>
  <c r="AA13" i="4" s="1"/>
  <c r="U14" i="4"/>
  <c r="V14" i="4" s="1"/>
  <c r="AH13" i="4"/>
  <c r="AI13" i="4" s="1"/>
  <c r="AC14" i="4"/>
  <c r="AD14" i="4" s="1"/>
  <c r="AP13" i="4"/>
  <c r="AQ13" i="4" s="1"/>
  <c r="AK14" i="4"/>
  <c r="AL14" i="4" s="1"/>
  <c r="AX13" i="4"/>
  <c r="AY13" i="4" s="1"/>
  <c r="AS14" i="4"/>
  <c r="AT14" i="4" s="1"/>
  <c r="BA15" i="4"/>
  <c r="BB15" i="4" s="1"/>
  <c r="BF14" i="4"/>
  <c r="BG14" i="4" s="1"/>
  <c r="BI14" i="4"/>
  <c r="BJ14" i="4" s="1"/>
  <c r="BN13" i="4"/>
  <c r="BO13" i="4" s="1"/>
  <c r="T17" i="3"/>
  <c r="T19" i="3" s="1"/>
  <c r="J14" i="4" l="1"/>
  <c r="K14" i="4" s="1"/>
  <c r="M15" i="4"/>
  <c r="N15" i="4" s="1"/>
  <c r="R14" i="4"/>
  <c r="S14" i="4" s="1"/>
  <c r="U15" i="4"/>
  <c r="V15" i="4" s="1"/>
  <c r="Z14" i="4"/>
  <c r="AA14" i="4" s="1"/>
  <c r="AC15" i="4"/>
  <c r="AD15" i="4" s="1"/>
  <c r="AH14" i="4"/>
  <c r="AI14" i="4" s="1"/>
  <c r="AK15" i="4"/>
  <c r="AL15" i="4" s="1"/>
  <c r="AP14" i="4"/>
  <c r="AQ14" i="4" s="1"/>
  <c r="AS15" i="4"/>
  <c r="AT15" i="4" s="1"/>
  <c r="AX14" i="4"/>
  <c r="AY14" i="4" s="1"/>
  <c r="BA16" i="4"/>
  <c r="BB16" i="4" s="1"/>
  <c r="BF15" i="4"/>
  <c r="BG15" i="4" s="1"/>
  <c r="BI15" i="4"/>
  <c r="BJ15" i="4" s="1"/>
  <c r="BN14" i="4"/>
  <c r="BO14" i="4" s="1"/>
  <c r="J15" i="4" l="1"/>
  <c r="K15" i="4" s="1"/>
  <c r="R15" i="4"/>
  <c r="S15" i="4" s="1"/>
  <c r="M16" i="4"/>
  <c r="N16" i="4" s="1"/>
  <c r="Z15" i="4"/>
  <c r="AA15" i="4" s="1"/>
  <c r="U16" i="4"/>
  <c r="V16" i="4" s="1"/>
  <c r="AC16" i="4"/>
  <c r="AD16" i="4" s="1"/>
  <c r="AH15" i="4"/>
  <c r="AI15" i="4" s="1"/>
  <c r="AP15" i="4"/>
  <c r="AQ15" i="4" s="1"/>
  <c r="AK16" i="4"/>
  <c r="AL16" i="4" s="1"/>
  <c r="AS16" i="4"/>
  <c r="AT16" i="4" s="1"/>
  <c r="AX15" i="4"/>
  <c r="AY15" i="4" s="1"/>
  <c r="BA17" i="4"/>
  <c r="BB17" i="4" s="1"/>
  <c r="BF17" i="4" s="1"/>
  <c r="BG17" i="4" s="1"/>
  <c r="BF16" i="4"/>
  <c r="BG16" i="4" s="1"/>
  <c r="BN15" i="4"/>
  <c r="BO15" i="4" s="1"/>
  <c r="BI16" i="4"/>
  <c r="BJ16" i="4" s="1"/>
  <c r="J17" i="4" l="1"/>
  <c r="K17" i="4" s="1"/>
  <c r="J16" i="4"/>
  <c r="K16" i="4" s="1"/>
  <c r="M17" i="4"/>
  <c r="N17" i="4" s="1"/>
  <c r="R17" i="4" s="1"/>
  <c r="S17" i="4" s="1"/>
  <c r="R16" i="4"/>
  <c r="S16" i="4" s="1"/>
  <c r="U17" i="4"/>
  <c r="V17" i="4" s="1"/>
  <c r="Z17" i="4" s="1"/>
  <c r="AA17" i="4" s="1"/>
  <c r="Z16" i="4"/>
  <c r="AA16" i="4" s="1"/>
  <c r="AH16" i="4"/>
  <c r="AI16" i="4" s="1"/>
  <c r="AC17" i="4"/>
  <c r="AD17" i="4" s="1"/>
  <c r="AH17" i="4" s="1"/>
  <c r="AI17" i="4" s="1"/>
  <c r="AK17" i="4"/>
  <c r="AL17" i="4" s="1"/>
  <c r="AP17" i="4" s="1"/>
  <c r="AQ17" i="4" s="1"/>
  <c r="AP16" i="4"/>
  <c r="AQ16" i="4" s="1"/>
  <c r="AS17" i="4"/>
  <c r="AT17" i="4" s="1"/>
  <c r="AX17" i="4" s="1"/>
  <c r="AY17" i="4" s="1"/>
  <c r="AX16" i="4"/>
  <c r="AY16" i="4" s="1"/>
  <c r="BG18" i="4"/>
  <c r="BE25" i="4" s="1"/>
  <c r="BN16" i="4"/>
  <c r="BO16" i="4" s="1"/>
  <c r="BI17" i="4"/>
  <c r="BJ17" i="4" s="1"/>
  <c r="K18" i="4" l="1"/>
  <c r="K19" i="4" s="1"/>
  <c r="AI18" i="4"/>
  <c r="AQ18" i="4"/>
  <c r="AY18" i="4"/>
  <c r="BG19" i="4"/>
  <c r="BE27" i="4" s="1"/>
  <c r="BN17" i="4"/>
  <c r="BO17" i="4" s="1"/>
  <c r="BO18" i="4" s="1"/>
  <c r="BM25" i="4" s="1"/>
  <c r="K23" i="4" l="1"/>
  <c r="K25" i="4" s="1"/>
  <c r="BO19" i="4"/>
  <c r="S19" i="4"/>
  <c r="S23" i="4"/>
  <c r="S25" i="4" s="1"/>
  <c r="AA23" i="4"/>
  <c r="AA25" i="4" s="1"/>
  <c r="AI19" i="4"/>
  <c r="AI25" i="4" s="1"/>
  <c r="AQ23" i="4"/>
  <c r="AQ19" i="4"/>
  <c r="AY19" i="4"/>
  <c r="AY23" i="4"/>
  <c r="BM27" i="4"/>
  <c r="AQ25" i="4" l="1"/>
  <c r="AY25" i="4"/>
</calcChain>
</file>

<file path=xl/sharedStrings.xml><?xml version="1.0" encoding="utf-8"?>
<sst xmlns="http://schemas.openxmlformats.org/spreadsheetml/2006/main" count="5517" uniqueCount="270">
  <si>
    <t>Item Code</t>
  </si>
  <si>
    <t>OA Date</t>
  </si>
  <si>
    <t>Sum of Sales_Qty</t>
  </si>
  <si>
    <t>4960.85.100.125</t>
  </si>
  <si>
    <t>4960.85.125.125</t>
  </si>
  <si>
    <t>4960.85.100.100</t>
  </si>
  <si>
    <t>4960.85.150.150</t>
  </si>
  <si>
    <t>4960.85.125.150</t>
  </si>
  <si>
    <t>4960.85.058.100</t>
  </si>
  <si>
    <t>4960.85.100.150</t>
  </si>
  <si>
    <t>4960.85.075.125</t>
  </si>
  <si>
    <t>4960.85.150.250</t>
  </si>
  <si>
    <t>4960.85.150.200</t>
  </si>
  <si>
    <t>4960.85.048.200</t>
  </si>
  <si>
    <t>4960.85.075.100</t>
  </si>
  <si>
    <t>4960.85.048.075</t>
  </si>
  <si>
    <t>4960.85.200.250</t>
  </si>
  <si>
    <t>4960.85.075.150</t>
  </si>
  <si>
    <t>4960.85.125.200</t>
  </si>
  <si>
    <t>4960.85.100.200</t>
  </si>
  <si>
    <t>4960.85.100.250.1</t>
  </si>
  <si>
    <t>4960.85.125.250</t>
  </si>
  <si>
    <t>4960.85.150.150.1</t>
  </si>
  <si>
    <t>4960.85.100.250</t>
  </si>
  <si>
    <t>4960.85.028.075</t>
  </si>
  <si>
    <t>4960.85.200.200</t>
  </si>
  <si>
    <t>4960.85.058.200</t>
  </si>
  <si>
    <t>4960.85.058.075</t>
  </si>
  <si>
    <t>4960.85.048.100</t>
  </si>
  <si>
    <t>4960.85.075.200</t>
  </si>
  <si>
    <t>4960.85.075.075</t>
  </si>
  <si>
    <t>4960.85.058.125</t>
  </si>
  <si>
    <t>4960.85.125.125.1</t>
  </si>
  <si>
    <t>4960.85.125.300</t>
  </si>
  <si>
    <t>4960.85.048.150</t>
  </si>
  <si>
    <t>4960.85.038.150</t>
  </si>
  <si>
    <t>4960.85.038.075</t>
  </si>
  <si>
    <t>4960.85.058.150</t>
  </si>
  <si>
    <t>4960.85.048.125</t>
  </si>
  <si>
    <t>4960.85.038.200</t>
  </si>
  <si>
    <t>4960.85.100.100.1</t>
  </si>
  <si>
    <t>4960.85.075.250</t>
  </si>
  <si>
    <t>4960.85.038.100</t>
  </si>
  <si>
    <t>4960.85.100.150.1</t>
  </si>
  <si>
    <t>4960.85.150.300</t>
  </si>
  <si>
    <t>4960.85.028.150</t>
  </si>
  <si>
    <t>4960.85.038.125</t>
  </si>
  <si>
    <t>4960.85.100.300</t>
  </si>
  <si>
    <t>4960.85.100.125.1</t>
  </si>
  <si>
    <t>4960.85.100.200.1</t>
  </si>
  <si>
    <t>4960.85.075.100.1</t>
  </si>
  <si>
    <t>4960.85.028.100</t>
  </si>
  <si>
    <t>4960.85.038.050</t>
  </si>
  <si>
    <t>Year</t>
  </si>
  <si>
    <t>Week</t>
  </si>
  <si>
    <t>Week-Year</t>
  </si>
  <si>
    <t>Row Labels</t>
  </si>
  <si>
    <t>Week 10-2025</t>
  </si>
  <si>
    <t>Week 10-2026</t>
  </si>
  <si>
    <t>Week 11-2025</t>
  </si>
  <si>
    <t>Week 11-2026</t>
  </si>
  <si>
    <t>Week 1-2025</t>
  </si>
  <si>
    <t>Week 1-2026</t>
  </si>
  <si>
    <t>Week 12-2025</t>
  </si>
  <si>
    <t>Week 12-2026</t>
  </si>
  <si>
    <t>Week 13-2025</t>
  </si>
  <si>
    <t>Week 13-2026</t>
  </si>
  <si>
    <t>Week 14-2025</t>
  </si>
  <si>
    <t>Week 14-2026</t>
  </si>
  <si>
    <t>Week 15-2025</t>
  </si>
  <si>
    <t>Week 15-2026</t>
  </si>
  <si>
    <t>Week 16-2025</t>
  </si>
  <si>
    <t>Week 16-2026</t>
  </si>
  <si>
    <t>Week 17-2025</t>
  </si>
  <si>
    <t>Week 17-2026</t>
  </si>
  <si>
    <t>Week 18-2025</t>
  </si>
  <si>
    <t>Week 18-2026</t>
  </si>
  <si>
    <t>Week 19-2025</t>
  </si>
  <si>
    <t>Week 19-2026</t>
  </si>
  <si>
    <t>Week 20-2025</t>
  </si>
  <si>
    <t>Week 20-2026</t>
  </si>
  <si>
    <t>Week 21-2025</t>
  </si>
  <si>
    <t>Week 21-2026</t>
  </si>
  <si>
    <t>Week 2-2025</t>
  </si>
  <si>
    <t>Week 2-2026</t>
  </si>
  <si>
    <t>Week 22-2025</t>
  </si>
  <si>
    <t>Week 22-2026</t>
  </si>
  <si>
    <t>Week 23-2025</t>
  </si>
  <si>
    <t>Week 24-2025</t>
  </si>
  <si>
    <t>Week 25-2025</t>
  </si>
  <si>
    <t>Week 26-2025</t>
  </si>
  <si>
    <t>Week 27-2025</t>
  </si>
  <si>
    <t>Week 28-2025</t>
  </si>
  <si>
    <t>Week 29-2025</t>
  </si>
  <si>
    <t>Week 30-2025</t>
  </si>
  <si>
    <t>Week 31-2025</t>
  </si>
  <si>
    <t>Week 3-2025</t>
  </si>
  <si>
    <t>Week 3-2026</t>
  </si>
  <si>
    <t>Week 32-2025</t>
  </si>
  <si>
    <t>Week 33-2025</t>
  </si>
  <si>
    <t>Week 34-2025</t>
  </si>
  <si>
    <t>Week 35-2025</t>
  </si>
  <si>
    <t>Week 36-2025</t>
  </si>
  <si>
    <t>Week 37-2025</t>
  </si>
  <si>
    <t>Week 38-2025</t>
  </si>
  <si>
    <t>Week 39-2025</t>
  </si>
  <si>
    <t>Week 40-2025</t>
  </si>
  <si>
    <t>Week 41-2025</t>
  </si>
  <si>
    <t>Week 4-2025</t>
  </si>
  <si>
    <t>Week 4-2026</t>
  </si>
  <si>
    <t>Week 42-2025</t>
  </si>
  <si>
    <t>Week 43-2025</t>
  </si>
  <si>
    <t>Week 44-2025</t>
  </si>
  <si>
    <t>Week 45-2025</t>
  </si>
  <si>
    <t>Week 46-2025</t>
  </si>
  <si>
    <t>Week 47-2025</t>
  </si>
  <si>
    <t>Week 48-2025</t>
  </si>
  <si>
    <t>Week 49-2025</t>
  </si>
  <si>
    <t>Week 50-2025</t>
  </si>
  <si>
    <t>Week 51-2025</t>
  </si>
  <si>
    <t>Week 5-2025</t>
  </si>
  <si>
    <t>Week 5-2026</t>
  </si>
  <si>
    <t>Week 52-2025</t>
  </si>
  <si>
    <t>Week 6-2025</t>
  </si>
  <si>
    <t>Week 6-2026</t>
  </si>
  <si>
    <t>Week 7-2025</t>
  </si>
  <si>
    <t>Week 7-2026</t>
  </si>
  <si>
    <t>Week 8-2025</t>
  </si>
  <si>
    <t>Week 8-2026</t>
  </si>
  <si>
    <t>Week 9-2025</t>
  </si>
  <si>
    <t>Week 9-2026</t>
  </si>
  <si>
    <t>Grand Total</t>
  </si>
  <si>
    <t>Sum of Sum of Sales_Qty</t>
  </si>
  <si>
    <t>Week No</t>
  </si>
  <si>
    <t>2024-23</t>
  </si>
  <si>
    <t>2024-27</t>
  </si>
  <si>
    <t>2024-38</t>
  </si>
  <si>
    <t>2024-44</t>
  </si>
  <si>
    <t>2024-50</t>
  </si>
  <si>
    <t>2024-51</t>
  </si>
  <si>
    <t>2025-23</t>
  </si>
  <si>
    <t>2025-29</t>
  </si>
  <si>
    <t>2025-31</t>
  </si>
  <si>
    <t>2025-32</t>
  </si>
  <si>
    <t>2025-33</t>
  </si>
  <si>
    <t>2025-34</t>
  </si>
  <si>
    <t>2025-35</t>
  </si>
  <si>
    <t>2025-36</t>
  </si>
  <si>
    <t>2025-40</t>
  </si>
  <si>
    <t>2025-41</t>
  </si>
  <si>
    <t>2025-43</t>
  </si>
  <si>
    <t>2025-44</t>
  </si>
  <si>
    <t>2025-46</t>
  </si>
  <si>
    <t>2025-48</t>
  </si>
  <si>
    <t>2025-49</t>
  </si>
  <si>
    <t>2025-50</t>
  </si>
  <si>
    <t>2025-6</t>
  </si>
  <si>
    <t>2026-12</t>
  </si>
  <si>
    <t>2026-13</t>
  </si>
  <si>
    <t>2026-14</t>
  </si>
  <si>
    <t>2026-16</t>
  </si>
  <si>
    <t>2026-18</t>
  </si>
  <si>
    <t>2026-19</t>
  </si>
  <si>
    <t>2026-4</t>
  </si>
  <si>
    <t>2026-7</t>
  </si>
  <si>
    <t>2026-8</t>
  </si>
  <si>
    <t>2026-9</t>
  </si>
  <si>
    <t>2024-39</t>
  </si>
  <si>
    <t>2024-41</t>
  </si>
  <si>
    <t>2025-2</t>
  </si>
  <si>
    <t>2025-38</t>
  </si>
  <si>
    <t>2025-47</t>
  </si>
  <si>
    <t>2025-52</t>
  </si>
  <si>
    <t>2025-9</t>
  </si>
  <si>
    <t>2026-5</t>
  </si>
  <si>
    <t>2025-51</t>
  </si>
  <si>
    <t>2024-24</t>
  </si>
  <si>
    <t>2024-25</t>
  </si>
  <si>
    <t>2024-30</t>
  </si>
  <si>
    <t>2024-31</t>
  </si>
  <si>
    <t>2024-32</t>
  </si>
  <si>
    <t>2024-33</t>
  </si>
  <si>
    <t>2024-36</t>
  </si>
  <si>
    <t>2024-40</t>
  </si>
  <si>
    <t>2024-42</t>
  </si>
  <si>
    <t>2024-43</t>
  </si>
  <si>
    <t>2024-45</t>
  </si>
  <si>
    <t>2024-46</t>
  </si>
  <si>
    <t>2024-49</t>
  </si>
  <si>
    <t>2024-52</t>
  </si>
  <si>
    <t>2025-14</t>
  </si>
  <si>
    <t>2025-24</t>
  </si>
  <si>
    <t>2025-26</t>
  </si>
  <si>
    <t>2025-27</t>
  </si>
  <si>
    <t>2025-30</t>
  </si>
  <si>
    <t>2025-42</t>
  </si>
  <si>
    <t>2025-5</t>
  </si>
  <si>
    <t>2025-7</t>
  </si>
  <si>
    <t>2025-8</t>
  </si>
  <si>
    <t>2026-11</t>
  </si>
  <si>
    <t>2026-2</t>
  </si>
  <si>
    <t>2026-21</t>
  </si>
  <si>
    <t>2026-3</t>
  </si>
  <si>
    <t>2026-6</t>
  </si>
  <si>
    <t>2024-26</t>
  </si>
  <si>
    <t>2025-18</t>
  </si>
  <si>
    <t>2025-25</t>
  </si>
  <si>
    <t>2025-37</t>
  </si>
  <si>
    <t>2025-4</t>
  </si>
  <si>
    <t>2025-45</t>
  </si>
  <si>
    <t>2026-20</t>
  </si>
  <si>
    <t>2025-12</t>
  </si>
  <si>
    <t>2026-10</t>
  </si>
  <si>
    <t>2024-28</t>
  </si>
  <si>
    <t>2024-35</t>
  </si>
  <si>
    <t>2025-11</t>
  </si>
  <si>
    <t>2025-13</t>
  </si>
  <si>
    <t>2026-22</t>
  </si>
  <si>
    <t>2025-17</t>
  </si>
  <si>
    <t>2025-19</t>
  </si>
  <si>
    <t>2024-29</t>
  </si>
  <si>
    <t>2024-37</t>
  </si>
  <si>
    <t>2024-47</t>
  </si>
  <si>
    <t>2025-28</t>
  </si>
  <si>
    <t>2025-3</t>
  </si>
  <si>
    <t>2025-39</t>
  </si>
  <si>
    <t>2025-1</t>
  </si>
  <si>
    <t>2025-10</t>
  </si>
  <si>
    <t>2025-20</t>
  </si>
  <si>
    <t>2025-22</t>
  </si>
  <si>
    <t>2026-15</t>
  </si>
  <si>
    <t>2025-15</t>
  </si>
  <si>
    <t>2025-21</t>
  </si>
  <si>
    <t>2026-17</t>
  </si>
  <si>
    <t>2025-16</t>
  </si>
  <si>
    <t>2024-34</t>
  </si>
  <si>
    <t>2024-48</t>
  </si>
  <si>
    <t>2026-1</t>
  </si>
  <si>
    <t>2024-22</t>
  </si>
  <si>
    <t>Frequency</t>
  </si>
  <si>
    <t>Qty Range</t>
  </si>
  <si>
    <t>Mid Point</t>
  </si>
  <si>
    <t>Contribution</t>
  </si>
  <si>
    <t>Weighted sum</t>
  </si>
  <si>
    <t>Final Average Demand</t>
  </si>
  <si>
    <t xml:space="preserve">Max Demand </t>
  </si>
  <si>
    <t>(600*85%)</t>
  </si>
  <si>
    <t>Safety Stock</t>
  </si>
  <si>
    <t>(Max Demand - Avg Demand) * Leadtime in Months</t>
  </si>
  <si>
    <t>ROL</t>
  </si>
  <si>
    <t>Avg Demand + Safety Stock</t>
  </si>
  <si>
    <t>Reference Working</t>
  </si>
  <si>
    <t>Cum. Probability</t>
  </si>
  <si>
    <t>85% service level</t>
  </si>
  <si>
    <t>(Dmax​−Davg​)×LT</t>
  </si>
  <si>
    <t>D Avg / Week</t>
  </si>
  <si>
    <t>D Avg / Month</t>
  </si>
  <si>
    <t>Leadtime</t>
  </si>
  <si>
    <t>4 Weeks</t>
  </si>
  <si>
    <t>Dmax / Week</t>
  </si>
  <si>
    <t>Dmax per month</t>
  </si>
  <si>
    <t>per Month</t>
  </si>
  <si>
    <t>Volume Logic</t>
  </si>
  <si>
    <t xml:space="preserve"> Interpolated</t>
  </si>
  <si>
    <t>Current Stock</t>
  </si>
  <si>
    <t>Shortage</t>
  </si>
  <si>
    <r>
      <rPr>
        <b/>
        <sz val="11"/>
        <rFont val="Aptos Narrow"/>
        <family val="2"/>
      </rPr>
      <t>4960.85.</t>
    </r>
    <r>
      <rPr>
        <sz val="11"/>
        <rFont val="Aptos Narrow"/>
      </rPr>
      <t>125.250</t>
    </r>
  </si>
  <si>
    <t>Lower</t>
  </si>
  <si>
    <t>Upper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</si>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</sst>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yy"/>
    <numFmt numFmtId="165" formatCode="_(* #,##0_);_(* \(#,##0\);_(* &quot;-&quot;??_);_(@_)"/>
    <numFmt numFmtId="166" formatCode="0.000"/>
    <numFmt numFmtId="167" formatCode="_(* #,##0.0_);_(* \(#,##0.0\);_(* &quot;-&quot;??_);_(@_)"/>
  </numFmts>
  <fonts count="8" x14ac:knownFonts="1">
    <font>
      <sz val="11"/>
      <name val="Aptos Narrow"/>
    </font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9"/>
      <name val="Aptos Narrow"/>
      <family val="2"/>
    </font>
    <font>
      <sz val="8"/>
      <name val="Aptos Narrow"/>
    </font>
    <font>
      <sz val="8"/>
      <name val="Segoe UI"/>
      <family val="2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166" fontId="0" fillId="0" borderId="0" xfId="0" applyNumberFormat="1"/>
    <xf numFmtId="2" fontId="0" fillId="0" borderId="0" xfId="0" applyNumberFormat="1"/>
    <xf numFmtId="165" fontId="2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66" fontId="4" fillId="0" borderId="0" xfId="0" applyNumberFormat="1" applyFont="1"/>
    <xf numFmtId="166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0" fontId="0" fillId="3" borderId="0" xfId="0" applyFill="1"/>
    <xf numFmtId="165" fontId="2" fillId="3" borderId="0" xfId="0" applyNumberFormat="1" applyFont="1" applyFill="1"/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167" fontId="0" fillId="0" borderId="0" xfId="1" applyNumberFormat="1" applyFont="1"/>
    <xf numFmtId="16" fontId="0" fillId="0" borderId="0" xfId="0" applyNumberFormat="1"/>
    <xf numFmtId="0" fontId="0" fillId="3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/>
    <xf numFmtId="43" fontId="0" fillId="0" borderId="0" xfId="1" applyFont="1"/>
    <xf numFmtId="43" fontId="2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166" fontId="0" fillId="3" borderId="0" xfId="0" applyNumberFormat="1" applyFill="1"/>
    <xf numFmtId="1" fontId="0" fillId="3" borderId="0" xfId="0" applyNumberFormat="1" applyFill="1"/>
    <xf numFmtId="165" fontId="0" fillId="0" borderId="0" xfId="0" applyNumberFormat="1"/>
    <xf numFmtId="43" fontId="0" fillId="0" borderId="0" xfId="0" applyNumberFormat="1"/>
    <xf numFmtId="0" fontId="2" fillId="4" borderId="0" xfId="0" applyFont="1" applyFill="1"/>
    <xf numFmtId="0" fontId="0" fillId="0" borderId="0" xfId="0" applyNumberFormat="1"/>
  </cellXfs>
  <cellStyles count="2">
    <cellStyle name="Comma" xfId="1" builtinId="3"/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krishna Edara" refreshedDate="46182.695044444445" createdVersion="8" refreshedVersion="8" minRefreshableVersion="3" recordCount="6080" xr:uid="{9C1FD48F-9D12-4AF7-9027-E7836AC6912C}">
  <cacheSource type="worksheet">
    <worksheetSource ref="A1:G6081" sheet="Data"/>
  </cacheSource>
  <cacheFields count="7">
    <cacheField name="OA Date" numFmtId="164">
      <sharedItems containsNonDate="0" containsDate="1" containsString="0" containsBlank="1" minDate="2025-01-02T00:00:00" maxDate="2026-05-31T00:00:00"/>
    </cacheField>
    <cacheField name="Item Code" numFmtId="0">
      <sharedItems containsBlank="1" count="52">
        <s v="4960.85.125.250"/>
        <s v="4960.85.048.150"/>
        <s v="4960.85.075.150"/>
        <s v="4960.85.100.150"/>
        <s v="4960.85.048.100"/>
        <s v="4960.85.150.200"/>
        <s v="4960.85.125.200"/>
        <s v="4960.85.100.250"/>
        <s v="4960.85.075.100.1"/>
        <s v="4960.85.075.200"/>
        <s v="4960.85.125.125"/>
        <s v="4960.85.100.125"/>
        <s v="4960.85.100.100"/>
        <s v="4960.85.150.150"/>
        <s v="4960.85.125.150"/>
        <s v="4960.85.075.100"/>
        <s v="4960.85.150.250"/>
        <s v="4960.85.100.200"/>
        <s v="4960.85.058.075"/>
        <s v="4960.85.058.100"/>
        <s v="4960.85.048.200"/>
        <s v="4960.85.038.100"/>
        <s v="4960.85.058.150"/>
        <s v="4960.85.028.150"/>
        <s v="4960.85.028.100"/>
        <s v="4960.85.075.125"/>
        <s v="4960.85.048.125"/>
        <s v="4960.85.075.075"/>
        <s v="4960.85.048.075"/>
        <s v="4960.85.200.200"/>
        <s v="4960.85.038.075"/>
        <s v="4960.85.058.125"/>
        <s v="4960.85.028.075"/>
        <s v="4960.85.038.125"/>
        <s v="4960.85.100.100.1"/>
        <s v="4960.85.038.150"/>
        <s v="4960.85.125.300"/>
        <s v="4960.85.100.300"/>
        <s v="4960.85.100.150.1"/>
        <s v="4960.85.100.125.1"/>
        <s v="4960.85.038.200"/>
        <s v="4960.85.058.200"/>
        <s v="4960.85.150.150.1"/>
        <s v="4960.85.200.250"/>
        <s v="4960.85.125.125.1"/>
        <s v="4960.85.075.250"/>
        <s v="4960.85.038.050"/>
        <s v="4960.85.150.300"/>
        <s v="4960.85.100.250.1"/>
        <s v="4960.85.100.200.1"/>
        <m/>
        <s v="4960.85.150.250.1" u="1"/>
      </sharedItems>
    </cacheField>
    <cacheField name="Sum of Sales_Qty" numFmtId="0">
      <sharedItems containsString="0" containsBlank="1" containsNumber="1" containsInteger="1" minValue="1" maxValue="100"/>
    </cacheField>
    <cacheField name="Year" numFmtId="0">
      <sharedItems containsString="0" containsBlank="1" containsNumber="1" containsInteger="1" minValue="2025" maxValue="2026"/>
    </cacheField>
    <cacheField name="Week No" numFmtId="0">
      <sharedItems containsBlank="1" count="106">
        <s v="2025-1"/>
        <s v="2025-2"/>
        <s v="2025-3"/>
        <s v="2025-4"/>
        <s v="2025-5"/>
        <s v="2025-6"/>
        <s v="2025-7"/>
        <s v="2025-8"/>
        <s v="2025-9"/>
        <s v="2025-10"/>
        <s v="2025-11"/>
        <s v="2025-12"/>
        <s v="2025-13"/>
        <s v="2025-14"/>
        <s v="2025-15"/>
        <s v="2025-16"/>
        <s v="2025-17"/>
        <s v="2025-18"/>
        <s v="2025-19"/>
        <s v="2025-20"/>
        <s v="2025-21"/>
        <s v="2025-22"/>
        <s v="2025-23"/>
        <s v="2025-24"/>
        <s v="2025-25"/>
        <s v="2025-26"/>
        <s v="2025-27"/>
        <s v="2025-28"/>
        <s v="2025-29"/>
        <s v="2025-30"/>
        <s v="2025-31"/>
        <s v="2025-32"/>
        <s v="2025-33"/>
        <s v="2025-34"/>
        <s v="2025-35"/>
        <s v="2025-36"/>
        <s v="2025-37"/>
        <s v="2025-38"/>
        <s v="2025-39"/>
        <s v="2025-40"/>
        <s v="2025-41"/>
        <s v="2025-42"/>
        <s v="2025-43"/>
        <s v="2025-44"/>
        <s v="2025-45"/>
        <s v="2025-46"/>
        <s v="2025-47"/>
        <s v="2025-48"/>
        <s v="2025-49"/>
        <s v="2025-50"/>
        <s v="2025-51"/>
        <s v="2025-52"/>
        <s v="2026-1"/>
        <s v="2026-2"/>
        <s v="2026-3"/>
        <s v="2026-4"/>
        <s v="2026-5"/>
        <s v="2026-6"/>
        <s v="2026-7"/>
        <s v="2026-8"/>
        <s v="2026-9"/>
        <s v="2026-10"/>
        <s v="2026-11"/>
        <s v="2026-12"/>
        <s v="2026-13"/>
        <s v="2026-14"/>
        <s v="2026-15"/>
        <s v="2026-16"/>
        <s v="2026-17"/>
        <s v="2026-18"/>
        <s v="2026-19"/>
        <s v="2026-20"/>
        <s v="2026-21"/>
        <s v="2026-22"/>
        <m/>
        <s v="2024-52" u="1"/>
        <s v="2024-51" u="1"/>
        <s v="2024-50" u="1"/>
        <s v="2024-49" u="1"/>
        <s v="2024-48" u="1"/>
        <s v="2024-47" u="1"/>
        <s v="2024-46" u="1"/>
        <s v="2024-45" u="1"/>
        <s v="2024-44" u="1"/>
        <s v="2024-43" u="1"/>
        <s v="2024-42" u="1"/>
        <s v="2024-41" u="1"/>
        <s v="2024-40" u="1"/>
        <s v="2024-39" u="1"/>
        <s v="2024-38" u="1"/>
        <s v="2024-37" u="1"/>
        <s v="2024-36" u="1"/>
        <s v="2024-35" u="1"/>
        <s v="2024-34" u="1"/>
        <s v="2024-33" u="1"/>
        <s v="2024-32" u="1"/>
        <s v="2024-31" u="1"/>
        <s v="2024-30" u="1"/>
        <s v="2024-29" u="1"/>
        <s v="2024-28" u="1"/>
        <s v="2024-27" u="1"/>
        <s v="2024-26" u="1"/>
        <s v="2024-25" u="1"/>
        <s v="2024-24" u="1"/>
        <s v="2024-23" u="1"/>
        <s v="2024-22" u="1"/>
      </sharedItems>
    </cacheField>
    <cacheField name="Week" numFmtId="0">
      <sharedItems containsBlank="1"/>
    </cacheField>
    <cacheField name="Week-Ye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krishna Edara" refreshedDate="46182.89404259259" createdVersion="8" refreshedVersion="8" minRefreshableVersion="3" recordCount="4817" xr:uid="{A125AC17-CD79-4739-B7BE-9A2079868E1F}">
  <cacheSource type="worksheet">
    <worksheetSource ref="A1:G4818" sheet="Data"/>
  </cacheSource>
  <cacheFields count="7">
    <cacheField name="OA Date" numFmtId="164">
      <sharedItems containsSemiMixedTypes="0" containsNonDate="0" containsDate="1" containsString="0" minDate="2025-01-02T00:00:00" maxDate="2026-05-31T00:00:00"/>
    </cacheField>
    <cacheField name="Item Code" numFmtId="0">
      <sharedItems count="50">
        <s v="4960.85.125.250"/>
        <s v="4960.85.048.150"/>
        <s v="4960.85.075.150"/>
        <s v="4960.85.100.150"/>
        <s v="4960.85.048.100"/>
        <s v="4960.85.150.200"/>
        <s v="4960.85.125.200"/>
        <s v="4960.85.100.250"/>
        <s v="4960.85.075.100.1"/>
        <s v="4960.85.075.200"/>
        <s v="4960.85.125.125"/>
        <s v="4960.85.100.125"/>
        <s v="4960.85.100.100"/>
        <s v="4960.85.150.150"/>
        <s v="4960.85.125.150"/>
        <s v="4960.85.075.100"/>
        <s v="4960.85.150.250"/>
        <s v="4960.85.100.200"/>
        <s v="4960.85.058.075"/>
        <s v="4960.85.058.100"/>
        <s v="4960.85.048.200"/>
        <s v="4960.85.038.100"/>
        <s v="4960.85.058.150"/>
        <s v="4960.85.028.150"/>
        <s v="4960.85.028.100"/>
        <s v="4960.85.075.125"/>
        <s v="4960.85.048.125"/>
        <s v="4960.85.075.075"/>
        <s v="4960.85.048.075"/>
        <s v="4960.85.200.200"/>
        <s v="4960.85.038.075"/>
        <s v="4960.85.058.125"/>
        <s v="4960.85.028.075"/>
        <s v="4960.85.038.125"/>
        <s v="4960.85.100.100.1"/>
        <s v="4960.85.038.150"/>
        <s v="4960.85.125.300"/>
        <s v="4960.85.100.300"/>
        <s v="4960.85.100.150.1"/>
        <s v="4960.85.100.125.1"/>
        <s v="4960.85.038.200"/>
        <s v="4960.85.058.200"/>
        <s v="4960.85.150.150.1"/>
        <s v="4960.85.200.250"/>
        <s v="4960.85.125.125.1"/>
        <s v="4960.85.075.250"/>
        <s v="4960.85.038.050"/>
        <s v="4960.85.150.300"/>
        <s v="4960.85.100.250.1"/>
        <s v="4960.85.100.200.1"/>
      </sharedItems>
    </cacheField>
    <cacheField name="Sum of Sales_Qty" numFmtId="0">
      <sharedItems containsSemiMixedTypes="0" containsString="0" containsNumber="1" containsInteger="1" minValue="1" maxValue="100"/>
    </cacheField>
    <cacheField name="Year" numFmtId="0">
      <sharedItems containsSemiMixedTypes="0" containsString="0" containsNumber="1" containsInteger="1" minValue="2025" maxValue="2026"/>
    </cacheField>
    <cacheField name="Week No" numFmtId="0">
      <sharedItems/>
    </cacheField>
    <cacheField name="Week" numFmtId="0">
      <sharedItems/>
    </cacheField>
    <cacheField name="Week-Year" numFmtId="0">
      <sharedItems count="75">
        <s v="Week 1-2025"/>
        <s v="Week 2-2025"/>
        <s v="Week 3-2025"/>
        <s v="Week 4-2025"/>
        <s v="Week 5-2025"/>
        <s v="Week 6-2025"/>
        <s v="Week 7-2025"/>
        <s v="Week 8-2025"/>
        <s v="Week 9-2025"/>
        <s v="Week 10-2025"/>
        <s v="Week 11-2025"/>
        <s v="Week 12-2025"/>
        <s v="Week 13-2025"/>
        <s v="Week 14-2025"/>
        <s v="Week 15-2025"/>
        <s v="Week 16-2025"/>
        <s v="Week 17-2025"/>
        <s v="Week 18-2025"/>
        <s v="Week 19-2025"/>
        <s v="Week 20-2025"/>
        <s v="Week 21-2025"/>
        <s v="Week 22-2025"/>
        <s v="Week 23-2025"/>
        <s v="Week 24-2025"/>
        <s v="Week 25-2025"/>
        <s v="Week 26-2025"/>
        <s v="Week 27-2025"/>
        <s v="Week 28-2025"/>
        <s v="Week 29-2025"/>
        <s v="Week 30-2025"/>
        <s v="Week 31-2025"/>
        <s v="Week 32-2025"/>
        <s v="Week 33-2025"/>
        <s v="Week 34-2025"/>
        <s v="Week 35-2025"/>
        <s v="Week 36-2025"/>
        <s v="Week 37-2025"/>
        <s v="Week 38-2025"/>
        <s v="Week 39-2025"/>
        <s v="Week 40-2025"/>
        <s v="Week 41-2025"/>
        <s v="Week 42-2025"/>
        <s v="Week 43-2025"/>
        <s v="Week 44-2025"/>
        <s v="Week 45-2025"/>
        <s v="Week 46-2025"/>
        <s v="Week 47-2025"/>
        <s v="Week 48-2025"/>
        <s v="Week 49-2025"/>
        <s v="Week 50-2025"/>
        <s v="Week 51-2025"/>
        <s v="Week 52-2025"/>
        <s v="Week 53-2025"/>
        <s v="Week 1-2026"/>
        <s v="Week 2-2026"/>
        <s v="Week 3-2026"/>
        <s v="Week 4-2026"/>
        <s v="Week 5-2026"/>
        <s v="Week 6-2026"/>
        <s v="Week 7-2026"/>
        <s v="Week 8-2026"/>
        <s v="Week 9-2026"/>
        <s v="Week 10-2026"/>
        <s v="Week 11-2026"/>
        <s v="Week 12-2026"/>
        <s v="Week 13-2026"/>
        <s v="Week 14-2026"/>
        <s v="Week 15-2026"/>
        <s v="Week 16-2026"/>
        <s v="Week 17-2026"/>
        <s v="Week 18-2026"/>
        <s v="Week 19-2026"/>
        <s v="Week 20-2026"/>
        <s v="Week 21-2026"/>
        <s v="Week 22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0">
  <r>
    <d v="2025-01-02T00:00:00"/>
    <x v="0"/>
    <n v="4"/>
    <n v="2025"/>
    <x v="0"/>
    <s v="Week 1"/>
    <s v="Week 1-2025"/>
  </r>
  <r>
    <d v="2025-01-02T00:00:00"/>
    <x v="1"/>
    <n v="6"/>
    <n v="2025"/>
    <x v="0"/>
    <s v="Week 1"/>
    <s v="Week 1-2025"/>
  </r>
  <r>
    <d v="2025-01-02T00:00:00"/>
    <x v="2"/>
    <n v="2"/>
    <n v="2025"/>
    <x v="0"/>
    <s v="Week 1"/>
    <s v="Week 1-2025"/>
  </r>
  <r>
    <d v="2025-01-02T00:00:00"/>
    <x v="3"/>
    <n v="1"/>
    <n v="2025"/>
    <x v="0"/>
    <s v="Week 1"/>
    <s v="Week 1-2025"/>
  </r>
  <r>
    <d v="2025-01-02T00:00:00"/>
    <x v="4"/>
    <n v="2"/>
    <n v="2025"/>
    <x v="0"/>
    <s v="Week 1"/>
    <s v="Week 1-2025"/>
  </r>
  <r>
    <d v="2025-01-05T00:00:00"/>
    <x v="5"/>
    <n v="10"/>
    <n v="2025"/>
    <x v="0"/>
    <s v="Week 2"/>
    <s v="Week 2-2025"/>
  </r>
  <r>
    <d v="2025-01-05T00:00:00"/>
    <x v="0"/>
    <n v="4"/>
    <n v="2025"/>
    <x v="0"/>
    <s v="Week 2"/>
    <s v="Week 2-2025"/>
  </r>
  <r>
    <d v="2025-01-05T00:00:00"/>
    <x v="6"/>
    <n v="3"/>
    <n v="2025"/>
    <x v="0"/>
    <s v="Week 2"/>
    <s v="Week 2-2025"/>
  </r>
  <r>
    <d v="2025-01-05T00:00:00"/>
    <x v="6"/>
    <n v="3"/>
    <n v="2025"/>
    <x v="0"/>
    <s v="Week 2"/>
    <s v="Week 2-2025"/>
  </r>
  <r>
    <d v="2025-01-05T00:00:00"/>
    <x v="1"/>
    <n v="6"/>
    <n v="2025"/>
    <x v="0"/>
    <s v="Week 2"/>
    <s v="Week 2-2025"/>
  </r>
  <r>
    <d v="2025-01-05T00:00:00"/>
    <x v="2"/>
    <n v="4"/>
    <n v="2025"/>
    <x v="0"/>
    <s v="Week 2"/>
    <s v="Week 2-2025"/>
  </r>
  <r>
    <d v="2025-01-05T00:00:00"/>
    <x v="6"/>
    <n v="2"/>
    <n v="2025"/>
    <x v="0"/>
    <s v="Week 2"/>
    <s v="Week 2-2025"/>
  </r>
  <r>
    <d v="2025-01-05T00:00:00"/>
    <x v="5"/>
    <n v="1"/>
    <n v="2025"/>
    <x v="0"/>
    <s v="Week 2"/>
    <s v="Week 2-2025"/>
  </r>
  <r>
    <d v="2025-01-05T00:00:00"/>
    <x v="7"/>
    <n v="1"/>
    <n v="2025"/>
    <x v="0"/>
    <s v="Week 2"/>
    <s v="Week 2-2025"/>
  </r>
  <r>
    <d v="2025-01-05T00:00:00"/>
    <x v="7"/>
    <n v="1"/>
    <n v="2025"/>
    <x v="0"/>
    <s v="Week 2"/>
    <s v="Week 2-2025"/>
  </r>
  <r>
    <d v="2025-01-05T00:00:00"/>
    <x v="8"/>
    <n v="2"/>
    <n v="2025"/>
    <x v="0"/>
    <s v="Week 2"/>
    <s v="Week 2-2025"/>
  </r>
  <r>
    <d v="2025-01-05T00:00:00"/>
    <x v="3"/>
    <n v="1"/>
    <n v="2025"/>
    <x v="0"/>
    <s v="Week 2"/>
    <s v="Week 2-2025"/>
  </r>
  <r>
    <d v="2025-01-05T00:00:00"/>
    <x v="4"/>
    <n v="2"/>
    <n v="2025"/>
    <x v="0"/>
    <s v="Week 2"/>
    <s v="Week 2-2025"/>
  </r>
  <r>
    <d v="2025-01-05T00:00:00"/>
    <x v="9"/>
    <n v="1"/>
    <n v="2025"/>
    <x v="0"/>
    <s v="Week 2"/>
    <s v="Week 2-2025"/>
  </r>
  <r>
    <d v="2025-01-06T00:00:00"/>
    <x v="10"/>
    <n v="16"/>
    <n v="2025"/>
    <x v="1"/>
    <s v="Week 2"/>
    <s v="Week 2-2025"/>
  </r>
  <r>
    <d v="2025-01-06T00:00:00"/>
    <x v="11"/>
    <n v="19"/>
    <n v="2025"/>
    <x v="1"/>
    <s v="Week 2"/>
    <s v="Week 2-2025"/>
  </r>
  <r>
    <d v="2025-01-06T00:00:00"/>
    <x v="12"/>
    <n v="16"/>
    <n v="2025"/>
    <x v="1"/>
    <s v="Week 2"/>
    <s v="Week 2-2025"/>
  </r>
  <r>
    <d v="2025-01-06T00:00:00"/>
    <x v="13"/>
    <n v="8"/>
    <n v="2025"/>
    <x v="1"/>
    <s v="Week 2"/>
    <s v="Week 2-2025"/>
  </r>
  <r>
    <d v="2025-01-06T00:00:00"/>
    <x v="11"/>
    <n v="11"/>
    <n v="2025"/>
    <x v="1"/>
    <s v="Week 2"/>
    <s v="Week 2-2025"/>
  </r>
  <r>
    <d v="2025-01-06T00:00:00"/>
    <x v="3"/>
    <n v="8"/>
    <n v="2025"/>
    <x v="1"/>
    <s v="Week 2"/>
    <s v="Week 2-2025"/>
  </r>
  <r>
    <d v="2025-01-06T00:00:00"/>
    <x v="10"/>
    <n v="6"/>
    <n v="2025"/>
    <x v="1"/>
    <s v="Week 2"/>
    <s v="Week 2-2025"/>
  </r>
  <r>
    <d v="2025-01-06T00:00:00"/>
    <x v="14"/>
    <n v="4"/>
    <n v="2025"/>
    <x v="1"/>
    <s v="Week 2"/>
    <s v="Week 2-2025"/>
  </r>
  <r>
    <d v="2025-01-06T00:00:00"/>
    <x v="14"/>
    <n v="4"/>
    <n v="2025"/>
    <x v="1"/>
    <s v="Week 2"/>
    <s v="Week 2-2025"/>
  </r>
  <r>
    <d v="2025-01-06T00:00:00"/>
    <x v="15"/>
    <n v="8"/>
    <n v="2025"/>
    <x v="1"/>
    <s v="Week 2"/>
    <s v="Week 2-2025"/>
  </r>
  <r>
    <d v="2025-01-06T00:00:00"/>
    <x v="16"/>
    <n v="2"/>
    <n v="2025"/>
    <x v="1"/>
    <s v="Week 2"/>
    <s v="Week 2-2025"/>
  </r>
  <r>
    <d v="2025-01-06T00:00:00"/>
    <x v="1"/>
    <n v="6"/>
    <n v="2025"/>
    <x v="1"/>
    <s v="Week 2"/>
    <s v="Week 2-2025"/>
  </r>
  <r>
    <d v="2025-01-06T00:00:00"/>
    <x v="3"/>
    <n v="3"/>
    <n v="2025"/>
    <x v="1"/>
    <s v="Week 2"/>
    <s v="Week 2-2025"/>
  </r>
  <r>
    <d v="2025-01-06T00:00:00"/>
    <x v="17"/>
    <n v="2"/>
    <n v="2025"/>
    <x v="1"/>
    <s v="Week 2"/>
    <s v="Week 2-2025"/>
  </r>
  <r>
    <d v="2025-01-06T00:00:00"/>
    <x v="18"/>
    <n v="5"/>
    <n v="2025"/>
    <x v="1"/>
    <s v="Week 2"/>
    <s v="Week 2-2025"/>
  </r>
  <r>
    <d v="2025-01-06T00:00:00"/>
    <x v="19"/>
    <n v="4"/>
    <n v="2025"/>
    <x v="1"/>
    <s v="Week 2"/>
    <s v="Week 2-2025"/>
  </r>
  <r>
    <d v="2025-01-06T00:00:00"/>
    <x v="4"/>
    <n v="4"/>
    <n v="2025"/>
    <x v="1"/>
    <s v="Week 2"/>
    <s v="Week 2-2025"/>
  </r>
  <r>
    <d v="2025-01-06T00:00:00"/>
    <x v="11"/>
    <n v="2"/>
    <n v="2025"/>
    <x v="1"/>
    <s v="Week 2"/>
    <s v="Week 2-2025"/>
  </r>
  <r>
    <d v="2025-01-06T00:00:00"/>
    <x v="20"/>
    <n v="2"/>
    <n v="2025"/>
    <x v="1"/>
    <s v="Week 2"/>
    <s v="Week 2-2025"/>
  </r>
  <r>
    <d v="2025-01-06T00:00:00"/>
    <x v="21"/>
    <n v="4"/>
    <n v="2025"/>
    <x v="1"/>
    <s v="Week 2"/>
    <s v="Week 2-2025"/>
  </r>
  <r>
    <d v="2025-01-06T00:00:00"/>
    <x v="3"/>
    <n v="1"/>
    <n v="2025"/>
    <x v="1"/>
    <s v="Week 2"/>
    <s v="Week 2-2025"/>
  </r>
  <r>
    <d v="2025-01-06T00:00:00"/>
    <x v="22"/>
    <n v="1"/>
    <n v="2025"/>
    <x v="1"/>
    <s v="Week 2"/>
    <s v="Week 2-2025"/>
  </r>
  <r>
    <d v="2025-01-08T00:00:00"/>
    <x v="17"/>
    <n v="2"/>
    <n v="2025"/>
    <x v="1"/>
    <s v="Week 2"/>
    <s v="Week 2-2025"/>
  </r>
  <r>
    <d v="2025-01-09T00:00:00"/>
    <x v="12"/>
    <n v="27"/>
    <n v="2025"/>
    <x v="1"/>
    <s v="Week 2"/>
    <s v="Week 2-2025"/>
  </r>
  <r>
    <d v="2025-01-09T00:00:00"/>
    <x v="14"/>
    <n v="16"/>
    <n v="2025"/>
    <x v="1"/>
    <s v="Week 2"/>
    <s v="Week 2-2025"/>
  </r>
  <r>
    <d v="2025-01-09T00:00:00"/>
    <x v="10"/>
    <n v="16"/>
    <n v="2025"/>
    <x v="1"/>
    <s v="Week 2"/>
    <s v="Week 2-2025"/>
  </r>
  <r>
    <d v="2025-01-09T00:00:00"/>
    <x v="10"/>
    <n v="16"/>
    <n v="2025"/>
    <x v="1"/>
    <s v="Week 2"/>
    <s v="Week 2-2025"/>
  </r>
  <r>
    <d v="2025-01-09T00:00:00"/>
    <x v="12"/>
    <n v="15"/>
    <n v="2025"/>
    <x v="1"/>
    <s v="Week 2"/>
    <s v="Week 2-2025"/>
  </r>
  <r>
    <d v="2025-01-09T00:00:00"/>
    <x v="13"/>
    <n v="8"/>
    <n v="2025"/>
    <x v="1"/>
    <s v="Week 2"/>
    <s v="Week 2-2025"/>
  </r>
  <r>
    <d v="2025-01-09T00:00:00"/>
    <x v="13"/>
    <n v="8"/>
    <n v="2025"/>
    <x v="1"/>
    <s v="Week 2"/>
    <s v="Week 2-2025"/>
  </r>
  <r>
    <d v="2025-01-09T00:00:00"/>
    <x v="12"/>
    <n v="12"/>
    <n v="2025"/>
    <x v="1"/>
    <s v="Week 2"/>
    <s v="Week 2-2025"/>
  </r>
  <r>
    <d v="2025-01-09T00:00:00"/>
    <x v="12"/>
    <n v="12"/>
    <n v="2025"/>
    <x v="1"/>
    <s v="Week 2"/>
    <s v="Week 2-2025"/>
  </r>
  <r>
    <d v="2025-01-09T00:00:00"/>
    <x v="14"/>
    <n v="8"/>
    <n v="2025"/>
    <x v="1"/>
    <s v="Week 2"/>
    <s v="Week 2-2025"/>
  </r>
  <r>
    <d v="2025-01-09T00:00:00"/>
    <x v="3"/>
    <n v="9"/>
    <n v="2025"/>
    <x v="1"/>
    <s v="Week 2"/>
    <s v="Week 2-2025"/>
  </r>
  <r>
    <d v="2025-01-09T00:00:00"/>
    <x v="15"/>
    <n v="16"/>
    <n v="2025"/>
    <x v="1"/>
    <s v="Week 2"/>
    <s v="Week 2-2025"/>
  </r>
  <r>
    <d v="2025-01-09T00:00:00"/>
    <x v="10"/>
    <n v="8"/>
    <n v="2025"/>
    <x v="1"/>
    <s v="Week 2"/>
    <s v="Week 2-2025"/>
  </r>
  <r>
    <d v="2025-01-09T00:00:00"/>
    <x v="11"/>
    <n v="8"/>
    <n v="2025"/>
    <x v="1"/>
    <s v="Week 2"/>
    <s v="Week 2-2025"/>
  </r>
  <r>
    <d v="2025-01-09T00:00:00"/>
    <x v="11"/>
    <n v="8"/>
    <n v="2025"/>
    <x v="1"/>
    <s v="Week 2"/>
    <s v="Week 2-2025"/>
  </r>
  <r>
    <d v="2025-01-09T00:00:00"/>
    <x v="3"/>
    <n v="7"/>
    <n v="2025"/>
    <x v="1"/>
    <s v="Week 2"/>
    <s v="Week 2-2025"/>
  </r>
  <r>
    <d v="2025-01-09T00:00:00"/>
    <x v="5"/>
    <n v="4"/>
    <n v="2025"/>
    <x v="1"/>
    <s v="Week 2"/>
    <s v="Week 2-2025"/>
  </r>
  <r>
    <d v="2025-01-09T00:00:00"/>
    <x v="12"/>
    <n v="8"/>
    <n v="2025"/>
    <x v="1"/>
    <s v="Week 2"/>
    <s v="Week 2-2025"/>
  </r>
  <r>
    <d v="2025-01-09T00:00:00"/>
    <x v="15"/>
    <n v="11"/>
    <n v="2025"/>
    <x v="1"/>
    <s v="Week 2"/>
    <s v="Week 2-2025"/>
  </r>
  <r>
    <d v="2025-01-09T00:00:00"/>
    <x v="17"/>
    <n v="5"/>
    <n v="2025"/>
    <x v="1"/>
    <s v="Week 2"/>
    <s v="Week 2-2025"/>
  </r>
  <r>
    <d v="2025-01-09T00:00:00"/>
    <x v="3"/>
    <n v="6"/>
    <n v="2025"/>
    <x v="1"/>
    <s v="Week 2"/>
    <s v="Week 2-2025"/>
  </r>
  <r>
    <d v="2025-01-09T00:00:00"/>
    <x v="13"/>
    <n v="4"/>
    <n v="2025"/>
    <x v="1"/>
    <s v="Week 2"/>
    <s v="Week 2-2025"/>
  </r>
  <r>
    <d v="2025-01-09T00:00:00"/>
    <x v="14"/>
    <n v="4"/>
    <n v="2025"/>
    <x v="1"/>
    <s v="Week 2"/>
    <s v="Week 2-2025"/>
  </r>
  <r>
    <d v="2025-01-09T00:00:00"/>
    <x v="14"/>
    <n v="4"/>
    <n v="2025"/>
    <x v="1"/>
    <s v="Week 2"/>
    <s v="Week 2-2025"/>
  </r>
  <r>
    <d v="2025-01-09T00:00:00"/>
    <x v="14"/>
    <n v="4"/>
    <n v="2025"/>
    <x v="1"/>
    <s v="Week 2"/>
    <s v="Week 2-2025"/>
  </r>
  <r>
    <d v="2025-01-09T00:00:00"/>
    <x v="19"/>
    <n v="8"/>
    <n v="2025"/>
    <x v="1"/>
    <s v="Week 2"/>
    <s v="Week 2-2025"/>
  </r>
  <r>
    <d v="2025-01-09T00:00:00"/>
    <x v="3"/>
    <n v="4"/>
    <n v="2025"/>
    <x v="1"/>
    <s v="Week 2"/>
    <s v="Week 2-2025"/>
  </r>
  <r>
    <d v="2025-01-09T00:00:00"/>
    <x v="15"/>
    <n v="7"/>
    <n v="2025"/>
    <x v="1"/>
    <s v="Week 2"/>
    <s v="Week 2-2025"/>
  </r>
  <r>
    <d v="2025-01-09T00:00:00"/>
    <x v="12"/>
    <n v="5"/>
    <n v="2025"/>
    <x v="1"/>
    <s v="Week 2"/>
    <s v="Week 2-2025"/>
  </r>
  <r>
    <d v="2025-01-09T00:00:00"/>
    <x v="12"/>
    <n v="4"/>
    <n v="2025"/>
    <x v="1"/>
    <s v="Week 2"/>
    <s v="Week 2-2025"/>
  </r>
  <r>
    <d v="2025-01-09T00:00:00"/>
    <x v="2"/>
    <n v="4"/>
    <n v="2025"/>
    <x v="1"/>
    <s v="Week 2"/>
    <s v="Week 2-2025"/>
  </r>
  <r>
    <d v="2025-01-09T00:00:00"/>
    <x v="4"/>
    <n v="6"/>
    <n v="2025"/>
    <x v="1"/>
    <s v="Week 2"/>
    <s v="Week 2-2025"/>
  </r>
  <r>
    <d v="2025-01-09T00:00:00"/>
    <x v="19"/>
    <n v="4"/>
    <n v="2025"/>
    <x v="1"/>
    <s v="Week 2"/>
    <s v="Week 2-2025"/>
  </r>
  <r>
    <d v="2025-01-09T00:00:00"/>
    <x v="14"/>
    <n v="1"/>
    <n v="2025"/>
    <x v="1"/>
    <s v="Week 2"/>
    <s v="Week 2-2025"/>
  </r>
  <r>
    <d v="2025-01-09T00:00:00"/>
    <x v="14"/>
    <n v="1"/>
    <n v="2025"/>
    <x v="1"/>
    <s v="Week 2"/>
    <s v="Week 2-2025"/>
  </r>
  <r>
    <d v="2025-01-09T00:00:00"/>
    <x v="23"/>
    <n v="2"/>
    <n v="2025"/>
    <x v="1"/>
    <s v="Week 2"/>
    <s v="Week 2-2025"/>
  </r>
  <r>
    <d v="2025-01-09T00:00:00"/>
    <x v="24"/>
    <n v="2"/>
    <n v="2025"/>
    <x v="1"/>
    <s v="Week 2"/>
    <s v="Week 2-2025"/>
  </r>
  <r>
    <d v="2025-01-10T00:00:00"/>
    <x v="5"/>
    <n v="6"/>
    <n v="2025"/>
    <x v="1"/>
    <s v="Week 2"/>
    <s v="Week 2-2025"/>
  </r>
  <r>
    <d v="2025-01-10T00:00:00"/>
    <x v="5"/>
    <n v="5"/>
    <n v="2025"/>
    <x v="1"/>
    <s v="Week 2"/>
    <s v="Week 2-2025"/>
  </r>
  <r>
    <d v="2025-01-10T00:00:00"/>
    <x v="3"/>
    <n v="7"/>
    <n v="2025"/>
    <x v="1"/>
    <s v="Week 2"/>
    <s v="Week 2-2025"/>
  </r>
  <r>
    <d v="2025-01-10T00:00:00"/>
    <x v="6"/>
    <n v="5"/>
    <n v="2025"/>
    <x v="1"/>
    <s v="Week 2"/>
    <s v="Week 2-2025"/>
  </r>
  <r>
    <d v="2025-01-10T00:00:00"/>
    <x v="6"/>
    <n v="3"/>
    <n v="2025"/>
    <x v="1"/>
    <s v="Week 2"/>
    <s v="Week 2-2025"/>
  </r>
  <r>
    <d v="2025-01-10T00:00:00"/>
    <x v="7"/>
    <n v="2"/>
    <n v="2025"/>
    <x v="1"/>
    <s v="Week 2"/>
    <s v="Week 2-2025"/>
  </r>
  <r>
    <d v="2025-01-10T00:00:00"/>
    <x v="8"/>
    <n v="2"/>
    <n v="2025"/>
    <x v="1"/>
    <s v="Week 2"/>
    <s v="Week 2-2025"/>
  </r>
  <r>
    <d v="2025-01-12T00:00:00"/>
    <x v="11"/>
    <n v="18"/>
    <n v="2025"/>
    <x v="1"/>
    <s v="Week 3"/>
    <s v="Week 3-2025"/>
  </r>
  <r>
    <d v="2025-01-12T00:00:00"/>
    <x v="12"/>
    <n v="20"/>
    <n v="2025"/>
    <x v="1"/>
    <s v="Week 3"/>
    <s v="Week 3-2025"/>
  </r>
  <r>
    <d v="2025-01-12T00:00:00"/>
    <x v="19"/>
    <n v="16"/>
    <n v="2025"/>
    <x v="1"/>
    <s v="Week 3"/>
    <s v="Week 3-2025"/>
  </r>
  <r>
    <d v="2025-01-12T00:00:00"/>
    <x v="3"/>
    <n v="8"/>
    <n v="2025"/>
    <x v="1"/>
    <s v="Week 3"/>
    <s v="Week 3-2025"/>
  </r>
  <r>
    <d v="2025-01-12T00:00:00"/>
    <x v="25"/>
    <n v="12"/>
    <n v="2025"/>
    <x v="1"/>
    <s v="Week 3"/>
    <s v="Week 3-2025"/>
  </r>
  <r>
    <d v="2025-01-12T00:00:00"/>
    <x v="15"/>
    <n v="12"/>
    <n v="2025"/>
    <x v="1"/>
    <s v="Week 3"/>
    <s v="Week 3-2025"/>
  </r>
  <r>
    <d v="2025-01-12T00:00:00"/>
    <x v="5"/>
    <n v="4"/>
    <n v="2025"/>
    <x v="1"/>
    <s v="Week 3"/>
    <s v="Week 3-2025"/>
  </r>
  <r>
    <d v="2025-01-12T00:00:00"/>
    <x v="3"/>
    <n v="4"/>
    <n v="2025"/>
    <x v="1"/>
    <s v="Week 3"/>
    <s v="Week 3-2025"/>
  </r>
  <r>
    <d v="2025-01-12T00:00:00"/>
    <x v="13"/>
    <n v="2"/>
    <n v="2025"/>
    <x v="1"/>
    <s v="Week 3"/>
    <s v="Week 3-2025"/>
  </r>
  <r>
    <d v="2025-01-12T00:00:00"/>
    <x v="12"/>
    <n v="3"/>
    <n v="2025"/>
    <x v="1"/>
    <s v="Week 3"/>
    <s v="Week 3-2025"/>
  </r>
  <r>
    <d v="2025-01-12T00:00:00"/>
    <x v="9"/>
    <n v="2"/>
    <n v="2025"/>
    <x v="1"/>
    <s v="Week 3"/>
    <s v="Week 3-2025"/>
  </r>
  <r>
    <d v="2025-01-12T00:00:00"/>
    <x v="2"/>
    <n v="2"/>
    <n v="2025"/>
    <x v="1"/>
    <s v="Week 3"/>
    <s v="Week 3-2025"/>
  </r>
  <r>
    <d v="2025-01-12T00:00:00"/>
    <x v="9"/>
    <n v="1"/>
    <n v="2025"/>
    <x v="1"/>
    <s v="Week 3"/>
    <s v="Week 3-2025"/>
  </r>
  <r>
    <d v="2025-01-13T00:00:00"/>
    <x v="13"/>
    <n v="8"/>
    <n v="2025"/>
    <x v="2"/>
    <s v="Week 3"/>
    <s v="Week 3-2025"/>
  </r>
  <r>
    <d v="2025-01-13T00:00:00"/>
    <x v="12"/>
    <n v="7"/>
    <n v="2025"/>
    <x v="2"/>
    <s v="Week 3"/>
    <s v="Week 3-2025"/>
  </r>
  <r>
    <d v="2025-01-13T00:00:00"/>
    <x v="11"/>
    <n v="5"/>
    <n v="2025"/>
    <x v="2"/>
    <s v="Week 3"/>
    <s v="Week 3-2025"/>
  </r>
  <r>
    <d v="2025-01-13T00:00:00"/>
    <x v="15"/>
    <n v="8"/>
    <n v="2025"/>
    <x v="2"/>
    <s v="Week 3"/>
    <s v="Week 3-2025"/>
  </r>
  <r>
    <d v="2025-01-13T00:00:00"/>
    <x v="19"/>
    <n v="6"/>
    <n v="2025"/>
    <x v="2"/>
    <s v="Week 3"/>
    <s v="Week 3-2025"/>
  </r>
  <r>
    <d v="2025-01-13T00:00:00"/>
    <x v="26"/>
    <n v="8"/>
    <n v="2025"/>
    <x v="2"/>
    <s v="Week 3"/>
    <s v="Week 3-2025"/>
  </r>
  <r>
    <d v="2025-01-13T00:00:00"/>
    <x v="18"/>
    <n v="6"/>
    <n v="2025"/>
    <x v="2"/>
    <s v="Week 3"/>
    <s v="Week 3-2025"/>
  </r>
  <r>
    <d v="2025-01-13T00:00:00"/>
    <x v="3"/>
    <n v="2"/>
    <n v="2025"/>
    <x v="2"/>
    <s v="Week 3"/>
    <s v="Week 3-2025"/>
  </r>
  <r>
    <d v="2025-01-13T00:00:00"/>
    <x v="25"/>
    <n v="3"/>
    <n v="2025"/>
    <x v="2"/>
    <s v="Week 3"/>
    <s v="Week 3-2025"/>
  </r>
  <r>
    <d v="2025-01-13T00:00:00"/>
    <x v="16"/>
    <n v="1"/>
    <n v="2025"/>
    <x v="2"/>
    <s v="Week 3"/>
    <s v="Week 3-2025"/>
  </r>
  <r>
    <d v="2025-01-13T00:00:00"/>
    <x v="15"/>
    <n v="2"/>
    <n v="2025"/>
    <x v="2"/>
    <s v="Week 3"/>
    <s v="Week 3-2025"/>
  </r>
  <r>
    <d v="2025-01-13T00:00:00"/>
    <x v="25"/>
    <n v="2"/>
    <n v="2025"/>
    <x v="2"/>
    <s v="Week 3"/>
    <s v="Week 3-2025"/>
  </r>
  <r>
    <d v="2025-01-13T00:00:00"/>
    <x v="27"/>
    <n v="2"/>
    <n v="2025"/>
    <x v="2"/>
    <s v="Week 3"/>
    <s v="Week 3-2025"/>
  </r>
  <r>
    <d v="2025-01-13T00:00:00"/>
    <x v="20"/>
    <n v="1"/>
    <n v="2025"/>
    <x v="2"/>
    <s v="Week 3"/>
    <s v="Week 3-2025"/>
  </r>
  <r>
    <d v="2025-01-13T00:00:00"/>
    <x v="20"/>
    <n v="1"/>
    <n v="2025"/>
    <x v="2"/>
    <s v="Week 3"/>
    <s v="Week 3-2025"/>
  </r>
  <r>
    <d v="2025-01-13T00:00:00"/>
    <x v="18"/>
    <n v="2"/>
    <n v="2025"/>
    <x v="2"/>
    <s v="Week 3"/>
    <s v="Week 3-2025"/>
  </r>
  <r>
    <d v="2025-01-13T00:00:00"/>
    <x v="28"/>
    <n v="2"/>
    <n v="2025"/>
    <x v="2"/>
    <s v="Week 3"/>
    <s v="Week 3-2025"/>
  </r>
  <r>
    <d v="2025-01-13T00:00:00"/>
    <x v="12"/>
    <n v="1"/>
    <n v="2025"/>
    <x v="2"/>
    <s v="Week 3"/>
    <s v="Week 3-2025"/>
  </r>
  <r>
    <d v="2025-01-15T00:00:00"/>
    <x v="9"/>
    <n v="4"/>
    <n v="2025"/>
    <x v="2"/>
    <s v="Week 3"/>
    <s v="Week 3-2025"/>
  </r>
  <r>
    <d v="2025-01-16T00:00:00"/>
    <x v="12"/>
    <n v="67"/>
    <n v="2025"/>
    <x v="2"/>
    <s v="Week 3"/>
    <s v="Week 3-2025"/>
  </r>
  <r>
    <d v="2025-01-16T00:00:00"/>
    <x v="10"/>
    <n v="16"/>
    <n v="2025"/>
    <x v="2"/>
    <s v="Week 3"/>
    <s v="Week 3-2025"/>
  </r>
  <r>
    <d v="2025-01-16T00:00:00"/>
    <x v="17"/>
    <n v="14"/>
    <n v="2025"/>
    <x v="2"/>
    <s v="Week 3"/>
    <s v="Week 3-2025"/>
  </r>
  <r>
    <d v="2025-01-16T00:00:00"/>
    <x v="3"/>
    <n v="15"/>
    <n v="2025"/>
    <x v="2"/>
    <s v="Week 3"/>
    <s v="Week 3-2025"/>
  </r>
  <r>
    <d v="2025-01-16T00:00:00"/>
    <x v="15"/>
    <n v="20"/>
    <n v="2025"/>
    <x v="2"/>
    <s v="Week 3"/>
    <s v="Week 3-2025"/>
  </r>
  <r>
    <d v="2025-01-16T00:00:00"/>
    <x v="11"/>
    <n v="12"/>
    <n v="2025"/>
    <x v="2"/>
    <s v="Week 3"/>
    <s v="Week 3-2025"/>
  </r>
  <r>
    <d v="2025-01-16T00:00:00"/>
    <x v="15"/>
    <n v="18"/>
    <n v="2025"/>
    <x v="2"/>
    <s v="Week 3"/>
    <s v="Week 3-2025"/>
  </r>
  <r>
    <d v="2025-01-16T00:00:00"/>
    <x v="13"/>
    <n v="8"/>
    <n v="2025"/>
    <x v="2"/>
    <s v="Week 3"/>
    <s v="Week 3-2025"/>
  </r>
  <r>
    <d v="2025-01-16T00:00:00"/>
    <x v="3"/>
    <n v="8"/>
    <n v="2025"/>
    <x v="2"/>
    <s v="Week 3"/>
    <s v="Week 3-2025"/>
  </r>
  <r>
    <d v="2025-01-16T00:00:00"/>
    <x v="5"/>
    <n v="4"/>
    <n v="2025"/>
    <x v="2"/>
    <s v="Week 3"/>
    <s v="Week 3-2025"/>
  </r>
  <r>
    <d v="2025-01-16T00:00:00"/>
    <x v="13"/>
    <n v="4"/>
    <n v="2025"/>
    <x v="2"/>
    <s v="Week 3"/>
    <s v="Week 3-2025"/>
  </r>
  <r>
    <d v="2025-01-16T00:00:00"/>
    <x v="14"/>
    <n v="4"/>
    <n v="2025"/>
    <x v="2"/>
    <s v="Week 3"/>
    <s v="Week 3-2025"/>
  </r>
  <r>
    <d v="2025-01-16T00:00:00"/>
    <x v="26"/>
    <n v="10"/>
    <n v="2025"/>
    <x v="2"/>
    <s v="Week 3"/>
    <s v="Week 3-2025"/>
  </r>
  <r>
    <d v="2025-01-16T00:00:00"/>
    <x v="12"/>
    <n v="5"/>
    <n v="2025"/>
    <x v="2"/>
    <s v="Week 3"/>
    <s v="Week 3-2025"/>
  </r>
  <r>
    <d v="2025-01-16T00:00:00"/>
    <x v="3"/>
    <n v="3"/>
    <n v="2025"/>
    <x v="2"/>
    <s v="Week 3"/>
    <s v="Week 3-2025"/>
  </r>
  <r>
    <d v="2025-01-21T00:00:00"/>
    <x v="3"/>
    <n v="13"/>
    <n v="2025"/>
    <x v="3"/>
    <s v="Week 4"/>
    <s v="Week 4-2025"/>
  </r>
  <r>
    <d v="2025-01-21T00:00:00"/>
    <x v="3"/>
    <n v="9"/>
    <n v="2025"/>
    <x v="3"/>
    <s v="Week 4"/>
    <s v="Week 4-2025"/>
  </r>
  <r>
    <d v="2025-01-21T00:00:00"/>
    <x v="14"/>
    <n v="6"/>
    <n v="2025"/>
    <x v="3"/>
    <s v="Week 4"/>
    <s v="Week 4-2025"/>
  </r>
  <r>
    <d v="2025-01-21T00:00:00"/>
    <x v="12"/>
    <n v="7"/>
    <n v="2025"/>
    <x v="3"/>
    <s v="Week 4"/>
    <s v="Week 4-2025"/>
  </r>
  <r>
    <d v="2025-01-21T00:00:00"/>
    <x v="15"/>
    <n v="6"/>
    <n v="2025"/>
    <x v="3"/>
    <s v="Week 4"/>
    <s v="Week 4-2025"/>
  </r>
  <r>
    <d v="2025-01-21T00:00:00"/>
    <x v="22"/>
    <n v="4"/>
    <n v="2025"/>
    <x v="3"/>
    <s v="Week 4"/>
    <s v="Week 4-2025"/>
  </r>
  <r>
    <d v="2025-01-21T00:00:00"/>
    <x v="11"/>
    <n v="2"/>
    <n v="2025"/>
    <x v="3"/>
    <s v="Week 4"/>
    <s v="Week 4-2025"/>
  </r>
  <r>
    <d v="2025-01-21T00:00:00"/>
    <x v="21"/>
    <n v="4"/>
    <n v="2025"/>
    <x v="3"/>
    <s v="Week 4"/>
    <s v="Week 4-2025"/>
  </r>
  <r>
    <d v="2025-01-22T00:00:00"/>
    <x v="3"/>
    <n v="20"/>
    <n v="2025"/>
    <x v="3"/>
    <s v="Week 4"/>
    <s v="Week 4-2025"/>
  </r>
  <r>
    <d v="2025-01-22T00:00:00"/>
    <x v="10"/>
    <n v="18"/>
    <n v="2025"/>
    <x v="3"/>
    <s v="Week 4"/>
    <s v="Week 4-2025"/>
  </r>
  <r>
    <d v="2025-01-22T00:00:00"/>
    <x v="14"/>
    <n v="16"/>
    <n v="2025"/>
    <x v="3"/>
    <s v="Week 4"/>
    <s v="Week 4-2025"/>
  </r>
  <r>
    <d v="2025-01-22T00:00:00"/>
    <x v="5"/>
    <n v="10"/>
    <n v="2025"/>
    <x v="3"/>
    <s v="Week 4"/>
    <s v="Week 4-2025"/>
  </r>
  <r>
    <d v="2025-01-22T00:00:00"/>
    <x v="12"/>
    <n v="17"/>
    <n v="2025"/>
    <x v="3"/>
    <s v="Week 4"/>
    <s v="Week 4-2025"/>
  </r>
  <r>
    <d v="2025-01-22T00:00:00"/>
    <x v="13"/>
    <n v="10"/>
    <n v="2025"/>
    <x v="3"/>
    <s v="Week 4"/>
    <s v="Week 4-2025"/>
  </r>
  <r>
    <d v="2025-01-22T00:00:00"/>
    <x v="2"/>
    <n v="16"/>
    <n v="2025"/>
    <x v="3"/>
    <s v="Week 4"/>
    <s v="Week 4-2025"/>
  </r>
  <r>
    <d v="2025-01-22T00:00:00"/>
    <x v="17"/>
    <n v="8"/>
    <n v="2025"/>
    <x v="3"/>
    <s v="Week 4"/>
    <s v="Week 4-2025"/>
  </r>
  <r>
    <d v="2025-01-22T00:00:00"/>
    <x v="9"/>
    <n v="9"/>
    <n v="2025"/>
    <x v="3"/>
    <s v="Week 4"/>
    <s v="Week 4-2025"/>
  </r>
  <r>
    <d v="2025-01-22T00:00:00"/>
    <x v="6"/>
    <n v="6"/>
    <n v="2025"/>
    <x v="3"/>
    <s v="Week 4"/>
    <s v="Week 4-2025"/>
  </r>
  <r>
    <d v="2025-01-22T00:00:00"/>
    <x v="11"/>
    <n v="9"/>
    <n v="2025"/>
    <x v="3"/>
    <s v="Week 4"/>
    <s v="Week 4-2025"/>
  </r>
  <r>
    <d v="2025-01-22T00:00:00"/>
    <x v="13"/>
    <n v="4"/>
    <n v="2025"/>
    <x v="3"/>
    <s v="Week 4"/>
    <s v="Week 4-2025"/>
  </r>
  <r>
    <d v="2025-01-22T00:00:00"/>
    <x v="19"/>
    <n v="8"/>
    <n v="2025"/>
    <x v="3"/>
    <s v="Week 4"/>
    <s v="Week 4-2025"/>
  </r>
  <r>
    <d v="2025-01-22T00:00:00"/>
    <x v="17"/>
    <n v="3"/>
    <n v="2025"/>
    <x v="3"/>
    <s v="Week 4"/>
    <s v="Week 4-2025"/>
  </r>
  <r>
    <d v="2025-01-22T00:00:00"/>
    <x v="5"/>
    <n v="2"/>
    <n v="2025"/>
    <x v="3"/>
    <s v="Week 4"/>
    <s v="Week 4-2025"/>
  </r>
  <r>
    <d v="2025-01-22T00:00:00"/>
    <x v="13"/>
    <n v="2"/>
    <n v="2025"/>
    <x v="3"/>
    <s v="Week 4"/>
    <s v="Week 4-2025"/>
  </r>
  <r>
    <d v="2025-01-22T00:00:00"/>
    <x v="2"/>
    <n v="2"/>
    <n v="2025"/>
    <x v="3"/>
    <s v="Week 4"/>
    <s v="Week 4-2025"/>
  </r>
  <r>
    <d v="2025-01-22T00:00:00"/>
    <x v="6"/>
    <n v="1"/>
    <n v="2025"/>
    <x v="3"/>
    <s v="Week 4"/>
    <s v="Week 4-2025"/>
  </r>
  <r>
    <d v="2025-01-22T00:00:00"/>
    <x v="15"/>
    <n v="2"/>
    <n v="2025"/>
    <x v="3"/>
    <s v="Week 4"/>
    <s v="Week 4-2025"/>
  </r>
  <r>
    <d v="2025-01-24T00:00:00"/>
    <x v="11"/>
    <n v="22"/>
    <n v="2025"/>
    <x v="3"/>
    <s v="Week 4"/>
    <s v="Week 4-2025"/>
  </r>
  <r>
    <d v="2025-01-24T00:00:00"/>
    <x v="10"/>
    <n v="16"/>
    <n v="2025"/>
    <x v="3"/>
    <s v="Week 4"/>
    <s v="Week 4-2025"/>
  </r>
  <r>
    <d v="2025-01-24T00:00:00"/>
    <x v="12"/>
    <n v="22"/>
    <n v="2025"/>
    <x v="3"/>
    <s v="Week 4"/>
    <s v="Week 4-2025"/>
  </r>
  <r>
    <d v="2025-01-24T00:00:00"/>
    <x v="3"/>
    <n v="9"/>
    <n v="2025"/>
    <x v="3"/>
    <s v="Week 4"/>
    <s v="Week 4-2025"/>
  </r>
  <r>
    <d v="2025-01-24T00:00:00"/>
    <x v="15"/>
    <n v="16"/>
    <n v="2025"/>
    <x v="3"/>
    <s v="Week 4"/>
    <s v="Week 4-2025"/>
  </r>
  <r>
    <d v="2025-01-24T00:00:00"/>
    <x v="2"/>
    <n v="8"/>
    <n v="2025"/>
    <x v="3"/>
    <s v="Week 4"/>
    <s v="Week 4-2025"/>
  </r>
  <r>
    <d v="2025-01-24T00:00:00"/>
    <x v="17"/>
    <n v="4"/>
    <n v="2025"/>
    <x v="3"/>
    <s v="Week 4"/>
    <s v="Week 4-2025"/>
  </r>
  <r>
    <d v="2025-01-24T00:00:00"/>
    <x v="14"/>
    <n v="4"/>
    <n v="2025"/>
    <x v="3"/>
    <s v="Week 4"/>
    <s v="Week 4-2025"/>
  </r>
  <r>
    <d v="2025-01-24T00:00:00"/>
    <x v="14"/>
    <n v="4"/>
    <n v="2025"/>
    <x v="3"/>
    <s v="Week 4"/>
    <s v="Week 4-2025"/>
  </r>
  <r>
    <d v="2025-01-24T00:00:00"/>
    <x v="11"/>
    <n v="4"/>
    <n v="2025"/>
    <x v="3"/>
    <s v="Week 4"/>
    <s v="Week 4-2025"/>
  </r>
  <r>
    <d v="2025-01-24T00:00:00"/>
    <x v="15"/>
    <n v="4"/>
    <n v="2025"/>
    <x v="3"/>
    <s v="Week 4"/>
    <s v="Week 4-2025"/>
  </r>
  <r>
    <d v="2025-01-24T00:00:00"/>
    <x v="19"/>
    <n v="4"/>
    <n v="2025"/>
    <x v="3"/>
    <s v="Week 4"/>
    <s v="Week 4-2025"/>
  </r>
  <r>
    <d v="2025-01-24T00:00:00"/>
    <x v="3"/>
    <n v="2"/>
    <n v="2025"/>
    <x v="3"/>
    <s v="Week 4"/>
    <s v="Week 4-2025"/>
  </r>
  <r>
    <d v="2025-01-24T00:00:00"/>
    <x v="17"/>
    <n v="1"/>
    <n v="2025"/>
    <x v="3"/>
    <s v="Week 4"/>
    <s v="Week 4-2025"/>
  </r>
  <r>
    <d v="2025-01-24T00:00:00"/>
    <x v="17"/>
    <n v="1"/>
    <n v="2025"/>
    <x v="3"/>
    <s v="Week 4"/>
    <s v="Week 4-2025"/>
  </r>
  <r>
    <d v="2025-01-24T00:00:00"/>
    <x v="11"/>
    <n v="1"/>
    <n v="2025"/>
    <x v="3"/>
    <s v="Week 4"/>
    <s v="Week 4-2025"/>
  </r>
  <r>
    <d v="2025-01-25T00:00:00"/>
    <x v="17"/>
    <n v="4"/>
    <n v="2025"/>
    <x v="3"/>
    <s v="Week 4"/>
    <s v="Week 4-2025"/>
  </r>
  <r>
    <d v="2025-01-25T00:00:00"/>
    <x v="6"/>
    <n v="2"/>
    <n v="2025"/>
    <x v="3"/>
    <s v="Week 4"/>
    <s v="Week 4-2025"/>
  </r>
  <r>
    <d v="2025-01-27T00:00:00"/>
    <x v="16"/>
    <n v="8"/>
    <n v="2025"/>
    <x v="4"/>
    <s v="Week 5"/>
    <s v="Week 5-2025"/>
  </r>
  <r>
    <d v="2025-01-27T00:00:00"/>
    <x v="10"/>
    <n v="16"/>
    <n v="2025"/>
    <x v="4"/>
    <s v="Week 5"/>
    <s v="Week 5-2025"/>
  </r>
  <r>
    <d v="2025-01-27T00:00:00"/>
    <x v="3"/>
    <n v="13"/>
    <n v="2025"/>
    <x v="4"/>
    <s v="Week 5"/>
    <s v="Week 5-2025"/>
  </r>
  <r>
    <d v="2025-01-27T00:00:00"/>
    <x v="5"/>
    <n v="8"/>
    <n v="2025"/>
    <x v="4"/>
    <s v="Week 5"/>
    <s v="Week 5-2025"/>
  </r>
  <r>
    <d v="2025-01-27T00:00:00"/>
    <x v="17"/>
    <n v="10"/>
    <n v="2025"/>
    <x v="4"/>
    <s v="Week 5"/>
    <s v="Week 5-2025"/>
  </r>
  <r>
    <d v="2025-01-27T00:00:00"/>
    <x v="3"/>
    <n v="8"/>
    <n v="2025"/>
    <x v="4"/>
    <s v="Week 5"/>
    <s v="Week 5-2025"/>
  </r>
  <r>
    <d v="2025-01-27T00:00:00"/>
    <x v="14"/>
    <n v="6"/>
    <n v="2025"/>
    <x v="4"/>
    <s v="Week 5"/>
    <s v="Week 5-2025"/>
  </r>
  <r>
    <d v="2025-01-27T00:00:00"/>
    <x v="17"/>
    <n v="6"/>
    <n v="2025"/>
    <x v="4"/>
    <s v="Week 5"/>
    <s v="Week 5-2025"/>
  </r>
  <r>
    <d v="2025-01-27T00:00:00"/>
    <x v="10"/>
    <n v="4"/>
    <n v="2025"/>
    <x v="4"/>
    <s v="Week 5"/>
    <s v="Week 5-2025"/>
  </r>
  <r>
    <d v="2025-01-27T00:00:00"/>
    <x v="29"/>
    <n v="1"/>
    <n v="2025"/>
    <x v="4"/>
    <s v="Week 5"/>
    <s v="Week 5-2025"/>
  </r>
  <r>
    <d v="2025-01-27T00:00:00"/>
    <x v="11"/>
    <n v="4"/>
    <n v="2025"/>
    <x v="4"/>
    <s v="Week 5"/>
    <s v="Week 5-2025"/>
  </r>
  <r>
    <d v="2025-01-27T00:00:00"/>
    <x v="14"/>
    <n v="2"/>
    <n v="2025"/>
    <x v="4"/>
    <s v="Week 5"/>
    <s v="Week 5-2025"/>
  </r>
  <r>
    <d v="2025-01-27T00:00:00"/>
    <x v="4"/>
    <n v="7"/>
    <n v="2025"/>
    <x v="4"/>
    <s v="Week 5"/>
    <s v="Week 5-2025"/>
  </r>
  <r>
    <d v="2025-01-27T00:00:00"/>
    <x v="3"/>
    <n v="3"/>
    <n v="2025"/>
    <x v="4"/>
    <s v="Week 5"/>
    <s v="Week 5-2025"/>
  </r>
  <r>
    <d v="2025-01-27T00:00:00"/>
    <x v="3"/>
    <n v="2"/>
    <n v="2025"/>
    <x v="4"/>
    <s v="Week 5"/>
    <s v="Week 5-2025"/>
  </r>
  <r>
    <d v="2025-01-27T00:00:00"/>
    <x v="6"/>
    <n v="2"/>
    <n v="2025"/>
    <x v="4"/>
    <s v="Week 5"/>
    <s v="Week 5-2025"/>
  </r>
  <r>
    <d v="2025-01-27T00:00:00"/>
    <x v="13"/>
    <n v="2"/>
    <n v="2025"/>
    <x v="4"/>
    <s v="Week 5"/>
    <s v="Week 5-2025"/>
  </r>
  <r>
    <d v="2025-01-27T00:00:00"/>
    <x v="28"/>
    <n v="6"/>
    <n v="2025"/>
    <x v="4"/>
    <s v="Week 5"/>
    <s v="Week 5-2025"/>
  </r>
  <r>
    <d v="2025-01-27T00:00:00"/>
    <x v="2"/>
    <n v="1"/>
    <n v="2025"/>
    <x v="4"/>
    <s v="Week 5"/>
    <s v="Week 5-2025"/>
  </r>
  <r>
    <d v="2025-01-27T00:00:00"/>
    <x v="11"/>
    <n v="1"/>
    <n v="2025"/>
    <x v="4"/>
    <s v="Week 5"/>
    <s v="Week 5-2025"/>
  </r>
  <r>
    <d v="2025-01-27T00:00:00"/>
    <x v="11"/>
    <n v="1"/>
    <n v="2025"/>
    <x v="4"/>
    <s v="Week 5"/>
    <s v="Week 5-2025"/>
  </r>
  <r>
    <d v="2025-01-29T00:00:00"/>
    <x v="10"/>
    <n v="10"/>
    <n v="2025"/>
    <x v="4"/>
    <s v="Week 5"/>
    <s v="Week 5-2025"/>
  </r>
  <r>
    <d v="2025-01-29T00:00:00"/>
    <x v="13"/>
    <n v="8"/>
    <n v="2025"/>
    <x v="4"/>
    <s v="Week 5"/>
    <s v="Week 5-2025"/>
  </r>
  <r>
    <d v="2025-01-29T00:00:00"/>
    <x v="14"/>
    <n v="6"/>
    <n v="2025"/>
    <x v="4"/>
    <s v="Week 5"/>
    <s v="Week 5-2025"/>
  </r>
  <r>
    <d v="2025-01-29T00:00:00"/>
    <x v="11"/>
    <n v="7"/>
    <n v="2025"/>
    <x v="4"/>
    <s v="Week 5"/>
    <s v="Week 5-2025"/>
  </r>
  <r>
    <d v="2025-01-29T00:00:00"/>
    <x v="11"/>
    <n v="4"/>
    <n v="2025"/>
    <x v="4"/>
    <s v="Week 5"/>
    <s v="Week 5-2025"/>
  </r>
  <r>
    <d v="2025-01-29T00:00:00"/>
    <x v="14"/>
    <n v="2"/>
    <n v="2025"/>
    <x v="4"/>
    <s v="Week 5"/>
    <s v="Week 5-2025"/>
  </r>
  <r>
    <d v="2025-01-29T00:00:00"/>
    <x v="10"/>
    <n v="2"/>
    <n v="2025"/>
    <x v="4"/>
    <s v="Week 5"/>
    <s v="Week 5-2025"/>
  </r>
  <r>
    <d v="2025-01-29T00:00:00"/>
    <x v="25"/>
    <n v="2"/>
    <n v="2025"/>
    <x v="4"/>
    <s v="Week 5"/>
    <s v="Week 5-2025"/>
  </r>
  <r>
    <d v="2025-01-29T00:00:00"/>
    <x v="11"/>
    <n v="1"/>
    <n v="2025"/>
    <x v="4"/>
    <s v="Week 5"/>
    <s v="Week 5-2025"/>
  </r>
  <r>
    <d v="2025-01-29T00:00:00"/>
    <x v="30"/>
    <n v="1"/>
    <n v="2025"/>
    <x v="4"/>
    <s v="Week 5"/>
    <s v="Week 5-2025"/>
  </r>
  <r>
    <d v="2025-01-30T00:00:00"/>
    <x v="28"/>
    <n v="87"/>
    <n v="2025"/>
    <x v="4"/>
    <s v="Week 5"/>
    <s v="Week 5-2025"/>
  </r>
  <r>
    <d v="2025-01-30T00:00:00"/>
    <x v="10"/>
    <n v="16"/>
    <n v="2025"/>
    <x v="4"/>
    <s v="Week 5"/>
    <s v="Week 5-2025"/>
  </r>
  <r>
    <d v="2025-01-30T00:00:00"/>
    <x v="31"/>
    <n v="24"/>
    <n v="2025"/>
    <x v="4"/>
    <s v="Week 5"/>
    <s v="Week 5-2025"/>
  </r>
  <r>
    <d v="2025-01-30T00:00:00"/>
    <x v="7"/>
    <n v="8"/>
    <n v="2025"/>
    <x v="4"/>
    <s v="Week 5"/>
    <s v="Week 5-2025"/>
  </r>
  <r>
    <d v="2025-01-30T00:00:00"/>
    <x v="12"/>
    <n v="10"/>
    <n v="2025"/>
    <x v="4"/>
    <s v="Week 5"/>
    <s v="Week 5-2025"/>
  </r>
  <r>
    <d v="2025-01-30T00:00:00"/>
    <x v="11"/>
    <n v="8"/>
    <n v="2025"/>
    <x v="4"/>
    <s v="Week 5"/>
    <s v="Week 5-2025"/>
  </r>
  <r>
    <d v="2025-01-30T00:00:00"/>
    <x v="3"/>
    <n v="6"/>
    <n v="2025"/>
    <x v="4"/>
    <s v="Week 5"/>
    <s v="Week 5-2025"/>
  </r>
  <r>
    <d v="2025-01-30T00:00:00"/>
    <x v="28"/>
    <n v="13"/>
    <n v="2025"/>
    <x v="4"/>
    <s v="Week 5"/>
    <s v="Week 5-2025"/>
  </r>
  <r>
    <d v="2025-01-30T00:00:00"/>
    <x v="15"/>
    <n v="4"/>
    <n v="2025"/>
    <x v="4"/>
    <s v="Week 5"/>
    <s v="Week 5-2025"/>
  </r>
  <r>
    <d v="2025-01-31T00:00:00"/>
    <x v="14"/>
    <n v="16"/>
    <n v="2025"/>
    <x v="4"/>
    <s v="Week 5"/>
    <s v="Week 5-2025"/>
  </r>
  <r>
    <d v="2025-01-31T00:00:00"/>
    <x v="6"/>
    <n v="4"/>
    <n v="2025"/>
    <x v="4"/>
    <s v="Week 5"/>
    <s v="Week 5-2025"/>
  </r>
  <r>
    <d v="2025-02-03T00:00:00"/>
    <x v="15"/>
    <n v="12"/>
    <n v="2025"/>
    <x v="5"/>
    <s v="Week 6"/>
    <s v="Week 6-2025"/>
  </r>
  <r>
    <d v="2025-02-03T00:00:00"/>
    <x v="9"/>
    <n v="6"/>
    <n v="2025"/>
    <x v="5"/>
    <s v="Week 6"/>
    <s v="Week 6-2025"/>
  </r>
  <r>
    <d v="2025-02-03T00:00:00"/>
    <x v="22"/>
    <n v="8"/>
    <n v="2025"/>
    <x v="5"/>
    <s v="Week 6"/>
    <s v="Week 6-2025"/>
  </r>
  <r>
    <d v="2025-02-03T00:00:00"/>
    <x v="3"/>
    <n v="4"/>
    <n v="2025"/>
    <x v="5"/>
    <s v="Week 6"/>
    <s v="Week 6-2025"/>
  </r>
  <r>
    <d v="2025-02-03T00:00:00"/>
    <x v="11"/>
    <n v="4"/>
    <n v="2025"/>
    <x v="5"/>
    <s v="Week 6"/>
    <s v="Week 6-2025"/>
  </r>
  <r>
    <d v="2025-02-03T00:00:00"/>
    <x v="12"/>
    <n v="2"/>
    <n v="2025"/>
    <x v="5"/>
    <s v="Week 6"/>
    <s v="Week 6-2025"/>
  </r>
  <r>
    <d v="2025-02-03T00:00:00"/>
    <x v="25"/>
    <n v="2"/>
    <n v="2025"/>
    <x v="5"/>
    <s v="Week 6"/>
    <s v="Week 6-2025"/>
  </r>
  <r>
    <d v="2025-02-04T00:00:00"/>
    <x v="3"/>
    <n v="18"/>
    <n v="2025"/>
    <x v="5"/>
    <s v="Week 6"/>
    <s v="Week 6-2025"/>
  </r>
  <r>
    <d v="2025-02-04T00:00:00"/>
    <x v="5"/>
    <n v="10"/>
    <n v="2025"/>
    <x v="5"/>
    <s v="Week 6"/>
    <s v="Week 6-2025"/>
  </r>
  <r>
    <d v="2025-02-04T00:00:00"/>
    <x v="12"/>
    <n v="20"/>
    <n v="2025"/>
    <x v="5"/>
    <s v="Week 6"/>
    <s v="Week 6-2025"/>
  </r>
  <r>
    <d v="2025-02-04T00:00:00"/>
    <x v="15"/>
    <n v="14"/>
    <n v="2025"/>
    <x v="5"/>
    <s v="Week 6"/>
    <s v="Week 6-2025"/>
  </r>
  <r>
    <d v="2025-02-04T00:00:00"/>
    <x v="13"/>
    <n v="4"/>
    <n v="2025"/>
    <x v="5"/>
    <s v="Week 6"/>
    <s v="Week 6-2025"/>
  </r>
  <r>
    <d v="2025-02-04T00:00:00"/>
    <x v="16"/>
    <n v="2"/>
    <n v="2025"/>
    <x v="5"/>
    <s v="Week 6"/>
    <s v="Week 6-2025"/>
  </r>
  <r>
    <d v="2025-02-04T00:00:00"/>
    <x v="11"/>
    <n v="4"/>
    <n v="2025"/>
    <x v="5"/>
    <s v="Week 6"/>
    <s v="Week 6-2025"/>
  </r>
  <r>
    <d v="2025-02-04T00:00:00"/>
    <x v="0"/>
    <n v="2"/>
    <n v="2025"/>
    <x v="5"/>
    <s v="Week 6"/>
    <s v="Week 6-2025"/>
  </r>
  <r>
    <d v="2025-02-04T00:00:00"/>
    <x v="10"/>
    <n v="3"/>
    <n v="2025"/>
    <x v="5"/>
    <s v="Week 6"/>
    <s v="Week 6-2025"/>
  </r>
  <r>
    <d v="2025-02-04T00:00:00"/>
    <x v="14"/>
    <n v="2"/>
    <n v="2025"/>
    <x v="5"/>
    <s v="Week 6"/>
    <s v="Week 6-2025"/>
  </r>
  <r>
    <d v="2025-02-04T00:00:00"/>
    <x v="9"/>
    <n v="2"/>
    <n v="2025"/>
    <x v="5"/>
    <s v="Week 6"/>
    <s v="Week 6-2025"/>
  </r>
  <r>
    <d v="2025-02-04T00:00:00"/>
    <x v="25"/>
    <n v="1"/>
    <n v="2025"/>
    <x v="5"/>
    <s v="Week 6"/>
    <s v="Week 6-2025"/>
  </r>
  <r>
    <d v="2025-02-05T00:00:00"/>
    <x v="5"/>
    <n v="8"/>
    <n v="2025"/>
    <x v="5"/>
    <s v="Week 6"/>
    <s v="Week 6-2025"/>
  </r>
  <r>
    <d v="2025-02-05T00:00:00"/>
    <x v="11"/>
    <n v="8"/>
    <n v="2025"/>
    <x v="5"/>
    <s v="Week 6"/>
    <s v="Week 6-2025"/>
  </r>
  <r>
    <d v="2025-02-05T00:00:00"/>
    <x v="5"/>
    <n v="4"/>
    <n v="2025"/>
    <x v="5"/>
    <s v="Week 6"/>
    <s v="Week 6-2025"/>
  </r>
  <r>
    <d v="2025-02-05T00:00:00"/>
    <x v="30"/>
    <n v="8"/>
    <n v="2025"/>
    <x v="5"/>
    <s v="Week 6"/>
    <s v="Week 6-2025"/>
  </r>
  <r>
    <d v="2025-02-05T00:00:00"/>
    <x v="28"/>
    <n v="4"/>
    <n v="2025"/>
    <x v="5"/>
    <s v="Week 6"/>
    <s v="Week 6-2025"/>
  </r>
  <r>
    <d v="2025-02-05T00:00:00"/>
    <x v="32"/>
    <n v="2"/>
    <n v="2025"/>
    <x v="5"/>
    <s v="Week 6"/>
    <s v="Week 6-2025"/>
  </r>
  <r>
    <d v="2025-02-07T00:00:00"/>
    <x v="25"/>
    <n v="12"/>
    <n v="2025"/>
    <x v="5"/>
    <s v="Week 6"/>
    <s v="Week 6-2025"/>
  </r>
  <r>
    <d v="2025-02-07T00:00:00"/>
    <x v="10"/>
    <n v="8"/>
    <n v="2025"/>
    <x v="5"/>
    <s v="Week 6"/>
    <s v="Week 6-2025"/>
  </r>
  <r>
    <d v="2025-02-07T00:00:00"/>
    <x v="11"/>
    <n v="8"/>
    <n v="2025"/>
    <x v="5"/>
    <s v="Week 6"/>
    <s v="Week 6-2025"/>
  </r>
  <r>
    <d v="2025-02-07T00:00:00"/>
    <x v="3"/>
    <n v="8"/>
    <n v="2025"/>
    <x v="5"/>
    <s v="Week 6"/>
    <s v="Week 6-2025"/>
  </r>
  <r>
    <d v="2025-02-07T00:00:00"/>
    <x v="12"/>
    <n v="10"/>
    <n v="2025"/>
    <x v="5"/>
    <s v="Week 6"/>
    <s v="Week 6-2025"/>
  </r>
  <r>
    <d v="2025-02-07T00:00:00"/>
    <x v="15"/>
    <n v="12"/>
    <n v="2025"/>
    <x v="5"/>
    <s v="Week 6"/>
    <s v="Week 6-2025"/>
  </r>
  <r>
    <d v="2025-02-07T00:00:00"/>
    <x v="12"/>
    <n v="8"/>
    <n v="2025"/>
    <x v="5"/>
    <s v="Week 6"/>
    <s v="Week 6-2025"/>
  </r>
  <r>
    <d v="2025-02-07T00:00:00"/>
    <x v="3"/>
    <n v="6"/>
    <n v="2025"/>
    <x v="5"/>
    <s v="Week 6"/>
    <s v="Week 6-2025"/>
  </r>
  <r>
    <d v="2025-02-07T00:00:00"/>
    <x v="27"/>
    <n v="10"/>
    <n v="2025"/>
    <x v="5"/>
    <s v="Week 6"/>
    <s v="Week 6-2025"/>
  </r>
  <r>
    <d v="2025-02-07T00:00:00"/>
    <x v="3"/>
    <n v="4"/>
    <n v="2025"/>
    <x v="5"/>
    <s v="Week 6"/>
    <s v="Week 6-2025"/>
  </r>
  <r>
    <d v="2025-02-07T00:00:00"/>
    <x v="15"/>
    <n v="6"/>
    <n v="2025"/>
    <x v="5"/>
    <s v="Week 6"/>
    <s v="Week 6-2025"/>
  </r>
  <r>
    <d v="2025-02-07T00:00:00"/>
    <x v="2"/>
    <n v="4"/>
    <n v="2025"/>
    <x v="5"/>
    <s v="Week 6"/>
    <s v="Week 6-2025"/>
  </r>
  <r>
    <d v="2025-02-07T00:00:00"/>
    <x v="11"/>
    <n v="3"/>
    <n v="2025"/>
    <x v="5"/>
    <s v="Week 6"/>
    <s v="Week 6-2025"/>
  </r>
  <r>
    <d v="2025-02-07T00:00:00"/>
    <x v="3"/>
    <n v="2"/>
    <n v="2025"/>
    <x v="5"/>
    <s v="Week 6"/>
    <s v="Week 6-2025"/>
  </r>
  <r>
    <d v="2025-02-07T00:00:00"/>
    <x v="15"/>
    <n v="1"/>
    <n v="2025"/>
    <x v="5"/>
    <s v="Week 6"/>
    <s v="Week 6-2025"/>
  </r>
  <r>
    <d v="2025-02-07T00:00:00"/>
    <x v="4"/>
    <n v="1"/>
    <n v="2025"/>
    <x v="5"/>
    <s v="Week 6"/>
    <s v="Week 6-2025"/>
  </r>
  <r>
    <d v="2025-02-08T00:00:00"/>
    <x v="2"/>
    <n v="40"/>
    <n v="2025"/>
    <x v="5"/>
    <s v="Week 6"/>
    <s v="Week 6-2025"/>
  </r>
  <r>
    <d v="2025-02-08T00:00:00"/>
    <x v="12"/>
    <n v="29"/>
    <n v="2025"/>
    <x v="5"/>
    <s v="Week 6"/>
    <s v="Week 6-2025"/>
  </r>
  <r>
    <d v="2025-02-08T00:00:00"/>
    <x v="19"/>
    <n v="40"/>
    <n v="2025"/>
    <x v="5"/>
    <s v="Week 6"/>
    <s v="Week 6-2025"/>
  </r>
  <r>
    <d v="2025-02-08T00:00:00"/>
    <x v="25"/>
    <n v="21"/>
    <n v="2025"/>
    <x v="5"/>
    <s v="Week 6"/>
    <s v="Week 6-2025"/>
  </r>
  <r>
    <d v="2025-02-08T00:00:00"/>
    <x v="25"/>
    <n v="14"/>
    <n v="2025"/>
    <x v="5"/>
    <s v="Week 6"/>
    <s v="Week 6-2025"/>
  </r>
  <r>
    <d v="2025-02-08T00:00:00"/>
    <x v="12"/>
    <n v="9"/>
    <n v="2025"/>
    <x v="5"/>
    <s v="Week 6"/>
    <s v="Week 6-2025"/>
  </r>
  <r>
    <d v="2025-02-08T00:00:00"/>
    <x v="25"/>
    <n v="5"/>
    <n v="2025"/>
    <x v="5"/>
    <s v="Week 6"/>
    <s v="Week 6-2025"/>
  </r>
  <r>
    <d v="2025-02-08T00:00:00"/>
    <x v="12"/>
    <n v="2"/>
    <n v="2025"/>
    <x v="5"/>
    <s v="Week 6"/>
    <s v="Week 6-2025"/>
  </r>
  <r>
    <d v="2025-02-09T00:00:00"/>
    <x v="11"/>
    <n v="12"/>
    <n v="2025"/>
    <x v="5"/>
    <s v="Week 7"/>
    <s v="Week 7-2025"/>
  </r>
  <r>
    <d v="2025-02-09T00:00:00"/>
    <x v="15"/>
    <n v="19"/>
    <n v="2025"/>
    <x v="5"/>
    <s v="Week 7"/>
    <s v="Week 7-2025"/>
  </r>
  <r>
    <d v="2025-02-09T00:00:00"/>
    <x v="10"/>
    <n v="8"/>
    <n v="2025"/>
    <x v="5"/>
    <s v="Week 7"/>
    <s v="Week 7-2025"/>
  </r>
  <r>
    <d v="2025-02-09T00:00:00"/>
    <x v="25"/>
    <n v="6"/>
    <n v="2025"/>
    <x v="5"/>
    <s v="Week 7"/>
    <s v="Week 7-2025"/>
  </r>
  <r>
    <d v="2025-02-09T00:00:00"/>
    <x v="12"/>
    <n v="4"/>
    <n v="2025"/>
    <x v="5"/>
    <s v="Week 7"/>
    <s v="Week 7-2025"/>
  </r>
  <r>
    <d v="2025-02-09T00:00:00"/>
    <x v="15"/>
    <n v="4"/>
    <n v="2025"/>
    <x v="5"/>
    <s v="Week 7"/>
    <s v="Week 7-2025"/>
  </r>
  <r>
    <d v="2025-02-09T00:00:00"/>
    <x v="11"/>
    <n v="2"/>
    <n v="2025"/>
    <x v="5"/>
    <s v="Week 7"/>
    <s v="Week 7-2025"/>
  </r>
  <r>
    <d v="2025-02-09T00:00:00"/>
    <x v="27"/>
    <n v="2"/>
    <n v="2025"/>
    <x v="5"/>
    <s v="Week 7"/>
    <s v="Week 7-2025"/>
  </r>
  <r>
    <d v="2025-02-09T00:00:00"/>
    <x v="18"/>
    <n v="2"/>
    <n v="2025"/>
    <x v="5"/>
    <s v="Week 7"/>
    <s v="Week 7-2025"/>
  </r>
  <r>
    <d v="2025-02-09T00:00:00"/>
    <x v="28"/>
    <n v="2"/>
    <n v="2025"/>
    <x v="5"/>
    <s v="Week 7"/>
    <s v="Week 7-2025"/>
  </r>
  <r>
    <d v="2025-02-09T00:00:00"/>
    <x v="25"/>
    <n v="1"/>
    <n v="2025"/>
    <x v="5"/>
    <s v="Week 7"/>
    <s v="Week 7-2025"/>
  </r>
  <r>
    <d v="2025-02-09T00:00:00"/>
    <x v="15"/>
    <n v="1"/>
    <n v="2025"/>
    <x v="5"/>
    <s v="Week 7"/>
    <s v="Week 7-2025"/>
  </r>
  <r>
    <d v="2025-02-10T00:00:00"/>
    <x v="18"/>
    <n v="16"/>
    <n v="2025"/>
    <x v="6"/>
    <s v="Week 7"/>
    <s v="Week 7-2025"/>
  </r>
  <r>
    <d v="2025-02-11T00:00:00"/>
    <x v="25"/>
    <n v="8"/>
    <n v="2025"/>
    <x v="6"/>
    <s v="Week 7"/>
    <s v="Week 7-2025"/>
  </r>
  <r>
    <d v="2025-02-11T00:00:00"/>
    <x v="30"/>
    <n v="9"/>
    <n v="2025"/>
    <x v="6"/>
    <s v="Week 7"/>
    <s v="Week 7-2025"/>
  </r>
  <r>
    <d v="2025-02-11T00:00:00"/>
    <x v="12"/>
    <n v="4"/>
    <n v="2025"/>
    <x v="6"/>
    <s v="Week 7"/>
    <s v="Week 7-2025"/>
  </r>
  <r>
    <d v="2025-02-11T00:00:00"/>
    <x v="27"/>
    <n v="5"/>
    <n v="2025"/>
    <x v="6"/>
    <s v="Week 7"/>
    <s v="Week 7-2025"/>
  </r>
  <r>
    <d v="2025-02-11T00:00:00"/>
    <x v="21"/>
    <n v="5"/>
    <n v="2025"/>
    <x v="6"/>
    <s v="Week 7"/>
    <s v="Week 7-2025"/>
  </r>
  <r>
    <d v="2025-02-11T00:00:00"/>
    <x v="15"/>
    <n v="2"/>
    <n v="2025"/>
    <x v="6"/>
    <s v="Week 7"/>
    <s v="Week 7-2025"/>
  </r>
  <r>
    <d v="2025-02-13T00:00:00"/>
    <x v="13"/>
    <n v="8"/>
    <n v="2025"/>
    <x v="6"/>
    <s v="Week 7"/>
    <s v="Week 7-2025"/>
  </r>
  <r>
    <d v="2025-02-13T00:00:00"/>
    <x v="10"/>
    <n v="8"/>
    <n v="2025"/>
    <x v="6"/>
    <s v="Week 7"/>
    <s v="Week 7-2025"/>
  </r>
  <r>
    <d v="2025-02-15T00:00:00"/>
    <x v="11"/>
    <n v="30"/>
    <n v="2025"/>
    <x v="6"/>
    <s v="Week 7"/>
    <s v="Week 7-2025"/>
  </r>
  <r>
    <d v="2025-02-15T00:00:00"/>
    <x v="14"/>
    <n v="22"/>
    <n v="2025"/>
    <x v="6"/>
    <s v="Week 7"/>
    <s v="Week 7-2025"/>
  </r>
  <r>
    <d v="2025-02-15T00:00:00"/>
    <x v="15"/>
    <n v="23"/>
    <n v="2025"/>
    <x v="6"/>
    <s v="Week 7"/>
    <s v="Week 7-2025"/>
  </r>
  <r>
    <d v="2025-02-15T00:00:00"/>
    <x v="14"/>
    <n v="8"/>
    <n v="2025"/>
    <x v="6"/>
    <s v="Week 7"/>
    <s v="Week 7-2025"/>
  </r>
  <r>
    <d v="2025-02-15T00:00:00"/>
    <x v="15"/>
    <n v="7"/>
    <n v="2025"/>
    <x v="6"/>
    <s v="Week 7"/>
    <s v="Week 7-2025"/>
  </r>
  <r>
    <d v="2025-02-15T00:00:00"/>
    <x v="30"/>
    <n v="4"/>
    <n v="2025"/>
    <x v="6"/>
    <s v="Week 7"/>
    <s v="Week 7-2025"/>
  </r>
  <r>
    <d v="2025-02-16T00:00:00"/>
    <x v="3"/>
    <n v="4"/>
    <n v="2025"/>
    <x v="6"/>
    <s v="Week 8"/>
    <s v="Week 8-2025"/>
  </r>
  <r>
    <d v="2025-02-16T00:00:00"/>
    <x v="14"/>
    <n v="2"/>
    <n v="2025"/>
    <x v="6"/>
    <s v="Week 8"/>
    <s v="Week 8-2025"/>
  </r>
  <r>
    <d v="2025-02-18T00:00:00"/>
    <x v="12"/>
    <n v="27"/>
    <n v="2025"/>
    <x v="7"/>
    <s v="Week 8"/>
    <s v="Week 8-2025"/>
  </r>
  <r>
    <d v="2025-02-18T00:00:00"/>
    <x v="2"/>
    <n v="22"/>
    <n v="2025"/>
    <x v="7"/>
    <s v="Week 8"/>
    <s v="Week 8-2025"/>
  </r>
  <r>
    <d v="2025-02-18T00:00:00"/>
    <x v="3"/>
    <n v="15"/>
    <n v="2025"/>
    <x v="7"/>
    <s v="Week 8"/>
    <s v="Week 8-2025"/>
  </r>
  <r>
    <d v="2025-02-18T00:00:00"/>
    <x v="3"/>
    <n v="13"/>
    <n v="2025"/>
    <x v="7"/>
    <s v="Week 8"/>
    <s v="Week 8-2025"/>
  </r>
  <r>
    <d v="2025-02-18T00:00:00"/>
    <x v="27"/>
    <n v="24"/>
    <n v="2025"/>
    <x v="7"/>
    <s v="Week 8"/>
    <s v="Week 8-2025"/>
  </r>
  <r>
    <d v="2025-02-18T00:00:00"/>
    <x v="17"/>
    <n v="7"/>
    <n v="2025"/>
    <x v="7"/>
    <s v="Week 8"/>
    <s v="Week 8-2025"/>
  </r>
  <r>
    <d v="2025-02-18T00:00:00"/>
    <x v="15"/>
    <n v="14"/>
    <n v="2025"/>
    <x v="7"/>
    <s v="Week 8"/>
    <s v="Week 8-2025"/>
  </r>
  <r>
    <d v="2025-02-18T00:00:00"/>
    <x v="14"/>
    <n v="6"/>
    <n v="2025"/>
    <x v="7"/>
    <s v="Week 8"/>
    <s v="Week 8-2025"/>
  </r>
  <r>
    <d v="2025-02-18T00:00:00"/>
    <x v="12"/>
    <n v="8"/>
    <n v="2025"/>
    <x v="7"/>
    <s v="Week 8"/>
    <s v="Week 8-2025"/>
  </r>
  <r>
    <d v="2025-02-18T00:00:00"/>
    <x v="17"/>
    <n v="5"/>
    <n v="2025"/>
    <x v="7"/>
    <s v="Week 8"/>
    <s v="Week 8-2025"/>
  </r>
  <r>
    <d v="2025-02-18T00:00:00"/>
    <x v="11"/>
    <n v="6"/>
    <n v="2025"/>
    <x v="7"/>
    <s v="Week 8"/>
    <s v="Week 8-2025"/>
  </r>
  <r>
    <d v="2025-02-18T00:00:00"/>
    <x v="3"/>
    <n v="5"/>
    <n v="2025"/>
    <x v="7"/>
    <s v="Week 8"/>
    <s v="Week 8-2025"/>
  </r>
  <r>
    <d v="2025-02-18T00:00:00"/>
    <x v="11"/>
    <n v="2"/>
    <n v="2025"/>
    <x v="7"/>
    <s v="Week 8"/>
    <s v="Week 8-2025"/>
  </r>
  <r>
    <d v="2025-02-18T00:00:00"/>
    <x v="5"/>
    <n v="1"/>
    <n v="2025"/>
    <x v="7"/>
    <s v="Week 8"/>
    <s v="Week 8-2025"/>
  </r>
  <r>
    <d v="2025-02-18T00:00:00"/>
    <x v="19"/>
    <n v="2"/>
    <n v="2025"/>
    <x v="7"/>
    <s v="Week 8"/>
    <s v="Week 8-2025"/>
  </r>
  <r>
    <d v="2025-02-18T00:00:00"/>
    <x v="19"/>
    <n v="2"/>
    <n v="2025"/>
    <x v="7"/>
    <s v="Week 8"/>
    <s v="Week 8-2025"/>
  </r>
  <r>
    <d v="2025-02-19T00:00:00"/>
    <x v="3"/>
    <n v="4"/>
    <n v="2025"/>
    <x v="7"/>
    <s v="Week 8"/>
    <s v="Week 8-2025"/>
  </r>
  <r>
    <d v="2025-02-19T00:00:00"/>
    <x v="11"/>
    <n v="4"/>
    <n v="2025"/>
    <x v="7"/>
    <s v="Week 8"/>
    <s v="Week 8-2025"/>
  </r>
  <r>
    <d v="2025-02-20T00:00:00"/>
    <x v="17"/>
    <n v="24"/>
    <n v="2025"/>
    <x v="7"/>
    <s v="Week 8"/>
    <s v="Week 8-2025"/>
  </r>
  <r>
    <d v="2025-02-20T00:00:00"/>
    <x v="3"/>
    <n v="17"/>
    <n v="2025"/>
    <x v="7"/>
    <s v="Week 8"/>
    <s v="Week 8-2025"/>
  </r>
  <r>
    <d v="2025-02-20T00:00:00"/>
    <x v="14"/>
    <n v="14"/>
    <n v="2025"/>
    <x v="7"/>
    <s v="Week 8"/>
    <s v="Week 8-2025"/>
  </r>
  <r>
    <d v="2025-02-20T00:00:00"/>
    <x v="11"/>
    <n v="12"/>
    <n v="2025"/>
    <x v="7"/>
    <s v="Week 8"/>
    <s v="Week 8-2025"/>
  </r>
  <r>
    <d v="2025-02-20T00:00:00"/>
    <x v="19"/>
    <n v="20"/>
    <n v="2025"/>
    <x v="7"/>
    <s v="Week 8"/>
    <s v="Week 8-2025"/>
  </r>
  <r>
    <d v="2025-02-20T00:00:00"/>
    <x v="12"/>
    <n v="13"/>
    <n v="2025"/>
    <x v="7"/>
    <s v="Week 8"/>
    <s v="Week 8-2025"/>
  </r>
  <r>
    <d v="2025-02-20T00:00:00"/>
    <x v="17"/>
    <n v="8"/>
    <n v="2025"/>
    <x v="7"/>
    <s v="Week 8"/>
    <s v="Week 8-2025"/>
  </r>
  <r>
    <d v="2025-02-20T00:00:00"/>
    <x v="25"/>
    <n v="14"/>
    <n v="2025"/>
    <x v="7"/>
    <s v="Week 8"/>
    <s v="Week 8-2025"/>
  </r>
  <r>
    <d v="2025-02-20T00:00:00"/>
    <x v="0"/>
    <n v="4"/>
    <n v="2025"/>
    <x v="7"/>
    <s v="Week 8"/>
    <s v="Week 8-2025"/>
  </r>
  <r>
    <d v="2025-02-20T00:00:00"/>
    <x v="31"/>
    <n v="10"/>
    <n v="2025"/>
    <x v="7"/>
    <s v="Week 8"/>
    <s v="Week 8-2025"/>
  </r>
  <r>
    <d v="2025-02-20T00:00:00"/>
    <x v="25"/>
    <n v="8"/>
    <n v="2025"/>
    <x v="7"/>
    <s v="Week 8"/>
    <s v="Week 8-2025"/>
  </r>
  <r>
    <d v="2025-02-20T00:00:00"/>
    <x v="9"/>
    <n v="6"/>
    <n v="2025"/>
    <x v="7"/>
    <s v="Week 8"/>
    <s v="Week 8-2025"/>
  </r>
  <r>
    <d v="2025-02-20T00:00:00"/>
    <x v="2"/>
    <n v="7"/>
    <n v="2025"/>
    <x v="7"/>
    <s v="Week 8"/>
    <s v="Week 8-2025"/>
  </r>
  <r>
    <d v="2025-02-20T00:00:00"/>
    <x v="3"/>
    <n v="5"/>
    <n v="2025"/>
    <x v="7"/>
    <s v="Week 8"/>
    <s v="Week 8-2025"/>
  </r>
  <r>
    <d v="2025-02-20T00:00:00"/>
    <x v="5"/>
    <n v="3"/>
    <n v="2025"/>
    <x v="7"/>
    <s v="Week 8"/>
    <s v="Week 8-2025"/>
  </r>
  <r>
    <d v="2025-02-20T00:00:00"/>
    <x v="10"/>
    <n v="4"/>
    <n v="2025"/>
    <x v="7"/>
    <s v="Week 8"/>
    <s v="Week 8-2025"/>
  </r>
  <r>
    <d v="2025-02-20T00:00:00"/>
    <x v="7"/>
    <n v="3"/>
    <n v="2025"/>
    <x v="7"/>
    <s v="Week 8"/>
    <s v="Week 8-2025"/>
  </r>
  <r>
    <d v="2025-02-20T00:00:00"/>
    <x v="2"/>
    <n v="4"/>
    <n v="2025"/>
    <x v="7"/>
    <s v="Week 8"/>
    <s v="Week 8-2025"/>
  </r>
  <r>
    <d v="2025-02-20T00:00:00"/>
    <x v="9"/>
    <n v="3"/>
    <n v="2025"/>
    <x v="7"/>
    <s v="Week 8"/>
    <s v="Week 8-2025"/>
  </r>
  <r>
    <d v="2025-02-20T00:00:00"/>
    <x v="14"/>
    <n v="2"/>
    <n v="2025"/>
    <x v="7"/>
    <s v="Week 8"/>
    <s v="Week 8-2025"/>
  </r>
  <r>
    <d v="2025-02-20T00:00:00"/>
    <x v="15"/>
    <n v="4"/>
    <n v="2025"/>
    <x v="7"/>
    <s v="Week 8"/>
    <s v="Week 8-2025"/>
  </r>
  <r>
    <d v="2025-02-20T00:00:00"/>
    <x v="10"/>
    <n v="2"/>
    <n v="2025"/>
    <x v="7"/>
    <s v="Week 8"/>
    <s v="Week 8-2025"/>
  </r>
  <r>
    <d v="2025-02-20T00:00:00"/>
    <x v="5"/>
    <n v="1"/>
    <n v="2025"/>
    <x v="7"/>
    <s v="Week 8"/>
    <s v="Week 8-2025"/>
  </r>
  <r>
    <d v="2025-02-20T00:00:00"/>
    <x v="7"/>
    <n v="1"/>
    <n v="2025"/>
    <x v="7"/>
    <s v="Week 8"/>
    <s v="Week 8-2025"/>
  </r>
  <r>
    <d v="2025-02-20T00:00:00"/>
    <x v="18"/>
    <n v="2"/>
    <n v="2025"/>
    <x v="7"/>
    <s v="Week 8"/>
    <s v="Week 8-2025"/>
  </r>
  <r>
    <d v="2025-02-20T00:00:00"/>
    <x v="12"/>
    <n v="1"/>
    <n v="2025"/>
    <x v="7"/>
    <s v="Week 8"/>
    <s v="Week 8-2025"/>
  </r>
  <r>
    <d v="2025-02-22T00:00:00"/>
    <x v="18"/>
    <n v="8"/>
    <n v="2025"/>
    <x v="7"/>
    <s v="Week 8"/>
    <s v="Week 8-2025"/>
  </r>
  <r>
    <d v="2025-02-22T00:00:00"/>
    <x v="28"/>
    <n v="4"/>
    <n v="2025"/>
    <x v="7"/>
    <s v="Week 8"/>
    <s v="Week 8-2025"/>
  </r>
  <r>
    <d v="2025-02-22T00:00:00"/>
    <x v="31"/>
    <n v="2"/>
    <n v="2025"/>
    <x v="7"/>
    <s v="Week 8"/>
    <s v="Week 8-2025"/>
  </r>
  <r>
    <d v="2025-02-22T00:00:00"/>
    <x v="27"/>
    <n v="2"/>
    <n v="2025"/>
    <x v="7"/>
    <s v="Week 8"/>
    <s v="Week 8-2025"/>
  </r>
  <r>
    <d v="2025-02-22T00:00:00"/>
    <x v="30"/>
    <n v="2"/>
    <n v="2025"/>
    <x v="7"/>
    <s v="Week 8"/>
    <s v="Week 8-2025"/>
  </r>
  <r>
    <d v="2025-02-24T00:00:00"/>
    <x v="14"/>
    <n v="16"/>
    <n v="2025"/>
    <x v="8"/>
    <s v="Week 9"/>
    <s v="Week 9-2025"/>
  </r>
  <r>
    <d v="2025-02-24T00:00:00"/>
    <x v="13"/>
    <n v="4"/>
    <n v="2025"/>
    <x v="8"/>
    <s v="Week 9"/>
    <s v="Week 9-2025"/>
  </r>
  <r>
    <d v="2025-02-24T00:00:00"/>
    <x v="15"/>
    <n v="8"/>
    <n v="2025"/>
    <x v="8"/>
    <s v="Week 9"/>
    <s v="Week 9-2025"/>
  </r>
  <r>
    <d v="2025-02-24T00:00:00"/>
    <x v="3"/>
    <n v="4"/>
    <n v="2025"/>
    <x v="8"/>
    <s v="Week 9"/>
    <s v="Week 9-2025"/>
  </r>
  <r>
    <d v="2025-02-24T00:00:00"/>
    <x v="3"/>
    <n v="4"/>
    <n v="2025"/>
    <x v="8"/>
    <s v="Week 9"/>
    <s v="Week 9-2025"/>
  </r>
  <r>
    <d v="2025-02-24T00:00:00"/>
    <x v="11"/>
    <n v="2"/>
    <n v="2025"/>
    <x v="8"/>
    <s v="Week 9"/>
    <s v="Week 9-2025"/>
  </r>
  <r>
    <d v="2025-02-24T00:00:00"/>
    <x v="19"/>
    <n v="2"/>
    <n v="2025"/>
    <x v="8"/>
    <s v="Week 9"/>
    <s v="Week 9-2025"/>
  </r>
  <r>
    <d v="2025-02-25T00:00:00"/>
    <x v="4"/>
    <n v="35"/>
    <n v="2025"/>
    <x v="8"/>
    <s v="Week 9"/>
    <s v="Week 9-2025"/>
  </r>
  <r>
    <d v="2025-02-25T00:00:00"/>
    <x v="30"/>
    <n v="20"/>
    <n v="2025"/>
    <x v="8"/>
    <s v="Week 9"/>
    <s v="Week 9-2025"/>
  </r>
  <r>
    <d v="2025-02-25T00:00:00"/>
    <x v="4"/>
    <n v="13"/>
    <n v="2025"/>
    <x v="8"/>
    <s v="Week 9"/>
    <s v="Week 9-2025"/>
  </r>
  <r>
    <d v="2025-02-25T00:00:00"/>
    <x v="12"/>
    <n v="7"/>
    <n v="2025"/>
    <x v="8"/>
    <s v="Week 9"/>
    <s v="Week 9-2025"/>
  </r>
  <r>
    <d v="2025-02-25T00:00:00"/>
    <x v="12"/>
    <n v="6"/>
    <n v="2025"/>
    <x v="8"/>
    <s v="Week 9"/>
    <s v="Week 9-2025"/>
  </r>
  <r>
    <d v="2025-02-25T00:00:00"/>
    <x v="15"/>
    <n v="8"/>
    <n v="2025"/>
    <x v="8"/>
    <s v="Week 9"/>
    <s v="Week 9-2025"/>
  </r>
  <r>
    <d v="2025-02-25T00:00:00"/>
    <x v="10"/>
    <n v="4"/>
    <n v="2025"/>
    <x v="8"/>
    <s v="Week 9"/>
    <s v="Week 9-2025"/>
  </r>
  <r>
    <d v="2025-02-25T00:00:00"/>
    <x v="3"/>
    <n v="4"/>
    <n v="2025"/>
    <x v="8"/>
    <s v="Week 9"/>
    <s v="Week 9-2025"/>
  </r>
  <r>
    <d v="2025-02-25T00:00:00"/>
    <x v="33"/>
    <n v="8"/>
    <n v="2025"/>
    <x v="8"/>
    <s v="Week 9"/>
    <s v="Week 9-2025"/>
  </r>
  <r>
    <d v="2025-02-25T00:00:00"/>
    <x v="2"/>
    <n v="4"/>
    <n v="2025"/>
    <x v="8"/>
    <s v="Week 9"/>
    <s v="Week 9-2025"/>
  </r>
  <r>
    <d v="2025-02-25T00:00:00"/>
    <x v="27"/>
    <n v="6"/>
    <n v="2025"/>
    <x v="8"/>
    <s v="Week 9"/>
    <s v="Week 9-2025"/>
  </r>
  <r>
    <d v="2025-02-25T00:00:00"/>
    <x v="27"/>
    <n v="6"/>
    <n v="2025"/>
    <x v="8"/>
    <s v="Week 9"/>
    <s v="Week 9-2025"/>
  </r>
  <r>
    <d v="2025-02-25T00:00:00"/>
    <x v="28"/>
    <n v="7"/>
    <n v="2025"/>
    <x v="8"/>
    <s v="Week 9"/>
    <s v="Week 9-2025"/>
  </r>
  <r>
    <d v="2025-02-25T00:00:00"/>
    <x v="28"/>
    <n v="4"/>
    <n v="2025"/>
    <x v="8"/>
    <s v="Week 9"/>
    <s v="Week 9-2025"/>
  </r>
  <r>
    <d v="2025-02-25T00:00:00"/>
    <x v="21"/>
    <n v="2"/>
    <n v="2025"/>
    <x v="8"/>
    <s v="Week 9"/>
    <s v="Week 9-2025"/>
  </r>
  <r>
    <d v="2025-02-25T00:00:00"/>
    <x v="24"/>
    <n v="2"/>
    <n v="2025"/>
    <x v="8"/>
    <s v="Week 9"/>
    <s v="Week 9-2025"/>
  </r>
  <r>
    <d v="2025-02-25T00:00:00"/>
    <x v="2"/>
    <n v="1"/>
    <n v="2025"/>
    <x v="8"/>
    <s v="Week 9"/>
    <s v="Week 9-2025"/>
  </r>
  <r>
    <d v="2025-02-26T00:00:00"/>
    <x v="13"/>
    <n v="8"/>
    <n v="2025"/>
    <x v="8"/>
    <s v="Week 9"/>
    <s v="Week 9-2025"/>
  </r>
  <r>
    <d v="2025-02-26T00:00:00"/>
    <x v="11"/>
    <n v="8"/>
    <n v="2025"/>
    <x v="8"/>
    <s v="Week 9"/>
    <s v="Week 9-2025"/>
  </r>
  <r>
    <d v="2025-03-01T00:00:00"/>
    <x v="3"/>
    <n v="14"/>
    <n v="2025"/>
    <x v="8"/>
    <s v="Week 9"/>
    <s v="Week 9-2025"/>
  </r>
  <r>
    <d v="2025-03-01T00:00:00"/>
    <x v="13"/>
    <n v="8"/>
    <n v="2025"/>
    <x v="8"/>
    <s v="Week 9"/>
    <s v="Week 9-2025"/>
  </r>
  <r>
    <d v="2025-03-01T00:00:00"/>
    <x v="11"/>
    <n v="10"/>
    <n v="2025"/>
    <x v="8"/>
    <s v="Week 9"/>
    <s v="Week 9-2025"/>
  </r>
  <r>
    <d v="2025-03-01T00:00:00"/>
    <x v="11"/>
    <n v="8"/>
    <n v="2025"/>
    <x v="8"/>
    <s v="Week 9"/>
    <s v="Week 9-2025"/>
  </r>
  <r>
    <d v="2025-03-01T00:00:00"/>
    <x v="12"/>
    <n v="8"/>
    <n v="2025"/>
    <x v="8"/>
    <s v="Week 9"/>
    <s v="Week 9-2025"/>
  </r>
  <r>
    <d v="2025-03-01T00:00:00"/>
    <x v="12"/>
    <n v="8"/>
    <n v="2025"/>
    <x v="8"/>
    <s v="Week 9"/>
    <s v="Week 9-2025"/>
  </r>
  <r>
    <d v="2025-03-01T00:00:00"/>
    <x v="12"/>
    <n v="8"/>
    <n v="2025"/>
    <x v="8"/>
    <s v="Week 9"/>
    <s v="Week 9-2025"/>
  </r>
  <r>
    <d v="2025-03-01T00:00:00"/>
    <x v="11"/>
    <n v="6"/>
    <n v="2025"/>
    <x v="8"/>
    <s v="Week 9"/>
    <s v="Week 9-2025"/>
  </r>
  <r>
    <d v="2025-03-01T00:00:00"/>
    <x v="25"/>
    <n v="8"/>
    <n v="2025"/>
    <x v="8"/>
    <s v="Week 9"/>
    <s v="Week 9-2025"/>
  </r>
  <r>
    <d v="2025-03-01T00:00:00"/>
    <x v="12"/>
    <n v="6"/>
    <n v="2025"/>
    <x v="8"/>
    <s v="Week 9"/>
    <s v="Week 9-2025"/>
  </r>
  <r>
    <d v="2025-03-01T00:00:00"/>
    <x v="34"/>
    <n v="6"/>
    <n v="2025"/>
    <x v="8"/>
    <s v="Week 9"/>
    <s v="Week 9-2025"/>
  </r>
  <r>
    <d v="2025-03-01T00:00:00"/>
    <x v="15"/>
    <n v="8"/>
    <n v="2025"/>
    <x v="8"/>
    <s v="Week 9"/>
    <s v="Week 9-2025"/>
  </r>
  <r>
    <d v="2025-03-01T00:00:00"/>
    <x v="15"/>
    <n v="8"/>
    <n v="2025"/>
    <x v="8"/>
    <s v="Week 9"/>
    <s v="Week 9-2025"/>
  </r>
  <r>
    <d v="2025-03-01T00:00:00"/>
    <x v="20"/>
    <n v="4"/>
    <n v="2025"/>
    <x v="8"/>
    <s v="Week 9"/>
    <s v="Week 9-2025"/>
  </r>
  <r>
    <d v="2025-03-01T00:00:00"/>
    <x v="2"/>
    <n v="4"/>
    <n v="2025"/>
    <x v="8"/>
    <s v="Week 9"/>
    <s v="Week 9-2025"/>
  </r>
  <r>
    <d v="2025-03-01T00:00:00"/>
    <x v="6"/>
    <n v="2"/>
    <n v="2025"/>
    <x v="8"/>
    <s v="Week 9"/>
    <s v="Week 9-2025"/>
  </r>
  <r>
    <d v="2025-03-01T00:00:00"/>
    <x v="14"/>
    <n v="2"/>
    <n v="2025"/>
    <x v="8"/>
    <s v="Week 9"/>
    <s v="Week 9-2025"/>
  </r>
  <r>
    <d v="2025-03-01T00:00:00"/>
    <x v="26"/>
    <n v="4"/>
    <n v="2025"/>
    <x v="8"/>
    <s v="Week 9"/>
    <s v="Week 9-2025"/>
  </r>
  <r>
    <d v="2025-03-04T00:00:00"/>
    <x v="11"/>
    <n v="8"/>
    <n v="2025"/>
    <x v="9"/>
    <s v="Week 10"/>
    <s v="Week 10-2025"/>
  </r>
  <r>
    <d v="2025-03-04T00:00:00"/>
    <x v="12"/>
    <n v="4"/>
    <n v="2025"/>
    <x v="9"/>
    <s v="Week 10"/>
    <s v="Week 10-2025"/>
  </r>
  <r>
    <d v="2025-03-04T00:00:00"/>
    <x v="3"/>
    <n v="2"/>
    <n v="2025"/>
    <x v="9"/>
    <s v="Week 10"/>
    <s v="Week 10-2025"/>
  </r>
  <r>
    <d v="2025-03-05T00:00:00"/>
    <x v="14"/>
    <n v="2"/>
    <n v="2025"/>
    <x v="9"/>
    <s v="Week 10"/>
    <s v="Week 10-2025"/>
  </r>
  <r>
    <d v="2025-03-06T00:00:00"/>
    <x v="11"/>
    <n v="50"/>
    <n v="2025"/>
    <x v="9"/>
    <s v="Week 10"/>
    <s v="Week 10-2025"/>
  </r>
  <r>
    <d v="2025-03-06T00:00:00"/>
    <x v="12"/>
    <n v="50"/>
    <n v="2025"/>
    <x v="9"/>
    <s v="Week 10"/>
    <s v="Week 10-2025"/>
  </r>
  <r>
    <d v="2025-03-06T00:00:00"/>
    <x v="3"/>
    <n v="36"/>
    <n v="2025"/>
    <x v="9"/>
    <s v="Week 10"/>
    <s v="Week 10-2025"/>
  </r>
  <r>
    <d v="2025-03-06T00:00:00"/>
    <x v="10"/>
    <n v="27"/>
    <n v="2025"/>
    <x v="9"/>
    <s v="Week 10"/>
    <s v="Week 10-2025"/>
  </r>
  <r>
    <d v="2025-03-06T00:00:00"/>
    <x v="10"/>
    <n v="23"/>
    <n v="2025"/>
    <x v="9"/>
    <s v="Week 10"/>
    <s v="Week 10-2025"/>
  </r>
  <r>
    <d v="2025-03-06T00:00:00"/>
    <x v="14"/>
    <n v="20"/>
    <n v="2025"/>
    <x v="9"/>
    <s v="Week 10"/>
    <s v="Week 10-2025"/>
  </r>
  <r>
    <d v="2025-03-06T00:00:00"/>
    <x v="10"/>
    <n v="16"/>
    <n v="2025"/>
    <x v="9"/>
    <s v="Week 10"/>
    <s v="Week 10-2025"/>
  </r>
  <r>
    <d v="2025-03-06T00:00:00"/>
    <x v="3"/>
    <n v="10"/>
    <n v="2025"/>
    <x v="9"/>
    <s v="Week 10"/>
    <s v="Week 10-2025"/>
  </r>
  <r>
    <d v="2025-03-06T00:00:00"/>
    <x v="15"/>
    <n v="13"/>
    <n v="2025"/>
    <x v="9"/>
    <s v="Week 10"/>
    <s v="Week 10-2025"/>
  </r>
  <r>
    <d v="2025-03-06T00:00:00"/>
    <x v="27"/>
    <n v="14"/>
    <n v="2025"/>
    <x v="9"/>
    <s v="Week 10"/>
    <s v="Week 10-2025"/>
  </r>
  <r>
    <d v="2025-03-06T00:00:00"/>
    <x v="3"/>
    <n v="4"/>
    <n v="2025"/>
    <x v="9"/>
    <s v="Week 10"/>
    <s v="Week 10-2025"/>
  </r>
  <r>
    <d v="2025-03-06T00:00:00"/>
    <x v="15"/>
    <n v="7"/>
    <n v="2025"/>
    <x v="9"/>
    <s v="Week 10"/>
    <s v="Week 10-2025"/>
  </r>
  <r>
    <d v="2025-03-06T00:00:00"/>
    <x v="27"/>
    <n v="6"/>
    <n v="2025"/>
    <x v="9"/>
    <s v="Week 10"/>
    <s v="Week 10-2025"/>
  </r>
  <r>
    <d v="2025-03-07T00:00:00"/>
    <x v="6"/>
    <n v="2"/>
    <n v="2025"/>
    <x v="9"/>
    <s v="Week 10"/>
    <s v="Week 10-2025"/>
  </r>
  <r>
    <d v="2025-03-08T00:00:00"/>
    <x v="12"/>
    <n v="26"/>
    <n v="2025"/>
    <x v="9"/>
    <s v="Week 10"/>
    <s v="Week 10-2025"/>
  </r>
  <r>
    <d v="2025-03-08T00:00:00"/>
    <x v="11"/>
    <n v="6"/>
    <n v="2025"/>
    <x v="9"/>
    <s v="Week 10"/>
    <s v="Week 10-2025"/>
  </r>
  <r>
    <d v="2025-03-08T00:00:00"/>
    <x v="15"/>
    <n v="8"/>
    <n v="2025"/>
    <x v="9"/>
    <s v="Week 10"/>
    <s v="Week 10-2025"/>
  </r>
  <r>
    <d v="2025-03-08T00:00:00"/>
    <x v="3"/>
    <n v="2"/>
    <n v="2025"/>
    <x v="9"/>
    <s v="Week 10"/>
    <s v="Week 10-2025"/>
  </r>
  <r>
    <d v="2025-03-08T00:00:00"/>
    <x v="12"/>
    <n v="2"/>
    <n v="2025"/>
    <x v="9"/>
    <s v="Week 10"/>
    <s v="Week 10-2025"/>
  </r>
  <r>
    <d v="2025-03-08T00:00:00"/>
    <x v="4"/>
    <n v="1"/>
    <n v="2025"/>
    <x v="9"/>
    <s v="Week 10"/>
    <s v="Week 10-2025"/>
  </r>
  <r>
    <d v="2025-03-09T00:00:00"/>
    <x v="15"/>
    <n v="8"/>
    <n v="2025"/>
    <x v="9"/>
    <s v="Week 11"/>
    <s v="Week 11-2025"/>
  </r>
  <r>
    <d v="2025-03-09T00:00:00"/>
    <x v="12"/>
    <n v="4"/>
    <n v="2025"/>
    <x v="9"/>
    <s v="Week 11"/>
    <s v="Week 11-2025"/>
  </r>
  <r>
    <d v="2025-03-09T00:00:00"/>
    <x v="25"/>
    <n v="4"/>
    <n v="2025"/>
    <x v="9"/>
    <s v="Week 11"/>
    <s v="Week 11-2025"/>
  </r>
  <r>
    <d v="2025-03-09T00:00:00"/>
    <x v="11"/>
    <n v="2"/>
    <n v="2025"/>
    <x v="9"/>
    <s v="Week 11"/>
    <s v="Week 11-2025"/>
  </r>
  <r>
    <d v="2025-03-11T00:00:00"/>
    <x v="3"/>
    <n v="8"/>
    <n v="2025"/>
    <x v="10"/>
    <s v="Week 11"/>
    <s v="Week 11-2025"/>
  </r>
  <r>
    <d v="2025-03-11T00:00:00"/>
    <x v="7"/>
    <n v="2"/>
    <n v="2025"/>
    <x v="10"/>
    <s v="Week 11"/>
    <s v="Week 11-2025"/>
  </r>
  <r>
    <d v="2025-03-11T00:00:00"/>
    <x v="7"/>
    <n v="2"/>
    <n v="2025"/>
    <x v="10"/>
    <s v="Week 11"/>
    <s v="Week 11-2025"/>
  </r>
  <r>
    <d v="2025-03-12T00:00:00"/>
    <x v="15"/>
    <n v="4"/>
    <n v="2025"/>
    <x v="10"/>
    <s v="Week 11"/>
    <s v="Week 11-2025"/>
  </r>
  <r>
    <d v="2025-03-12T00:00:00"/>
    <x v="12"/>
    <n v="2"/>
    <n v="2025"/>
    <x v="10"/>
    <s v="Week 11"/>
    <s v="Week 11-2025"/>
  </r>
  <r>
    <d v="2025-03-12T00:00:00"/>
    <x v="4"/>
    <n v="2"/>
    <n v="2025"/>
    <x v="10"/>
    <s v="Week 11"/>
    <s v="Week 11-2025"/>
  </r>
  <r>
    <d v="2025-03-12T00:00:00"/>
    <x v="11"/>
    <n v="1"/>
    <n v="2025"/>
    <x v="10"/>
    <s v="Week 11"/>
    <s v="Week 11-2025"/>
  </r>
  <r>
    <d v="2025-03-13T00:00:00"/>
    <x v="13"/>
    <n v="8"/>
    <n v="2025"/>
    <x v="10"/>
    <s v="Week 11"/>
    <s v="Week 11-2025"/>
  </r>
  <r>
    <d v="2025-03-13T00:00:00"/>
    <x v="10"/>
    <n v="8"/>
    <n v="2025"/>
    <x v="10"/>
    <s v="Week 11"/>
    <s v="Week 11-2025"/>
  </r>
  <r>
    <d v="2025-03-13T00:00:00"/>
    <x v="11"/>
    <n v="8"/>
    <n v="2025"/>
    <x v="10"/>
    <s v="Week 11"/>
    <s v="Week 11-2025"/>
  </r>
  <r>
    <d v="2025-03-13T00:00:00"/>
    <x v="11"/>
    <n v="8"/>
    <n v="2025"/>
    <x v="10"/>
    <s v="Week 11"/>
    <s v="Week 11-2025"/>
  </r>
  <r>
    <d v="2025-03-13T00:00:00"/>
    <x v="13"/>
    <n v="6"/>
    <n v="2025"/>
    <x v="10"/>
    <s v="Week 11"/>
    <s v="Week 11-2025"/>
  </r>
  <r>
    <d v="2025-03-13T00:00:00"/>
    <x v="6"/>
    <n v="4"/>
    <n v="2025"/>
    <x v="10"/>
    <s v="Week 11"/>
    <s v="Week 11-2025"/>
  </r>
  <r>
    <d v="2025-03-13T00:00:00"/>
    <x v="14"/>
    <n v="2"/>
    <n v="2025"/>
    <x v="10"/>
    <s v="Week 11"/>
    <s v="Week 11-2025"/>
  </r>
  <r>
    <d v="2025-03-13T00:00:00"/>
    <x v="14"/>
    <n v="2"/>
    <n v="2025"/>
    <x v="10"/>
    <s v="Week 11"/>
    <s v="Week 11-2025"/>
  </r>
  <r>
    <d v="2025-03-14T00:00:00"/>
    <x v="12"/>
    <n v="10"/>
    <n v="2025"/>
    <x v="10"/>
    <s v="Week 11"/>
    <s v="Week 11-2025"/>
  </r>
  <r>
    <d v="2025-03-15T00:00:00"/>
    <x v="11"/>
    <n v="22"/>
    <n v="2025"/>
    <x v="10"/>
    <s v="Week 11"/>
    <s v="Week 11-2025"/>
  </r>
  <r>
    <d v="2025-03-15T00:00:00"/>
    <x v="3"/>
    <n v="12"/>
    <n v="2025"/>
    <x v="10"/>
    <s v="Week 11"/>
    <s v="Week 11-2025"/>
  </r>
  <r>
    <d v="2025-03-15T00:00:00"/>
    <x v="31"/>
    <n v="14"/>
    <n v="2025"/>
    <x v="10"/>
    <s v="Week 11"/>
    <s v="Week 11-2025"/>
  </r>
  <r>
    <d v="2025-03-15T00:00:00"/>
    <x v="12"/>
    <n v="10"/>
    <n v="2025"/>
    <x v="10"/>
    <s v="Week 11"/>
    <s v="Week 11-2025"/>
  </r>
  <r>
    <d v="2025-03-15T00:00:00"/>
    <x v="35"/>
    <n v="8"/>
    <n v="2025"/>
    <x v="10"/>
    <s v="Week 11"/>
    <s v="Week 11-2025"/>
  </r>
  <r>
    <d v="2025-03-15T00:00:00"/>
    <x v="15"/>
    <n v="6"/>
    <n v="2025"/>
    <x v="10"/>
    <s v="Week 11"/>
    <s v="Week 11-2025"/>
  </r>
  <r>
    <d v="2025-03-15T00:00:00"/>
    <x v="12"/>
    <n v="4"/>
    <n v="2025"/>
    <x v="10"/>
    <s v="Week 11"/>
    <s v="Week 11-2025"/>
  </r>
  <r>
    <d v="2025-03-16T00:00:00"/>
    <x v="17"/>
    <n v="11"/>
    <n v="2025"/>
    <x v="10"/>
    <s v="Week 12"/>
    <s v="Week 12-2025"/>
  </r>
  <r>
    <d v="2025-03-16T00:00:00"/>
    <x v="10"/>
    <n v="8"/>
    <n v="2025"/>
    <x v="10"/>
    <s v="Week 12"/>
    <s v="Week 12-2025"/>
  </r>
  <r>
    <d v="2025-03-16T00:00:00"/>
    <x v="7"/>
    <n v="6"/>
    <n v="2025"/>
    <x v="10"/>
    <s v="Week 12"/>
    <s v="Week 12-2025"/>
  </r>
  <r>
    <d v="2025-03-16T00:00:00"/>
    <x v="17"/>
    <n v="5"/>
    <n v="2025"/>
    <x v="10"/>
    <s v="Week 12"/>
    <s v="Week 12-2025"/>
  </r>
  <r>
    <d v="2025-03-16T00:00:00"/>
    <x v="1"/>
    <n v="8"/>
    <n v="2025"/>
    <x v="10"/>
    <s v="Week 12"/>
    <s v="Week 12-2025"/>
  </r>
  <r>
    <d v="2025-03-16T00:00:00"/>
    <x v="20"/>
    <n v="5"/>
    <n v="2025"/>
    <x v="10"/>
    <s v="Week 12"/>
    <s v="Week 12-2025"/>
  </r>
  <r>
    <d v="2025-03-16T00:00:00"/>
    <x v="4"/>
    <n v="8"/>
    <n v="2025"/>
    <x v="10"/>
    <s v="Week 12"/>
    <s v="Week 12-2025"/>
  </r>
  <r>
    <d v="2025-03-16T00:00:00"/>
    <x v="12"/>
    <n v="4"/>
    <n v="2025"/>
    <x v="10"/>
    <s v="Week 12"/>
    <s v="Week 12-2025"/>
  </r>
  <r>
    <d v="2025-03-16T00:00:00"/>
    <x v="28"/>
    <n v="8"/>
    <n v="2025"/>
    <x v="10"/>
    <s v="Week 12"/>
    <s v="Week 12-2025"/>
  </r>
  <r>
    <d v="2025-03-16T00:00:00"/>
    <x v="20"/>
    <n v="3"/>
    <n v="2025"/>
    <x v="10"/>
    <s v="Week 12"/>
    <s v="Week 12-2025"/>
  </r>
  <r>
    <d v="2025-03-16T00:00:00"/>
    <x v="15"/>
    <n v="4"/>
    <n v="2025"/>
    <x v="10"/>
    <s v="Week 12"/>
    <s v="Week 12-2025"/>
  </r>
  <r>
    <d v="2025-03-16T00:00:00"/>
    <x v="28"/>
    <n v="4"/>
    <n v="2025"/>
    <x v="10"/>
    <s v="Week 12"/>
    <s v="Week 12-2025"/>
  </r>
  <r>
    <d v="2025-03-17T00:00:00"/>
    <x v="13"/>
    <n v="32"/>
    <n v="2025"/>
    <x v="11"/>
    <s v="Week 12"/>
    <s v="Week 12-2025"/>
  </r>
  <r>
    <d v="2025-03-17T00:00:00"/>
    <x v="5"/>
    <n v="16"/>
    <n v="2025"/>
    <x v="11"/>
    <s v="Week 12"/>
    <s v="Week 12-2025"/>
  </r>
  <r>
    <d v="2025-03-17T00:00:00"/>
    <x v="3"/>
    <n v="24"/>
    <n v="2025"/>
    <x v="11"/>
    <s v="Week 12"/>
    <s v="Week 12-2025"/>
  </r>
  <r>
    <d v="2025-03-17T00:00:00"/>
    <x v="17"/>
    <n v="14"/>
    <n v="2025"/>
    <x v="11"/>
    <s v="Week 12"/>
    <s v="Week 12-2025"/>
  </r>
  <r>
    <d v="2025-03-17T00:00:00"/>
    <x v="33"/>
    <n v="8"/>
    <n v="2025"/>
    <x v="11"/>
    <s v="Week 12"/>
    <s v="Week 12-2025"/>
  </r>
  <r>
    <d v="2025-03-17T00:00:00"/>
    <x v="9"/>
    <n v="4"/>
    <n v="2025"/>
    <x v="11"/>
    <s v="Week 12"/>
    <s v="Week 12-2025"/>
  </r>
  <r>
    <d v="2025-03-17T00:00:00"/>
    <x v="27"/>
    <n v="4"/>
    <n v="2025"/>
    <x v="11"/>
    <s v="Week 12"/>
    <s v="Week 12-2025"/>
  </r>
  <r>
    <d v="2025-03-20T00:00:00"/>
    <x v="14"/>
    <n v="7"/>
    <n v="2025"/>
    <x v="11"/>
    <s v="Week 12"/>
    <s v="Week 12-2025"/>
  </r>
  <r>
    <d v="2025-03-20T00:00:00"/>
    <x v="2"/>
    <n v="3"/>
    <n v="2025"/>
    <x v="11"/>
    <s v="Week 12"/>
    <s v="Week 12-2025"/>
  </r>
  <r>
    <d v="2025-03-23T00:00:00"/>
    <x v="27"/>
    <n v="2"/>
    <n v="2025"/>
    <x v="11"/>
    <s v="Week 13"/>
    <s v="Week 13-2025"/>
  </r>
  <r>
    <d v="2025-03-24T00:00:00"/>
    <x v="18"/>
    <n v="4"/>
    <n v="2025"/>
    <x v="12"/>
    <s v="Week 13"/>
    <s v="Week 13-2025"/>
  </r>
  <r>
    <d v="2025-03-24T00:00:00"/>
    <x v="28"/>
    <n v="2"/>
    <n v="2025"/>
    <x v="12"/>
    <s v="Week 13"/>
    <s v="Week 13-2025"/>
  </r>
  <r>
    <d v="2025-03-25T00:00:00"/>
    <x v="5"/>
    <n v="2"/>
    <n v="2025"/>
    <x v="12"/>
    <s v="Week 13"/>
    <s v="Week 13-2025"/>
  </r>
  <r>
    <d v="2025-03-26T00:00:00"/>
    <x v="13"/>
    <n v="8"/>
    <n v="2025"/>
    <x v="12"/>
    <s v="Week 13"/>
    <s v="Week 13-2025"/>
  </r>
  <r>
    <d v="2025-03-26T00:00:00"/>
    <x v="35"/>
    <n v="2"/>
    <n v="2025"/>
    <x v="12"/>
    <s v="Week 13"/>
    <s v="Week 13-2025"/>
  </r>
  <r>
    <d v="2025-03-27T00:00:00"/>
    <x v="10"/>
    <n v="24"/>
    <n v="2025"/>
    <x v="12"/>
    <s v="Week 13"/>
    <s v="Week 13-2025"/>
  </r>
  <r>
    <d v="2025-03-27T00:00:00"/>
    <x v="13"/>
    <n v="20"/>
    <n v="2025"/>
    <x v="12"/>
    <s v="Week 13"/>
    <s v="Week 13-2025"/>
  </r>
  <r>
    <d v="2025-03-27T00:00:00"/>
    <x v="11"/>
    <n v="24"/>
    <n v="2025"/>
    <x v="12"/>
    <s v="Week 13"/>
    <s v="Week 13-2025"/>
  </r>
  <r>
    <d v="2025-03-27T00:00:00"/>
    <x v="18"/>
    <n v="16"/>
    <n v="2025"/>
    <x v="12"/>
    <s v="Week 13"/>
    <s v="Week 13-2025"/>
  </r>
  <r>
    <d v="2025-03-27T00:00:00"/>
    <x v="27"/>
    <n v="12"/>
    <n v="2025"/>
    <x v="12"/>
    <s v="Week 13"/>
    <s v="Week 13-2025"/>
  </r>
  <r>
    <d v="2025-03-27T00:00:00"/>
    <x v="26"/>
    <n v="8"/>
    <n v="2025"/>
    <x v="12"/>
    <s v="Week 13"/>
    <s v="Week 13-2025"/>
  </r>
  <r>
    <d v="2025-03-27T00:00:00"/>
    <x v="22"/>
    <n v="4"/>
    <n v="2025"/>
    <x v="12"/>
    <s v="Week 13"/>
    <s v="Week 13-2025"/>
  </r>
  <r>
    <d v="2025-03-27T00:00:00"/>
    <x v="15"/>
    <n v="4"/>
    <n v="2025"/>
    <x v="12"/>
    <s v="Week 13"/>
    <s v="Week 13-2025"/>
  </r>
  <r>
    <d v="2025-03-27T00:00:00"/>
    <x v="19"/>
    <n v="2"/>
    <n v="2025"/>
    <x v="12"/>
    <s v="Week 13"/>
    <s v="Week 13-2025"/>
  </r>
  <r>
    <d v="2025-03-29T00:00:00"/>
    <x v="13"/>
    <n v="11"/>
    <n v="2025"/>
    <x v="12"/>
    <s v="Week 13"/>
    <s v="Week 13-2025"/>
  </r>
  <r>
    <d v="2025-03-29T00:00:00"/>
    <x v="13"/>
    <n v="11"/>
    <n v="2025"/>
    <x v="12"/>
    <s v="Week 13"/>
    <s v="Week 13-2025"/>
  </r>
  <r>
    <d v="2025-03-29T00:00:00"/>
    <x v="13"/>
    <n v="11"/>
    <n v="2025"/>
    <x v="12"/>
    <s v="Week 13"/>
    <s v="Week 13-2025"/>
  </r>
  <r>
    <d v="2025-03-29T00:00:00"/>
    <x v="13"/>
    <n v="11"/>
    <n v="2025"/>
    <x v="12"/>
    <s v="Week 13"/>
    <s v="Week 13-2025"/>
  </r>
  <r>
    <d v="2025-03-29T00:00:00"/>
    <x v="13"/>
    <n v="10"/>
    <n v="2025"/>
    <x v="12"/>
    <s v="Week 13"/>
    <s v="Week 13-2025"/>
  </r>
  <r>
    <d v="2025-03-29T00:00:00"/>
    <x v="13"/>
    <n v="10"/>
    <n v="2025"/>
    <x v="12"/>
    <s v="Week 13"/>
    <s v="Week 13-2025"/>
  </r>
  <r>
    <d v="2025-03-29T00:00:00"/>
    <x v="3"/>
    <n v="10"/>
    <n v="2025"/>
    <x v="12"/>
    <s v="Week 13"/>
    <s v="Week 13-2025"/>
  </r>
  <r>
    <d v="2025-03-29T00:00:00"/>
    <x v="5"/>
    <n v="6"/>
    <n v="2025"/>
    <x v="12"/>
    <s v="Week 13"/>
    <s v="Week 13-2025"/>
  </r>
  <r>
    <d v="2025-03-29T00:00:00"/>
    <x v="25"/>
    <n v="12"/>
    <n v="2025"/>
    <x v="12"/>
    <s v="Week 13"/>
    <s v="Week 13-2025"/>
  </r>
  <r>
    <d v="2025-03-29T00:00:00"/>
    <x v="5"/>
    <n v="5"/>
    <n v="2025"/>
    <x v="12"/>
    <s v="Week 13"/>
    <s v="Week 13-2025"/>
  </r>
  <r>
    <d v="2025-03-29T00:00:00"/>
    <x v="13"/>
    <n v="6"/>
    <n v="2025"/>
    <x v="12"/>
    <s v="Week 13"/>
    <s v="Week 13-2025"/>
  </r>
  <r>
    <d v="2025-03-29T00:00:00"/>
    <x v="17"/>
    <n v="5"/>
    <n v="2025"/>
    <x v="12"/>
    <s v="Week 13"/>
    <s v="Week 13-2025"/>
  </r>
  <r>
    <d v="2025-03-29T00:00:00"/>
    <x v="17"/>
    <n v="5"/>
    <n v="2025"/>
    <x v="12"/>
    <s v="Week 13"/>
    <s v="Week 13-2025"/>
  </r>
  <r>
    <d v="2025-03-29T00:00:00"/>
    <x v="1"/>
    <n v="9"/>
    <n v="2025"/>
    <x v="12"/>
    <s v="Week 13"/>
    <s v="Week 13-2025"/>
  </r>
  <r>
    <d v="2025-03-29T00:00:00"/>
    <x v="1"/>
    <n v="9"/>
    <n v="2025"/>
    <x v="12"/>
    <s v="Week 13"/>
    <s v="Week 13-2025"/>
  </r>
  <r>
    <d v="2025-03-29T00:00:00"/>
    <x v="25"/>
    <n v="7"/>
    <n v="2025"/>
    <x v="12"/>
    <s v="Week 13"/>
    <s v="Week 13-2025"/>
  </r>
  <r>
    <d v="2025-03-29T00:00:00"/>
    <x v="7"/>
    <n v="3"/>
    <n v="2025"/>
    <x v="12"/>
    <s v="Week 13"/>
    <s v="Week 13-2025"/>
  </r>
  <r>
    <d v="2025-03-29T00:00:00"/>
    <x v="7"/>
    <n v="3"/>
    <n v="2025"/>
    <x v="12"/>
    <s v="Week 13"/>
    <s v="Week 13-2025"/>
  </r>
  <r>
    <d v="2025-03-29T00:00:00"/>
    <x v="36"/>
    <n v="2"/>
    <n v="2025"/>
    <x v="12"/>
    <s v="Week 13"/>
    <s v="Week 13-2025"/>
  </r>
  <r>
    <d v="2025-03-29T00:00:00"/>
    <x v="36"/>
    <n v="2"/>
    <n v="2025"/>
    <x v="12"/>
    <s v="Week 13"/>
    <s v="Week 13-2025"/>
  </r>
  <r>
    <d v="2025-03-29T00:00:00"/>
    <x v="26"/>
    <n v="7"/>
    <n v="2025"/>
    <x v="12"/>
    <s v="Week 13"/>
    <s v="Week 13-2025"/>
  </r>
  <r>
    <d v="2025-03-29T00:00:00"/>
    <x v="2"/>
    <n v="5"/>
    <n v="2025"/>
    <x v="12"/>
    <s v="Week 13"/>
    <s v="Week 13-2025"/>
  </r>
  <r>
    <d v="2025-03-29T00:00:00"/>
    <x v="2"/>
    <n v="5"/>
    <n v="2025"/>
    <x v="12"/>
    <s v="Week 13"/>
    <s v="Week 13-2025"/>
  </r>
  <r>
    <d v="2025-03-29T00:00:00"/>
    <x v="17"/>
    <n v="3"/>
    <n v="2025"/>
    <x v="12"/>
    <s v="Week 13"/>
    <s v="Week 13-2025"/>
  </r>
  <r>
    <d v="2025-03-29T00:00:00"/>
    <x v="17"/>
    <n v="3"/>
    <n v="2025"/>
    <x v="12"/>
    <s v="Week 13"/>
    <s v="Week 13-2025"/>
  </r>
  <r>
    <d v="2025-03-29T00:00:00"/>
    <x v="37"/>
    <n v="2"/>
    <n v="2025"/>
    <x v="12"/>
    <s v="Week 13"/>
    <s v="Week 13-2025"/>
  </r>
  <r>
    <d v="2025-03-29T00:00:00"/>
    <x v="37"/>
    <n v="2"/>
    <n v="2025"/>
    <x v="12"/>
    <s v="Week 13"/>
    <s v="Week 13-2025"/>
  </r>
  <r>
    <d v="2025-03-29T00:00:00"/>
    <x v="25"/>
    <n v="5"/>
    <n v="2025"/>
    <x v="12"/>
    <s v="Week 13"/>
    <s v="Week 13-2025"/>
  </r>
  <r>
    <d v="2025-03-29T00:00:00"/>
    <x v="3"/>
    <n v="3"/>
    <n v="2025"/>
    <x v="12"/>
    <s v="Week 13"/>
    <s v="Week 13-2025"/>
  </r>
  <r>
    <d v="2025-03-29T00:00:00"/>
    <x v="2"/>
    <n v="4"/>
    <n v="2025"/>
    <x v="12"/>
    <s v="Week 13"/>
    <s v="Week 13-2025"/>
  </r>
  <r>
    <d v="2025-03-29T00:00:00"/>
    <x v="14"/>
    <n v="2"/>
    <n v="2025"/>
    <x v="12"/>
    <s v="Week 13"/>
    <s v="Week 13-2025"/>
  </r>
  <r>
    <d v="2025-03-29T00:00:00"/>
    <x v="3"/>
    <n v="2"/>
    <n v="2025"/>
    <x v="12"/>
    <s v="Week 13"/>
    <s v="Week 13-2025"/>
  </r>
  <r>
    <d v="2025-03-29T00:00:00"/>
    <x v="9"/>
    <n v="2"/>
    <n v="2025"/>
    <x v="12"/>
    <s v="Week 13"/>
    <s v="Week 13-2025"/>
  </r>
  <r>
    <d v="2025-03-29T00:00:00"/>
    <x v="5"/>
    <n v="1"/>
    <n v="2025"/>
    <x v="12"/>
    <s v="Week 13"/>
    <s v="Week 13-2025"/>
  </r>
  <r>
    <d v="2025-03-29T00:00:00"/>
    <x v="6"/>
    <n v="1"/>
    <n v="2025"/>
    <x v="12"/>
    <s v="Week 13"/>
    <s v="Week 13-2025"/>
  </r>
  <r>
    <d v="2025-03-29T00:00:00"/>
    <x v="6"/>
    <n v="1"/>
    <n v="2025"/>
    <x v="12"/>
    <s v="Week 13"/>
    <s v="Week 13-2025"/>
  </r>
  <r>
    <d v="2025-03-29T00:00:00"/>
    <x v="25"/>
    <n v="2"/>
    <n v="2025"/>
    <x v="12"/>
    <s v="Week 13"/>
    <s v="Week 13-2025"/>
  </r>
  <r>
    <d v="2025-03-29T00:00:00"/>
    <x v="26"/>
    <n v="2"/>
    <n v="2025"/>
    <x v="12"/>
    <s v="Week 13"/>
    <s v="Week 13-2025"/>
  </r>
  <r>
    <d v="2025-03-29T00:00:00"/>
    <x v="26"/>
    <n v="2"/>
    <n v="2025"/>
    <x v="12"/>
    <s v="Week 13"/>
    <s v="Week 13-2025"/>
  </r>
  <r>
    <d v="2025-03-29T00:00:00"/>
    <x v="26"/>
    <n v="2"/>
    <n v="2025"/>
    <x v="12"/>
    <s v="Week 13"/>
    <s v="Week 13-2025"/>
  </r>
  <r>
    <d v="2025-03-29T00:00:00"/>
    <x v="26"/>
    <n v="2"/>
    <n v="2025"/>
    <x v="12"/>
    <s v="Week 13"/>
    <s v="Week 13-2025"/>
  </r>
  <r>
    <d v="2025-03-29T00:00:00"/>
    <x v="3"/>
    <n v="1"/>
    <n v="2025"/>
    <x v="12"/>
    <s v="Week 13"/>
    <s v="Week 13-2025"/>
  </r>
  <r>
    <d v="2025-03-29T00:00:00"/>
    <x v="3"/>
    <n v="1"/>
    <n v="2025"/>
    <x v="12"/>
    <s v="Week 13"/>
    <s v="Week 13-2025"/>
  </r>
  <r>
    <d v="2025-03-29T00:00:00"/>
    <x v="3"/>
    <n v="1"/>
    <n v="2025"/>
    <x v="12"/>
    <s v="Week 13"/>
    <s v="Week 13-2025"/>
  </r>
  <r>
    <d v="2025-03-29T00:00:00"/>
    <x v="4"/>
    <n v="2"/>
    <n v="2025"/>
    <x v="12"/>
    <s v="Week 13"/>
    <s v="Week 13-2025"/>
  </r>
  <r>
    <d v="2025-03-29T00:00:00"/>
    <x v="4"/>
    <n v="2"/>
    <n v="2025"/>
    <x v="12"/>
    <s v="Week 13"/>
    <s v="Week 13-2025"/>
  </r>
  <r>
    <d v="2025-03-29T00:00:00"/>
    <x v="20"/>
    <n v="1"/>
    <n v="2025"/>
    <x v="12"/>
    <s v="Week 13"/>
    <s v="Week 13-2025"/>
  </r>
  <r>
    <d v="2025-03-29T00:00:00"/>
    <x v="20"/>
    <n v="1"/>
    <n v="2025"/>
    <x v="12"/>
    <s v="Week 13"/>
    <s v="Week 13-2025"/>
  </r>
  <r>
    <d v="2025-03-29T00:00:00"/>
    <x v="22"/>
    <n v="1"/>
    <n v="2025"/>
    <x v="12"/>
    <s v="Week 13"/>
    <s v="Week 13-2025"/>
  </r>
  <r>
    <d v="2025-03-29T00:00:00"/>
    <x v="26"/>
    <n v="1"/>
    <n v="2025"/>
    <x v="12"/>
    <s v="Week 13"/>
    <s v="Week 13-2025"/>
  </r>
  <r>
    <d v="2025-03-29T00:00:00"/>
    <x v="4"/>
    <n v="1"/>
    <n v="2025"/>
    <x v="12"/>
    <s v="Week 13"/>
    <s v="Week 13-2025"/>
  </r>
  <r>
    <d v="2025-03-29T00:00:00"/>
    <x v="4"/>
    <n v="1"/>
    <n v="2025"/>
    <x v="12"/>
    <s v="Week 13"/>
    <s v="Week 13-2025"/>
  </r>
  <r>
    <d v="2025-03-30T00:00:00"/>
    <x v="11"/>
    <n v="18"/>
    <n v="2025"/>
    <x v="12"/>
    <s v="Week 14"/>
    <s v="Week 14-2025"/>
  </r>
  <r>
    <d v="2025-03-30T00:00:00"/>
    <x v="11"/>
    <n v="12"/>
    <n v="2025"/>
    <x v="12"/>
    <s v="Week 14"/>
    <s v="Week 14-2025"/>
  </r>
  <r>
    <d v="2025-03-30T00:00:00"/>
    <x v="12"/>
    <n v="12"/>
    <n v="2025"/>
    <x v="12"/>
    <s v="Week 14"/>
    <s v="Week 14-2025"/>
  </r>
  <r>
    <d v="2025-03-30T00:00:00"/>
    <x v="10"/>
    <n v="8"/>
    <n v="2025"/>
    <x v="12"/>
    <s v="Week 14"/>
    <s v="Week 14-2025"/>
  </r>
  <r>
    <d v="2025-03-30T00:00:00"/>
    <x v="3"/>
    <n v="8"/>
    <n v="2025"/>
    <x v="12"/>
    <s v="Week 14"/>
    <s v="Week 14-2025"/>
  </r>
  <r>
    <d v="2025-03-30T00:00:00"/>
    <x v="10"/>
    <n v="6"/>
    <n v="2025"/>
    <x v="12"/>
    <s v="Week 14"/>
    <s v="Week 14-2025"/>
  </r>
  <r>
    <d v="2025-03-30T00:00:00"/>
    <x v="16"/>
    <n v="2"/>
    <n v="2025"/>
    <x v="12"/>
    <s v="Week 14"/>
    <s v="Week 14-2025"/>
  </r>
  <r>
    <d v="2025-03-30T00:00:00"/>
    <x v="12"/>
    <n v="6"/>
    <n v="2025"/>
    <x v="12"/>
    <s v="Week 14"/>
    <s v="Week 14-2025"/>
  </r>
  <r>
    <d v="2025-03-30T00:00:00"/>
    <x v="27"/>
    <n v="6"/>
    <n v="2025"/>
    <x v="12"/>
    <s v="Week 14"/>
    <s v="Week 14-2025"/>
  </r>
  <r>
    <d v="2025-03-30T00:00:00"/>
    <x v="15"/>
    <n v="4"/>
    <n v="2025"/>
    <x v="12"/>
    <s v="Week 14"/>
    <s v="Week 14-2025"/>
  </r>
  <r>
    <d v="2025-03-30T00:00:00"/>
    <x v="3"/>
    <n v="2"/>
    <n v="2025"/>
    <x v="12"/>
    <s v="Week 14"/>
    <s v="Week 14-2025"/>
  </r>
  <r>
    <d v="2025-03-30T00:00:00"/>
    <x v="4"/>
    <n v="4"/>
    <n v="2025"/>
    <x v="12"/>
    <s v="Week 14"/>
    <s v="Week 14-2025"/>
  </r>
  <r>
    <d v="2025-03-30T00:00:00"/>
    <x v="4"/>
    <n v="4"/>
    <n v="2025"/>
    <x v="12"/>
    <s v="Week 14"/>
    <s v="Week 14-2025"/>
  </r>
  <r>
    <d v="2025-03-30T00:00:00"/>
    <x v="15"/>
    <n v="2"/>
    <n v="2025"/>
    <x v="12"/>
    <s v="Week 14"/>
    <s v="Week 14-2025"/>
  </r>
  <r>
    <d v="2025-03-30T00:00:00"/>
    <x v="19"/>
    <n v="2"/>
    <n v="2025"/>
    <x v="12"/>
    <s v="Week 14"/>
    <s v="Week 14-2025"/>
  </r>
  <r>
    <d v="2025-03-30T00:00:00"/>
    <x v="27"/>
    <n v="2"/>
    <n v="2025"/>
    <x v="12"/>
    <s v="Week 14"/>
    <s v="Week 14-2025"/>
  </r>
  <r>
    <d v="2025-03-31T00:00:00"/>
    <x v="6"/>
    <n v="2"/>
    <n v="2025"/>
    <x v="13"/>
    <s v="Week 14"/>
    <s v="Week 14-2025"/>
  </r>
  <r>
    <d v="2025-03-31T00:00:00"/>
    <x v="38"/>
    <n v="2"/>
    <n v="2025"/>
    <x v="13"/>
    <s v="Week 14"/>
    <s v="Week 14-2025"/>
  </r>
  <r>
    <d v="2025-03-31T00:00:00"/>
    <x v="39"/>
    <n v="2"/>
    <n v="2025"/>
    <x v="13"/>
    <s v="Week 14"/>
    <s v="Week 14-2025"/>
  </r>
  <r>
    <d v="2025-03-31T00:00:00"/>
    <x v="2"/>
    <n v="2"/>
    <n v="2025"/>
    <x v="13"/>
    <s v="Week 14"/>
    <s v="Week 14-2025"/>
  </r>
  <r>
    <d v="2025-03-31T00:00:00"/>
    <x v="17"/>
    <n v="1"/>
    <n v="2025"/>
    <x v="13"/>
    <s v="Week 14"/>
    <s v="Week 14-2025"/>
  </r>
  <r>
    <d v="2025-04-03T00:00:00"/>
    <x v="12"/>
    <n v="33"/>
    <n v="2025"/>
    <x v="13"/>
    <s v="Week 14"/>
    <s v="Week 14-2025"/>
  </r>
  <r>
    <d v="2025-04-03T00:00:00"/>
    <x v="13"/>
    <n v="12"/>
    <n v="2025"/>
    <x v="13"/>
    <s v="Week 14"/>
    <s v="Week 14-2025"/>
  </r>
  <r>
    <d v="2025-04-03T00:00:00"/>
    <x v="12"/>
    <n v="23"/>
    <n v="2025"/>
    <x v="13"/>
    <s v="Week 14"/>
    <s v="Week 14-2025"/>
  </r>
  <r>
    <d v="2025-04-03T00:00:00"/>
    <x v="10"/>
    <n v="12"/>
    <n v="2025"/>
    <x v="13"/>
    <s v="Week 14"/>
    <s v="Week 14-2025"/>
  </r>
  <r>
    <d v="2025-04-03T00:00:00"/>
    <x v="11"/>
    <n v="12"/>
    <n v="2025"/>
    <x v="13"/>
    <s v="Week 14"/>
    <s v="Week 14-2025"/>
  </r>
  <r>
    <d v="2025-04-03T00:00:00"/>
    <x v="12"/>
    <n v="16"/>
    <n v="2025"/>
    <x v="13"/>
    <s v="Week 14"/>
    <s v="Week 14-2025"/>
  </r>
  <r>
    <d v="2025-04-03T00:00:00"/>
    <x v="3"/>
    <n v="12"/>
    <n v="2025"/>
    <x v="13"/>
    <s v="Week 14"/>
    <s v="Week 14-2025"/>
  </r>
  <r>
    <d v="2025-04-03T00:00:00"/>
    <x v="3"/>
    <n v="12"/>
    <n v="2025"/>
    <x v="13"/>
    <s v="Week 14"/>
    <s v="Week 14-2025"/>
  </r>
  <r>
    <d v="2025-04-03T00:00:00"/>
    <x v="14"/>
    <n v="10"/>
    <n v="2025"/>
    <x v="13"/>
    <s v="Week 14"/>
    <s v="Week 14-2025"/>
  </r>
  <r>
    <d v="2025-04-03T00:00:00"/>
    <x v="10"/>
    <n v="10"/>
    <n v="2025"/>
    <x v="13"/>
    <s v="Week 14"/>
    <s v="Week 14-2025"/>
  </r>
  <r>
    <d v="2025-04-03T00:00:00"/>
    <x v="17"/>
    <n v="9"/>
    <n v="2025"/>
    <x v="13"/>
    <s v="Week 14"/>
    <s v="Week 14-2025"/>
  </r>
  <r>
    <d v="2025-04-03T00:00:00"/>
    <x v="10"/>
    <n v="8"/>
    <n v="2025"/>
    <x v="13"/>
    <s v="Week 14"/>
    <s v="Week 14-2025"/>
  </r>
  <r>
    <d v="2025-04-03T00:00:00"/>
    <x v="11"/>
    <n v="12"/>
    <n v="2025"/>
    <x v="13"/>
    <s v="Week 14"/>
    <s v="Week 14-2025"/>
  </r>
  <r>
    <d v="2025-04-03T00:00:00"/>
    <x v="11"/>
    <n v="11"/>
    <n v="2025"/>
    <x v="13"/>
    <s v="Week 14"/>
    <s v="Week 14-2025"/>
  </r>
  <r>
    <d v="2025-04-03T00:00:00"/>
    <x v="11"/>
    <n v="11"/>
    <n v="2025"/>
    <x v="13"/>
    <s v="Week 14"/>
    <s v="Week 14-2025"/>
  </r>
  <r>
    <d v="2025-04-03T00:00:00"/>
    <x v="15"/>
    <n v="17"/>
    <n v="2025"/>
    <x v="13"/>
    <s v="Week 14"/>
    <s v="Week 14-2025"/>
  </r>
  <r>
    <d v="2025-04-03T00:00:00"/>
    <x v="11"/>
    <n v="8"/>
    <n v="2025"/>
    <x v="13"/>
    <s v="Week 14"/>
    <s v="Week 14-2025"/>
  </r>
  <r>
    <d v="2025-04-03T00:00:00"/>
    <x v="11"/>
    <n v="8"/>
    <n v="2025"/>
    <x v="13"/>
    <s v="Week 14"/>
    <s v="Week 14-2025"/>
  </r>
  <r>
    <d v="2025-04-03T00:00:00"/>
    <x v="11"/>
    <n v="8"/>
    <n v="2025"/>
    <x v="13"/>
    <s v="Week 14"/>
    <s v="Week 14-2025"/>
  </r>
  <r>
    <d v="2025-04-03T00:00:00"/>
    <x v="6"/>
    <n v="4"/>
    <n v="2025"/>
    <x v="13"/>
    <s v="Week 14"/>
    <s v="Week 14-2025"/>
  </r>
  <r>
    <d v="2025-04-03T00:00:00"/>
    <x v="14"/>
    <n v="4"/>
    <n v="2025"/>
    <x v="13"/>
    <s v="Week 14"/>
    <s v="Week 14-2025"/>
  </r>
  <r>
    <d v="2025-04-03T00:00:00"/>
    <x v="25"/>
    <n v="7"/>
    <n v="2025"/>
    <x v="13"/>
    <s v="Week 14"/>
    <s v="Week 14-2025"/>
  </r>
  <r>
    <d v="2025-04-03T00:00:00"/>
    <x v="15"/>
    <n v="8"/>
    <n v="2025"/>
    <x v="13"/>
    <s v="Week 14"/>
    <s v="Week 14-2025"/>
  </r>
  <r>
    <d v="2025-04-03T00:00:00"/>
    <x v="12"/>
    <n v="5"/>
    <n v="2025"/>
    <x v="13"/>
    <s v="Week 14"/>
    <s v="Week 14-2025"/>
  </r>
  <r>
    <d v="2025-04-03T00:00:00"/>
    <x v="12"/>
    <n v="5"/>
    <n v="2025"/>
    <x v="13"/>
    <s v="Week 14"/>
    <s v="Week 14-2025"/>
  </r>
  <r>
    <d v="2025-04-03T00:00:00"/>
    <x v="12"/>
    <n v="4"/>
    <n v="2025"/>
    <x v="13"/>
    <s v="Week 14"/>
    <s v="Week 14-2025"/>
  </r>
  <r>
    <d v="2025-04-03T00:00:00"/>
    <x v="17"/>
    <n v="3"/>
    <n v="2025"/>
    <x v="13"/>
    <s v="Week 14"/>
    <s v="Week 14-2025"/>
  </r>
  <r>
    <d v="2025-04-03T00:00:00"/>
    <x v="5"/>
    <n v="2"/>
    <n v="2025"/>
    <x v="13"/>
    <s v="Week 14"/>
    <s v="Week 14-2025"/>
  </r>
  <r>
    <d v="2025-04-03T00:00:00"/>
    <x v="6"/>
    <n v="2"/>
    <n v="2025"/>
    <x v="13"/>
    <s v="Week 14"/>
    <s v="Week 14-2025"/>
  </r>
  <r>
    <d v="2025-04-03T00:00:00"/>
    <x v="25"/>
    <n v="4"/>
    <n v="2025"/>
    <x v="13"/>
    <s v="Week 14"/>
    <s v="Week 14-2025"/>
  </r>
  <r>
    <d v="2025-04-03T00:00:00"/>
    <x v="25"/>
    <n v="4"/>
    <n v="2025"/>
    <x v="13"/>
    <s v="Week 14"/>
    <s v="Week 14-2025"/>
  </r>
  <r>
    <d v="2025-04-03T00:00:00"/>
    <x v="19"/>
    <n v="4"/>
    <n v="2025"/>
    <x v="13"/>
    <s v="Week 14"/>
    <s v="Week 14-2025"/>
  </r>
  <r>
    <d v="2025-04-03T00:00:00"/>
    <x v="19"/>
    <n v="4"/>
    <n v="2025"/>
    <x v="13"/>
    <s v="Week 14"/>
    <s v="Week 14-2025"/>
  </r>
  <r>
    <d v="2025-04-03T00:00:00"/>
    <x v="18"/>
    <n v="4"/>
    <n v="2025"/>
    <x v="13"/>
    <s v="Week 14"/>
    <s v="Week 14-2025"/>
  </r>
  <r>
    <d v="2025-04-03T00:00:00"/>
    <x v="19"/>
    <n v="2"/>
    <n v="2025"/>
    <x v="13"/>
    <s v="Week 14"/>
    <s v="Week 14-2025"/>
  </r>
  <r>
    <d v="2025-04-03T00:00:00"/>
    <x v="18"/>
    <n v="2"/>
    <n v="2025"/>
    <x v="13"/>
    <s v="Week 14"/>
    <s v="Week 14-2025"/>
  </r>
  <r>
    <d v="2025-04-03T00:00:00"/>
    <x v="25"/>
    <n v="1"/>
    <n v="2025"/>
    <x v="13"/>
    <s v="Week 14"/>
    <s v="Week 14-2025"/>
  </r>
  <r>
    <d v="2025-04-05T00:00:00"/>
    <x v="15"/>
    <n v="8"/>
    <n v="2025"/>
    <x v="13"/>
    <s v="Week 14"/>
    <s v="Week 14-2025"/>
  </r>
  <r>
    <d v="2025-04-05T00:00:00"/>
    <x v="14"/>
    <n v="3"/>
    <n v="2025"/>
    <x v="13"/>
    <s v="Week 14"/>
    <s v="Week 14-2025"/>
  </r>
  <r>
    <d v="2025-04-05T00:00:00"/>
    <x v="15"/>
    <n v="6"/>
    <n v="2025"/>
    <x v="13"/>
    <s v="Week 14"/>
    <s v="Week 14-2025"/>
  </r>
  <r>
    <d v="2025-04-05T00:00:00"/>
    <x v="12"/>
    <n v="4"/>
    <n v="2025"/>
    <x v="13"/>
    <s v="Week 14"/>
    <s v="Week 14-2025"/>
  </r>
  <r>
    <d v="2025-04-05T00:00:00"/>
    <x v="12"/>
    <n v="4"/>
    <n v="2025"/>
    <x v="13"/>
    <s v="Week 14"/>
    <s v="Week 14-2025"/>
  </r>
  <r>
    <d v="2025-04-05T00:00:00"/>
    <x v="3"/>
    <n v="2"/>
    <n v="2025"/>
    <x v="13"/>
    <s v="Week 14"/>
    <s v="Week 14-2025"/>
  </r>
  <r>
    <d v="2025-04-05T00:00:00"/>
    <x v="3"/>
    <n v="2"/>
    <n v="2025"/>
    <x v="13"/>
    <s v="Week 14"/>
    <s v="Week 14-2025"/>
  </r>
  <r>
    <d v="2025-04-05T00:00:00"/>
    <x v="11"/>
    <n v="2"/>
    <n v="2025"/>
    <x v="13"/>
    <s v="Week 14"/>
    <s v="Week 14-2025"/>
  </r>
  <r>
    <d v="2025-04-05T00:00:00"/>
    <x v="18"/>
    <n v="4"/>
    <n v="2025"/>
    <x v="13"/>
    <s v="Week 14"/>
    <s v="Week 14-2025"/>
  </r>
  <r>
    <d v="2025-04-05T00:00:00"/>
    <x v="19"/>
    <n v="2"/>
    <n v="2025"/>
    <x v="13"/>
    <s v="Week 14"/>
    <s v="Week 14-2025"/>
  </r>
  <r>
    <d v="2025-04-05T00:00:00"/>
    <x v="33"/>
    <n v="2"/>
    <n v="2025"/>
    <x v="13"/>
    <s v="Week 14"/>
    <s v="Week 14-2025"/>
  </r>
  <r>
    <d v="2025-04-05T00:00:00"/>
    <x v="28"/>
    <n v="2"/>
    <n v="2025"/>
    <x v="13"/>
    <s v="Week 14"/>
    <s v="Week 14-2025"/>
  </r>
  <r>
    <d v="2025-04-05T00:00:00"/>
    <x v="30"/>
    <n v="2"/>
    <n v="2025"/>
    <x v="13"/>
    <s v="Week 14"/>
    <s v="Week 14-2025"/>
  </r>
  <r>
    <d v="2025-04-07T00:00:00"/>
    <x v="3"/>
    <n v="10"/>
    <n v="2025"/>
    <x v="14"/>
    <s v="Week 15"/>
    <s v="Week 15-2025"/>
  </r>
  <r>
    <d v="2025-04-07T00:00:00"/>
    <x v="13"/>
    <n v="6"/>
    <n v="2025"/>
    <x v="14"/>
    <s v="Week 15"/>
    <s v="Week 15-2025"/>
  </r>
  <r>
    <d v="2025-04-07T00:00:00"/>
    <x v="26"/>
    <n v="7"/>
    <n v="2025"/>
    <x v="14"/>
    <s v="Week 15"/>
    <s v="Week 15-2025"/>
  </r>
  <r>
    <d v="2025-04-07T00:00:00"/>
    <x v="2"/>
    <n v="4"/>
    <n v="2025"/>
    <x v="14"/>
    <s v="Week 15"/>
    <s v="Week 15-2025"/>
  </r>
  <r>
    <d v="2025-04-07T00:00:00"/>
    <x v="14"/>
    <n v="2"/>
    <n v="2025"/>
    <x v="14"/>
    <s v="Week 15"/>
    <s v="Week 15-2025"/>
  </r>
  <r>
    <d v="2025-04-07T00:00:00"/>
    <x v="9"/>
    <n v="2"/>
    <n v="2025"/>
    <x v="14"/>
    <s v="Week 15"/>
    <s v="Week 15-2025"/>
  </r>
  <r>
    <d v="2025-04-07T00:00:00"/>
    <x v="25"/>
    <n v="2"/>
    <n v="2025"/>
    <x v="14"/>
    <s v="Week 15"/>
    <s v="Week 15-2025"/>
  </r>
  <r>
    <d v="2025-04-07T00:00:00"/>
    <x v="22"/>
    <n v="1"/>
    <n v="2025"/>
    <x v="14"/>
    <s v="Week 15"/>
    <s v="Week 15-2025"/>
  </r>
  <r>
    <d v="2025-04-07T00:00:00"/>
    <x v="26"/>
    <n v="1"/>
    <n v="2025"/>
    <x v="14"/>
    <s v="Week 15"/>
    <s v="Week 15-2025"/>
  </r>
  <r>
    <d v="2025-04-08T00:00:00"/>
    <x v="10"/>
    <n v="16"/>
    <n v="2025"/>
    <x v="14"/>
    <s v="Week 15"/>
    <s v="Week 15-2025"/>
  </r>
  <r>
    <d v="2025-04-08T00:00:00"/>
    <x v="10"/>
    <n v="10"/>
    <n v="2025"/>
    <x v="14"/>
    <s v="Week 15"/>
    <s v="Week 15-2025"/>
  </r>
  <r>
    <d v="2025-04-08T00:00:00"/>
    <x v="11"/>
    <n v="10"/>
    <n v="2025"/>
    <x v="14"/>
    <s v="Week 15"/>
    <s v="Week 15-2025"/>
  </r>
  <r>
    <d v="2025-04-08T00:00:00"/>
    <x v="14"/>
    <n v="2"/>
    <n v="2025"/>
    <x v="14"/>
    <s v="Week 15"/>
    <s v="Week 15-2025"/>
  </r>
  <r>
    <d v="2025-04-08T00:00:00"/>
    <x v="0"/>
    <n v="2"/>
    <n v="2025"/>
    <x v="14"/>
    <s v="Week 15"/>
    <s v="Week 15-2025"/>
  </r>
  <r>
    <d v="2025-04-09T00:00:00"/>
    <x v="14"/>
    <n v="16"/>
    <n v="2025"/>
    <x v="14"/>
    <s v="Week 15"/>
    <s v="Week 15-2025"/>
  </r>
  <r>
    <d v="2025-04-09T00:00:00"/>
    <x v="3"/>
    <n v="16"/>
    <n v="2025"/>
    <x v="14"/>
    <s v="Week 15"/>
    <s v="Week 15-2025"/>
  </r>
  <r>
    <d v="2025-04-09T00:00:00"/>
    <x v="14"/>
    <n v="12"/>
    <n v="2025"/>
    <x v="14"/>
    <s v="Week 15"/>
    <s v="Week 15-2025"/>
  </r>
  <r>
    <d v="2025-04-09T00:00:00"/>
    <x v="13"/>
    <n v="4"/>
    <n v="2025"/>
    <x v="14"/>
    <s v="Week 15"/>
    <s v="Week 15-2025"/>
  </r>
  <r>
    <d v="2025-04-09T00:00:00"/>
    <x v="10"/>
    <n v="4"/>
    <n v="2025"/>
    <x v="14"/>
    <s v="Week 15"/>
    <s v="Week 15-2025"/>
  </r>
  <r>
    <d v="2025-04-09T00:00:00"/>
    <x v="27"/>
    <n v="2"/>
    <n v="2025"/>
    <x v="14"/>
    <s v="Week 15"/>
    <s v="Week 15-2025"/>
  </r>
  <r>
    <d v="2025-04-12T00:00:00"/>
    <x v="11"/>
    <n v="19"/>
    <n v="2025"/>
    <x v="14"/>
    <s v="Week 15"/>
    <s v="Week 15-2025"/>
  </r>
  <r>
    <d v="2025-04-12T00:00:00"/>
    <x v="13"/>
    <n v="10"/>
    <n v="2025"/>
    <x v="14"/>
    <s v="Week 15"/>
    <s v="Week 15-2025"/>
  </r>
  <r>
    <d v="2025-04-12T00:00:00"/>
    <x v="3"/>
    <n v="12"/>
    <n v="2025"/>
    <x v="14"/>
    <s v="Week 15"/>
    <s v="Week 15-2025"/>
  </r>
  <r>
    <d v="2025-04-12T00:00:00"/>
    <x v="5"/>
    <n v="5"/>
    <n v="2025"/>
    <x v="14"/>
    <s v="Week 15"/>
    <s v="Week 15-2025"/>
  </r>
  <r>
    <d v="2025-04-12T00:00:00"/>
    <x v="11"/>
    <n v="7"/>
    <n v="2025"/>
    <x v="14"/>
    <s v="Week 15"/>
    <s v="Week 15-2025"/>
  </r>
  <r>
    <d v="2025-04-12T00:00:00"/>
    <x v="5"/>
    <n v="2"/>
    <n v="2025"/>
    <x v="14"/>
    <s v="Week 15"/>
    <s v="Week 15-2025"/>
  </r>
  <r>
    <d v="2025-04-12T00:00:00"/>
    <x v="12"/>
    <n v="4"/>
    <n v="2025"/>
    <x v="14"/>
    <s v="Week 15"/>
    <s v="Week 15-2025"/>
  </r>
  <r>
    <d v="2025-04-12T00:00:00"/>
    <x v="5"/>
    <n v="1"/>
    <n v="2025"/>
    <x v="14"/>
    <s v="Week 15"/>
    <s v="Week 15-2025"/>
  </r>
  <r>
    <d v="2025-04-12T00:00:00"/>
    <x v="31"/>
    <n v="2"/>
    <n v="2025"/>
    <x v="14"/>
    <s v="Week 15"/>
    <s v="Week 15-2025"/>
  </r>
  <r>
    <d v="2025-04-12T00:00:00"/>
    <x v="15"/>
    <n v="2"/>
    <n v="2025"/>
    <x v="14"/>
    <s v="Week 15"/>
    <s v="Week 15-2025"/>
  </r>
  <r>
    <d v="2025-04-12T00:00:00"/>
    <x v="26"/>
    <n v="1"/>
    <n v="2025"/>
    <x v="14"/>
    <s v="Week 15"/>
    <s v="Week 15-2025"/>
  </r>
  <r>
    <d v="2025-04-14T00:00:00"/>
    <x v="11"/>
    <n v="50"/>
    <n v="2025"/>
    <x v="15"/>
    <s v="Week 16"/>
    <s v="Week 16-2025"/>
  </r>
  <r>
    <d v="2025-04-14T00:00:00"/>
    <x v="14"/>
    <n v="22"/>
    <n v="2025"/>
    <x v="15"/>
    <s v="Week 16"/>
    <s v="Week 16-2025"/>
  </r>
  <r>
    <d v="2025-04-14T00:00:00"/>
    <x v="15"/>
    <n v="30"/>
    <n v="2025"/>
    <x v="15"/>
    <s v="Week 16"/>
    <s v="Week 16-2025"/>
  </r>
  <r>
    <d v="2025-04-14T00:00:00"/>
    <x v="18"/>
    <n v="27"/>
    <n v="2025"/>
    <x v="15"/>
    <s v="Week 16"/>
    <s v="Week 16-2025"/>
  </r>
  <r>
    <d v="2025-04-14T00:00:00"/>
    <x v="13"/>
    <n v="5"/>
    <n v="2025"/>
    <x v="15"/>
    <s v="Week 16"/>
    <s v="Week 16-2025"/>
  </r>
  <r>
    <d v="2025-04-14T00:00:00"/>
    <x v="13"/>
    <n v="4"/>
    <n v="2025"/>
    <x v="15"/>
    <s v="Week 16"/>
    <s v="Week 16-2025"/>
  </r>
  <r>
    <d v="2025-04-14T00:00:00"/>
    <x v="16"/>
    <n v="2"/>
    <n v="2025"/>
    <x v="15"/>
    <s v="Week 16"/>
    <s v="Week 16-2025"/>
  </r>
  <r>
    <d v="2025-04-14T00:00:00"/>
    <x v="18"/>
    <n v="3"/>
    <n v="2025"/>
    <x v="15"/>
    <s v="Week 16"/>
    <s v="Week 16-2025"/>
  </r>
  <r>
    <d v="2025-04-15T00:00:00"/>
    <x v="12"/>
    <n v="13"/>
    <n v="2025"/>
    <x v="15"/>
    <s v="Week 16"/>
    <s v="Week 16-2025"/>
  </r>
  <r>
    <d v="2025-04-15T00:00:00"/>
    <x v="3"/>
    <n v="9"/>
    <n v="2025"/>
    <x v="15"/>
    <s v="Week 16"/>
    <s v="Week 16-2025"/>
  </r>
  <r>
    <d v="2025-04-15T00:00:00"/>
    <x v="11"/>
    <n v="10"/>
    <n v="2025"/>
    <x v="15"/>
    <s v="Week 16"/>
    <s v="Week 16-2025"/>
  </r>
  <r>
    <d v="2025-04-15T00:00:00"/>
    <x v="10"/>
    <n v="8"/>
    <n v="2025"/>
    <x v="15"/>
    <s v="Week 16"/>
    <s v="Week 16-2025"/>
  </r>
  <r>
    <d v="2025-04-15T00:00:00"/>
    <x v="14"/>
    <n v="6"/>
    <n v="2025"/>
    <x v="15"/>
    <s v="Week 16"/>
    <s v="Week 16-2025"/>
  </r>
  <r>
    <d v="2025-04-15T00:00:00"/>
    <x v="15"/>
    <n v="12"/>
    <n v="2025"/>
    <x v="15"/>
    <s v="Week 16"/>
    <s v="Week 16-2025"/>
  </r>
  <r>
    <d v="2025-04-15T00:00:00"/>
    <x v="12"/>
    <n v="8"/>
    <n v="2025"/>
    <x v="15"/>
    <s v="Week 16"/>
    <s v="Week 16-2025"/>
  </r>
  <r>
    <d v="2025-04-15T00:00:00"/>
    <x v="3"/>
    <n v="4"/>
    <n v="2025"/>
    <x v="15"/>
    <s v="Week 16"/>
    <s v="Week 16-2025"/>
  </r>
  <r>
    <d v="2025-04-15T00:00:00"/>
    <x v="3"/>
    <n v="4"/>
    <n v="2025"/>
    <x v="15"/>
    <s v="Week 16"/>
    <s v="Week 16-2025"/>
  </r>
  <r>
    <d v="2025-04-15T00:00:00"/>
    <x v="11"/>
    <n v="4"/>
    <n v="2025"/>
    <x v="15"/>
    <s v="Week 16"/>
    <s v="Week 16-2025"/>
  </r>
  <r>
    <d v="2025-04-15T00:00:00"/>
    <x v="12"/>
    <n v="4"/>
    <n v="2025"/>
    <x v="15"/>
    <s v="Week 16"/>
    <s v="Week 16-2025"/>
  </r>
  <r>
    <d v="2025-04-15T00:00:00"/>
    <x v="34"/>
    <n v="4"/>
    <n v="2025"/>
    <x v="15"/>
    <s v="Week 16"/>
    <s v="Week 16-2025"/>
  </r>
  <r>
    <d v="2025-04-15T00:00:00"/>
    <x v="17"/>
    <n v="2"/>
    <n v="2025"/>
    <x v="15"/>
    <s v="Week 16"/>
    <s v="Week 16-2025"/>
  </r>
  <r>
    <d v="2025-04-15T00:00:00"/>
    <x v="14"/>
    <n v="2"/>
    <n v="2025"/>
    <x v="15"/>
    <s v="Week 16"/>
    <s v="Week 16-2025"/>
  </r>
  <r>
    <d v="2025-04-15T00:00:00"/>
    <x v="15"/>
    <n v="4"/>
    <n v="2025"/>
    <x v="15"/>
    <s v="Week 16"/>
    <s v="Week 16-2025"/>
  </r>
  <r>
    <d v="2025-04-15T00:00:00"/>
    <x v="19"/>
    <n v="4"/>
    <n v="2025"/>
    <x v="15"/>
    <s v="Week 16"/>
    <s v="Week 16-2025"/>
  </r>
  <r>
    <d v="2025-04-15T00:00:00"/>
    <x v="11"/>
    <n v="1"/>
    <n v="2025"/>
    <x v="15"/>
    <s v="Week 16"/>
    <s v="Week 16-2025"/>
  </r>
  <r>
    <d v="2025-04-15T00:00:00"/>
    <x v="11"/>
    <n v="1"/>
    <n v="2025"/>
    <x v="15"/>
    <s v="Week 16"/>
    <s v="Week 16-2025"/>
  </r>
  <r>
    <d v="2025-04-22T00:00:00"/>
    <x v="13"/>
    <n v="40"/>
    <n v="2025"/>
    <x v="16"/>
    <s v="Week 17"/>
    <s v="Week 17-2025"/>
  </r>
  <r>
    <d v="2025-04-22T00:00:00"/>
    <x v="10"/>
    <n v="19"/>
    <n v="2025"/>
    <x v="16"/>
    <s v="Week 17"/>
    <s v="Week 17-2025"/>
  </r>
  <r>
    <d v="2025-04-22T00:00:00"/>
    <x v="14"/>
    <n v="16"/>
    <n v="2025"/>
    <x v="16"/>
    <s v="Week 17"/>
    <s v="Week 17-2025"/>
  </r>
  <r>
    <d v="2025-04-22T00:00:00"/>
    <x v="3"/>
    <n v="18"/>
    <n v="2025"/>
    <x v="16"/>
    <s v="Week 17"/>
    <s v="Week 17-2025"/>
  </r>
  <r>
    <d v="2025-04-22T00:00:00"/>
    <x v="10"/>
    <n v="13"/>
    <n v="2025"/>
    <x v="16"/>
    <s v="Week 17"/>
    <s v="Week 17-2025"/>
  </r>
  <r>
    <d v="2025-04-22T00:00:00"/>
    <x v="12"/>
    <n v="18"/>
    <n v="2025"/>
    <x v="16"/>
    <s v="Week 17"/>
    <s v="Week 17-2025"/>
  </r>
  <r>
    <d v="2025-04-22T00:00:00"/>
    <x v="5"/>
    <n v="6"/>
    <n v="2025"/>
    <x v="16"/>
    <s v="Week 17"/>
    <s v="Week 17-2025"/>
  </r>
  <r>
    <d v="2025-04-22T00:00:00"/>
    <x v="3"/>
    <n v="4"/>
    <n v="2025"/>
    <x v="16"/>
    <s v="Week 17"/>
    <s v="Week 17-2025"/>
  </r>
  <r>
    <d v="2025-04-22T00:00:00"/>
    <x v="5"/>
    <n v="2"/>
    <n v="2025"/>
    <x v="16"/>
    <s v="Week 17"/>
    <s v="Week 17-2025"/>
  </r>
  <r>
    <d v="2025-04-23T00:00:00"/>
    <x v="6"/>
    <n v="2"/>
    <n v="2025"/>
    <x v="16"/>
    <s v="Week 17"/>
    <s v="Week 17-2025"/>
  </r>
  <r>
    <d v="2025-04-23T00:00:00"/>
    <x v="38"/>
    <n v="2"/>
    <n v="2025"/>
    <x v="16"/>
    <s v="Week 17"/>
    <s v="Week 17-2025"/>
  </r>
  <r>
    <d v="2025-04-23T00:00:00"/>
    <x v="39"/>
    <n v="2"/>
    <n v="2025"/>
    <x v="16"/>
    <s v="Week 17"/>
    <s v="Week 17-2025"/>
  </r>
  <r>
    <d v="2025-04-24T00:00:00"/>
    <x v="11"/>
    <n v="8"/>
    <n v="2025"/>
    <x v="16"/>
    <s v="Week 17"/>
    <s v="Week 17-2025"/>
  </r>
  <r>
    <d v="2025-04-24T00:00:00"/>
    <x v="20"/>
    <n v="4"/>
    <n v="2025"/>
    <x v="16"/>
    <s v="Week 17"/>
    <s v="Week 17-2025"/>
  </r>
  <r>
    <d v="2025-04-24T00:00:00"/>
    <x v="40"/>
    <n v="4"/>
    <n v="2025"/>
    <x v="16"/>
    <s v="Week 17"/>
    <s v="Week 17-2025"/>
  </r>
  <r>
    <d v="2025-04-26T00:00:00"/>
    <x v="13"/>
    <n v="16"/>
    <n v="2025"/>
    <x v="16"/>
    <s v="Week 17"/>
    <s v="Week 17-2025"/>
  </r>
  <r>
    <d v="2025-04-26T00:00:00"/>
    <x v="14"/>
    <n v="15"/>
    <n v="2025"/>
    <x v="16"/>
    <s v="Week 17"/>
    <s v="Week 17-2025"/>
  </r>
  <r>
    <d v="2025-04-26T00:00:00"/>
    <x v="14"/>
    <n v="11"/>
    <n v="2025"/>
    <x v="16"/>
    <s v="Week 17"/>
    <s v="Week 17-2025"/>
  </r>
  <r>
    <d v="2025-04-26T00:00:00"/>
    <x v="17"/>
    <n v="10"/>
    <n v="2025"/>
    <x v="16"/>
    <s v="Week 17"/>
    <s v="Week 17-2025"/>
  </r>
  <r>
    <d v="2025-04-26T00:00:00"/>
    <x v="3"/>
    <n v="12"/>
    <n v="2025"/>
    <x v="16"/>
    <s v="Week 17"/>
    <s v="Week 17-2025"/>
  </r>
  <r>
    <d v="2025-04-26T00:00:00"/>
    <x v="11"/>
    <n v="12"/>
    <n v="2025"/>
    <x v="16"/>
    <s v="Week 17"/>
    <s v="Week 17-2025"/>
  </r>
  <r>
    <d v="2025-04-26T00:00:00"/>
    <x v="11"/>
    <n v="8"/>
    <n v="2025"/>
    <x v="16"/>
    <s v="Week 17"/>
    <s v="Week 17-2025"/>
  </r>
  <r>
    <d v="2025-04-26T00:00:00"/>
    <x v="6"/>
    <n v="5"/>
    <n v="2025"/>
    <x v="16"/>
    <s v="Week 17"/>
    <s v="Week 17-2025"/>
  </r>
  <r>
    <d v="2025-04-26T00:00:00"/>
    <x v="10"/>
    <n v="6"/>
    <n v="2025"/>
    <x v="16"/>
    <s v="Week 17"/>
    <s v="Week 17-2025"/>
  </r>
  <r>
    <d v="2025-04-26T00:00:00"/>
    <x v="5"/>
    <n v="4"/>
    <n v="2025"/>
    <x v="16"/>
    <s v="Week 17"/>
    <s v="Week 17-2025"/>
  </r>
  <r>
    <d v="2025-04-26T00:00:00"/>
    <x v="7"/>
    <n v="4"/>
    <n v="2025"/>
    <x v="16"/>
    <s v="Week 17"/>
    <s v="Week 17-2025"/>
  </r>
  <r>
    <d v="2025-04-26T00:00:00"/>
    <x v="3"/>
    <n v="5"/>
    <n v="2025"/>
    <x v="16"/>
    <s v="Week 17"/>
    <s v="Week 17-2025"/>
  </r>
  <r>
    <d v="2025-04-26T00:00:00"/>
    <x v="14"/>
    <n v="4"/>
    <n v="2025"/>
    <x v="16"/>
    <s v="Week 17"/>
    <s v="Week 17-2025"/>
  </r>
  <r>
    <d v="2025-04-26T00:00:00"/>
    <x v="3"/>
    <n v="4"/>
    <n v="2025"/>
    <x v="16"/>
    <s v="Week 17"/>
    <s v="Week 17-2025"/>
  </r>
  <r>
    <d v="2025-04-26T00:00:00"/>
    <x v="15"/>
    <n v="6"/>
    <n v="2025"/>
    <x v="16"/>
    <s v="Week 17"/>
    <s v="Week 17-2025"/>
  </r>
  <r>
    <d v="2025-04-26T00:00:00"/>
    <x v="6"/>
    <n v="2"/>
    <n v="2025"/>
    <x v="16"/>
    <s v="Week 17"/>
    <s v="Week 17-2025"/>
  </r>
  <r>
    <d v="2025-04-26T00:00:00"/>
    <x v="3"/>
    <n v="3"/>
    <n v="2025"/>
    <x v="16"/>
    <s v="Week 17"/>
    <s v="Week 17-2025"/>
  </r>
  <r>
    <d v="2025-04-26T00:00:00"/>
    <x v="12"/>
    <n v="4"/>
    <n v="2025"/>
    <x v="16"/>
    <s v="Week 17"/>
    <s v="Week 17-2025"/>
  </r>
  <r>
    <d v="2025-04-26T00:00:00"/>
    <x v="3"/>
    <n v="2"/>
    <n v="2025"/>
    <x v="16"/>
    <s v="Week 17"/>
    <s v="Week 17-2025"/>
  </r>
  <r>
    <d v="2025-04-26T00:00:00"/>
    <x v="12"/>
    <n v="2"/>
    <n v="2025"/>
    <x v="16"/>
    <s v="Week 17"/>
    <s v="Week 17-2025"/>
  </r>
  <r>
    <d v="2025-04-26T00:00:00"/>
    <x v="6"/>
    <n v="1"/>
    <n v="2025"/>
    <x v="16"/>
    <s v="Week 17"/>
    <s v="Week 17-2025"/>
  </r>
  <r>
    <d v="2025-04-26T00:00:00"/>
    <x v="26"/>
    <n v="2"/>
    <n v="2025"/>
    <x v="16"/>
    <s v="Week 17"/>
    <s v="Week 17-2025"/>
  </r>
  <r>
    <d v="2025-04-26T00:00:00"/>
    <x v="12"/>
    <n v="1"/>
    <n v="2025"/>
    <x v="16"/>
    <s v="Week 17"/>
    <s v="Week 17-2025"/>
  </r>
  <r>
    <d v="2025-04-27T00:00:00"/>
    <x v="17"/>
    <n v="4"/>
    <n v="2025"/>
    <x v="16"/>
    <s v="Week 18"/>
    <s v="Week 18-2025"/>
  </r>
  <r>
    <d v="2025-04-27T00:00:00"/>
    <x v="18"/>
    <n v="4"/>
    <n v="2025"/>
    <x v="16"/>
    <s v="Week 18"/>
    <s v="Week 18-2025"/>
  </r>
  <r>
    <d v="2025-04-29T00:00:00"/>
    <x v="10"/>
    <n v="6"/>
    <n v="2025"/>
    <x v="17"/>
    <s v="Week 18"/>
    <s v="Week 18-2025"/>
  </r>
  <r>
    <d v="2025-04-29T00:00:00"/>
    <x v="25"/>
    <n v="8"/>
    <n v="2025"/>
    <x v="17"/>
    <s v="Week 18"/>
    <s v="Week 18-2025"/>
  </r>
  <r>
    <d v="2025-04-29T00:00:00"/>
    <x v="2"/>
    <n v="6"/>
    <n v="2025"/>
    <x v="17"/>
    <s v="Week 18"/>
    <s v="Week 18-2025"/>
  </r>
  <r>
    <d v="2025-04-29T00:00:00"/>
    <x v="15"/>
    <n v="6"/>
    <n v="2025"/>
    <x v="17"/>
    <s v="Week 18"/>
    <s v="Week 18-2025"/>
  </r>
  <r>
    <d v="2025-04-29T00:00:00"/>
    <x v="21"/>
    <n v="8"/>
    <n v="2025"/>
    <x v="17"/>
    <s v="Week 18"/>
    <s v="Week 18-2025"/>
  </r>
  <r>
    <d v="2025-04-29T00:00:00"/>
    <x v="18"/>
    <n v="6"/>
    <n v="2025"/>
    <x v="17"/>
    <s v="Week 18"/>
    <s v="Week 18-2025"/>
  </r>
  <r>
    <d v="2025-04-29T00:00:00"/>
    <x v="27"/>
    <n v="4"/>
    <n v="2025"/>
    <x v="17"/>
    <s v="Week 18"/>
    <s v="Week 18-2025"/>
  </r>
  <r>
    <d v="2025-04-29T00:00:00"/>
    <x v="15"/>
    <n v="2"/>
    <n v="2025"/>
    <x v="17"/>
    <s v="Week 18"/>
    <s v="Week 18-2025"/>
  </r>
  <r>
    <d v="2025-05-02T00:00:00"/>
    <x v="10"/>
    <n v="15"/>
    <n v="2025"/>
    <x v="17"/>
    <s v="Week 18"/>
    <s v="Week 18-2025"/>
  </r>
  <r>
    <d v="2025-05-02T00:00:00"/>
    <x v="11"/>
    <n v="14"/>
    <n v="2025"/>
    <x v="17"/>
    <s v="Week 18"/>
    <s v="Week 18-2025"/>
  </r>
  <r>
    <d v="2025-05-02T00:00:00"/>
    <x v="41"/>
    <n v="8"/>
    <n v="2025"/>
    <x v="17"/>
    <s v="Week 18"/>
    <s v="Week 18-2025"/>
  </r>
  <r>
    <d v="2025-05-02T00:00:00"/>
    <x v="31"/>
    <n v="4"/>
    <n v="2025"/>
    <x v="17"/>
    <s v="Week 18"/>
    <s v="Week 18-2025"/>
  </r>
  <r>
    <d v="2025-05-02T00:00:00"/>
    <x v="12"/>
    <n v="2"/>
    <n v="2025"/>
    <x v="17"/>
    <s v="Week 18"/>
    <s v="Week 18-2025"/>
  </r>
  <r>
    <d v="2025-05-02T00:00:00"/>
    <x v="2"/>
    <n v="2"/>
    <n v="2025"/>
    <x v="17"/>
    <s v="Week 18"/>
    <s v="Week 18-2025"/>
  </r>
  <r>
    <d v="2025-05-02T00:00:00"/>
    <x v="10"/>
    <n v="1"/>
    <n v="2025"/>
    <x v="17"/>
    <s v="Week 18"/>
    <s v="Week 18-2025"/>
  </r>
  <r>
    <d v="2025-05-03T00:00:00"/>
    <x v="28"/>
    <n v="2"/>
    <n v="2025"/>
    <x v="17"/>
    <s v="Week 18"/>
    <s v="Week 18-2025"/>
  </r>
  <r>
    <d v="2025-05-04T00:00:00"/>
    <x v="19"/>
    <n v="16"/>
    <n v="2025"/>
    <x v="17"/>
    <s v="Week 19"/>
    <s v="Week 19-2025"/>
  </r>
  <r>
    <d v="2025-05-04T00:00:00"/>
    <x v="3"/>
    <n v="8"/>
    <n v="2025"/>
    <x v="17"/>
    <s v="Week 19"/>
    <s v="Week 19-2025"/>
  </r>
  <r>
    <d v="2025-05-04T00:00:00"/>
    <x v="12"/>
    <n v="7"/>
    <n v="2025"/>
    <x v="17"/>
    <s v="Week 19"/>
    <s v="Week 19-2025"/>
  </r>
  <r>
    <d v="2025-05-04T00:00:00"/>
    <x v="27"/>
    <n v="6"/>
    <n v="2025"/>
    <x v="17"/>
    <s v="Week 19"/>
    <s v="Week 19-2025"/>
  </r>
  <r>
    <d v="2025-05-04T00:00:00"/>
    <x v="15"/>
    <n v="2"/>
    <n v="2025"/>
    <x v="17"/>
    <s v="Week 19"/>
    <s v="Week 19-2025"/>
  </r>
  <r>
    <d v="2025-05-04T00:00:00"/>
    <x v="28"/>
    <n v="2"/>
    <n v="2025"/>
    <x v="17"/>
    <s v="Week 19"/>
    <s v="Week 19-2025"/>
  </r>
  <r>
    <d v="2025-05-05T00:00:00"/>
    <x v="12"/>
    <n v="50"/>
    <n v="2025"/>
    <x v="18"/>
    <s v="Week 19"/>
    <s v="Week 19-2025"/>
  </r>
  <r>
    <d v="2025-05-05T00:00:00"/>
    <x v="10"/>
    <n v="12"/>
    <n v="2025"/>
    <x v="18"/>
    <s v="Week 19"/>
    <s v="Week 19-2025"/>
  </r>
  <r>
    <d v="2025-05-05T00:00:00"/>
    <x v="10"/>
    <n v="12"/>
    <n v="2025"/>
    <x v="18"/>
    <s v="Week 19"/>
    <s v="Week 19-2025"/>
  </r>
  <r>
    <d v="2025-05-05T00:00:00"/>
    <x v="27"/>
    <n v="26"/>
    <n v="2025"/>
    <x v="18"/>
    <s v="Week 19"/>
    <s v="Week 19-2025"/>
  </r>
  <r>
    <d v="2025-05-05T00:00:00"/>
    <x v="10"/>
    <n v="6"/>
    <n v="2025"/>
    <x v="18"/>
    <s v="Week 19"/>
    <s v="Week 19-2025"/>
  </r>
  <r>
    <d v="2025-05-05T00:00:00"/>
    <x v="10"/>
    <n v="6"/>
    <n v="2025"/>
    <x v="18"/>
    <s v="Week 19"/>
    <s v="Week 19-2025"/>
  </r>
  <r>
    <d v="2025-05-05T00:00:00"/>
    <x v="27"/>
    <n v="4"/>
    <n v="2025"/>
    <x v="18"/>
    <s v="Week 19"/>
    <s v="Week 19-2025"/>
  </r>
  <r>
    <d v="2025-05-06T00:00:00"/>
    <x v="17"/>
    <n v="14"/>
    <n v="2025"/>
    <x v="18"/>
    <s v="Week 19"/>
    <s v="Week 19-2025"/>
  </r>
  <r>
    <d v="2025-05-06T00:00:00"/>
    <x v="13"/>
    <n v="11"/>
    <n v="2025"/>
    <x v="18"/>
    <s v="Week 19"/>
    <s v="Week 19-2025"/>
  </r>
  <r>
    <d v="2025-05-06T00:00:00"/>
    <x v="3"/>
    <n v="8"/>
    <n v="2025"/>
    <x v="18"/>
    <s v="Week 19"/>
    <s v="Week 19-2025"/>
  </r>
  <r>
    <d v="2025-05-06T00:00:00"/>
    <x v="5"/>
    <n v="5"/>
    <n v="2025"/>
    <x v="18"/>
    <s v="Week 19"/>
    <s v="Week 19-2025"/>
  </r>
  <r>
    <d v="2025-05-06T00:00:00"/>
    <x v="1"/>
    <n v="8"/>
    <n v="2025"/>
    <x v="18"/>
    <s v="Week 19"/>
    <s v="Week 19-2025"/>
  </r>
  <r>
    <d v="2025-05-06T00:00:00"/>
    <x v="36"/>
    <n v="2"/>
    <n v="2025"/>
    <x v="18"/>
    <s v="Week 19"/>
    <s v="Week 19-2025"/>
  </r>
  <r>
    <d v="2025-05-06T00:00:00"/>
    <x v="2"/>
    <n v="5"/>
    <n v="2025"/>
    <x v="18"/>
    <s v="Week 19"/>
    <s v="Week 19-2025"/>
  </r>
  <r>
    <d v="2025-05-06T00:00:00"/>
    <x v="12"/>
    <n v="4"/>
    <n v="2025"/>
    <x v="18"/>
    <s v="Week 19"/>
    <s v="Week 19-2025"/>
  </r>
  <r>
    <d v="2025-05-06T00:00:00"/>
    <x v="20"/>
    <n v="3"/>
    <n v="2025"/>
    <x v="18"/>
    <s v="Week 19"/>
    <s v="Week 19-2025"/>
  </r>
  <r>
    <d v="2025-05-06T00:00:00"/>
    <x v="15"/>
    <n v="4"/>
    <n v="2025"/>
    <x v="18"/>
    <s v="Week 19"/>
    <s v="Week 19-2025"/>
  </r>
  <r>
    <d v="2025-05-06T00:00:00"/>
    <x v="6"/>
    <n v="1"/>
    <n v="2025"/>
    <x v="18"/>
    <s v="Week 19"/>
    <s v="Week 19-2025"/>
  </r>
  <r>
    <d v="2025-05-07T00:00:00"/>
    <x v="40"/>
    <n v="4"/>
    <n v="2025"/>
    <x v="18"/>
    <s v="Week 19"/>
    <s v="Week 19-2025"/>
  </r>
  <r>
    <d v="2025-05-07T00:00:00"/>
    <x v="17"/>
    <n v="2"/>
    <n v="2025"/>
    <x v="18"/>
    <s v="Week 19"/>
    <s v="Week 19-2025"/>
  </r>
  <r>
    <d v="2025-05-08T00:00:00"/>
    <x v="12"/>
    <n v="18"/>
    <n v="2025"/>
    <x v="18"/>
    <s v="Week 19"/>
    <s v="Week 19-2025"/>
  </r>
  <r>
    <d v="2025-05-08T00:00:00"/>
    <x v="3"/>
    <n v="8"/>
    <n v="2025"/>
    <x v="18"/>
    <s v="Week 19"/>
    <s v="Week 19-2025"/>
  </r>
  <r>
    <d v="2025-05-08T00:00:00"/>
    <x v="12"/>
    <n v="11"/>
    <n v="2025"/>
    <x v="18"/>
    <s v="Week 19"/>
    <s v="Week 19-2025"/>
  </r>
  <r>
    <d v="2025-05-08T00:00:00"/>
    <x v="13"/>
    <n v="6"/>
    <n v="2025"/>
    <x v="18"/>
    <s v="Week 19"/>
    <s v="Week 19-2025"/>
  </r>
  <r>
    <d v="2025-05-08T00:00:00"/>
    <x v="3"/>
    <n v="6"/>
    <n v="2025"/>
    <x v="18"/>
    <s v="Week 19"/>
    <s v="Week 19-2025"/>
  </r>
  <r>
    <d v="2025-05-08T00:00:00"/>
    <x v="2"/>
    <n v="8"/>
    <n v="2025"/>
    <x v="18"/>
    <s v="Week 19"/>
    <s v="Week 19-2025"/>
  </r>
  <r>
    <d v="2025-05-08T00:00:00"/>
    <x v="11"/>
    <n v="4"/>
    <n v="2025"/>
    <x v="18"/>
    <s v="Week 19"/>
    <s v="Week 19-2025"/>
  </r>
  <r>
    <d v="2025-05-08T00:00:00"/>
    <x v="14"/>
    <n v="2"/>
    <n v="2025"/>
    <x v="18"/>
    <s v="Week 19"/>
    <s v="Week 19-2025"/>
  </r>
  <r>
    <d v="2025-05-08T00:00:00"/>
    <x v="15"/>
    <n v="4"/>
    <n v="2025"/>
    <x v="18"/>
    <s v="Week 19"/>
    <s v="Week 19-2025"/>
  </r>
  <r>
    <d v="2025-05-08T00:00:00"/>
    <x v="2"/>
    <n v="2"/>
    <n v="2025"/>
    <x v="18"/>
    <s v="Week 19"/>
    <s v="Week 19-2025"/>
  </r>
  <r>
    <d v="2025-05-10T00:00:00"/>
    <x v="14"/>
    <n v="12"/>
    <n v="2025"/>
    <x v="18"/>
    <s v="Week 19"/>
    <s v="Week 19-2025"/>
  </r>
  <r>
    <d v="2025-05-10T00:00:00"/>
    <x v="12"/>
    <n v="8"/>
    <n v="2025"/>
    <x v="18"/>
    <s v="Week 19"/>
    <s v="Week 19-2025"/>
  </r>
  <r>
    <d v="2025-05-10T00:00:00"/>
    <x v="3"/>
    <n v="6"/>
    <n v="2025"/>
    <x v="18"/>
    <s v="Week 19"/>
    <s v="Week 19-2025"/>
  </r>
  <r>
    <d v="2025-05-10T00:00:00"/>
    <x v="11"/>
    <n v="6"/>
    <n v="2025"/>
    <x v="18"/>
    <s v="Week 19"/>
    <s v="Week 19-2025"/>
  </r>
  <r>
    <d v="2025-05-10T00:00:00"/>
    <x v="13"/>
    <n v="4"/>
    <n v="2025"/>
    <x v="18"/>
    <s v="Week 19"/>
    <s v="Week 19-2025"/>
  </r>
  <r>
    <d v="2025-05-10T00:00:00"/>
    <x v="17"/>
    <n v="2"/>
    <n v="2025"/>
    <x v="18"/>
    <s v="Week 19"/>
    <s v="Week 19-2025"/>
  </r>
  <r>
    <d v="2025-05-11T00:00:00"/>
    <x v="13"/>
    <n v="12"/>
    <n v="2025"/>
    <x v="18"/>
    <s v="Week 20"/>
    <s v="Week 20-2025"/>
  </r>
  <r>
    <d v="2025-05-11T00:00:00"/>
    <x v="13"/>
    <n v="12"/>
    <n v="2025"/>
    <x v="18"/>
    <s v="Week 20"/>
    <s v="Week 20-2025"/>
  </r>
  <r>
    <d v="2025-05-11T00:00:00"/>
    <x v="12"/>
    <n v="18"/>
    <n v="2025"/>
    <x v="18"/>
    <s v="Week 20"/>
    <s v="Week 20-2025"/>
  </r>
  <r>
    <d v="2025-05-11T00:00:00"/>
    <x v="3"/>
    <n v="12"/>
    <n v="2025"/>
    <x v="18"/>
    <s v="Week 20"/>
    <s v="Week 20-2025"/>
  </r>
  <r>
    <d v="2025-05-11T00:00:00"/>
    <x v="6"/>
    <n v="8"/>
    <n v="2025"/>
    <x v="18"/>
    <s v="Week 20"/>
    <s v="Week 20-2025"/>
  </r>
  <r>
    <d v="2025-05-11T00:00:00"/>
    <x v="3"/>
    <n v="10"/>
    <n v="2025"/>
    <x v="18"/>
    <s v="Week 20"/>
    <s v="Week 20-2025"/>
  </r>
  <r>
    <d v="2025-05-11T00:00:00"/>
    <x v="14"/>
    <n v="8"/>
    <n v="2025"/>
    <x v="18"/>
    <s v="Week 20"/>
    <s v="Week 20-2025"/>
  </r>
  <r>
    <d v="2025-05-11T00:00:00"/>
    <x v="5"/>
    <n v="6"/>
    <n v="2025"/>
    <x v="18"/>
    <s v="Week 20"/>
    <s v="Week 20-2025"/>
  </r>
  <r>
    <d v="2025-05-11T00:00:00"/>
    <x v="2"/>
    <n v="11"/>
    <n v="2025"/>
    <x v="18"/>
    <s v="Week 20"/>
    <s v="Week 20-2025"/>
  </r>
  <r>
    <d v="2025-05-11T00:00:00"/>
    <x v="15"/>
    <n v="12"/>
    <n v="2025"/>
    <x v="18"/>
    <s v="Week 20"/>
    <s v="Week 20-2025"/>
  </r>
  <r>
    <d v="2025-05-11T00:00:00"/>
    <x v="14"/>
    <n v="5"/>
    <n v="2025"/>
    <x v="18"/>
    <s v="Week 20"/>
    <s v="Week 20-2025"/>
  </r>
  <r>
    <d v="2025-05-11T00:00:00"/>
    <x v="6"/>
    <n v="4"/>
    <n v="2025"/>
    <x v="18"/>
    <s v="Week 20"/>
    <s v="Week 20-2025"/>
  </r>
  <r>
    <d v="2025-05-11T00:00:00"/>
    <x v="13"/>
    <n v="4"/>
    <n v="2025"/>
    <x v="18"/>
    <s v="Week 20"/>
    <s v="Week 20-2025"/>
  </r>
  <r>
    <d v="2025-05-11T00:00:00"/>
    <x v="14"/>
    <n v="4"/>
    <n v="2025"/>
    <x v="18"/>
    <s v="Week 20"/>
    <s v="Week 20-2025"/>
  </r>
  <r>
    <d v="2025-05-11T00:00:00"/>
    <x v="14"/>
    <n v="4"/>
    <n v="2025"/>
    <x v="18"/>
    <s v="Week 20"/>
    <s v="Week 20-2025"/>
  </r>
  <r>
    <d v="2025-05-11T00:00:00"/>
    <x v="14"/>
    <n v="4"/>
    <n v="2025"/>
    <x v="18"/>
    <s v="Week 20"/>
    <s v="Week 20-2025"/>
  </r>
  <r>
    <d v="2025-05-11T00:00:00"/>
    <x v="11"/>
    <n v="5"/>
    <n v="2025"/>
    <x v="18"/>
    <s v="Week 20"/>
    <s v="Week 20-2025"/>
  </r>
  <r>
    <d v="2025-05-11T00:00:00"/>
    <x v="3"/>
    <n v="4"/>
    <n v="2025"/>
    <x v="18"/>
    <s v="Week 20"/>
    <s v="Week 20-2025"/>
  </r>
  <r>
    <d v="2025-05-11T00:00:00"/>
    <x v="3"/>
    <n v="4"/>
    <n v="2025"/>
    <x v="18"/>
    <s v="Week 20"/>
    <s v="Week 20-2025"/>
  </r>
  <r>
    <d v="2025-05-11T00:00:00"/>
    <x v="5"/>
    <n v="2"/>
    <n v="2025"/>
    <x v="18"/>
    <s v="Week 20"/>
    <s v="Week 20-2025"/>
  </r>
  <r>
    <d v="2025-05-11T00:00:00"/>
    <x v="5"/>
    <n v="2"/>
    <n v="2025"/>
    <x v="18"/>
    <s v="Week 20"/>
    <s v="Week 20-2025"/>
  </r>
  <r>
    <d v="2025-05-11T00:00:00"/>
    <x v="6"/>
    <n v="2"/>
    <n v="2025"/>
    <x v="18"/>
    <s v="Week 20"/>
    <s v="Week 20-2025"/>
  </r>
  <r>
    <d v="2025-05-11T00:00:00"/>
    <x v="6"/>
    <n v="2"/>
    <n v="2025"/>
    <x v="18"/>
    <s v="Week 20"/>
    <s v="Week 20-2025"/>
  </r>
  <r>
    <d v="2025-05-11T00:00:00"/>
    <x v="12"/>
    <n v="3"/>
    <n v="2025"/>
    <x v="18"/>
    <s v="Week 20"/>
    <s v="Week 20-2025"/>
  </r>
  <r>
    <d v="2025-05-12T00:00:00"/>
    <x v="10"/>
    <n v="8"/>
    <n v="2025"/>
    <x v="19"/>
    <s v="Week 20"/>
    <s v="Week 20-2025"/>
  </r>
  <r>
    <d v="2025-05-12T00:00:00"/>
    <x v="13"/>
    <n v="4"/>
    <n v="2025"/>
    <x v="19"/>
    <s v="Week 20"/>
    <s v="Week 20-2025"/>
  </r>
  <r>
    <d v="2025-05-12T00:00:00"/>
    <x v="13"/>
    <n v="4"/>
    <n v="2025"/>
    <x v="19"/>
    <s v="Week 20"/>
    <s v="Week 20-2025"/>
  </r>
  <r>
    <d v="2025-05-12T00:00:00"/>
    <x v="11"/>
    <n v="5"/>
    <n v="2025"/>
    <x v="19"/>
    <s v="Week 20"/>
    <s v="Week 20-2025"/>
  </r>
  <r>
    <d v="2025-05-12T00:00:00"/>
    <x v="3"/>
    <n v="4"/>
    <n v="2025"/>
    <x v="19"/>
    <s v="Week 20"/>
    <s v="Week 20-2025"/>
  </r>
  <r>
    <d v="2025-05-12T00:00:00"/>
    <x v="12"/>
    <n v="3"/>
    <n v="2025"/>
    <x v="19"/>
    <s v="Week 20"/>
    <s v="Week 20-2025"/>
  </r>
  <r>
    <d v="2025-05-13T00:00:00"/>
    <x v="11"/>
    <n v="52"/>
    <n v="2025"/>
    <x v="19"/>
    <s v="Week 20"/>
    <s v="Week 20-2025"/>
  </r>
  <r>
    <d v="2025-05-13T00:00:00"/>
    <x v="10"/>
    <n v="20"/>
    <n v="2025"/>
    <x v="19"/>
    <s v="Week 20"/>
    <s v="Week 20-2025"/>
  </r>
  <r>
    <d v="2025-05-13T00:00:00"/>
    <x v="12"/>
    <n v="28"/>
    <n v="2025"/>
    <x v="19"/>
    <s v="Week 20"/>
    <s v="Week 20-2025"/>
  </r>
  <r>
    <d v="2025-05-13T00:00:00"/>
    <x v="12"/>
    <n v="27"/>
    <n v="2025"/>
    <x v="19"/>
    <s v="Week 20"/>
    <s v="Week 20-2025"/>
  </r>
  <r>
    <d v="2025-05-13T00:00:00"/>
    <x v="11"/>
    <n v="16"/>
    <n v="2025"/>
    <x v="19"/>
    <s v="Week 20"/>
    <s v="Week 20-2025"/>
  </r>
  <r>
    <d v="2025-05-13T00:00:00"/>
    <x v="12"/>
    <n v="16"/>
    <n v="2025"/>
    <x v="19"/>
    <s v="Week 20"/>
    <s v="Week 20-2025"/>
  </r>
  <r>
    <d v="2025-05-13T00:00:00"/>
    <x v="15"/>
    <n v="16"/>
    <n v="2025"/>
    <x v="19"/>
    <s v="Week 20"/>
    <s v="Week 20-2025"/>
  </r>
  <r>
    <d v="2025-05-13T00:00:00"/>
    <x v="3"/>
    <n v="8"/>
    <n v="2025"/>
    <x v="19"/>
    <s v="Week 20"/>
    <s v="Week 20-2025"/>
  </r>
  <r>
    <d v="2025-05-13T00:00:00"/>
    <x v="3"/>
    <n v="8"/>
    <n v="2025"/>
    <x v="19"/>
    <s v="Week 20"/>
    <s v="Week 20-2025"/>
  </r>
  <r>
    <d v="2025-05-13T00:00:00"/>
    <x v="25"/>
    <n v="12"/>
    <n v="2025"/>
    <x v="19"/>
    <s v="Week 20"/>
    <s v="Week 20-2025"/>
  </r>
  <r>
    <d v="2025-05-13T00:00:00"/>
    <x v="15"/>
    <n v="10"/>
    <n v="2025"/>
    <x v="19"/>
    <s v="Week 20"/>
    <s v="Week 20-2025"/>
  </r>
  <r>
    <d v="2025-05-13T00:00:00"/>
    <x v="19"/>
    <n v="9"/>
    <n v="2025"/>
    <x v="19"/>
    <s v="Week 20"/>
    <s v="Week 20-2025"/>
  </r>
  <r>
    <d v="2025-05-13T00:00:00"/>
    <x v="31"/>
    <n v="8"/>
    <n v="2025"/>
    <x v="19"/>
    <s v="Week 20"/>
    <s v="Week 20-2025"/>
  </r>
  <r>
    <d v="2025-05-13T00:00:00"/>
    <x v="14"/>
    <n v="4"/>
    <n v="2025"/>
    <x v="19"/>
    <s v="Week 20"/>
    <s v="Week 20-2025"/>
  </r>
  <r>
    <d v="2025-05-13T00:00:00"/>
    <x v="15"/>
    <n v="8"/>
    <n v="2025"/>
    <x v="19"/>
    <s v="Week 20"/>
    <s v="Week 20-2025"/>
  </r>
  <r>
    <d v="2025-05-13T00:00:00"/>
    <x v="19"/>
    <n v="8"/>
    <n v="2025"/>
    <x v="19"/>
    <s v="Week 20"/>
    <s v="Week 20-2025"/>
  </r>
  <r>
    <d v="2025-05-13T00:00:00"/>
    <x v="11"/>
    <n v="4"/>
    <n v="2025"/>
    <x v="19"/>
    <s v="Week 20"/>
    <s v="Week 20-2025"/>
  </r>
  <r>
    <d v="2025-05-13T00:00:00"/>
    <x v="12"/>
    <n v="4"/>
    <n v="2025"/>
    <x v="19"/>
    <s v="Week 20"/>
    <s v="Week 20-2025"/>
  </r>
  <r>
    <d v="2025-05-13T00:00:00"/>
    <x v="12"/>
    <n v="4"/>
    <n v="2025"/>
    <x v="19"/>
    <s v="Week 20"/>
    <s v="Week 20-2025"/>
  </r>
  <r>
    <d v="2025-05-13T00:00:00"/>
    <x v="2"/>
    <n v="4"/>
    <n v="2025"/>
    <x v="19"/>
    <s v="Week 20"/>
    <s v="Week 20-2025"/>
  </r>
  <r>
    <d v="2025-05-13T00:00:00"/>
    <x v="27"/>
    <n v="4"/>
    <n v="2025"/>
    <x v="19"/>
    <s v="Week 20"/>
    <s v="Week 20-2025"/>
  </r>
  <r>
    <d v="2025-05-13T00:00:00"/>
    <x v="12"/>
    <n v="1"/>
    <n v="2025"/>
    <x v="19"/>
    <s v="Week 20"/>
    <s v="Week 20-2025"/>
  </r>
  <r>
    <d v="2025-05-13T00:00:00"/>
    <x v="19"/>
    <n v="1"/>
    <n v="2025"/>
    <x v="19"/>
    <s v="Week 20"/>
    <s v="Week 20-2025"/>
  </r>
  <r>
    <d v="2025-05-14T00:00:00"/>
    <x v="13"/>
    <n v="8"/>
    <n v="2025"/>
    <x v="19"/>
    <s v="Week 20"/>
    <s v="Week 20-2025"/>
  </r>
  <r>
    <d v="2025-05-14T00:00:00"/>
    <x v="13"/>
    <n v="8"/>
    <n v="2025"/>
    <x v="19"/>
    <s v="Week 20"/>
    <s v="Week 20-2025"/>
  </r>
  <r>
    <d v="2025-05-14T00:00:00"/>
    <x v="3"/>
    <n v="8"/>
    <n v="2025"/>
    <x v="19"/>
    <s v="Week 20"/>
    <s v="Week 20-2025"/>
  </r>
  <r>
    <d v="2025-05-14T00:00:00"/>
    <x v="12"/>
    <n v="8"/>
    <n v="2025"/>
    <x v="19"/>
    <s v="Week 20"/>
    <s v="Week 20-2025"/>
  </r>
  <r>
    <d v="2025-05-14T00:00:00"/>
    <x v="12"/>
    <n v="8"/>
    <n v="2025"/>
    <x v="19"/>
    <s v="Week 20"/>
    <s v="Week 20-2025"/>
  </r>
  <r>
    <d v="2025-05-14T00:00:00"/>
    <x v="17"/>
    <n v="4"/>
    <n v="2025"/>
    <x v="19"/>
    <s v="Week 20"/>
    <s v="Week 20-2025"/>
  </r>
  <r>
    <d v="2025-05-14T00:00:00"/>
    <x v="14"/>
    <n v="4"/>
    <n v="2025"/>
    <x v="19"/>
    <s v="Week 20"/>
    <s v="Week 20-2025"/>
  </r>
  <r>
    <d v="2025-05-14T00:00:00"/>
    <x v="11"/>
    <n v="5"/>
    <n v="2025"/>
    <x v="19"/>
    <s v="Week 20"/>
    <s v="Week 20-2025"/>
  </r>
  <r>
    <d v="2025-05-14T00:00:00"/>
    <x v="2"/>
    <n v="6"/>
    <n v="2025"/>
    <x v="19"/>
    <s v="Week 20"/>
    <s v="Week 20-2025"/>
  </r>
  <r>
    <d v="2025-05-14T00:00:00"/>
    <x v="10"/>
    <n v="4"/>
    <n v="2025"/>
    <x v="19"/>
    <s v="Week 20"/>
    <s v="Week 20-2025"/>
  </r>
  <r>
    <d v="2025-05-14T00:00:00"/>
    <x v="11"/>
    <n v="4"/>
    <n v="2025"/>
    <x v="19"/>
    <s v="Week 20"/>
    <s v="Week 20-2025"/>
  </r>
  <r>
    <d v="2025-05-14T00:00:00"/>
    <x v="15"/>
    <n v="6"/>
    <n v="2025"/>
    <x v="19"/>
    <s v="Week 20"/>
    <s v="Week 20-2025"/>
  </r>
  <r>
    <d v="2025-05-14T00:00:00"/>
    <x v="15"/>
    <n v="4"/>
    <n v="2025"/>
    <x v="19"/>
    <s v="Week 20"/>
    <s v="Week 20-2025"/>
  </r>
  <r>
    <d v="2025-05-14T00:00:00"/>
    <x v="10"/>
    <n v="2"/>
    <n v="2025"/>
    <x v="19"/>
    <s v="Week 20"/>
    <s v="Week 20-2025"/>
  </r>
  <r>
    <d v="2025-05-14T00:00:00"/>
    <x v="19"/>
    <n v="4"/>
    <n v="2025"/>
    <x v="19"/>
    <s v="Week 20"/>
    <s v="Week 20-2025"/>
  </r>
  <r>
    <d v="2025-05-14T00:00:00"/>
    <x v="27"/>
    <n v="4"/>
    <n v="2025"/>
    <x v="19"/>
    <s v="Week 20"/>
    <s v="Week 20-2025"/>
  </r>
  <r>
    <d v="2025-05-14T00:00:00"/>
    <x v="15"/>
    <n v="2"/>
    <n v="2025"/>
    <x v="19"/>
    <s v="Week 20"/>
    <s v="Week 20-2025"/>
  </r>
  <r>
    <d v="2025-05-14T00:00:00"/>
    <x v="1"/>
    <n v="2"/>
    <n v="2025"/>
    <x v="19"/>
    <s v="Week 20"/>
    <s v="Week 20-2025"/>
  </r>
  <r>
    <d v="2025-05-15T00:00:00"/>
    <x v="11"/>
    <n v="16"/>
    <n v="2025"/>
    <x v="19"/>
    <s v="Week 20"/>
    <s v="Week 20-2025"/>
  </r>
  <r>
    <d v="2025-05-15T00:00:00"/>
    <x v="10"/>
    <n v="8"/>
    <n v="2025"/>
    <x v="19"/>
    <s v="Week 20"/>
    <s v="Week 20-2025"/>
  </r>
  <r>
    <d v="2025-05-15T00:00:00"/>
    <x v="12"/>
    <n v="11"/>
    <n v="2025"/>
    <x v="19"/>
    <s v="Week 20"/>
    <s v="Week 20-2025"/>
  </r>
  <r>
    <d v="2025-05-15T00:00:00"/>
    <x v="10"/>
    <n v="6"/>
    <n v="2025"/>
    <x v="19"/>
    <s v="Week 20"/>
    <s v="Week 20-2025"/>
  </r>
  <r>
    <d v="2025-05-15T00:00:00"/>
    <x v="9"/>
    <n v="8"/>
    <n v="2025"/>
    <x v="19"/>
    <s v="Week 20"/>
    <s v="Week 20-2025"/>
  </r>
  <r>
    <d v="2025-05-15T00:00:00"/>
    <x v="12"/>
    <n v="8"/>
    <n v="2025"/>
    <x v="19"/>
    <s v="Week 20"/>
    <s v="Week 20-2025"/>
  </r>
  <r>
    <d v="2025-05-15T00:00:00"/>
    <x v="3"/>
    <n v="6"/>
    <n v="2025"/>
    <x v="19"/>
    <s v="Week 20"/>
    <s v="Week 20-2025"/>
  </r>
  <r>
    <d v="2025-05-15T00:00:00"/>
    <x v="11"/>
    <n v="6"/>
    <n v="2025"/>
    <x v="19"/>
    <s v="Week 20"/>
    <s v="Week 20-2025"/>
  </r>
  <r>
    <d v="2025-05-15T00:00:00"/>
    <x v="3"/>
    <n v="4"/>
    <n v="2025"/>
    <x v="19"/>
    <s v="Week 20"/>
    <s v="Week 20-2025"/>
  </r>
  <r>
    <d v="2025-05-15T00:00:00"/>
    <x v="4"/>
    <n v="8"/>
    <n v="2025"/>
    <x v="19"/>
    <s v="Week 20"/>
    <s v="Week 20-2025"/>
  </r>
  <r>
    <d v="2025-05-15T00:00:00"/>
    <x v="12"/>
    <n v="3"/>
    <n v="2025"/>
    <x v="19"/>
    <s v="Week 20"/>
    <s v="Week 20-2025"/>
  </r>
  <r>
    <d v="2025-05-16T00:00:00"/>
    <x v="12"/>
    <n v="26"/>
    <n v="2025"/>
    <x v="19"/>
    <s v="Week 20"/>
    <s v="Week 20-2025"/>
  </r>
  <r>
    <d v="2025-05-16T00:00:00"/>
    <x v="11"/>
    <n v="19"/>
    <n v="2025"/>
    <x v="19"/>
    <s v="Week 20"/>
    <s v="Week 20-2025"/>
  </r>
  <r>
    <d v="2025-05-16T00:00:00"/>
    <x v="11"/>
    <n v="3"/>
    <n v="2025"/>
    <x v="19"/>
    <s v="Week 20"/>
    <s v="Week 20-2025"/>
  </r>
  <r>
    <d v="2025-05-18T00:00:00"/>
    <x v="10"/>
    <n v="8"/>
    <n v="2025"/>
    <x v="19"/>
    <s v="Week 21"/>
    <s v="Week 21-2025"/>
  </r>
  <r>
    <d v="2025-05-18T00:00:00"/>
    <x v="3"/>
    <n v="6"/>
    <n v="2025"/>
    <x v="19"/>
    <s v="Week 21"/>
    <s v="Week 21-2025"/>
  </r>
  <r>
    <d v="2025-05-18T00:00:00"/>
    <x v="13"/>
    <n v="4"/>
    <n v="2025"/>
    <x v="19"/>
    <s v="Week 21"/>
    <s v="Week 21-2025"/>
  </r>
  <r>
    <d v="2025-05-18T00:00:00"/>
    <x v="17"/>
    <n v="4"/>
    <n v="2025"/>
    <x v="19"/>
    <s v="Week 21"/>
    <s v="Week 21-2025"/>
  </r>
  <r>
    <d v="2025-05-18T00:00:00"/>
    <x v="12"/>
    <n v="6"/>
    <n v="2025"/>
    <x v="19"/>
    <s v="Week 21"/>
    <s v="Week 21-2025"/>
  </r>
  <r>
    <d v="2025-05-18T00:00:00"/>
    <x v="3"/>
    <n v="4"/>
    <n v="2025"/>
    <x v="19"/>
    <s v="Week 21"/>
    <s v="Week 21-2025"/>
  </r>
  <r>
    <d v="2025-05-18T00:00:00"/>
    <x v="26"/>
    <n v="4"/>
    <n v="2025"/>
    <x v="19"/>
    <s v="Week 21"/>
    <s v="Week 21-2025"/>
  </r>
  <r>
    <d v="2025-05-18T00:00:00"/>
    <x v="25"/>
    <n v="2"/>
    <n v="2025"/>
    <x v="19"/>
    <s v="Week 21"/>
    <s v="Week 21-2025"/>
  </r>
  <r>
    <d v="2025-05-19T00:00:00"/>
    <x v="10"/>
    <n v="6"/>
    <n v="2025"/>
    <x v="20"/>
    <s v="Week 21"/>
    <s v="Week 21-2025"/>
  </r>
  <r>
    <d v="2025-05-19T00:00:00"/>
    <x v="17"/>
    <n v="4"/>
    <n v="2025"/>
    <x v="20"/>
    <s v="Week 21"/>
    <s v="Week 21-2025"/>
  </r>
  <r>
    <d v="2025-05-19T00:00:00"/>
    <x v="13"/>
    <n v="4"/>
    <n v="2025"/>
    <x v="20"/>
    <s v="Week 21"/>
    <s v="Week 21-2025"/>
  </r>
  <r>
    <d v="2025-05-19T00:00:00"/>
    <x v="13"/>
    <n v="4"/>
    <n v="2025"/>
    <x v="20"/>
    <s v="Week 21"/>
    <s v="Week 21-2025"/>
  </r>
  <r>
    <d v="2025-05-19T00:00:00"/>
    <x v="25"/>
    <n v="6"/>
    <n v="2025"/>
    <x v="20"/>
    <s v="Week 21"/>
    <s v="Week 21-2025"/>
  </r>
  <r>
    <d v="2025-05-19T00:00:00"/>
    <x v="11"/>
    <n v="2"/>
    <n v="2025"/>
    <x v="20"/>
    <s v="Week 21"/>
    <s v="Week 21-2025"/>
  </r>
  <r>
    <d v="2025-05-20T00:00:00"/>
    <x v="5"/>
    <n v="5"/>
    <n v="2025"/>
    <x v="20"/>
    <s v="Week 21"/>
    <s v="Week 21-2025"/>
  </r>
  <r>
    <d v="2025-05-20T00:00:00"/>
    <x v="9"/>
    <n v="6"/>
    <n v="2025"/>
    <x v="20"/>
    <s v="Week 21"/>
    <s v="Week 21-2025"/>
  </r>
  <r>
    <d v="2025-05-20T00:00:00"/>
    <x v="5"/>
    <n v="2"/>
    <n v="2025"/>
    <x v="20"/>
    <s v="Week 21"/>
    <s v="Week 21-2025"/>
  </r>
  <r>
    <d v="2025-05-20T00:00:00"/>
    <x v="3"/>
    <n v="3"/>
    <n v="2025"/>
    <x v="20"/>
    <s v="Week 21"/>
    <s v="Week 21-2025"/>
  </r>
  <r>
    <d v="2025-05-20T00:00:00"/>
    <x v="10"/>
    <n v="2"/>
    <n v="2025"/>
    <x v="20"/>
    <s v="Week 21"/>
    <s v="Week 21-2025"/>
  </r>
  <r>
    <d v="2025-05-20T00:00:00"/>
    <x v="2"/>
    <n v="2"/>
    <n v="2025"/>
    <x v="20"/>
    <s v="Week 21"/>
    <s v="Week 21-2025"/>
  </r>
  <r>
    <d v="2025-05-20T00:00:00"/>
    <x v="17"/>
    <n v="1"/>
    <n v="2025"/>
    <x v="20"/>
    <s v="Week 21"/>
    <s v="Week 21-2025"/>
  </r>
  <r>
    <d v="2025-05-20T00:00:00"/>
    <x v="25"/>
    <n v="1"/>
    <n v="2025"/>
    <x v="20"/>
    <s v="Week 21"/>
    <s v="Week 21-2025"/>
  </r>
  <r>
    <d v="2025-05-20T00:00:00"/>
    <x v="25"/>
    <n v="1"/>
    <n v="2025"/>
    <x v="20"/>
    <s v="Week 21"/>
    <s v="Week 21-2025"/>
  </r>
  <r>
    <d v="2025-05-21T00:00:00"/>
    <x v="11"/>
    <n v="12"/>
    <n v="2025"/>
    <x v="20"/>
    <s v="Week 21"/>
    <s v="Week 21-2025"/>
  </r>
  <r>
    <d v="2025-05-21T00:00:00"/>
    <x v="27"/>
    <n v="2"/>
    <n v="2025"/>
    <x v="20"/>
    <s v="Week 21"/>
    <s v="Week 21-2025"/>
  </r>
  <r>
    <d v="2025-05-22T00:00:00"/>
    <x v="13"/>
    <n v="14"/>
    <n v="2025"/>
    <x v="20"/>
    <s v="Week 21"/>
    <s v="Week 21-2025"/>
  </r>
  <r>
    <d v="2025-05-22T00:00:00"/>
    <x v="17"/>
    <n v="12"/>
    <n v="2025"/>
    <x v="20"/>
    <s v="Week 21"/>
    <s v="Week 21-2025"/>
  </r>
  <r>
    <d v="2025-05-22T00:00:00"/>
    <x v="5"/>
    <n v="9"/>
    <n v="2025"/>
    <x v="20"/>
    <s v="Week 21"/>
    <s v="Week 21-2025"/>
  </r>
  <r>
    <d v="2025-05-22T00:00:00"/>
    <x v="13"/>
    <n v="10"/>
    <n v="2025"/>
    <x v="20"/>
    <s v="Week 21"/>
    <s v="Week 21-2025"/>
  </r>
  <r>
    <d v="2025-05-22T00:00:00"/>
    <x v="3"/>
    <n v="12"/>
    <n v="2025"/>
    <x v="20"/>
    <s v="Week 21"/>
    <s v="Week 21-2025"/>
  </r>
  <r>
    <d v="2025-05-22T00:00:00"/>
    <x v="6"/>
    <n v="8"/>
    <n v="2025"/>
    <x v="20"/>
    <s v="Week 21"/>
    <s v="Week 21-2025"/>
  </r>
  <r>
    <d v="2025-05-22T00:00:00"/>
    <x v="13"/>
    <n v="8"/>
    <n v="2025"/>
    <x v="20"/>
    <s v="Week 21"/>
    <s v="Week 21-2025"/>
  </r>
  <r>
    <d v="2025-05-22T00:00:00"/>
    <x v="14"/>
    <n v="8"/>
    <n v="2025"/>
    <x v="20"/>
    <s v="Week 21"/>
    <s v="Week 21-2025"/>
  </r>
  <r>
    <d v="2025-05-22T00:00:00"/>
    <x v="10"/>
    <n v="8"/>
    <n v="2025"/>
    <x v="20"/>
    <s v="Week 21"/>
    <s v="Week 21-2025"/>
  </r>
  <r>
    <d v="2025-05-22T00:00:00"/>
    <x v="3"/>
    <n v="8"/>
    <n v="2025"/>
    <x v="20"/>
    <s v="Week 21"/>
    <s v="Week 21-2025"/>
  </r>
  <r>
    <d v="2025-05-22T00:00:00"/>
    <x v="25"/>
    <n v="12"/>
    <n v="2025"/>
    <x v="20"/>
    <s v="Week 21"/>
    <s v="Week 21-2025"/>
  </r>
  <r>
    <d v="2025-05-22T00:00:00"/>
    <x v="17"/>
    <n v="6"/>
    <n v="2025"/>
    <x v="20"/>
    <s v="Week 21"/>
    <s v="Week 21-2025"/>
  </r>
  <r>
    <d v="2025-05-22T00:00:00"/>
    <x v="3"/>
    <n v="7"/>
    <n v="2025"/>
    <x v="20"/>
    <s v="Week 21"/>
    <s v="Week 21-2025"/>
  </r>
  <r>
    <d v="2025-05-22T00:00:00"/>
    <x v="7"/>
    <n v="4"/>
    <n v="2025"/>
    <x v="20"/>
    <s v="Week 21"/>
    <s v="Week 21-2025"/>
  </r>
  <r>
    <d v="2025-05-22T00:00:00"/>
    <x v="7"/>
    <n v="4"/>
    <n v="2025"/>
    <x v="20"/>
    <s v="Week 21"/>
    <s v="Week 21-2025"/>
  </r>
  <r>
    <d v="2025-05-22T00:00:00"/>
    <x v="6"/>
    <n v="4"/>
    <n v="2025"/>
    <x v="20"/>
    <s v="Week 21"/>
    <s v="Week 21-2025"/>
  </r>
  <r>
    <d v="2025-05-22T00:00:00"/>
    <x v="14"/>
    <n v="4"/>
    <n v="2025"/>
    <x v="20"/>
    <s v="Week 21"/>
    <s v="Week 21-2025"/>
  </r>
  <r>
    <d v="2025-05-22T00:00:00"/>
    <x v="26"/>
    <n v="6"/>
    <n v="2025"/>
    <x v="20"/>
    <s v="Week 21"/>
    <s v="Week 21-2025"/>
  </r>
  <r>
    <d v="2025-05-22T00:00:00"/>
    <x v="12"/>
    <n v="4"/>
    <n v="2025"/>
    <x v="20"/>
    <s v="Week 21"/>
    <s v="Week 21-2025"/>
  </r>
  <r>
    <d v="2025-05-22T00:00:00"/>
    <x v="12"/>
    <n v="4"/>
    <n v="2025"/>
    <x v="20"/>
    <s v="Week 21"/>
    <s v="Week 21-2025"/>
  </r>
  <r>
    <d v="2025-05-22T00:00:00"/>
    <x v="2"/>
    <n v="4"/>
    <n v="2025"/>
    <x v="20"/>
    <s v="Week 21"/>
    <s v="Week 21-2025"/>
  </r>
  <r>
    <d v="2025-05-22T00:00:00"/>
    <x v="14"/>
    <n v="2"/>
    <n v="2025"/>
    <x v="20"/>
    <s v="Week 21"/>
    <s v="Week 21-2025"/>
  </r>
  <r>
    <d v="2025-05-22T00:00:00"/>
    <x v="26"/>
    <n v="4"/>
    <n v="2025"/>
    <x v="20"/>
    <s v="Week 21"/>
    <s v="Week 21-2025"/>
  </r>
  <r>
    <d v="2025-05-22T00:00:00"/>
    <x v="3"/>
    <n v="2"/>
    <n v="2025"/>
    <x v="20"/>
    <s v="Week 21"/>
    <s v="Week 21-2025"/>
  </r>
  <r>
    <d v="2025-05-22T00:00:00"/>
    <x v="11"/>
    <n v="2"/>
    <n v="2025"/>
    <x v="20"/>
    <s v="Week 21"/>
    <s v="Week 21-2025"/>
  </r>
  <r>
    <d v="2025-05-22T00:00:00"/>
    <x v="9"/>
    <n v="2"/>
    <n v="2025"/>
    <x v="20"/>
    <s v="Week 21"/>
    <s v="Week 21-2025"/>
  </r>
  <r>
    <d v="2025-05-22T00:00:00"/>
    <x v="2"/>
    <n v="2"/>
    <n v="2025"/>
    <x v="20"/>
    <s v="Week 21"/>
    <s v="Week 21-2025"/>
  </r>
  <r>
    <d v="2025-05-22T00:00:00"/>
    <x v="14"/>
    <n v="1"/>
    <n v="2025"/>
    <x v="20"/>
    <s v="Week 21"/>
    <s v="Week 21-2025"/>
  </r>
  <r>
    <d v="2025-05-22T00:00:00"/>
    <x v="15"/>
    <n v="2"/>
    <n v="2025"/>
    <x v="20"/>
    <s v="Week 21"/>
    <s v="Week 21-2025"/>
  </r>
  <r>
    <d v="2025-05-23T00:00:00"/>
    <x v="15"/>
    <n v="38"/>
    <n v="2025"/>
    <x v="20"/>
    <s v="Week 21"/>
    <s v="Week 21-2025"/>
  </r>
  <r>
    <d v="2025-05-23T00:00:00"/>
    <x v="12"/>
    <n v="21"/>
    <n v="2025"/>
    <x v="20"/>
    <s v="Week 21"/>
    <s v="Week 21-2025"/>
  </r>
  <r>
    <d v="2025-05-23T00:00:00"/>
    <x v="12"/>
    <n v="10"/>
    <n v="2025"/>
    <x v="20"/>
    <s v="Week 21"/>
    <s v="Week 21-2025"/>
  </r>
  <r>
    <d v="2025-05-23T00:00:00"/>
    <x v="10"/>
    <n v="8"/>
    <n v="2025"/>
    <x v="20"/>
    <s v="Week 21"/>
    <s v="Week 21-2025"/>
  </r>
  <r>
    <d v="2025-05-23T00:00:00"/>
    <x v="12"/>
    <n v="11"/>
    <n v="2025"/>
    <x v="20"/>
    <s v="Week 21"/>
    <s v="Week 21-2025"/>
  </r>
  <r>
    <d v="2025-05-23T00:00:00"/>
    <x v="11"/>
    <n v="9"/>
    <n v="2025"/>
    <x v="20"/>
    <s v="Week 21"/>
    <s v="Week 21-2025"/>
  </r>
  <r>
    <d v="2025-05-23T00:00:00"/>
    <x v="11"/>
    <n v="9"/>
    <n v="2025"/>
    <x v="20"/>
    <s v="Week 21"/>
    <s v="Week 21-2025"/>
  </r>
  <r>
    <d v="2025-05-23T00:00:00"/>
    <x v="25"/>
    <n v="6"/>
    <n v="2025"/>
    <x v="20"/>
    <s v="Week 21"/>
    <s v="Week 21-2025"/>
  </r>
  <r>
    <d v="2025-05-23T00:00:00"/>
    <x v="14"/>
    <n v="4"/>
    <n v="2025"/>
    <x v="20"/>
    <s v="Week 21"/>
    <s v="Week 21-2025"/>
  </r>
  <r>
    <d v="2025-05-23T00:00:00"/>
    <x v="14"/>
    <n v="3"/>
    <n v="2025"/>
    <x v="20"/>
    <s v="Week 21"/>
    <s v="Week 21-2025"/>
  </r>
  <r>
    <d v="2025-05-23T00:00:00"/>
    <x v="12"/>
    <n v="4"/>
    <n v="2025"/>
    <x v="20"/>
    <s v="Week 21"/>
    <s v="Week 21-2025"/>
  </r>
  <r>
    <d v="2025-05-23T00:00:00"/>
    <x v="31"/>
    <n v="4"/>
    <n v="2025"/>
    <x v="20"/>
    <s v="Week 21"/>
    <s v="Week 21-2025"/>
  </r>
  <r>
    <d v="2025-05-23T00:00:00"/>
    <x v="10"/>
    <n v="2"/>
    <n v="2025"/>
    <x v="20"/>
    <s v="Week 21"/>
    <s v="Week 21-2025"/>
  </r>
  <r>
    <d v="2025-05-23T00:00:00"/>
    <x v="3"/>
    <n v="2"/>
    <n v="2025"/>
    <x v="20"/>
    <s v="Week 21"/>
    <s v="Week 21-2025"/>
  </r>
  <r>
    <d v="2025-05-23T00:00:00"/>
    <x v="14"/>
    <n v="1"/>
    <n v="2025"/>
    <x v="20"/>
    <s v="Week 21"/>
    <s v="Week 21-2025"/>
  </r>
  <r>
    <d v="2025-05-23T00:00:00"/>
    <x v="25"/>
    <n v="2"/>
    <n v="2025"/>
    <x v="20"/>
    <s v="Week 21"/>
    <s v="Week 21-2025"/>
  </r>
  <r>
    <d v="2025-05-24T00:00:00"/>
    <x v="5"/>
    <n v="8"/>
    <n v="2025"/>
    <x v="20"/>
    <s v="Week 21"/>
    <s v="Week 21-2025"/>
  </r>
  <r>
    <d v="2025-05-24T00:00:00"/>
    <x v="16"/>
    <n v="2"/>
    <n v="2025"/>
    <x v="20"/>
    <s v="Week 21"/>
    <s v="Week 21-2025"/>
  </r>
  <r>
    <d v="2025-05-24T00:00:00"/>
    <x v="0"/>
    <n v="2"/>
    <n v="2025"/>
    <x v="20"/>
    <s v="Week 21"/>
    <s v="Week 21-2025"/>
  </r>
  <r>
    <d v="2025-05-24T00:00:00"/>
    <x v="1"/>
    <n v="4"/>
    <n v="2025"/>
    <x v="20"/>
    <s v="Week 21"/>
    <s v="Week 21-2025"/>
  </r>
  <r>
    <d v="2025-05-24T00:00:00"/>
    <x v="1"/>
    <n v="2"/>
    <n v="2025"/>
    <x v="20"/>
    <s v="Week 21"/>
    <s v="Week 21-2025"/>
  </r>
  <r>
    <d v="2025-05-27T00:00:00"/>
    <x v="10"/>
    <n v="15"/>
    <n v="2025"/>
    <x v="21"/>
    <s v="Week 22"/>
    <s v="Week 22-2025"/>
  </r>
  <r>
    <d v="2025-05-27T00:00:00"/>
    <x v="11"/>
    <n v="18"/>
    <n v="2025"/>
    <x v="21"/>
    <s v="Week 22"/>
    <s v="Week 22-2025"/>
  </r>
  <r>
    <d v="2025-05-27T00:00:00"/>
    <x v="12"/>
    <n v="16"/>
    <n v="2025"/>
    <x v="21"/>
    <s v="Week 22"/>
    <s v="Week 22-2025"/>
  </r>
  <r>
    <d v="2025-05-27T00:00:00"/>
    <x v="5"/>
    <n v="7"/>
    <n v="2025"/>
    <x v="21"/>
    <s v="Week 22"/>
    <s v="Week 22-2025"/>
  </r>
  <r>
    <d v="2025-05-27T00:00:00"/>
    <x v="5"/>
    <n v="7"/>
    <n v="2025"/>
    <x v="21"/>
    <s v="Week 22"/>
    <s v="Week 22-2025"/>
  </r>
  <r>
    <d v="2025-05-27T00:00:00"/>
    <x v="14"/>
    <n v="8"/>
    <n v="2025"/>
    <x v="21"/>
    <s v="Week 22"/>
    <s v="Week 22-2025"/>
  </r>
  <r>
    <d v="2025-05-27T00:00:00"/>
    <x v="3"/>
    <n v="6"/>
    <n v="2025"/>
    <x v="21"/>
    <s v="Week 22"/>
    <s v="Week 22-2025"/>
  </r>
  <r>
    <d v="2025-05-27T00:00:00"/>
    <x v="13"/>
    <n v="4"/>
    <n v="2025"/>
    <x v="21"/>
    <s v="Week 22"/>
    <s v="Week 22-2025"/>
  </r>
  <r>
    <d v="2025-05-27T00:00:00"/>
    <x v="10"/>
    <n v="5"/>
    <n v="2025"/>
    <x v="21"/>
    <s v="Week 22"/>
    <s v="Week 22-2025"/>
  </r>
  <r>
    <d v="2025-05-27T00:00:00"/>
    <x v="3"/>
    <n v="4"/>
    <n v="2025"/>
    <x v="21"/>
    <s v="Week 22"/>
    <s v="Week 22-2025"/>
  </r>
  <r>
    <d v="2025-05-27T00:00:00"/>
    <x v="19"/>
    <n v="8"/>
    <n v="2025"/>
    <x v="21"/>
    <s v="Week 22"/>
    <s v="Week 22-2025"/>
  </r>
  <r>
    <d v="2025-05-27T00:00:00"/>
    <x v="9"/>
    <n v="4"/>
    <n v="2025"/>
    <x v="21"/>
    <s v="Week 22"/>
    <s v="Week 22-2025"/>
  </r>
  <r>
    <d v="2025-05-27T00:00:00"/>
    <x v="31"/>
    <n v="4"/>
    <n v="2025"/>
    <x v="21"/>
    <s v="Week 22"/>
    <s v="Week 22-2025"/>
  </r>
  <r>
    <d v="2025-05-27T00:00:00"/>
    <x v="26"/>
    <n v="4"/>
    <n v="2025"/>
    <x v="21"/>
    <s v="Week 22"/>
    <s v="Week 22-2025"/>
  </r>
  <r>
    <d v="2025-05-27T00:00:00"/>
    <x v="31"/>
    <n v="3"/>
    <n v="2025"/>
    <x v="21"/>
    <s v="Week 22"/>
    <s v="Week 22-2025"/>
  </r>
  <r>
    <d v="2025-05-27T00:00:00"/>
    <x v="4"/>
    <n v="3"/>
    <n v="2025"/>
    <x v="21"/>
    <s v="Week 22"/>
    <s v="Week 22-2025"/>
  </r>
  <r>
    <d v="2025-05-27T00:00:00"/>
    <x v="12"/>
    <n v="1"/>
    <n v="2025"/>
    <x v="21"/>
    <s v="Week 22"/>
    <s v="Week 22-2025"/>
  </r>
  <r>
    <d v="2025-05-27T00:00:00"/>
    <x v="31"/>
    <n v="1"/>
    <n v="2025"/>
    <x v="21"/>
    <s v="Week 22"/>
    <s v="Week 22-2025"/>
  </r>
  <r>
    <d v="2025-05-28T00:00:00"/>
    <x v="14"/>
    <n v="16"/>
    <n v="2025"/>
    <x v="21"/>
    <s v="Week 22"/>
    <s v="Week 22-2025"/>
  </r>
  <r>
    <d v="2025-05-28T00:00:00"/>
    <x v="14"/>
    <n v="16"/>
    <n v="2025"/>
    <x v="21"/>
    <s v="Week 22"/>
    <s v="Week 22-2025"/>
  </r>
  <r>
    <d v="2025-05-28T00:00:00"/>
    <x v="14"/>
    <n v="12"/>
    <n v="2025"/>
    <x v="21"/>
    <s v="Week 22"/>
    <s v="Week 22-2025"/>
  </r>
  <r>
    <d v="2025-05-28T00:00:00"/>
    <x v="14"/>
    <n v="12"/>
    <n v="2025"/>
    <x v="21"/>
    <s v="Week 22"/>
    <s v="Week 22-2025"/>
  </r>
  <r>
    <d v="2025-05-28T00:00:00"/>
    <x v="14"/>
    <n v="8"/>
    <n v="2025"/>
    <x v="21"/>
    <s v="Week 22"/>
    <s v="Week 22-2025"/>
  </r>
  <r>
    <d v="2025-05-28T00:00:00"/>
    <x v="5"/>
    <n v="5"/>
    <n v="2025"/>
    <x v="21"/>
    <s v="Week 22"/>
    <s v="Week 22-2025"/>
  </r>
  <r>
    <d v="2025-05-28T00:00:00"/>
    <x v="5"/>
    <n v="4"/>
    <n v="2025"/>
    <x v="21"/>
    <s v="Week 22"/>
    <s v="Week 22-2025"/>
  </r>
  <r>
    <d v="2025-05-28T00:00:00"/>
    <x v="14"/>
    <n v="4"/>
    <n v="2025"/>
    <x v="21"/>
    <s v="Week 22"/>
    <s v="Week 22-2025"/>
  </r>
  <r>
    <d v="2025-05-28T00:00:00"/>
    <x v="11"/>
    <n v="4"/>
    <n v="2025"/>
    <x v="21"/>
    <s v="Week 22"/>
    <s v="Week 22-2025"/>
  </r>
  <r>
    <d v="2025-05-28T00:00:00"/>
    <x v="14"/>
    <n v="3"/>
    <n v="2025"/>
    <x v="21"/>
    <s v="Week 22"/>
    <s v="Week 22-2025"/>
  </r>
  <r>
    <d v="2025-05-28T00:00:00"/>
    <x v="14"/>
    <n v="1"/>
    <n v="2025"/>
    <x v="21"/>
    <s v="Week 22"/>
    <s v="Week 22-2025"/>
  </r>
  <r>
    <d v="2025-05-29T00:00:00"/>
    <x v="12"/>
    <n v="12"/>
    <n v="2025"/>
    <x v="21"/>
    <s v="Week 22"/>
    <s v="Week 22-2025"/>
  </r>
  <r>
    <d v="2025-05-29T00:00:00"/>
    <x v="11"/>
    <n v="9"/>
    <n v="2025"/>
    <x v="21"/>
    <s v="Week 22"/>
    <s v="Week 22-2025"/>
  </r>
  <r>
    <d v="2025-05-29T00:00:00"/>
    <x v="19"/>
    <n v="8"/>
    <n v="2025"/>
    <x v="21"/>
    <s v="Week 22"/>
    <s v="Week 22-2025"/>
  </r>
  <r>
    <d v="2025-05-29T00:00:00"/>
    <x v="3"/>
    <n v="4"/>
    <n v="2025"/>
    <x v="21"/>
    <s v="Week 22"/>
    <s v="Week 22-2025"/>
  </r>
  <r>
    <d v="2025-05-29T00:00:00"/>
    <x v="15"/>
    <n v="6"/>
    <n v="2025"/>
    <x v="21"/>
    <s v="Week 22"/>
    <s v="Week 22-2025"/>
  </r>
  <r>
    <d v="2025-05-29T00:00:00"/>
    <x v="12"/>
    <n v="4"/>
    <n v="2025"/>
    <x v="21"/>
    <s v="Week 22"/>
    <s v="Week 22-2025"/>
  </r>
  <r>
    <d v="2025-05-29T00:00:00"/>
    <x v="11"/>
    <n v="2"/>
    <n v="2025"/>
    <x v="21"/>
    <s v="Week 22"/>
    <s v="Week 22-2025"/>
  </r>
  <r>
    <d v="2025-05-29T00:00:00"/>
    <x v="1"/>
    <n v="2"/>
    <n v="2025"/>
    <x v="21"/>
    <s v="Week 22"/>
    <s v="Week 22-2025"/>
  </r>
  <r>
    <d v="2025-05-30T00:00:00"/>
    <x v="3"/>
    <n v="25"/>
    <n v="2025"/>
    <x v="21"/>
    <s v="Week 22"/>
    <s v="Week 22-2025"/>
  </r>
  <r>
    <d v="2025-05-30T00:00:00"/>
    <x v="12"/>
    <n v="25"/>
    <n v="2025"/>
    <x v="21"/>
    <s v="Week 22"/>
    <s v="Week 22-2025"/>
  </r>
  <r>
    <d v="2025-05-30T00:00:00"/>
    <x v="11"/>
    <n v="6"/>
    <n v="2025"/>
    <x v="21"/>
    <s v="Week 22"/>
    <s v="Week 22-2025"/>
  </r>
  <r>
    <d v="2025-05-30T00:00:00"/>
    <x v="12"/>
    <n v="6"/>
    <n v="2025"/>
    <x v="21"/>
    <s v="Week 22"/>
    <s v="Week 22-2025"/>
  </r>
  <r>
    <d v="2025-05-30T00:00:00"/>
    <x v="10"/>
    <n v="4"/>
    <n v="2025"/>
    <x v="21"/>
    <s v="Week 22"/>
    <s v="Week 22-2025"/>
  </r>
  <r>
    <d v="2025-05-30T00:00:00"/>
    <x v="1"/>
    <n v="4"/>
    <n v="2025"/>
    <x v="21"/>
    <s v="Week 22"/>
    <s v="Week 22-2025"/>
  </r>
  <r>
    <d v="2025-05-30T00:00:00"/>
    <x v="1"/>
    <n v="3"/>
    <n v="2025"/>
    <x v="21"/>
    <s v="Week 22"/>
    <s v="Week 22-2025"/>
  </r>
  <r>
    <d v="2025-05-30T00:00:00"/>
    <x v="19"/>
    <n v="2"/>
    <n v="2025"/>
    <x v="21"/>
    <s v="Week 22"/>
    <s v="Week 22-2025"/>
  </r>
  <r>
    <d v="2025-05-30T00:00:00"/>
    <x v="3"/>
    <n v="1"/>
    <n v="2025"/>
    <x v="21"/>
    <s v="Week 22"/>
    <s v="Week 22-2025"/>
  </r>
  <r>
    <d v="2025-05-31T00:00:00"/>
    <x v="6"/>
    <n v="8"/>
    <n v="2025"/>
    <x v="21"/>
    <s v="Week 22"/>
    <s v="Week 22-2025"/>
  </r>
  <r>
    <d v="2025-05-31T00:00:00"/>
    <x v="11"/>
    <n v="12"/>
    <n v="2025"/>
    <x v="21"/>
    <s v="Week 22"/>
    <s v="Week 22-2025"/>
  </r>
  <r>
    <d v="2025-05-31T00:00:00"/>
    <x v="2"/>
    <n v="8"/>
    <n v="2025"/>
    <x v="21"/>
    <s v="Week 22"/>
    <s v="Week 22-2025"/>
  </r>
  <r>
    <d v="2025-05-31T00:00:00"/>
    <x v="14"/>
    <n v="4"/>
    <n v="2025"/>
    <x v="21"/>
    <s v="Week 22"/>
    <s v="Week 22-2025"/>
  </r>
  <r>
    <d v="2025-05-31T00:00:00"/>
    <x v="25"/>
    <n v="9"/>
    <n v="2025"/>
    <x v="21"/>
    <s v="Week 22"/>
    <s v="Week 22-2025"/>
  </r>
  <r>
    <d v="2025-05-31T00:00:00"/>
    <x v="10"/>
    <n v="4"/>
    <n v="2025"/>
    <x v="21"/>
    <s v="Week 22"/>
    <s v="Week 22-2025"/>
  </r>
  <r>
    <d v="2025-05-31T00:00:00"/>
    <x v="13"/>
    <n v="4"/>
    <n v="2025"/>
    <x v="21"/>
    <s v="Week 22"/>
    <s v="Week 22-2025"/>
  </r>
  <r>
    <d v="2025-05-31T00:00:00"/>
    <x v="14"/>
    <n v="4"/>
    <n v="2025"/>
    <x v="21"/>
    <s v="Week 22"/>
    <s v="Week 22-2025"/>
  </r>
  <r>
    <d v="2025-05-31T00:00:00"/>
    <x v="11"/>
    <n v="4"/>
    <n v="2025"/>
    <x v="21"/>
    <s v="Week 22"/>
    <s v="Week 22-2025"/>
  </r>
  <r>
    <d v="2025-05-31T00:00:00"/>
    <x v="15"/>
    <n v="5"/>
    <n v="2025"/>
    <x v="21"/>
    <s v="Week 22"/>
    <s v="Week 22-2025"/>
  </r>
  <r>
    <d v="2025-05-31T00:00:00"/>
    <x v="25"/>
    <n v="4"/>
    <n v="2025"/>
    <x v="21"/>
    <s v="Week 22"/>
    <s v="Week 22-2025"/>
  </r>
  <r>
    <d v="2025-05-31T00:00:00"/>
    <x v="15"/>
    <n v="4"/>
    <n v="2025"/>
    <x v="21"/>
    <s v="Week 22"/>
    <s v="Week 22-2025"/>
  </r>
  <r>
    <d v="2025-05-31T00:00:00"/>
    <x v="15"/>
    <n v="3"/>
    <n v="2025"/>
    <x v="21"/>
    <s v="Week 22"/>
    <s v="Week 22-2025"/>
  </r>
  <r>
    <d v="2025-05-31T00:00:00"/>
    <x v="1"/>
    <n v="2"/>
    <n v="2025"/>
    <x v="21"/>
    <s v="Week 22"/>
    <s v="Week 22-2025"/>
  </r>
  <r>
    <d v="2025-06-02T00:00:00"/>
    <x v="3"/>
    <n v="9"/>
    <n v="2025"/>
    <x v="22"/>
    <s v="Week 23"/>
    <s v="Week 23-2025"/>
  </r>
  <r>
    <d v="2025-06-02T00:00:00"/>
    <x v="11"/>
    <n v="10"/>
    <n v="2025"/>
    <x v="22"/>
    <s v="Week 23"/>
    <s v="Week 23-2025"/>
  </r>
  <r>
    <d v="2025-06-02T00:00:00"/>
    <x v="11"/>
    <n v="10"/>
    <n v="2025"/>
    <x v="22"/>
    <s v="Week 23"/>
    <s v="Week 23-2025"/>
  </r>
  <r>
    <d v="2025-06-02T00:00:00"/>
    <x v="3"/>
    <n v="6"/>
    <n v="2025"/>
    <x v="22"/>
    <s v="Week 23"/>
    <s v="Week 23-2025"/>
  </r>
  <r>
    <d v="2025-06-02T00:00:00"/>
    <x v="18"/>
    <n v="12"/>
    <n v="2025"/>
    <x v="22"/>
    <s v="Week 23"/>
    <s v="Week 23-2025"/>
  </r>
  <r>
    <d v="2025-06-02T00:00:00"/>
    <x v="12"/>
    <n v="6"/>
    <n v="2025"/>
    <x v="22"/>
    <s v="Week 23"/>
    <s v="Week 23-2025"/>
  </r>
  <r>
    <d v="2025-06-02T00:00:00"/>
    <x v="12"/>
    <n v="6"/>
    <n v="2025"/>
    <x v="22"/>
    <s v="Week 23"/>
    <s v="Week 23-2025"/>
  </r>
  <r>
    <d v="2025-06-02T00:00:00"/>
    <x v="18"/>
    <n v="10"/>
    <n v="2025"/>
    <x v="22"/>
    <s v="Week 23"/>
    <s v="Week 23-2025"/>
  </r>
  <r>
    <d v="2025-06-02T00:00:00"/>
    <x v="3"/>
    <n v="3"/>
    <n v="2025"/>
    <x v="22"/>
    <s v="Week 23"/>
    <s v="Week 23-2025"/>
  </r>
  <r>
    <d v="2025-06-02T00:00:00"/>
    <x v="25"/>
    <n v="4"/>
    <n v="2025"/>
    <x v="22"/>
    <s v="Week 23"/>
    <s v="Week 23-2025"/>
  </r>
  <r>
    <d v="2025-06-02T00:00:00"/>
    <x v="25"/>
    <n v="4"/>
    <n v="2025"/>
    <x v="22"/>
    <s v="Week 23"/>
    <s v="Week 23-2025"/>
  </r>
  <r>
    <d v="2025-06-02T00:00:00"/>
    <x v="17"/>
    <n v="2"/>
    <n v="2025"/>
    <x v="22"/>
    <s v="Week 23"/>
    <s v="Week 23-2025"/>
  </r>
  <r>
    <d v="2025-06-02T00:00:00"/>
    <x v="15"/>
    <n v="3"/>
    <n v="2025"/>
    <x v="22"/>
    <s v="Week 23"/>
    <s v="Week 23-2025"/>
  </r>
  <r>
    <d v="2025-06-02T00:00:00"/>
    <x v="15"/>
    <n v="3"/>
    <n v="2025"/>
    <x v="22"/>
    <s v="Week 23"/>
    <s v="Week 23-2025"/>
  </r>
  <r>
    <d v="2025-06-02T00:00:00"/>
    <x v="17"/>
    <n v="1"/>
    <n v="2025"/>
    <x v="22"/>
    <s v="Week 23"/>
    <s v="Week 23-2025"/>
  </r>
  <r>
    <d v="2025-06-02T00:00:00"/>
    <x v="17"/>
    <n v="1"/>
    <n v="2025"/>
    <x v="22"/>
    <s v="Week 23"/>
    <s v="Week 23-2025"/>
  </r>
  <r>
    <d v="2025-06-02T00:00:00"/>
    <x v="14"/>
    <n v="1"/>
    <n v="2025"/>
    <x v="22"/>
    <s v="Week 23"/>
    <s v="Week 23-2025"/>
  </r>
  <r>
    <d v="2025-06-02T00:00:00"/>
    <x v="14"/>
    <n v="1"/>
    <n v="2025"/>
    <x v="22"/>
    <s v="Week 23"/>
    <s v="Week 23-2025"/>
  </r>
  <r>
    <d v="2025-06-02T00:00:00"/>
    <x v="18"/>
    <n v="2"/>
    <n v="2025"/>
    <x v="22"/>
    <s v="Week 23"/>
    <s v="Week 23-2025"/>
  </r>
  <r>
    <d v="2025-06-03T00:00:00"/>
    <x v="17"/>
    <n v="12"/>
    <n v="2025"/>
    <x v="22"/>
    <s v="Week 23"/>
    <s v="Week 23-2025"/>
  </r>
  <r>
    <d v="2025-06-03T00:00:00"/>
    <x v="3"/>
    <n v="14"/>
    <n v="2025"/>
    <x v="22"/>
    <s v="Week 23"/>
    <s v="Week 23-2025"/>
  </r>
  <r>
    <d v="2025-06-03T00:00:00"/>
    <x v="6"/>
    <n v="8"/>
    <n v="2025"/>
    <x v="22"/>
    <s v="Week 23"/>
    <s v="Week 23-2025"/>
  </r>
  <r>
    <d v="2025-06-03T00:00:00"/>
    <x v="11"/>
    <n v="12"/>
    <n v="2025"/>
    <x v="22"/>
    <s v="Week 23"/>
    <s v="Week 23-2025"/>
  </r>
  <r>
    <d v="2025-06-03T00:00:00"/>
    <x v="13"/>
    <n v="8"/>
    <n v="2025"/>
    <x v="22"/>
    <s v="Week 23"/>
    <s v="Week 23-2025"/>
  </r>
  <r>
    <d v="2025-06-03T00:00:00"/>
    <x v="6"/>
    <n v="7"/>
    <n v="2025"/>
    <x v="22"/>
    <s v="Week 23"/>
    <s v="Week 23-2025"/>
  </r>
  <r>
    <d v="2025-06-03T00:00:00"/>
    <x v="11"/>
    <n v="9"/>
    <n v="2025"/>
    <x v="22"/>
    <s v="Week 23"/>
    <s v="Week 23-2025"/>
  </r>
  <r>
    <d v="2025-06-03T00:00:00"/>
    <x v="3"/>
    <n v="8"/>
    <n v="2025"/>
    <x v="22"/>
    <s v="Week 23"/>
    <s v="Week 23-2025"/>
  </r>
  <r>
    <d v="2025-06-03T00:00:00"/>
    <x v="11"/>
    <n v="8"/>
    <n v="2025"/>
    <x v="22"/>
    <s v="Week 23"/>
    <s v="Week 23-2025"/>
  </r>
  <r>
    <d v="2025-06-03T00:00:00"/>
    <x v="14"/>
    <n v="6"/>
    <n v="2025"/>
    <x v="22"/>
    <s v="Week 23"/>
    <s v="Week 23-2025"/>
  </r>
  <r>
    <d v="2025-06-03T00:00:00"/>
    <x v="14"/>
    <n v="6"/>
    <n v="2025"/>
    <x v="22"/>
    <s v="Week 23"/>
    <s v="Week 23-2025"/>
  </r>
  <r>
    <d v="2025-06-03T00:00:00"/>
    <x v="14"/>
    <n v="6"/>
    <n v="2025"/>
    <x v="22"/>
    <s v="Week 23"/>
    <s v="Week 23-2025"/>
  </r>
  <r>
    <d v="2025-06-03T00:00:00"/>
    <x v="25"/>
    <n v="8"/>
    <n v="2025"/>
    <x v="22"/>
    <s v="Week 23"/>
    <s v="Week 23-2025"/>
  </r>
  <r>
    <d v="2025-06-03T00:00:00"/>
    <x v="12"/>
    <n v="6"/>
    <n v="2025"/>
    <x v="22"/>
    <s v="Week 23"/>
    <s v="Week 23-2025"/>
  </r>
  <r>
    <d v="2025-06-03T00:00:00"/>
    <x v="11"/>
    <n v="3"/>
    <n v="2025"/>
    <x v="22"/>
    <s v="Week 23"/>
    <s v="Week 23-2025"/>
  </r>
  <r>
    <d v="2025-06-03T00:00:00"/>
    <x v="17"/>
    <n v="2"/>
    <n v="2025"/>
    <x v="22"/>
    <s v="Week 23"/>
    <s v="Week 23-2025"/>
  </r>
  <r>
    <d v="2025-06-03T00:00:00"/>
    <x v="15"/>
    <n v="4"/>
    <n v="2025"/>
    <x v="22"/>
    <s v="Week 23"/>
    <s v="Week 23-2025"/>
  </r>
  <r>
    <d v="2025-06-03T00:00:00"/>
    <x v="30"/>
    <n v="6"/>
    <n v="2025"/>
    <x v="22"/>
    <s v="Week 23"/>
    <s v="Week 23-2025"/>
  </r>
  <r>
    <d v="2025-06-03T00:00:00"/>
    <x v="27"/>
    <n v="4"/>
    <n v="2025"/>
    <x v="22"/>
    <s v="Week 23"/>
    <s v="Week 23-2025"/>
  </r>
  <r>
    <d v="2025-06-03T00:00:00"/>
    <x v="11"/>
    <n v="2"/>
    <n v="2025"/>
    <x v="22"/>
    <s v="Week 23"/>
    <s v="Week 23-2025"/>
  </r>
  <r>
    <d v="2025-06-03T00:00:00"/>
    <x v="6"/>
    <n v="1"/>
    <n v="2025"/>
    <x v="22"/>
    <s v="Week 23"/>
    <s v="Week 23-2025"/>
  </r>
  <r>
    <d v="2025-06-03T00:00:00"/>
    <x v="12"/>
    <n v="1"/>
    <n v="2025"/>
    <x v="22"/>
    <s v="Week 23"/>
    <s v="Week 23-2025"/>
  </r>
  <r>
    <d v="2025-06-03T00:00:00"/>
    <x v="32"/>
    <n v="2"/>
    <n v="2025"/>
    <x v="22"/>
    <s v="Week 23"/>
    <s v="Week 23-2025"/>
  </r>
  <r>
    <d v="2025-06-04T00:00:00"/>
    <x v="42"/>
    <n v="20"/>
    <n v="2025"/>
    <x v="22"/>
    <s v="Week 23"/>
    <s v="Week 23-2025"/>
  </r>
  <r>
    <d v="2025-06-04T00:00:00"/>
    <x v="11"/>
    <n v="4"/>
    <n v="2025"/>
    <x v="22"/>
    <s v="Week 23"/>
    <s v="Week 23-2025"/>
  </r>
  <r>
    <d v="2025-06-04T00:00:00"/>
    <x v="17"/>
    <n v="2"/>
    <n v="2025"/>
    <x v="22"/>
    <s v="Week 23"/>
    <s v="Week 23-2025"/>
  </r>
  <r>
    <d v="2025-06-05T00:00:00"/>
    <x v="5"/>
    <n v="7"/>
    <n v="2025"/>
    <x v="22"/>
    <s v="Week 23"/>
    <s v="Week 23-2025"/>
  </r>
  <r>
    <d v="2025-06-05T00:00:00"/>
    <x v="11"/>
    <n v="6"/>
    <n v="2025"/>
    <x v="22"/>
    <s v="Week 23"/>
    <s v="Week 23-2025"/>
  </r>
  <r>
    <d v="2025-06-05T00:00:00"/>
    <x v="9"/>
    <n v="6"/>
    <n v="2025"/>
    <x v="22"/>
    <s v="Week 23"/>
    <s v="Week 23-2025"/>
  </r>
  <r>
    <d v="2025-06-05T00:00:00"/>
    <x v="19"/>
    <n v="8"/>
    <n v="2025"/>
    <x v="22"/>
    <s v="Week 23"/>
    <s v="Week 23-2025"/>
  </r>
  <r>
    <d v="2025-06-05T00:00:00"/>
    <x v="15"/>
    <n v="6"/>
    <n v="2025"/>
    <x v="22"/>
    <s v="Week 23"/>
    <s v="Week 23-2025"/>
  </r>
  <r>
    <d v="2025-06-05T00:00:00"/>
    <x v="2"/>
    <n v="4"/>
    <n v="2025"/>
    <x v="22"/>
    <s v="Week 23"/>
    <s v="Week 23-2025"/>
  </r>
  <r>
    <d v="2025-06-05T00:00:00"/>
    <x v="4"/>
    <n v="4"/>
    <n v="2025"/>
    <x v="22"/>
    <s v="Week 23"/>
    <s v="Week 23-2025"/>
  </r>
  <r>
    <d v="2025-06-05T00:00:00"/>
    <x v="12"/>
    <n v="2"/>
    <n v="2025"/>
    <x v="22"/>
    <s v="Week 23"/>
    <s v="Week 23-2025"/>
  </r>
  <r>
    <d v="2025-06-05T00:00:00"/>
    <x v="12"/>
    <n v="2"/>
    <n v="2025"/>
    <x v="22"/>
    <s v="Week 23"/>
    <s v="Week 23-2025"/>
  </r>
  <r>
    <d v="2025-06-05T00:00:00"/>
    <x v="1"/>
    <n v="2"/>
    <n v="2025"/>
    <x v="22"/>
    <s v="Week 23"/>
    <s v="Week 23-2025"/>
  </r>
  <r>
    <d v="2025-06-05T00:00:00"/>
    <x v="35"/>
    <n v="2"/>
    <n v="2025"/>
    <x v="22"/>
    <s v="Week 23"/>
    <s v="Week 23-2025"/>
  </r>
  <r>
    <d v="2025-06-06T00:00:00"/>
    <x v="12"/>
    <n v="25"/>
    <n v="2025"/>
    <x v="22"/>
    <s v="Week 23"/>
    <s v="Week 23-2025"/>
  </r>
  <r>
    <d v="2025-06-06T00:00:00"/>
    <x v="12"/>
    <n v="14"/>
    <n v="2025"/>
    <x v="22"/>
    <s v="Week 23"/>
    <s v="Week 23-2025"/>
  </r>
  <r>
    <d v="2025-06-06T00:00:00"/>
    <x v="25"/>
    <n v="15"/>
    <n v="2025"/>
    <x v="22"/>
    <s v="Week 23"/>
    <s v="Week 23-2025"/>
  </r>
  <r>
    <d v="2025-06-06T00:00:00"/>
    <x v="12"/>
    <n v="11"/>
    <n v="2025"/>
    <x v="22"/>
    <s v="Week 23"/>
    <s v="Week 23-2025"/>
  </r>
  <r>
    <d v="2025-06-06T00:00:00"/>
    <x v="25"/>
    <n v="5"/>
    <n v="2025"/>
    <x v="22"/>
    <s v="Week 23"/>
    <s v="Week 23-2025"/>
  </r>
  <r>
    <d v="2025-06-07T00:00:00"/>
    <x v="12"/>
    <n v="24"/>
    <n v="2025"/>
    <x v="22"/>
    <s v="Week 23"/>
    <s v="Week 23-2025"/>
  </r>
  <r>
    <d v="2025-06-07T00:00:00"/>
    <x v="5"/>
    <n v="8"/>
    <n v="2025"/>
    <x v="22"/>
    <s v="Week 23"/>
    <s v="Week 23-2025"/>
  </r>
  <r>
    <d v="2025-06-07T00:00:00"/>
    <x v="11"/>
    <n v="16"/>
    <n v="2025"/>
    <x v="22"/>
    <s v="Week 23"/>
    <s v="Week 23-2025"/>
  </r>
  <r>
    <d v="2025-06-07T00:00:00"/>
    <x v="3"/>
    <n v="10"/>
    <n v="2025"/>
    <x v="22"/>
    <s v="Week 23"/>
    <s v="Week 23-2025"/>
  </r>
  <r>
    <d v="2025-06-07T00:00:00"/>
    <x v="27"/>
    <n v="20"/>
    <n v="2025"/>
    <x v="22"/>
    <s v="Week 23"/>
    <s v="Week 23-2025"/>
  </r>
  <r>
    <d v="2025-06-07T00:00:00"/>
    <x v="14"/>
    <n v="6"/>
    <n v="2025"/>
    <x v="22"/>
    <s v="Week 23"/>
    <s v="Week 23-2025"/>
  </r>
  <r>
    <d v="2025-06-07T00:00:00"/>
    <x v="3"/>
    <n v="6"/>
    <n v="2025"/>
    <x v="22"/>
    <s v="Week 23"/>
    <s v="Week 23-2025"/>
  </r>
  <r>
    <d v="2025-06-07T00:00:00"/>
    <x v="17"/>
    <n v="4"/>
    <n v="2025"/>
    <x v="22"/>
    <s v="Week 23"/>
    <s v="Week 23-2025"/>
  </r>
  <r>
    <d v="2025-06-07T00:00:00"/>
    <x v="6"/>
    <n v="3"/>
    <n v="2025"/>
    <x v="22"/>
    <s v="Week 23"/>
    <s v="Week 23-2025"/>
  </r>
  <r>
    <d v="2025-06-07T00:00:00"/>
    <x v="0"/>
    <n v="2"/>
    <n v="2025"/>
    <x v="22"/>
    <s v="Week 23"/>
    <s v="Week 23-2025"/>
  </r>
  <r>
    <d v="2025-06-07T00:00:00"/>
    <x v="3"/>
    <n v="4"/>
    <n v="2025"/>
    <x v="22"/>
    <s v="Week 23"/>
    <s v="Week 23-2025"/>
  </r>
  <r>
    <d v="2025-06-07T00:00:00"/>
    <x v="18"/>
    <n v="6"/>
    <n v="2025"/>
    <x v="22"/>
    <s v="Week 23"/>
    <s v="Week 23-2025"/>
  </r>
  <r>
    <d v="2025-06-07T00:00:00"/>
    <x v="14"/>
    <n v="2"/>
    <n v="2025"/>
    <x v="22"/>
    <s v="Week 23"/>
    <s v="Week 23-2025"/>
  </r>
  <r>
    <d v="2025-06-07T00:00:00"/>
    <x v="26"/>
    <n v="4"/>
    <n v="2025"/>
    <x v="22"/>
    <s v="Week 23"/>
    <s v="Week 23-2025"/>
  </r>
  <r>
    <d v="2025-06-07T00:00:00"/>
    <x v="28"/>
    <n v="6"/>
    <n v="2025"/>
    <x v="22"/>
    <s v="Week 23"/>
    <s v="Week 23-2025"/>
  </r>
  <r>
    <d v="2025-06-07T00:00:00"/>
    <x v="4"/>
    <n v="4"/>
    <n v="2025"/>
    <x v="22"/>
    <s v="Week 23"/>
    <s v="Week 23-2025"/>
  </r>
  <r>
    <d v="2025-06-07T00:00:00"/>
    <x v="9"/>
    <n v="2"/>
    <n v="2025"/>
    <x v="22"/>
    <s v="Week 23"/>
    <s v="Week 23-2025"/>
  </r>
  <r>
    <d v="2025-06-07T00:00:00"/>
    <x v="12"/>
    <n v="2"/>
    <n v="2025"/>
    <x v="22"/>
    <s v="Week 23"/>
    <s v="Week 23-2025"/>
  </r>
  <r>
    <d v="2025-06-07T00:00:00"/>
    <x v="15"/>
    <n v="3"/>
    <n v="2025"/>
    <x v="22"/>
    <s v="Week 23"/>
    <s v="Week 23-2025"/>
  </r>
  <r>
    <d v="2025-06-07T00:00:00"/>
    <x v="6"/>
    <n v="1"/>
    <n v="2025"/>
    <x v="22"/>
    <s v="Week 23"/>
    <s v="Week 23-2025"/>
  </r>
  <r>
    <d v="2025-06-07T00:00:00"/>
    <x v="1"/>
    <n v="2"/>
    <n v="2025"/>
    <x v="22"/>
    <s v="Week 23"/>
    <s v="Week 23-2025"/>
  </r>
  <r>
    <d v="2025-06-07T00:00:00"/>
    <x v="35"/>
    <n v="2"/>
    <n v="2025"/>
    <x v="22"/>
    <s v="Week 23"/>
    <s v="Week 23-2025"/>
  </r>
  <r>
    <d v="2025-06-07T00:00:00"/>
    <x v="15"/>
    <n v="1"/>
    <n v="2025"/>
    <x v="22"/>
    <s v="Week 23"/>
    <s v="Week 23-2025"/>
  </r>
  <r>
    <d v="2025-06-08T00:00:00"/>
    <x v="13"/>
    <n v="8"/>
    <n v="2025"/>
    <x v="22"/>
    <s v="Week 24"/>
    <s v="Week 24-2025"/>
  </r>
  <r>
    <d v="2025-06-08T00:00:00"/>
    <x v="13"/>
    <n v="8"/>
    <n v="2025"/>
    <x v="22"/>
    <s v="Week 24"/>
    <s v="Week 24-2025"/>
  </r>
  <r>
    <d v="2025-06-08T00:00:00"/>
    <x v="12"/>
    <n v="7"/>
    <n v="2025"/>
    <x v="22"/>
    <s v="Week 24"/>
    <s v="Week 24-2025"/>
  </r>
  <r>
    <d v="2025-06-08T00:00:00"/>
    <x v="12"/>
    <n v="5"/>
    <n v="2025"/>
    <x v="22"/>
    <s v="Week 24"/>
    <s v="Week 24-2025"/>
  </r>
  <r>
    <d v="2025-06-08T00:00:00"/>
    <x v="12"/>
    <n v="2"/>
    <n v="2025"/>
    <x v="22"/>
    <s v="Week 24"/>
    <s v="Week 24-2025"/>
  </r>
  <r>
    <d v="2025-06-08T00:00:00"/>
    <x v="15"/>
    <n v="1"/>
    <n v="2025"/>
    <x v="22"/>
    <s v="Week 24"/>
    <s v="Week 24-2025"/>
  </r>
  <r>
    <d v="2025-06-08T00:00:00"/>
    <x v="15"/>
    <n v="1"/>
    <n v="2025"/>
    <x v="22"/>
    <s v="Week 24"/>
    <s v="Week 24-2025"/>
  </r>
  <r>
    <d v="2025-06-10T00:00:00"/>
    <x v="14"/>
    <n v="10"/>
    <n v="2025"/>
    <x v="23"/>
    <s v="Week 24"/>
    <s v="Week 24-2025"/>
  </r>
  <r>
    <d v="2025-06-10T00:00:00"/>
    <x v="14"/>
    <n v="8"/>
    <n v="2025"/>
    <x v="23"/>
    <s v="Week 24"/>
    <s v="Week 24-2025"/>
  </r>
  <r>
    <d v="2025-06-10T00:00:00"/>
    <x v="11"/>
    <n v="8"/>
    <n v="2025"/>
    <x v="23"/>
    <s v="Week 24"/>
    <s v="Week 24-2025"/>
  </r>
  <r>
    <d v="2025-06-10T00:00:00"/>
    <x v="13"/>
    <n v="4"/>
    <n v="2025"/>
    <x v="23"/>
    <s v="Week 24"/>
    <s v="Week 24-2025"/>
  </r>
  <r>
    <d v="2025-06-10T00:00:00"/>
    <x v="3"/>
    <n v="2"/>
    <n v="2025"/>
    <x v="23"/>
    <s v="Week 24"/>
    <s v="Week 24-2025"/>
  </r>
  <r>
    <d v="2025-06-11T00:00:00"/>
    <x v="14"/>
    <n v="16"/>
    <n v="2025"/>
    <x v="23"/>
    <s v="Week 24"/>
    <s v="Week 24-2025"/>
  </r>
  <r>
    <d v="2025-06-11T00:00:00"/>
    <x v="14"/>
    <n v="12"/>
    <n v="2025"/>
    <x v="23"/>
    <s v="Week 24"/>
    <s v="Week 24-2025"/>
  </r>
  <r>
    <d v="2025-06-11T00:00:00"/>
    <x v="25"/>
    <n v="24"/>
    <n v="2025"/>
    <x v="23"/>
    <s v="Week 24"/>
    <s v="Week 24-2025"/>
  </r>
  <r>
    <d v="2025-06-11T00:00:00"/>
    <x v="12"/>
    <n v="21"/>
    <n v="2025"/>
    <x v="23"/>
    <s v="Week 24"/>
    <s v="Week 24-2025"/>
  </r>
  <r>
    <d v="2025-06-11T00:00:00"/>
    <x v="12"/>
    <n v="14"/>
    <n v="2025"/>
    <x v="23"/>
    <s v="Week 24"/>
    <s v="Week 24-2025"/>
  </r>
  <r>
    <d v="2025-06-11T00:00:00"/>
    <x v="11"/>
    <n v="12"/>
    <n v="2025"/>
    <x v="23"/>
    <s v="Week 24"/>
    <s v="Week 24-2025"/>
  </r>
  <r>
    <d v="2025-06-11T00:00:00"/>
    <x v="41"/>
    <n v="8"/>
    <n v="2025"/>
    <x v="23"/>
    <s v="Week 24"/>
    <s v="Week 24-2025"/>
  </r>
  <r>
    <d v="2025-06-11T00:00:00"/>
    <x v="11"/>
    <n v="10"/>
    <n v="2025"/>
    <x v="23"/>
    <s v="Week 24"/>
    <s v="Week 24-2025"/>
  </r>
  <r>
    <d v="2025-06-11T00:00:00"/>
    <x v="12"/>
    <n v="12"/>
    <n v="2025"/>
    <x v="23"/>
    <s v="Week 24"/>
    <s v="Week 24-2025"/>
  </r>
  <r>
    <d v="2025-06-11T00:00:00"/>
    <x v="11"/>
    <n v="10"/>
    <n v="2025"/>
    <x v="23"/>
    <s v="Week 24"/>
    <s v="Week 24-2025"/>
  </r>
  <r>
    <d v="2025-06-11T00:00:00"/>
    <x v="10"/>
    <n v="8"/>
    <n v="2025"/>
    <x v="23"/>
    <s v="Week 24"/>
    <s v="Week 24-2025"/>
  </r>
  <r>
    <d v="2025-06-11T00:00:00"/>
    <x v="10"/>
    <n v="6"/>
    <n v="2025"/>
    <x v="23"/>
    <s v="Week 24"/>
    <s v="Week 24-2025"/>
  </r>
  <r>
    <d v="2025-06-11T00:00:00"/>
    <x v="3"/>
    <n v="8"/>
    <n v="2025"/>
    <x v="23"/>
    <s v="Week 24"/>
    <s v="Week 24-2025"/>
  </r>
  <r>
    <d v="2025-06-11T00:00:00"/>
    <x v="3"/>
    <n v="6"/>
    <n v="2025"/>
    <x v="23"/>
    <s v="Week 24"/>
    <s v="Week 24-2025"/>
  </r>
  <r>
    <d v="2025-06-11T00:00:00"/>
    <x v="6"/>
    <n v="4"/>
    <n v="2025"/>
    <x v="23"/>
    <s v="Week 24"/>
    <s v="Week 24-2025"/>
  </r>
  <r>
    <d v="2025-06-11T00:00:00"/>
    <x v="13"/>
    <n v="4"/>
    <n v="2025"/>
    <x v="23"/>
    <s v="Week 24"/>
    <s v="Week 24-2025"/>
  </r>
  <r>
    <d v="2025-06-11T00:00:00"/>
    <x v="25"/>
    <n v="9"/>
    <n v="2025"/>
    <x v="23"/>
    <s v="Week 24"/>
    <s v="Week 24-2025"/>
  </r>
  <r>
    <d v="2025-06-11T00:00:00"/>
    <x v="13"/>
    <n v="4"/>
    <n v="2025"/>
    <x v="23"/>
    <s v="Week 24"/>
    <s v="Week 24-2025"/>
  </r>
  <r>
    <d v="2025-06-11T00:00:00"/>
    <x v="9"/>
    <n v="6"/>
    <n v="2025"/>
    <x v="23"/>
    <s v="Week 24"/>
    <s v="Week 24-2025"/>
  </r>
  <r>
    <d v="2025-06-11T00:00:00"/>
    <x v="14"/>
    <n v="4"/>
    <n v="2025"/>
    <x v="23"/>
    <s v="Week 24"/>
    <s v="Week 24-2025"/>
  </r>
  <r>
    <d v="2025-06-11T00:00:00"/>
    <x v="15"/>
    <n v="7"/>
    <n v="2025"/>
    <x v="23"/>
    <s v="Week 24"/>
    <s v="Week 24-2025"/>
  </r>
  <r>
    <d v="2025-06-11T00:00:00"/>
    <x v="10"/>
    <n v="4"/>
    <n v="2025"/>
    <x v="23"/>
    <s v="Week 24"/>
    <s v="Week 24-2025"/>
  </r>
  <r>
    <d v="2025-06-11T00:00:00"/>
    <x v="11"/>
    <n v="4"/>
    <n v="2025"/>
    <x v="23"/>
    <s v="Week 24"/>
    <s v="Week 24-2025"/>
  </r>
  <r>
    <d v="2025-06-11T00:00:00"/>
    <x v="3"/>
    <n v="4"/>
    <n v="2025"/>
    <x v="23"/>
    <s v="Week 24"/>
    <s v="Week 24-2025"/>
  </r>
  <r>
    <d v="2025-06-11T00:00:00"/>
    <x v="5"/>
    <n v="2"/>
    <n v="2025"/>
    <x v="23"/>
    <s v="Week 24"/>
    <s v="Week 24-2025"/>
  </r>
  <r>
    <d v="2025-06-11T00:00:00"/>
    <x v="20"/>
    <n v="4"/>
    <n v="2025"/>
    <x v="23"/>
    <s v="Week 24"/>
    <s v="Week 24-2025"/>
  </r>
  <r>
    <d v="2025-06-11T00:00:00"/>
    <x v="6"/>
    <n v="2"/>
    <n v="2025"/>
    <x v="23"/>
    <s v="Week 24"/>
    <s v="Week 24-2025"/>
  </r>
  <r>
    <d v="2025-06-11T00:00:00"/>
    <x v="15"/>
    <n v="4"/>
    <n v="2025"/>
    <x v="23"/>
    <s v="Week 24"/>
    <s v="Week 24-2025"/>
  </r>
  <r>
    <d v="2025-06-11T00:00:00"/>
    <x v="1"/>
    <n v="4"/>
    <n v="2025"/>
    <x v="23"/>
    <s v="Week 24"/>
    <s v="Week 24-2025"/>
  </r>
  <r>
    <d v="2025-06-11T00:00:00"/>
    <x v="31"/>
    <n v="4"/>
    <n v="2025"/>
    <x v="23"/>
    <s v="Week 24"/>
    <s v="Week 24-2025"/>
  </r>
  <r>
    <d v="2025-06-11T00:00:00"/>
    <x v="3"/>
    <n v="2"/>
    <n v="2025"/>
    <x v="23"/>
    <s v="Week 24"/>
    <s v="Week 24-2025"/>
  </r>
  <r>
    <d v="2025-06-11T00:00:00"/>
    <x v="15"/>
    <n v="4"/>
    <n v="2025"/>
    <x v="23"/>
    <s v="Week 24"/>
    <s v="Week 24-2025"/>
  </r>
  <r>
    <d v="2025-06-11T00:00:00"/>
    <x v="11"/>
    <n v="2"/>
    <n v="2025"/>
    <x v="23"/>
    <s v="Week 24"/>
    <s v="Week 24-2025"/>
  </r>
  <r>
    <d v="2025-06-11T00:00:00"/>
    <x v="27"/>
    <n v="4"/>
    <n v="2025"/>
    <x v="23"/>
    <s v="Week 24"/>
    <s v="Week 24-2025"/>
  </r>
  <r>
    <d v="2025-06-11T00:00:00"/>
    <x v="27"/>
    <n v="4"/>
    <n v="2025"/>
    <x v="23"/>
    <s v="Week 24"/>
    <s v="Week 24-2025"/>
  </r>
  <r>
    <d v="2025-06-11T00:00:00"/>
    <x v="26"/>
    <n v="2"/>
    <n v="2025"/>
    <x v="23"/>
    <s v="Week 24"/>
    <s v="Week 24-2025"/>
  </r>
  <r>
    <d v="2025-06-11T00:00:00"/>
    <x v="19"/>
    <n v="2"/>
    <n v="2025"/>
    <x v="23"/>
    <s v="Week 24"/>
    <s v="Week 24-2025"/>
  </r>
  <r>
    <d v="2025-06-11T00:00:00"/>
    <x v="25"/>
    <n v="1"/>
    <n v="2025"/>
    <x v="23"/>
    <s v="Week 24"/>
    <s v="Week 24-2025"/>
  </r>
  <r>
    <d v="2025-06-11T00:00:00"/>
    <x v="15"/>
    <n v="1"/>
    <n v="2025"/>
    <x v="23"/>
    <s v="Week 24"/>
    <s v="Week 24-2025"/>
  </r>
  <r>
    <d v="2025-06-11T00:00:00"/>
    <x v="18"/>
    <n v="1"/>
    <n v="2025"/>
    <x v="23"/>
    <s v="Week 24"/>
    <s v="Week 24-2025"/>
  </r>
  <r>
    <d v="2025-06-12T00:00:00"/>
    <x v="17"/>
    <n v="2"/>
    <n v="2025"/>
    <x v="23"/>
    <s v="Week 24"/>
    <s v="Week 24-2025"/>
  </r>
  <r>
    <d v="2025-06-12T00:00:00"/>
    <x v="5"/>
    <n v="1"/>
    <n v="2025"/>
    <x v="23"/>
    <s v="Week 24"/>
    <s v="Week 24-2025"/>
  </r>
  <r>
    <d v="2025-06-12T00:00:00"/>
    <x v="6"/>
    <n v="1"/>
    <n v="2025"/>
    <x v="23"/>
    <s v="Week 24"/>
    <s v="Week 24-2025"/>
  </r>
  <r>
    <d v="2025-06-13T00:00:00"/>
    <x v="10"/>
    <n v="9"/>
    <n v="2025"/>
    <x v="23"/>
    <s v="Week 24"/>
    <s v="Week 24-2025"/>
  </r>
  <r>
    <d v="2025-06-13T00:00:00"/>
    <x v="10"/>
    <n v="7"/>
    <n v="2025"/>
    <x v="23"/>
    <s v="Week 24"/>
    <s v="Week 24-2025"/>
  </r>
  <r>
    <d v="2025-06-13T00:00:00"/>
    <x v="11"/>
    <n v="8"/>
    <n v="2025"/>
    <x v="23"/>
    <s v="Week 24"/>
    <s v="Week 24-2025"/>
  </r>
  <r>
    <d v="2025-06-13T00:00:00"/>
    <x v="25"/>
    <n v="8"/>
    <n v="2025"/>
    <x v="23"/>
    <s v="Week 24"/>
    <s v="Week 24-2025"/>
  </r>
  <r>
    <d v="2025-06-13T00:00:00"/>
    <x v="28"/>
    <n v="6"/>
    <n v="2025"/>
    <x v="23"/>
    <s v="Week 24"/>
    <s v="Week 24-2025"/>
  </r>
  <r>
    <d v="2025-06-13T00:00:00"/>
    <x v="27"/>
    <n v="4"/>
    <n v="2025"/>
    <x v="23"/>
    <s v="Week 24"/>
    <s v="Week 24-2025"/>
  </r>
  <r>
    <d v="2025-06-13T00:00:00"/>
    <x v="4"/>
    <n v="2"/>
    <n v="2025"/>
    <x v="23"/>
    <s v="Week 24"/>
    <s v="Week 24-2025"/>
  </r>
  <r>
    <d v="2025-06-13T00:00:00"/>
    <x v="30"/>
    <n v="2"/>
    <n v="2025"/>
    <x v="23"/>
    <s v="Week 24"/>
    <s v="Week 24-2025"/>
  </r>
  <r>
    <d v="2025-06-14T00:00:00"/>
    <x v="14"/>
    <n v="16"/>
    <n v="2025"/>
    <x v="23"/>
    <s v="Week 24"/>
    <s v="Week 24-2025"/>
  </r>
  <r>
    <d v="2025-06-14T00:00:00"/>
    <x v="10"/>
    <n v="16"/>
    <n v="2025"/>
    <x v="23"/>
    <s v="Week 24"/>
    <s v="Week 24-2025"/>
  </r>
  <r>
    <d v="2025-06-14T00:00:00"/>
    <x v="12"/>
    <n v="16"/>
    <n v="2025"/>
    <x v="23"/>
    <s v="Week 24"/>
    <s v="Week 24-2025"/>
  </r>
  <r>
    <d v="2025-06-14T00:00:00"/>
    <x v="11"/>
    <n v="12"/>
    <n v="2025"/>
    <x v="23"/>
    <s v="Week 24"/>
    <s v="Week 24-2025"/>
  </r>
  <r>
    <d v="2025-06-14T00:00:00"/>
    <x v="13"/>
    <n v="8"/>
    <n v="2025"/>
    <x v="23"/>
    <s v="Week 24"/>
    <s v="Week 24-2025"/>
  </r>
  <r>
    <d v="2025-06-14T00:00:00"/>
    <x v="22"/>
    <n v="16"/>
    <n v="2025"/>
    <x v="23"/>
    <s v="Week 24"/>
    <s v="Week 24-2025"/>
  </r>
  <r>
    <d v="2025-06-14T00:00:00"/>
    <x v="12"/>
    <n v="12"/>
    <n v="2025"/>
    <x v="23"/>
    <s v="Week 24"/>
    <s v="Week 24-2025"/>
  </r>
  <r>
    <d v="2025-06-14T00:00:00"/>
    <x v="14"/>
    <n v="8"/>
    <n v="2025"/>
    <x v="23"/>
    <s v="Week 24"/>
    <s v="Week 24-2025"/>
  </r>
  <r>
    <d v="2025-06-14T00:00:00"/>
    <x v="11"/>
    <n v="8"/>
    <n v="2025"/>
    <x v="23"/>
    <s v="Week 24"/>
    <s v="Week 24-2025"/>
  </r>
  <r>
    <d v="2025-06-14T00:00:00"/>
    <x v="15"/>
    <n v="8"/>
    <n v="2025"/>
    <x v="23"/>
    <s v="Week 24"/>
    <s v="Week 24-2025"/>
  </r>
  <r>
    <d v="2025-06-14T00:00:00"/>
    <x v="25"/>
    <n v="6"/>
    <n v="2025"/>
    <x v="23"/>
    <s v="Week 24"/>
    <s v="Week 24-2025"/>
  </r>
  <r>
    <d v="2025-06-14T00:00:00"/>
    <x v="11"/>
    <n v="4"/>
    <n v="2025"/>
    <x v="23"/>
    <s v="Week 24"/>
    <s v="Week 24-2025"/>
  </r>
  <r>
    <d v="2025-06-14T00:00:00"/>
    <x v="26"/>
    <n v="6"/>
    <n v="2025"/>
    <x v="23"/>
    <s v="Week 24"/>
    <s v="Week 24-2025"/>
  </r>
  <r>
    <d v="2025-06-14T00:00:00"/>
    <x v="31"/>
    <n v="5"/>
    <n v="2025"/>
    <x v="23"/>
    <s v="Week 24"/>
    <s v="Week 24-2025"/>
  </r>
  <r>
    <d v="2025-06-14T00:00:00"/>
    <x v="25"/>
    <n v="4"/>
    <n v="2025"/>
    <x v="23"/>
    <s v="Week 24"/>
    <s v="Week 24-2025"/>
  </r>
  <r>
    <d v="2025-06-14T00:00:00"/>
    <x v="14"/>
    <n v="2"/>
    <n v="2025"/>
    <x v="23"/>
    <s v="Week 24"/>
    <s v="Week 24-2025"/>
  </r>
  <r>
    <d v="2025-06-14T00:00:00"/>
    <x v="19"/>
    <n v="4"/>
    <n v="2025"/>
    <x v="23"/>
    <s v="Week 24"/>
    <s v="Week 24-2025"/>
  </r>
  <r>
    <d v="2025-06-14T00:00:00"/>
    <x v="3"/>
    <n v="2"/>
    <n v="2025"/>
    <x v="23"/>
    <s v="Week 24"/>
    <s v="Week 24-2025"/>
  </r>
  <r>
    <d v="2025-06-14T00:00:00"/>
    <x v="31"/>
    <n v="3"/>
    <n v="2025"/>
    <x v="23"/>
    <s v="Week 24"/>
    <s v="Week 24-2025"/>
  </r>
  <r>
    <d v="2025-06-14T00:00:00"/>
    <x v="26"/>
    <n v="2"/>
    <n v="2025"/>
    <x v="23"/>
    <s v="Week 24"/>
    <s v="Week 24-2025"/>
  </r>
  <r>
    <d v="2025-06-14T00:00:00"/>
    <x v="30"/>
    <n v="2"/>
    <n v="2025"/>
    <x v="23"/>
    <s v="Week 24"/>
    <s v="Week 24-2025"/>
  </r>
  <r>
    <d v="2025-06-16T00:00:00"/>
    <x v="3"/>
    <n v="12"/>
    <n v="2025"/>
    <x v="24"/>
    <s v="Week 25"/>
    <s v="Week 25-2025"/>
  </r>
  <r>
    <d v="2025-06-16T00:00:00"/>
    <x v="13"/>
    <n v="6"/>
    <n v="2025"/>
    <x v="24"/>
    <s v="Week 25"/>
    <s v="Week 25-2025"/>
  </r>
  <r>
    <d v="2025-06-17T00:00:00"/>
    <x v="14"/>
    <n v="14"/>
    <n v="2025"/>
    <x v="24"/>
    <s v="Week 25"/>
    <s v="Week 25-2025"/>
  </r>
  <r>
    <d v="2025-06-17T00:00:00"/>
    <x v="40"/>
    <n v="12"/>
    <n v="2025"/>
    <x v="24"/>
    <s v="Week 25"/>
    <s v="Week 25-2025"/>
  </r>
  <r>
    <d v="2025-06-17T00:00:00"/>
    <x v="6"/>
    <n v="4"/>
    <n v="2025"/>
    <x v="24"/>
    <s v="Week 25"/>
    <s v="Week 25-2025"/>
  </r>
  <r>
    <d v="2025-06-17T00:00:00"/>
    <x v="11"/>
    <n v="6"/>
    <n v="2025"/>
    <x v="24"/>
    <s v="Week 25"/>
    <s v="Week 25-2025"/>
  </r>
  <r>
    <d v="2025-06-17T00:00:00"/>
    <x v="13"/>
    <n v="4"/>
    <n v="2025"/>
    <x v="24"/>
    <s v="Week 25"/>
    <s v="Week 25-2025"/>
  </r>
  <r>
    <d v="2025-06-17T00:00:00"/>
    <x v="17"/>
    <n v="4"/>
    <n v="2025"/>
    <x v="24"/>
    <s v="Week 25"/>
    <s v="Week 25-2025"/>
  </r>
  <r>
    <d v="2025-06-17T00:00:00"/>
    <x v="12"/>
    <n v="6"/>
    <n v="2025"/>
    <x v="24"/>
    <s v="Week 25"/>
    <s v="Week 25-2025"/>
  </r>
  <r>
    <d v="2025-06-17T00:00:00"/>
    <x v="3"/>
    <n v="4"/>
    <n v="2025"/>
    <x v="24"/>
    <s v="Week 25"/>
    <s v="Week 25-2025"/>
  </r>
  <r>
    <d v="2025-06-17T00:00:00"/>
    <x v="11"/>
    <n v="4"/>
    <n v="2025"/>
    <x v="24"/>
    <s v="Week 25"/>
    <s v="Week 25-2025"/>
  </r>
  <r>
    <d v="2025-06-17T00:00:00"/>
    <x v="12"/>
    <n v="4"/>
    <n v="2025"/>
    <x v="24"/>
    <s v="Week 25"/>
    <s v="Week 25-2025"/>
  </r>
  <r>
    <d v="2025-06-17T00:00:00"/>
    <x v="6"/>
    <n v="2"/>
    <n v="2025"/>
    <x v="24"/>
    <s v="Week 25"/>
    <s v="Week 25-2025"/>
  </r>
  <r>
    <d v="2025-06-17T00:00:00"/>
    <x v="2"/>
    <n v="4"/>
    <n v="2025"/>
    <x v="24"/>
    <s v="Week 25"/>
    <s v="Week 25-2025"/>
  </r>
  <r>
    <d v="2025-06-17T00:00:00"/>
    <x v="9"/>
    <n v="3"/>
    <n v="2025"/>
    <x v="24"/>
    <s v="Week 25"/>
    <s v="Week 25-2025"/>
  </r>
  <r>
    <d v="2025-06-17T00:00:00"/>
    <x v="6"/>
    <n v="2"/>
    <n v="2025"/>
    <x v="24"/>
    <s v="Week 25"/>
    <s v="Week 25-2025"/>
  </r>
  <r>
    <d v="2025-06-17T00:00:00"/>
    <x v="1"/>
    <n v="4"/>
    <n v="2025"/>
    <x v="24"/>
    <s v="Week 25"/>
    <s v="Week 25-2025"/>
  </r>
  <r>
    <d v="2025-06-17T00:00:00"/>
    <x v="31"/>
    <n v="4"/>
    <n v="2025"/>
    <x v="24"/>
    <s v="Week 25"/>
    <s v="Week 25-2025"/>
  </r>
  <r>
    <d v="2025-06-17T00:00:00"/>
    <x v="3"/>
    <n v="2"/>
    <n v="2025"/>
    <x v="24"/>
    <s v="Week 25"/>
    <s v="Week 25-2025"/>
  </r>
  <r>
    <d v="2025-06-18T00:00:00"/>
    <x v="14"/>
    <n v="4"/>
    <n v="2025"/>
    <x v="24"/>
    <s v="Week 25"/>
    <s v="Week 25-2025"/>
  </r>
  <r>
    <d v="2025-06-18T00:00:00"/>
    <x v="6"/>
    <n v="2"/>
    <n v="2025"/>
    <x v="24"/>
    <s v="Week 25"/>
    <s v="Week 25-2025"/>
  </r>
  <r>
    <d v="2025-06-18T00:00:00"/>
    <x v="22"/>
    <n v="4"/>
    <n v="2025"/>
    <x v="24"/>
    <s v="Week 25"/>
    <s v="Week 25-2025"/>
  </r>
  <r>
    <d v="2025-06-18T00:00:00"/>
    <x v="3"/>
    <n v="2"/>
    <n v="2025"/>
    <x v="24"/>
    <s v="Week 25"/>
    <s v="Week 25-2025"/>
  </r>
  <r>
    <d v="2025-06-18T00:00:00"/>
    <x v="3"/>
    <n v="2"/>
    <n v="2025"/>
    <x v="24"/>
    <s v="Week 25"/>
    <s v="Week 25-2025"/>
  </r>
  <r>
    <d v="2025-06-19T00:00:00"/>
    <x v="3"/>
    <n v="34"/>
    <n v="2025"/>
    <x v="24"/>
    <s v="Week 25"/>
    <s v="Week 25-2025"/>
  </r>
  <r>
    <d v="2025-06-19T00:00:00"/>
    <x v="17"/>
    <n v="22"/>
    <n v="2025"/>
    <x v="24"/>
    <s v="Week 25"/>
    <s v="Week 25-2025"/>
  </r>
  <r>
    <d v="2025-06-19T00:00:00"/>
    <x v="11"/>
    <n v="28"/>
    <n v="2025"/>
    <x v="24"/>
    <s v="Week 25"/>
    <s v="Week 25-2025"/>
  </r>
  <r>
    <d v="2025-06-19T00:00:00"/>
    <x v="10"/>
    <n v="20"/>
    <n v="2025"/>
    <x v="24"/>
    <s v="Week 25"/>
    <s v="Week 25-2025"/>
  </r>
  <r>
    <d v="2025-06-19T00:00:00"/>
    <x v="10"/>
    <n v="18"/>
    <n v="2025"/>
    <x v="24"/>
    <s v="Week 25"/>
    <s v="Week 25-2025"/>
  </r>
  <r>
    <d v="2025-06-19T00:00:00"/>
    <x v="12"/>
    <n v="25"/>
    <n v="2025"/>
    <x v="24"/>
    <s v="Week 25"/>
    <s v="Week 25-2025"/>
  </r>
  <r>
    <d v="2025-06-19T00:00:00"/>
    <x v="11"/>
    <n v="20"/>
    <n v="2025"/>
    <x v="24"/>
    <s v="Week 25"/>
    <s v="Week 25-2025"/>
  </r>
  <r>
    <d v="2025-06-19T00:00:00"/>
    <x v="11"/>
    <n v="16"/>
    <n v="2025"/>
    <x v="24"/>
    <s v="Week 25"/>
    <s v="Week 25-2025"/>
  </r>
  <r>
    <d v="2025-06-19T00:00:00"/>
    <x v="12"/>
    <n v="18"/>
    <n v="2025"/>
    <x v="24"/>
    <s v="Week 25"/>
    <s v="Week 25-2025"/>
  </r>
  <r>
    <d v="2025-06-19T00:00:00"/>
    <x v="12"/>
    <n v="15"/>
    <n v="2025"/>
    <x v="24"/>
    <s v="Week 25"/>
    <s v="Week 25-2025"/>
  </r>
  <r>
    <d v="2025-06-19T00:00:00"/>
    <x v="13"/>
    <n v="8"/>
    <n v="2025"/>
    <x v="24"/>
    <s v="Week 25"/>
    <s v="Week 25-2025"/>
  </r>
  <r>
    <d v="2025-06-19T00:00:00"/>
    <x v="12"/>
    <n v="12"/>
    <n v="2025"/>
    <x v="24"/>
    <s v="Week 25"/>
    <s v="Week 25-2025"/>
  </r>
  <r>
    <d v="2025-06-19T00:00:00"/>
    <x v="14"/>
    <n v="8"/>
    <n v="2025"/>
    <x v="24"/>
    <s v="Week 25"/>
    <s v="Week 25-2025"/>
  </r>
  <r>
    <d v="2025-06-19T00:00:00"/>
    <x v="3"/>
    <n v="9"/>
    <n v="2025"/>
    <x v="24"/>
    <s v="Week 25"/>
    <s v="Week 25-2025"/>
  </r>
  <r>
    <d v="2025-06-19T00:00:00"/>
    <x v="15"/>
    <n v="12"/>
    <n v="2025"/>
    <x v="24"/>
    <s v="Week 25"/>
    <s v="Week 25-2025"/>
  </r>
  <r>
    <d v="2025-06-19T00:00:00"/>
    <x v="19"/>
    <n v="13"/>
    <n v="2025"/>
    <x v="24"/>
    <s v="Week 25"/>
    <s v="Week 25-2025"/>
  </r>
  <r>
    <d v="2025-06-19T00:00:00"/>
    <x v="19"/>
    <n v="11"/>
    <n v="2025"/>
    <x v="24"/>
    <s v="Week 25"/>
    <s v="Week 25-2025"/>
  </r>
  <r>
    <d v="2025-06-19T00:00:00"/>
    <x v="17"/>
    <n v="4"/>
    <n v="2025"/>
    <x v="24"/>
    <s v="Week 25"/>
    <s v="Week 25-2025"/>
  </r>
  <r>
    <d v="2025-06-19T00:00:00"/>
    <x v="14"/>
    <n v="4"/>
    <n v="2025"/>
    <x v="24"/>
    <s v="Week 25"/>
    <s v="Week 25-2025"/>
  </r>
  <r>
    <d v="2025-06-19T00:00:00"/>
    <x v="15"/>
    <n v="8"/>
    <n v="2025"/>
    <x v="24"/>
    <s v="Week 25"/>
    <s v="Week 25-2025"/>
  </r>
  <r>
    <d v="2025-06-19T00:00:00"/>
    <x v="2"/>
    <n v="6"/>
    <n v="2025"/>
    <x v="24"/>
    <s v="Week 25"/>
    <s v="Week 25-2025"/>
  </r>
  <r>
    <d v="2025-06-19T00:00:00"/>
    <x v="15"/>
    <n v="7"/>
    <n v="2025"/>
    <x v="24"/>
    <s v="Week 25"/>
    <s v="Week 25-2025"/>
  </r>
  <r>
    <d v="2025-06-19T00:00:00"/>
    <x v="4"/>
    <n v="8"/>
    <n v="2025"/>
    <x v="24"/>
    <s v="Week 25"/>
    <s v="Week 25-2025"/>
  </r>
  <r>
    <d v="2025-06-19T00:00:00"/>
    <x v="6"/>
    <n v="2"/>
    <n v="2025"/>
    <x v="24"/>
    <s v="Week 25"/>
    <s v="Week 25-2025"/>
  </r>
  <r>
    <d v="2025-06-19T00:00:00"/>
    <x v="25"/>
    <n v="4"/>
    <n v="2025"/>
    <x v="24"/>
    <s v="Week 25"/>
    <s v="Week 25-2025"/>
  </r>
  <r>
    <d v="2025-06-19T00:00:00"/>
    <x v="17"/>
    <n v="2"/>
    <n v="2025"/>
    <x v="24"/>
    <s v="Week 25"/>
    <s v="Week 25-2025"/>
  </r>
  <r>
    <d v="2025-06-19T00:00:00"/>
    <x v="17"/>
    <n v="2"/>
    <n v="2025"/>
    <x v="24"/>
    <s v="Week 25"/>
    <s v="Week 25-2025"/>
  </r>
  <r>
    <d v="2025-06-19T00:00:00"/>
    <x v="14"/>
    <n v="2"/>
    <n v="2025"/>
    <x v="24"/>
    <s v="Week 25"/>
    <s v="Week 25-2025"/>
  </r>
  <r>
    <d v="2025-06-19T00:00:00"/>
    <x v="25"/>
    <n v="3"/>
    <n v="2025"/>
    <x v="24"/>
    <s v="Week 25"/>
    <s v="Week 25-2025"/>
  </r>
  <r>
    <d v="2025-06-19T00:00:00"/>
    <x v="33"/>
    <n v="4"/>
    <n v="2025"/>
    <x v="24"/>
    <s v="Week 25"/>
    <s v="Week 25-2025"/>
  </r>
  <r>
    <d v="2025-06-19T00:00:00"/>
    <x v="11"/>
    <n v="2"/>
    <n v="2025"/>
    <x v="24"/>
    <s v="Week 25"/>
    <s v="Week 25-2025"/>
  </r>
  <r>
    <d v="2025-06-19T00:00:00"/>
    <x v="21"/>
    <n v="4"/>
    <n v="2025"/>
    <x v="24"/>
    <s v="Week 25"/>
    <s v="Week 25-2025"/>
  </r>
  <r>
    <d v="2025-06-19T00:00:00"/>
    <x v="20"/>
    <n v="2"/>
    <n v="2025"/>
    <x v="24"/>
    <s v="Week 25"/>
    <s v="Week 25-2025"/>
  </r>
  <r>
    <d v="2025-06-19T00:00:00"/>
    <x v="1"/>
    <n v="2"/>
    <n v="2025"/>
    <x v="24"/>
    <s v="Week 25"/>
    <s v="Week 25-2025"/>
  </r>
  <r>
    <d v="2025-06-19T00:00:00"/>
    <x v="26"/>
    <n v="2"/>
    <n v="2025"/>
    <x v="24"/>
    <s v="Week 25"/>
    <s v="Week 25-2025"/>
  </r>
  <r>
    <d v="2025-06-19T00:00:00"/>
    <x v="4"/>
    <n v="2"/>
    <n v="2025"/>
    <x v="24"/>
    <s v="Week 25"/>
    <s v="Week 25-2025"/>
  </r>
  <r>
    <d v="2025-06-19T00:00:00"/>
    <x v="25"/>
    <n v="1"/>
    <n v="2025"/>
    <x v="24"/>
    <s v="Week 25"/>
    <s v="Week 25-2025"/>
  </r>
  <r>
    <d v="2025-06-21T00:00:00"/>
    <x v="12"/>
    <n v="18"/>
    <n v="2025"/>
    <x v="24"/>
    <s v="Week 25"/>
    <s v="Week 25-2025"/>
  </r>
  <r>
    <d v="2025-06-21T00:00:00"/>
    <x v="14"/>
    <n v="8"/>
    <n v="2025"/>
    <x v="24"/>
    <s v="Week 25"/>
    <s v="Week 25-2025"/>
  </r>
  <r>
    <d v="2025-06-21T00:00:00"/>
    <x v="11"/>
    <n v="6"/>
    <n v="2025"/>
    <x v="24"/>
    <s v="Week 25"/>
    <s v="Week 25-2025"/>
  </r>
  <r>
    <d v="2025-06-21T00:00:00"/>
    <x v="10"/>
    <n v="4"/>
    <n v="2025"/>
    <x v="24"/>
    <s v="Week 25"/>
    <s v="Week 25-2025"/>
  </r>
  <r>
    <d v="2025-06-21T00:00:00"/>
    <x v="15"/>
    <n v="8"/>
    <n v="2025"/>
    <x v="24"/>
    <s v="Week 25"/>
    <s v="Week 25-2025"/>
  </r>
  <r>
    <d v="2025-06-21T00:00:00"/>
    <x v="17"/>
    <n v="3"/>
    <n v="2025"/>
    <x v="24"/>
    <s v="Week 25"/>
    <s v="Week 25-2025"/>
  </r>
  <r>
    <d v="2025-06-21T00:00:00"/>
    <x v="40"/>
    <n v="4"/>
    <n v="2025"/>
    <x v="24"/>
    <s v="Week 25"/>
    <s v="Week 25-2025"/>
  </r>
  <r>
    <d v="2025-06-21T00:00:00"/>
    <x v="9"/>
    <n v="3"/>
    <n v="2025"/>
    <x v="24"/>
    <s v="Week 25"/>
    <s v="Week 25-2025"/>
  </r>
  <r>
    <d v="2025-06-21T00:00:00"/>
    <x v="1"/>
    <n v="4"/>
    <n v="2025"/>
    <x v="24"/>
    <s v="Week 25"/>
    <s v="Week 25-2025"/>
  </r>
  <r>
    <d v="2025-06-21T00:00:00"/>
    <x v="12"/>
    <n v="2"/>
    <n v="2025"/>
    <x v="24"/>
    <s v="Week 25"/>
    <s v="Week 25-2025"/>
  </r>
  <r>
    <d v="2025-06-21T00:00:00"/>
    <x v="11"/>
    <n v="2"/>
    <n v="2025"/>
    <x v="24"/>
    <s v="Week 25"/>
    <s v="Week 25-2025"/>
  </r>
  <r>
    <d v="2025-06-22T00:00:00"/>
    <x v="12"/>
    <n v="35"/>
    <n v="2025"/>
    <x v="24"/>
    <s v="Week 26"/>
    <s v="Week 26-2025"/>
  </r>
  <r>
    <d v="2025-06-22T00:00:00"/>
    <x v="14"/>
    <n v="18"/>
    <n v="2025"/>
    <x v="24"/>
    <s v="Week 26"/>
    <s v="Week 26-2025"/>
  </r>
  <r>
    <d v="2025-06-22T00:00:00"/>
    <x v="12"/>
    <n v="20"/>
    <n v="2025"/>
    <x v="24"/>
    <s v="Week 26"/>
    <s v="Week 26-2025"/>
  </r>
  <r>
    <d v="2025-06-22T00:00:00"/>
    <x v="11"/>
    <n v="16"/>
    <n v="2025"/>
    <x v="24"/>
    <s v="Week 26"/>
    <s v="Week 26-2025"/>
  </r>
  <r>
    <d v="2025-06-22T00:00:00"/>
    <x v="11"/>
    <n v="14"/>
    <n v="2025"/>
    <x v="24"/>
    <s v="Week 26"/>
    <s v="Week 26-2025"/>
  </r>
  <r>
    <d v="2025-06-22T00:00:00"/>
    <x v="13"/>
    <n v="8"/>
    <n v="2025"/>
    <x v="24"/>
    <s v="Week 26"/>
    <s v="Week 26-2025"/>
  </r>
  <r>
    <d v="2025-06-22T00:00:00"/>
    <x v="11"/>
    <n v="12"/>
    <n v="2025"/>
    <x v="24"/>
    <s v="Week 26"/>
    <s v="Week 26-2025"/>
  </r>
  <r>
    <d v="2025-06-22T00:00:00"/>
    <x v="12"/>
    <n v="12"/>
    <n v="2025"/>
    <x v="24"/>
    <s v="Week 26"/>
    <s v="Week 26-2025"/>
  </r>
  <r>
    <d v="2025-06-22T00:00:00"/>
    <x v="15"/>
    <n v="16"/>
    <n v="2025"/>
    <x v="24"/>
    <s v="Week 26"/>
    <s v="Week 26-2025"/>
  </r>
  <r>
    <d v="2025-06-22T00:00:00"/>
    <x v="15"/>
    <n v="16"/>
    <n v="2025"/>
    <x v="24"/>
    <s v="Week 26"/>
    <s v="Week 26-2025"/>
  </r>
  <r>
    <d v="2025-06-22T00:00:00"/>
    <x v="10"/>
    <n v="8"/>
    <n v="2025"/>
    <x v="24"/>
    <s v="Week 26"/>
    <s v="Week 26-2025"/>
  </r>
  <r>
    <d v="2025-06-22T00:00:00"/>
    <x v="3"/>
    <n v="8"/>
    <n v="2025"/>
    <x v="24"/>
    <s v="Week 26"/>
    <s v="Week 26-2025"/>
  </r>
  <r>
    <d v="2025-06-22T00:00:00"/>
    <x v="11"/>
    <n v="8"/>
    <n v="2025"/>
    <x v="24"/>
    <s v="Week 26"/>
    <s v="Week 26-2025"/>
  </r>
  <r>
    <d v="2025-06-22T00:00:00"/>
    <x v="26"/>
    <n v="12"/>
    <n v="2025"/>
    <x v="24"/>
    <s v="Week 26"/>
    <s v="Week 26-2025"/>
  </r>
  <r>
    <d v="2025-06-22T00:00:00"/>
    <x v="14"/>
    <n v="6"/>
    <n v="2025"/>
    <x v="24"/>
    <s v="Week 26"/>
    <s v="Week 26-2025"/>
  </r>
  <r>
    <d v="2025-06-22T00:00:00"/>
    <x v="7"/>
    <n v="4"/>
    <n v="2025"/>
    <x v="24"/>
    <s v="Week 26"/>
    <s v="Week 26-2025"/>
  </r>
  <r>
    <d v="2025-06-22T00:00:00"/>
    <x v="13"/>
    <n v="4"/>
    <n v="2025"/>
    <x v="24"/>
    <s v="Week 26"/>
    <s v="Week 26-2025"/>
  </r>
  <r>
    <d v="2025-06-22T00:00:00"/>
    <x v="12"/>
    <n v="6"/>
    <n v="2025"/>
    <x v="24"/>
    <s v="Week 26"/>
    <s v="Week 26-2025"/>
  </r>
  <r>
    <d v="2025-06-22T00:00:00"/>
    <x v="17"/>
    <n v="3"/>
    <n v="2025"/>
    <x v="24"/>
    <s v="Week 26"/>
    <s v="Week 26-2025"/>
  </r>
  <r>
    <d v="2025-06-22T00:00:00"/>
    <x v="3"/>
    <n v="3"/>
    <n v="2025"/>
    <x v="24"/>
    <s v="Week 26"/>
    <s v="Week 26-2025"/>
  </r>
  <r>
    <d v="2025-06-22T00:00:00"/>
    <x v="25"/>
    <n v="4"/>
    <n v="2025"/>
    <x v="24"/>
    <s v="Week 26"/>
    <s v="Week 26-2025"/>
  </r>
  <r>
    <d v="2025-06-22T00:00:00"/>
    <x v="6"/>
    <n v="2"/>
    <n v="2025"/>
    <x v="24"/>
    <s v="Week 26"/>
    <s v="Week 26-2025"/>
  </r>
  <r>
    <d v="2025-06-22T00:00:00"/>
    <x v="15"/>
    <n v="4"/>
    <n v="2025"/>
    <x v="24"/>
    <s v="Week 26"/>
    <s v="Week 26-2025"/>
  </r>
  <r>
    <d v="2025-06-22T00:00:00"/>
    <x v="9"/>
    <n v="2"/>
    <n v="2025"/>
    <x v="24"/>
    <s v="Week 26"/>
    <s v="Week 26-2025"/>
  </r>
  <r>
    <d v="2025-06-22T00:00:00"/>
    <x v="5"/>
    <n v="1"/>
    <n v="2025"/>
    <x v="24"/>
    <s v="Week 26"/>
    <s v="Week 26-2025"/>
  </r>
  <r>
    <d v="2025-06-22T00:00:00"/>
    <x v="5"/>
    <n v="1"/>
    <n v="2025"/>
    <x v="24"/>
    <s v="Week 26"/>
    <s v="Week 26-2025"/>
  </r>
  <r>
    <d v="2025-06-22T00:00:00"/>
    <x v="2"/>
    <n v="2"/>
    <n v="2025"/>
    <x v="24"/>
    <s v="Week 26"/>
    <s v="Week 26-2025"/>
  </r>
  <r>
    <d v="2025-06-22T00:00:00"/>
    <x v="17"/>
    <n v="1"/>
    <n v="2025"/>
    <x v="24"/>
    <s v="Week 26"/>
    <s v="Week 26-2025"/>
  </r>
  <r>
    <d v="2025-06-22T00:00:00"/>
    <x v="18"/>
    <n v="2"/>
    <n v="2025"/>
    <x v="24"/>
    <s v="Week 26"/>
    <s v="Week 26-2025"/>
  </r>
  <r>
    <d v="2025-06-22T00:00:00"/>
    <x v="1"/>
    <n v="2"/>
    <n v="2025"/>
    <x v="24"/>
    <s v="Week 26"/>
    <s v="Week 26-2025"/>
  </r>
  <r>
    <d v="2025-06-23T00:00:00"/>
    <x v="12"/>
    <n v="50"/>
    <n v="2025"/>
    <x v="25"/>
    <s v="Week 26"/>
    <s v="Week 26-2025"/>
  </r>
  <r>
    <d v="2025-06-23T00:00:00"/>
    <x v="11"/>
    <n v="32"/>
    <n v="2025"/>
    <x v="25"/>
    <s v="Week 26"/>
    <s v="Week 26-2025"/>
  </r>
  <r>
    <d v="2025-06-23T00:00:00"/>
    <x v="15"/>
    <n v="30"/>
    <n v="2025"/>
    <x v="25"/>
    <s v="Week 26"/>
    <s v="Week 26-2025"/>
  </r>
  <r>
    <d v="2025-06-23T00:00:00"/>
    <x v="11"/>
    <n v="18"/>
    <n v="2025"/>
    <x v="25"/>
    <s v="Week 26"/>
    <s v="Week 26-2025"/>
  </r>
  <r>
    <d v="2025-06-23T00:00:00"/>
    <x v="17"/>
    <n v="10"/>
    <n v="2025"/>
    <x v="25"/>
    <s v="Week 26"/>
    <s v="Week 26-2025"/>
  </r>
  <r>
    <d v="2025-06-23T00:00:00"/>
    <x v="12"/>
    <n v="14"/>
    <n v="2025"/>
    <x v="25"/>
    <s v="Week 26"/>
    <s v="Week 26-2025"/>
  </r>
  <r>
    <d v="2025-06-23T00:00:00"/>
    <x v="19"/>
    <n v="20"/>
    <n v="2025"/>
    <x v="25"/>
    <s v="Week 26"/>
    <s v="Week 26-2025"/>
  </r>
  <r>
    <d v="2025-06-23T00:00:00"/>
    <x v="3"/>
    <n v="10"/>
    <n v="2025"/>
    <x v="25"/>
    <s v="Week 26"/>
    <s v="Week 26-2025"/>
  </r>
  <r>
    <d v="2025-06-23T00:00:00"/>
    <x v="10"/>
    <n v="6"/>
    <n v="2025"/>
    <x v="25"/>
    <s v="Week 26"/>
    <s v="Week 26-2025"/>
  </r>
  <r>
    <d v="2025-06-23T00:00:00"/>
    <x v="3"/>
    <n v="6"/>
    <n v="2025"/>
    <x v="25"/>
    <s v="Week 26"/>
    <s v="Week 26-2025"/>
  </r>
  <r>
    <d v="2025-06-23T00:00:00"/>
    <x v="13"/>
    <n v="4"/>
    <n v="2025"/>
    <x v="25"/>
    <s v="Week 26"/>
    <s v="Week 26-2025"/>
  </r>
  <r>
    <d v="2025-06-23T00:00:00"/>
    <x v="15"/>
    <n v="6"/>
    <n v="2025"/>
    <x v="25"/>
    <s v="Week 26"/>
    <s v="Week 26-2025"/>
  </r>
  <r>
    <d v="2025-06-23T00:00:00"/>
    <x v="9"/>
    <n v="4"/>
    <n v="2025"/>
    <x v="25"/>
    <s v="Week 26"/>
    <s v="Week 26-2025"/>
  </r>
  <r>
    <d v="2025-06-23T00:00:00"/>
    <x v="28"/>
    <n v="8"/>
    <n v="2025"/>
    <x v="25"/>
    <s v="Week 26"/>
    <s v="Week 26-2025"/>
  </r>
  <r>
    <d v="2025-06-23T00:00:00"/>
    <x v="25"/>
    <n v="4"/>
    <n v="2025"/>
    <x v="25"/>
    <s v="Week 26"/>
    <s v="Week 26-2025"/>
  </r>
  <r>
    <d v="2025-06-23T00:00:00"/>
    <x v="14"/>
    <n v="2"/>
    <n v="2025"/>
    <x v="25"/>
    <s v="Week 26"/>
    <s v="Week 26-2025"/>
  </r>
  <r>
    <d v="2025-06-23T00:00:00"/>
    <x v="15"/>
    <n v="4"/>
    <n v="2025"/>
    <x v="25"/>
    <s v="Week 26"/>
    <s v="Week 26-2025"/>
  </r>
  <r>
    <d v="2025-06-23T00:00:00"/>
    <x v="10"/>
    <n v="2"/>
    <n v="2025"/>
    <x v="25"/>
    <s v="Week 26"/>
    <s v="Week 26-2025"/>
  </r>
  <r>
    <d v="2025-06-23T00:00:00"/>
    <x v="28"/>
    <n v="6"/>
    <n v="2025"/>
    <x v="25"/>
    <s v="Week 26"/>
    <s v="Week 26-2025"/>
  </r>
  <r>
    <d v="2025-06-24T00:00:00"/>
    <x v="15"/>
    <n v="40"/>
    <n v="2025"/>
    <x v="25"/>
    <s v="Week 26"/>
    <s v="Week 26-2025"/>
  </r>
  <r>
    <d v="2025-06-24T00:00:00"/>
    <x v="12"/>
    <n v="22"/>
    <n v="2025"/>
    <x v="25"/>
    <s v="Week 26"/>
    <s v="Week 26-2025"/>
  </r>
  <r>
    <d v="2025-06-24T00:00:00"/>
    <x v="25"/>
    <n v="8"/>
    <n v="2025"/>
    <x v="25"/>
    <s v="Week 26"/>
    <s v="Week 26-2025"/>
  </r>
  <r>
    <d v="2025-06-24T00:00:00"/>
    <x v="2"/>
    <n v="4"/>
    <n v="2025"/>
    <x v="25"/>
    <s v="Week 26"/>
    <s v="Week 26-2025"/>
  </r>
  <r>
    <d v="2025-06-24T00:00:00"/>
    <x v="11"/>
    <n v="4"/>
    <n v="2025"/>
    <x v="25"/>
    <s v="Week 26"/>
    <s v="Week 26-2025"/>
  </r>
  <r>
    <d v="2025-06-24T00:00:00"/>
    <x v="15"/>
    <n v="4"/>
    <n v="2025"/>
    <x v="25"/>
    <s v="Week 26"/>
    <s v="Week 26-2025"/>
  </r>
  <r>
    <d v="2025-06-24T00:00:00"/>
    <x v="28"/>
    <n v="8"/>
    <n v="2025"/>
    <x v="25"/>
    <s v="Week 26"/>
    <s v="Week 26-2025"/>
  </r>
  <r>
    <d v="2025-06-24T00:00:00"/>
    <x v="18"/>
    <n v="6"/>
    <n v="2025"/>
    <x v="25"/>
    <s v="Week 26"/>
    <s v="Week 26-2025"/>
  </r>
  <r>
    <d v="2025-06-24T00:00:00"/>
    <x v="30"/>
    <n v="6"/>
    <n v="2025"/>
    <x v="25"/>
    <s v="Week 26"/>
    <s v="Week 26-2025"/>
  </r>
  <r>
    <d v="2025-06-25T00:00:00"/>
    <x v="12"/>
    <n v="18"/>
    <n v="2025"/>
    <x v="25"/>
    <s v="Week 26"/>
    <s v="Week 26-2025"/>
  </r>
  <r>
    <d v="2025-06-25T00:00:00"/>
    <x v="3"/>
    <n v="8"/>
    <n v="2025"/>
    <x v="25"/>
    <s v="Week 26"/>
    <s v="Week 26-2025"/>
  </r>
  <r>
    <d v="2025-06-25T00:00:00"/>
    <x v="11"/>
    <n v="8"/>
    <n v="2025"/>
    <x v="25"/>
    <s v="Week 26"/>
    <s v="Week 26-2025"/>
  </r>
  <r>
    <d v="2025-06-25T00:00:00"/>
    <x v="3"/>
    <n v="6"/>
    <n v="2025"/>
    <x v="25"/>
    <s v="Week 26"/>
    <s v="Week 26-2025"/>
  </r>
  <r>
    <d v="2025-06-25T00:00:00"/>
    <x v="4"/>
    <n v="10"/>
    <n v="2025"/>
    <x v="25"/>
    <s v="Week 26"/>
    <s v="Week 26-2025"/>
  </r>
  <r>
    <d v="2025-06-25T00:00:00"/>
    <x v="6"/>
    <n v="2"/>
    <n v="2025"/>
    <x v="25"/>
    <s v="Week 26"/>
    <s v="Week 26-2025"/>
  </r>
  <r>
    <d v="2025-06-25T00:00:00"/>
    <x v="13"/>
    <n v="2"/>
    <n v="2025"/>
    <x v="25"/>
    <s v="Week 26"/>
    <s v="Week 26-2025"/>
  </r>
  <r>
    <d v="2025-06-25T00:00:00"/>
    <x v="19"/>
    <n v="4"/>
    <n v="2025"/>
    <x v="25"/>
    <s v="Week 26"/>
    <s v="Week 26-2025"/>
  </r>
  <r>
    <d v="2025-06-25T00:00:00"/>
    <x v="15"/>
    <n v="2"/>
    <n v="2025"/>
    <x v="25"/>
    <s v="Week 26"/>
    <s v="Week 26-2025"/>
  </r>
  <r>
    <d v="2025-06-26T00:00:00"/>
    <x v="12"/>
    <n v="21"/>
    <n v="2025"/>
    <x v="25"/>
    <s v="Week 26"/>
    <s v="Week 26-2025"/>
  </r>
  <r>
    <d v="2025-06-26T00:00:00"/>
    <x v="3"/>
    <n v="10"/>
    <n v="2025"/>
    <x v="25"/>
    <s v="Week 26"/>
    <s v="Week 26-2025"/>
  </r>
  <r>
    <d v="2025-06-26T00:00:00"/>
    <x v="11"/>
    <n v="10"/>
    <n v="2025"/>
    <x v="25"/>
    <s v="Week 26"/>
    <s v="Week 26-2025"/>
  </r>
  <r>
    <d v="2025-06-26T00:00:00"/>
    <x v="10"/>
    <n v="8"/>
    <n v="2025"/>
    <x v="25"/>
    <s v="Week 26"/>
    <s v="Week 26-2025"/>
  </r>
  <r>
    <d v="2025-06-26T00:00:00"/>
    <x v="12"/>
    <n v="9"/>
    <n v="2025"/>
    <x v="25"/>
    <s v="Week 26"/>
    <s v="Week 26-2025"/>
  </r>
  <r>
    <d v="2025-06-26T00:00:00"/>
    <x v="17"/>
    <n v="2"/>
    <n v="2025"/>
    <x v="25"/>
    <s v="Week 26"/>
    <s v="Week 26-2025"/>
  </r>
  <r>
    <d v="2025-06-26T00:00:00"/>
    <x v="15"/>
    <n v="4"/>
    <n v="2025"/>
    <x v="25"/>
    <s v="Week 26"/>
    <s v="Week 26-2025"/>
  </r>
  <r>
    <d v="2025-06-27T00:00:00"/>
    <x v="12"/>
    <n v="62"/>
    <n v="2025"/>
    <x v="25"/>
    <s v="Week 26"/>
    <s v="Week 26-2025"/>
  </r>
  <r>
    <d v="2025-06-27T00:00:00"/>
    <x v="17"/>
    <n v="16"/>
    <n v="2025"/>
    <x v="25"/>
    <s v="Week 26"/>
    <s v="Week 26-2025"/>
  </r>
  <r>
    <d v="2025-06-27T00:00:00"/>
    <x v="3"/>
    <n v="11"/>
    <n v="2025"/>
    <x v="25"/>
    <s v="Week 26"/>
    <s v="Week 26-2025"/>
  </r>
  <r>
    <d v="2025-06-27T00:00:00"/>
    <x v="11"/>
    <n v="10"/>
    <n v="2025"/>
    <x v="25"/>
    <s v="Week 26"/>
    <s v="Week 26-2025"/>
  </r>
  <r>
    <d v="2025-06-27T00:00:00"/>
    <x v="10"/>
    <n v="8"/>
    <n v="2025"/>
    <x v="25"/>
    <s v="Week 26"/>
    <s v="Week 26-2025"/>
  </r>
  <r>
    <d v="2025-06-27T00:00:00"/>
    <x v="15"/>
    <n v="14"/>
    <n v="2025"/>
    <x v="25"/>
    <s v="Week 26"/>
    <s v="Week 26-2025"/>
  </r>
  <r>
    <d v="2025-06-27T00:00:00"/>
    <x v="17"/>
    <n v="5"/>
    <n v="2025"/>
    <x v="25"/>
    <s v="Week 26"/>
    <s v="Week 26-2025"/>
  </r>
  <r>
    <d v="2025-06-27T00:00:00"/>
    <x v="17"/>
    <n v="5"/>
    <n v="2025"/>
    <x v="25"/>
    <s v="Week 26"/>
    <s v="Week 26-2025"/>
  </r>
  <r>
    <d v="2025-06-27T00:00:00"/>
    <x v="3"/>
    <n v="4"/>
    <n v="2025"/>
    <x v="25"/>
    <s v="Week 26"/>
    <s v="Week 26-2025"/>
  </r>
  <r>
    <d v="2025-06-27T00:00:00"/>
    <x v="28"/>
    <n v="12"/>
    <n v="2025"/>
    <x v="25"/>
    <s v="Week 26"/>
    <s v="Week 26-2025"/>
  </r>
  <r>
    <d v="2025-06-27T00:00:00"/>
    <x v="9"/>
    <n v="4"/>
    <n v="2025"/>
    <x v="25"/>
    <s v="Week 26"/>
    <s v="Week 26-2025"/>
  </r>
  <r>
    <d v="2025-06-27T00:00:00"/>
    <x v="14"/>
    <n v="2"/>
    <n v="2025"/>
    <x v="25"/>
    <s v="Week 26"/>
    <s v="Week 26-2025"/>
  </r>
  <r>
    <d v="2025-06-27T00:00:00"/>
    <x v="3"/>
    <n v="1"/>
    <n v="2025"/>
    <x v="25"/>
    <s v="Week 26"/>
    <s v="Week 26-2025"/>
  </r>
  <r>
    <d v="2025-06-27T00:00:00"/>
    <x v="18"/>
    <n v="1"/>
    <n v="2025"/>
    <x v="25"/>
    <s v="Week 26"/>
    <s v="Week 26-2025"/>
  </r>
  <r>
    <d v="2025-06-28T00:00:00"/>
    <x v="12"/>
    <n v="48"/>
    <n v="2025"/>
    <x v="25"/>
    <s v="Week 26"/>
    <s v="Week 26-2025"/>
  </r>
  <r>
    <d v="2025-06-28T00:00:00"/>
    <x v="10"/>
    <n v="16"/>
    <n v="2025"/>
    <x v="25"/>
    <s v="Week 26"/>
    <s v="Week 26-2025"/>
  </r>
  <r>
    <d v="2025-06-28T00:00:00"/>
    <x v="14"/>
    <n v="8"/>
    <n v="2025"/>
    <x v="25"/>
    <s v="Week 26"/>
    <s v="Week 26-2025"/>
  </r>
  <r>
    <d v="2025-06-28T00:00:00"/>
    <x v="13"/>
    <n v="4"/>
    <n v="2025"/>
    <x v="25"/>
    <s v="Week 26"/>
    <s v="Week 26-2025"/>
  </r>
  <r>
    <d v="2025-06-28T00:00:00"/>
    <x v="3"/>
    <n v="6"/>
    <n v="2025"/>
    <x v="25"/>
    <s v="Week 26"/>
    <s v="Week 26-2025"/>
  </r>
  <r>
    <d v="2025-06-28T00:00:00"/>
    <x v="12"/>
    <n v="5"/>
    <n v="2025"/>
    <x v="25"/>
    <s v="Week 26"/>
    <s v="Week 26-2025"/>
  </r>
  <r>
    <d v="2025-06-28T00:00:00"/>
    <x v="15"/>
    <n v="10"/>
    <n v="2025"/>
    <x v="25"/>
    <s v="Week 26"/>
    <s v="Week 26-2025"/>
  </r>
  <r>
    <d v="2025-06-28T00:00:00"/>
    <x v="11"/>
    <n v="6"/>
    <n v="2025"/>
    <x v="25"/>
    <s v="Week 26"/>
    <s v="Week 26-2025"/>
  </r>
  <r>
    <d v="2025-06-28T00:00:00"/>
    <x v="19"/>
    <n v="2"/>
    <n v="2025"/>
    <x v="25"/>
    <s v="Week 26"/>
    <s v="Week 26-2025"/>
  </r>
  <r>
    <d v="2025-06-29T00:00:00"/>
    <x v="3"/>
    <n v="18"/>
    <n v="2025"/>
    <x v="25"/>
    <s v="Week 27"/>
    <s v="Week 27-2025"/>
  </r>
  <r>
    <d v="2025-06-29T00:00:00"/>
    <x v="12"/>
    <n v="8"/>
    <n v="2025"/>
    <x v="25"/>
    <s v="Week 27"/>
    <s v="Week 27-2025"/>
  </r>
  <r>
    <d v="2025-06-29T00:00:00"/>
    <x v="15"/>
    <n v="8"/>
    <n v="2025"/>
    <x v="25"/>
    <s v="Week 27"/>
    <s v="Week 27-2025"/>
  </r>
  <r>
    <d v="2025-06-29T00:00:00"/>
    <x v="10"/>
    <n v="2"/>
    <n v="2025"/>
    <x v="25"/>
    <s v="Week 27"/>
    <s v="Week 27-2025"/>
  </r>
  <r>
    <d v="2025-06-29T00:00:00"/>
    <x v="26"/>
    <n v="4"/>
    <n v="2025"/>
    <x v="25"/>
    <s v="Week 27"/>
    <s v="Week 27-2025"/>
  </r>
  <r>
    <d v="2025-06-29T00:00:00"/>
    <x v="12"/>
    <n v="2"/>
    <n v="2025"/>
    <x v="25"/>
    <s v="Week 27"/>
    <s v="Week 27-2025"/>
  </r>
  <r>
    <d v="2025-07-01T00:00:00"/>
    <x v="11"/>
    <n v="15"/>
    <n v="2025"/>
    <x v="26"/>
    <s v="Week 27"/>
    <s v="Week 27-2025"/>
  </r>
  <r>
    <d v="2025-07-01T00:00:00"/>
    <x v="12"/>
    <n v="8"/>
    <n v="2025"/>
    <x v="26"/>
    <s v="Week 27"/>
    <s v="Week 27-2025"/>
  </r>
  <r>
    <d v="2025-07-01T00:00:00"/>
    <x v="11"/>
    <n v="5"/>
    <n v="2025"/>
    <x v="26"/>
    <s v="Week 27"/>
    <s v="Week 27-2025"/>
  </r>
  <r>
    <d v="2025-07-01T00:00:00"/>
    <x v="26"/>
    <n v="7"/>
    <n v="2025"/>
    <x v="26"/>
    <s v="Week 27"/>
    <s v="Week 27-2025"/>
  </r>
  <r>
    <d v="2025-07-01T00:00:00"/>
    <x v="4"/>
    <n v="8"/>
    <n v="2025"/>
    <x v="26"/>
    <s v="Week 27"/>
    <s v="Week 27-2025"/>
  </r>
  <r>
    <d v="2025-07-01T00:00:00"/>
    <x v="26"/>
    <n v="5"/>
    <n v="2025"/>
    <x v="26"/>
    <s v="Week 27"/>
    <s v="Week 27-2025"/>
  </r>
  <r>
    <d v="2025-07-01T00:00:00"/>
    <x v="19"/>
    <n v="5"/>
    <n v="2025"/>
    <x v="26"/>
    <s v="Week 27"/>
    <s v="Week 27-2025"/>
  </r>
  <r>
    <d v="2025-07-01T00:00:00"/>
    <x v="14"/>
    <n v="2"/>
    <n v="2025"/>
    <x v="26"/>
    <s v="Week 27"/>
    <s v="Week 27-2025"/>
  </r>
  <r>
    <d v="2025-07-01T00:00:00"/>
    <x v="15"/>
    <n v="4"/>
    <n v="2025"/>
    <x v="26"/>
    <s v="Week 27"/>
    <s v="Week 27-2025"/>
  </r>
  <r>
    <d v="2025-07-01T00:00:00"/>
    <x v="15"/>
    <n v="4"/>
    <n v="2025"/>
    <x v="26"/>
    <s v="Week 27"/>
    <s v="Week 27-2025"/>
  </r>
  <r>
    <d v="2025-07-01T00:00:00"/>
    <x v="19"/>
    <n v="3"/>
    <n v="2025"/>
    <x v="26"/>
    <s v="Week 27"/>
    <s v="Week 27-2025"/>
  </r>
  <r>
    <d v="2025-07-01T00:00:00"/>
    <x v="28"/>
    <n v="4"/>
    <n v="2025"/>
    <x v="26"/>
    <s v="Week 27"/>
    <s v="Week 27-2025"/>
  </r>
  <r>
    <d v="2025-07-02T00:00:00"/>
    <x v="31"/>
    <n v="29"/>
    <n v="2025"/>
    <x v="26"/>
    <s v="Week 27"/>
    <s v="Week 27-2025"/>
  </r>
  <r>
    <d v="2025-07-02T00:00:00"/>
    <x v="12"/>
    <n v="20"/>
    <n v="2025"/>
    <x v="26"/>
    <s v="Week 27"/>
    <s v="Week 27-2025"/>
  </r>
  <r>
    <d v="2025-07-02T00:00:00"/>
    <x v="28"/>
    <n v="34"/>
    <n v="2025"/>
    <x v="26"/>
    <s v="Week 27"/>
    <s v="Week 27-2025"/>
  </r>
  <r>
    <d v="2025-07-02T00:00:00"/>
    <x v="15"/>
    <n v="12"/>
    <n v="2025"/>
    <x v="26"/>
    <s v="Week 27"/>
    <s v="Week 27-2025"/>
  </r>
  <r>
    <d v="2025-07-02T00:00:00"/>
    <x v="14"/>
    <n v="5"/>
    <n v="2025"/>
    <x v="26"/>
    <s v="Week 27"/>
    <s v="Week 27-2025"/>
  </r>
  <r>
    <d v="2025-07-02T00:00:00"/>
    <x v="15"/>
    <n v="7"/>
    <n v="2025"/>
    <x v="26"/>
    <s v="Week 27"/>
    <s v="Week 27-2025"/>
  </r>
  <r>
    <d v="2025-07-02T00:00:00"/>
    <x v="3"/>
    <n v="4"/>
    <n v="2025"/>
    <x v="26"/>
    <s v="Week 27"/>
    <s v="Week 27-2025"/>
  </r>
  <r>
    <d v="2025-07-02T00:00:00"/>
    <x v="4"/>
    <n v="8"/>
    <n v="2025"/>
    <x v="26"/>
    <s v="Week 27"/>
    <s v="Week 27-2025"/>
  </r>
  <r>
    <d v="2025-07-02T00:00:00"/>
    <x v="14"/>
    <n v="3"/>
    <n v="2025"/>
    <x v="26"/>
    <s v="Week 27"/>
    <s v="Week 27-2025"/>
  </r>
  <r>
    <d v="2025-07-02T00:00:00"/>
    <x v="28"/>
    <n v="8"/>
    <n v="2025"/>
    <x v="26"/>
    <s v="Week 27"/>
    <s v="Week 27-2025"/>
  </r>
  <r>
    <d v="2025-07-02T00:00:00"/>
    <x v="28"/>
    <n v="8"/>
    <n v="2025"/>
    <x v="26"/>
    <s v="Week 27"/>
    <s v="Week 27-2025"/>
  </r>
  <r>
    <d v="2025-07-02T00:00:00"/>
    <x v="25"/>
    <n v="4"/>
    <n v="2025"/>
    <x v="26"/>
    <s v="Week 27"/>
    <s v="Week 27-2025"/>
  </r>
  <r>
    <d v="2025-07-02T00:00:00"/>
    <x v="10"/>
    <n v="2"/>
    <n v="2025"/>
    <x v="26"/>
    <s v="Week 27"/>
    <s v="Week 27-2025"/>
  </r>
  <r>
    <d v="2025-07-02T00:00:00"/>
    <x v="26"/>
    <n v="4"/>
    <n v="2025"/>
    <x v="26"/>
    <s v="Week 27"/>
    <s v="Week 27-2025"/>
  </r>
  <r>
    <d v="2025-07-02T00:00:00"/>
    <x v="15"/>
    <n v="3"/>
    <n v="2025"/>
    <x v="26"/>
    <s v="Week 27"/>
    <s v="Week 27-2025"/>
  </r>
  <r>
    <d v="2025-07-02T00:00:00"/>
    <x v="31"/>
    <n v="1"/>
    <n v="2025"/>
    <x v="26"/>
    <s v="Week 27"/>
    <s v="Week 27-2025"/>
  </r>
  <r>
    <d v="2025-07-03T00:00:00"/>
    <x v="14"/>
    <n v="6"/>
    <n v="2025"/>
    <x v="26"/>
    <s v="Week 27"/>
    <s v="Week 27-2025"/>
  </r>
  <r>
    <d v="2025-07-03T00:00:00"/>
    <x v="10"/>
    <n v="4"/>
    <n v="2025"/>
    <x v="26"/>
    <s v="Week 27"/>
    <s v="Week 27-2025"/>
  </r>
  <r>
    <d v="2025-07-03T00:00:00"/>
    <x v="17"/>
    <n v="4"/>
    <n v="2025"/>
    <x v="26"/>
    <s v="Week 27"/>
    <s v="Week 27-2025"/>
  </r>
  <r>
    <d v="2025-07-03T00:00:00"/>
    <x v="28"/>
    <n v="8"/>
    <n v="2025"/>
    <x v="26"/>
    <s v="Week 27"/>
    <s v="Week 27-2025"/>
  </r>
  <r>
    <d v="2025-07-03T00:00:00"/>
    <x v="13"/>
    <n v="2"/>
    <n v="2025"/>
    <x v="26"/>
    <s v="Week 27"/>
    <s v="Week 27-2025"/>
  </r>
  <r>
    <d v="2025-07-03T00:00:00"/>
    <x v="15"/>
    <n v="4"/>
    <n v="2025"/>
    <x v="26"/>
    <s v="Week 27"/>
    <s v="Week 27-2025"/>
  </r>
  <r>
    <d v="2025-07-03T00:00:00"/>
    <x v="15"/>
    <n v="4"/>
    <n v="2025"/>
    <x v="26"/>
    <s v="Week 27"/>
    <s v="Week 27-2025"/>
  </r>
  <r>
    <d v="2025-07-03T00:00:00"/>
    <x v="4"/>
    <n v="4"/>
    <n v="2025"/>
    <x v="26"/>
    <s v="Week 27"/>
    <s v="Week 27-2025"/>
  </r>
  <r>
    <d v="2025-07-03T00:00:00"/>
    <x v="12"/>
    <n v="2"/>
    <n v="2025"/>
    <x v="26"/>
    <s v="Week 27"/>
    <s v="Week 27-2025"/>
  </r>
  <r>
    <d v="2025-07-03T00:00:00"/>
    <x v="12"/>
    <n v="2"/>
    <n v="2025"/>
    <x v="26"/>
    <s v="Week 27"/>
    <s v="Week 27-2025"/>
  </r>
  <r>
    <d v="2025-07-03T00:00:00"/>
    <x v="30"/>
    <n v="4"/>
    <n v="2025"/>
    <x v="26"/>
    <s v="Week 27"/>
    <s v="Week 27-2025"/>
  </r>
  <r>
    <d v="2025-07-03T00:00:00"/>
    <x v="27"/>
    <n v="2"/>
    <n v="2025"/>
    <x v="26"/>
    <s v="Week 27"/>
    <s v="Week 27-2025"/>
  </r>
  <r>
    <d v="2025-07-03T00:00:00"/>
    <x v="28"/>
    <n v="2"/>
    <n v="2025"/>
    <x v="26"/>
    <s v="Week 27"/>
    <s v="Week 27-2025"/>
  </r>
  <r>
    <d v="2025-07-04T00:00:00"/>
    <x v="13"/>
    <n v="8"/>
    <n v="2025"/>
    <x v="26"/>
    <s v="Week 27"/>
    <s v="Week 27-2025"/>
  </r>
  <r>
    <d v="2025-07-04T00:00:00"/>
    <x v="14"/>
    <n v="10"/>
    <n v="2025"/>
    <x v="26"/>
    <s v="Week 27"/>
    <s v="Week 27-2025"/>
  </r>
  <r>
    <d v="2025-07-04T00:00:00"/>
    <x v="12"/>
    <n v="8"/>
    <n v="2025"/>
    <x v="26"/>
    <s v="Week 27"/>
    <s v="Week 27-2025"/>
  </r>
  <r>
    <d v="2025-07-04T00:00:00"/>
    <x v="13"/>
    <n v="4"/>
    <n v="2025"/>
    <x v="26"/>
    <s v="Week 27"/>
    <s v="Week 27-2025"/>
  </r>
  <r>
    <d v="2025-07-04T00:00:00"/>
    <x v="15"/>
    <n v="9"/>
    <n v="2025"/>
    <x v="26"/>
    <s v="Week 27"/>
    <s v="Week 27-2025"/>
  </r>
  <r>
    <d v="2025-07-04T00:00:00"/>
    <x v="14"/>
    <n v="4"/>
    <n v="2025"/>
    <x v="26"/>
    <s v="Week 27"/>
    <s v="Week 27-2025"/>
  </r>
  <r>
    <d v="2025-07-04T00:00:00"/>
    <x v="10"/>
    <n v="4"/>
    <n v="2025"/>
    <x v="26"/>
    <s v="Week 27"/>
    <s v="Week 27-2025"/>
  </r>
  <r>
    <d v="2025-07-04T00:00:00"/>
    <x v="3"/>
    <n v="4"/>
    <n v="2025"/>
    <x v="26"/>
    <s v="Week 27"/>
    <s v="Week 27-2025"/>
  </r>
  <r>
    <d v="2025-07-04T00:00:00"/>
    <x v="6"/>
    <n v="2"/>
    <n v="2025"/>
    <x v="26"/>
    <s v="Week 27"/>
    <s v="Week 27-2025"/>
  </r>
  <r>
    <d v="2025-07-04T00:00:00"/>
    <x v="14"/>
    <n v="2"/>
    <n v="2025"/>
    <x v="26"/>
    <s v="Week 27"/>
    <s v="Week 27-2025"/>
  </r>
  <r>
    <d v="2025-07-04T00:00:00"/>
    <x v="13"/>
    <n v="2"/>
    <n v="2025"/>
    <x v="26"/>
    <s v="Week 27"/>
    <s v="Week 27-2025"/>
  </r>
  <r>
    <d v="2025-07-04T00:00:00"/>
    <x v="3"/>
    <n v="2"/>
    <n v="2025"/>
    <x v="26"/>
    <s v="Week 27"/>
    <s v="Week 27-2025"/>
  </r>
  <r>
    <d v="2025-07-04T00:00:00"/>
    <x v="18"/>
    <n v="3"/>
    <n v="2025"/>
    <x v="26"/>
    <s v="Week 27"/>
    <s v="Week 27-2025"/>
  </r>
  <r>
    <d v="2025-07-04T00:00:00"/>
    <x v="30"/>
    <n v="5"/>
    <n v="2025"/>
    <x v="26"/>
    <s v="Week 27"/>
    <s v="Week 27-2025"/>
  </r>
  <r>
    <d v="2025-07-04T00:00:00"/>
    <x v="12"/>
    <n v="2"/>
    <n v="2025"/>
    <x v="26"/>
    <s v="Week 27"/>
    <s v="Week 27-2025"/>
  </r>
  <r>
    <d v="2025-07-04T00:00:00"/>
    <x v="1"/>
    <n v="2"/>
    <n v="2025"/>
    <x v="26"/>
    <s v="Week 27"/>
    <s v="Week 27-2025"/>
  </r>
  <r>
    <d v="2025-07-04T00:00:00"/>
    <x v="33"/>
    <n v="2"/>
    <n v="2025"/>
    <x v="26"/>
    <s v="Week 27"/>
    <s v="Week 27-2025"/>
  </r>
  <r>
    <d v="2025-07-06T00:00:00"/>
    <x v="28"/>
    <n v="5"/>
    <n v="2025"/>
    <x v="26"/>
    <s v="Week 28"/>
    <s v="Week 28-2025"/>
  </r>
  <r>
    <d v="2025-07-07T00:00:00"/>
    <x v="10"/>
    <n v="13"/>
    <n v="2025"/>
    <x v="27"/>
    <s v="Week 28"/>
    <s v="Week 28-2025"/>
  </r>
  <r>
    <d v="2025-07-07T00:00:00"/>
    <x v="11"/>
    <n v="11"/>
    <n v="2025"/>
    <x v="27"/>
    <s v="Week 28"/>
    <s v="Week 28-2025"/>
  </r>
  <r>
    <d v="2025-07-07T00:00:00"/>
    <x v="11"/>
    <n v="9"/>
    <n v="2025"/>
    <x v="27"/>
    <s v="Week 28"/>
    <s v="Week 28-2025"/>
  </r>
  <r>
    <d v="2025-07-07T00:00:00"/>
    <x v="15"/>
    <n v="12"/>
    <n v="2025"/>
    <x v="27"/>
    <s v="Week 28"/>
    <s v="Week 28-2025"/>
  </r>
  <r>
    <d v="2025-07-07T00:00:00"/>
    <x v="10"/>
    <n v="3"/>
    <n v="2025"/>
    <x v="27"/>
    <s v="Week 28"/>
    <s v="Week 28-2025"/>
  </r>
  <r>
    <d v="2025-07-07T00:00:00"/>
    <x v="19"/>
    <n v="4"/>
    <n v="2025"/>
    <x v="27"/>
    <s v="Week 28"/>
    <s v="Week 28-2025"/>
  </r>
  <r>
    <d v="2025-07-08T00:00:00"/>
    <x v="15"/>
    <n v="34"/>
    <n v="2025"/>
    <x v="27"/>
    <s v="Week 28"/>
    <s v="Week 28-2025"/>
  </r>
  <r>
    <d v="2025-07-08T00:00:00"/>
    <x v="3"/>
    <n v="12"/>
    <n v="2025"/>
    <x v="27"/>
    <s v="Week 28"/>
    <s v="Week 28-2025"/>
  </r>
  <r>
    <d v="2025-07-08T00:00:00"/>
    <x v="12"/>
    <n v="8"/>
    <n v="2025"/>
    <x v="27"/>
    <s v="Week 28"/>
    <s v="Week 28-2025"/>
  </r>
  <r>
    <d v="2025-07-08T00:00:00"/>
    <x v="12"/>
    <n v="8"/>
    <n v="2025"/>
    <x v="27"/>
    <s v="Week 28"/>
    <s v="Week 28-2025"/>
  </r>
  <r>
    <d v="2025-07-08T00:00:00"/>
    <x v="11"/>
    <n v="6"/>
    <n v="2025"/>
    <x v="27"/>
    <s v="Week 28"/>
    <s v="Week 28-2025"/>
  </r>
  <r>
    <d v="2025-07-08T00:00:00"/>
    <x v="19"/>
    <n v="7"/>
    <n v="2025"/>
    <x v="27"/>
    <s v="Week 28"/>
    <s v="Week 28-2025"/>
  </r>
  <r>
    <d v="2025-07-08T00:00:00"/>
    <x v="11"/>
    <n v="4"/>
    <n v="2025"/>
    <x v="27"/>
    <s v="Week 28"/>
    <s v="Week 28-2025"/>
  </r>
  <r>
    <d v="2025-07-08T00:00:00"/>
    <x v="15"/>
    <n v="6"/>
    <n v="2025"/>
    <x v="27"/>
    <s v="Week 28"/>
    <s v="Week 28-2025"/>
  </r>
  <r>
    <d v="2025-07-08T00:00:00"/>
    <x v="15"/>
    <n v="6"/>
    <n v="2025"/>
    <x v="27"/>
    <s v="Week 28"/>
    <s v="Week 28-2025"/>
  </r>
  <r>
    <d v="2025-07-08T00:00:00"/>
    <x v="28"/>
    <n v="8"/>
    <n v="2025"/>
    <x v="27"/>
    <s v="Week 28"/>
    <s v="Week 28-2025"/>
  </r>
  <r>
    <d v="2025-07-08T00:00:00"/>
    <x v="6"/>
    <n v="2"/>
    <n v="2025"/>
    <x v="27"/>
    <s v="Week 28"/>
    <s v="Week 28-2025"/>
  </r>
  <r>
    <d v="2025-07-08T00:00:00"/>
    <x v="4"/>
    <n v="4"/>
    <n v="2025"/>
    <x v="27"/>
    <s v="Week 28"/>
    <s v="Week 28-2025"/>
  </r>
  <r>
    <d v="2025-07-08T00:00:00"/>
    <x v="19"/>
    <n v="1"/>
    <n v="2025"/>
    <x v="27"/>
    <s v="Week 28"/>
    <s v="Week 28-2025"/>
  </r>
  <r>
    <d v="2025-07-10T00:00:00"/>
    <x v="13"/>
    <n v="30"/>
    <n v="2025"/>
    <x v="27"/>
    <s v="Week 28"/>
    <s v="Week 28-2025"/>
  </r>
  <r>
    <d v="2025-07-10T00:00:00"/>
    <x v="14"/>
    <n v="18"/>
    <n v="2025"/>
    <x v="27"/>
    <s v="Week 28"/>
    <s v="Week 28-2025"/>
  </r>
  <r>
    <d v="2025-07-10T00:00:00"/>
    <x v="25"/>
    <n v="30"/>
    <n v="2025"/>
    <x v="27"/>
    <s v="Week 28"/>
    <s v="Week 28-2025"/>
  </r>
  <r>
    <d v="2025-07-10T00:00:00"/>
    <x v="14"/>
    <n v="12"/>
    <n v="2025"/>
    <x v="27"/>
    <s v="Week 28"/>
    <s v="Week 28-2025"/>
  </r>
  <r>
    <d v="2025-07-10T00:00:00"/>
    <x v="12"/>
    <n v="18"/>
    <n v="2025"/>
    <x v="27"/>
    <s v="Week 28"/>
    <s v="Week 28-2025"/>
  </r>
  <r>
    <d v="2025-07-10T00:00:00"/>
    <x v="11"/>
    <n v="6"/>
    <n v="2025"/>
    <x v="27"/>
    <s v="Week 28"/>
    <s v="Week 28-2025"/>
  </r>
  <r>
    <d v="2025-07-10T00:00:00"/>
    <x v="16"/>
    <n v="2"/>
    <n v="2025"/>
    <x v="27"/>
    <s v="Week 28"/>
    <s v="Week 28-2025"/>
  </r>
  <r>
    <d v="2025-07-10T00:00:00"/>
    <x v="5"/>
    <n v="2"/>
    <n v="2025"/>
    <x v="27"/>
    <s v="Week 28"/>
    <s v="Week 28-2025"/>
  </r>
  <r>
    <d v="2025-07-10T00:00:00"/>
    <x v="12"/>
    <n v="4"/>
    <n v="2025"/>
    <x v="27"/>
    <s v="Week 28"/>
    <s v="Week 28-2025"/>
  </r>
  <r>
    <d v="2025-07-10T00:00:00"/>
    <x v="25"/>
    <n v="4"/>
    <n v="2025"/>
    <x v="27"/>
    <s v="Week 28"/>
    <s v="Week 28-2025"/>
  </r>
  <r>
    <d v="2025-07-10T00:00:00"/>
    <x v="15"/>
    <n v="4"/>
    <n v="2025"/>
    <x v="27"/>
    <s v="Week 28"/>
    <s v="Week 28-2025"/>
  </r>
  <r>
    <d v="2025-07-11T00:00:00"/>
    <x v="25"/>
    <n v="6"/>
    <n v="2025"/>
    <x v="27"/>
    <s v="Week 28"/>
    <s v="Week 28-2025"/>
  </r>
  <r>
    <d v="2025-07-12T00:00:00"/>
    <x v="43"/>
    <n v="8"/>
    <n v="2025"/>
    <x v="27"/>
    <s v="Week 28"/>
    <s v="Week 28-2025"/>
  </r>
  <r>
    <d v="2025-07-12T00:00:00"/>
    <x v="3"/>
    <n v="29"/>
    <n v="2025"/>
    <x v="27"/>
    <s v="Week 28"/>
    <s v="Week 28-2025"/>
  </r>
  <r>
    <d v="2025-07-12T00:00:00"/>
    <x v="12"/>
    <n v="36"/>
    <n v="2025"/>
    <x v="27"/>
    <s v="Week 28"/>
    <s v="Week 28-2025"/>
  </r>
  <r>
    <d v="2025-07-12T00:00:00"/>
    <x v="10"/>
    <n v="8"/>
    <n v="2025"/>
    <x v="27"/>
    <s v="Week 28"/>
    <s v="Week 28-2025"/>
  </r>
  <r>
    <d v="2025-07-12T00:00:00"/>
    <x v="10"/>
    <n v="8"/>
    <n v="2025"/>
    <x v="27"/>
    <s v="Week 28"/>
    <s v="Week 28-2025"/>
  </r>
  <r>
    <d v="2025-07-12T00:00:00"/>
    <x v="3"/>
    <n v="8"/>
    <n v="2025"/>
    <x v="27"/>
    <s v="Week 28"/>
    <s v="Week 28-2025"/>
  </r>
  <r>
    <d v="2025-07-12T00:00:00"/>
    <x v="10"/>
    <n v="8"/>
    <n v="2025"/>
    <x v="27"/>
    <s v="Week 28"/>
    <s v="Week 28-2025"/>
  </r>
  <r>
    <d v="2025-07-12T00:00:00"/>
    <x v="11"/>
    <n v="8"/>
    <n v="2025"/>
    <x v="27"/>
    <s v="Week 28"/>
    <s v="Week 28-2025"/>
  </r>
  <r>
    <d v="2025-07-12T00:00:00"/>
    <x v="15"/>
    <n v="12"/>
    <n v="2025"/>
    <x v="27"/>
    <s v="Week 28"/>
    <s v="Week 28-2025"/>
  </r>
  <r>
    <d v="2025-07-12T00:00:00"/>
    <x v="10"/>
    <n v="4"/>
    <n v="2025"/>
    <x v="27"/>
    <s v="Week 28"/>
    <s v="Week 28-2025"/>
  </r>
  <r>
    <d v="2025-07-12T00:00:00"/>
    <x v="10"/>
    <n v="4"/>
    <n v="2025"/>
    <x v="27"/>
    <s v="Week 28"/>
    <s v="Week 28-2025"/>
  </r>
  <r>
    <d v="2025-07-12T00:00:00"/>
    <x v="5"/>
    <n v="2"/>
    <n v="2025"/>
    <x v="27"/>
    <s v="Week 28"/>
    <s v="Week 28-2025"/>
  </r>
  <r>
    <d v="2025-07-12T00:00:00"/>
    <x v="10"/>
    <n v="2"/>
    <n v="2025"/>
    <x v="27"/>
    <s v="Week 28"/>
    <s v="Week 28-2025"/>
  </r>
  <r>
    <d v="2025-07-12T00:00:00"/>
    <x v="10"/>
    <n v="2"/>
    <n v="2025"/>
    <x v="27"/>
    <s v="Week 28"/>
    <s v="Week 28-2025"/>
  </r>
  <r>
    <d v="2025-07-12T00:00:00"/>
    <x v="17"/>
    <n v="2"/>
    <n v="2025"/>
    <x v="27"/>
    <s v="Week 28"/>
    <s v="Week 28-2025"/>
  </r>
  <r>
    <d v="2025-07-12T00:00:00"/>
    <x v="12"/>
    <n v="2"/>
    <n v="2025"/>
    <x v="27"/>
    <s v="Week 28"/>
    <s v="Week 28-2025"/>
  </r>
  <r>
    <d v="2025-07-12T00:00:00"/>
    <x v="18"/>
    <n v="1"/>
    <n v="2025"/>
    <x v="27"/>
    <s v="Week 28"/>
    <s v="Week 28-2025"/>
  </r>
  <r>
    <d v="2025-07-15T00:00:00"/>
    <x v="32"/>
    <n v="48"/>
    <n v="2025"/>
    <x v="28"/>
    <s v="Week 29"/>
    <s v="Week 29-2025"/>
  </r>
  <r>
    <d v="2025-07-15T00:00:00"/>
    <x v="30"/>
    <n v="30"/>
    <n v="2025"/>
    <x v="28"/>
    <s v="Week 29"/>
    <s v="Week 29-2025"/>
  </r>
  <r>
    <d v="2025-07-15T00:00:00"/>
    <x v="3"/>
    <n v="8"/>
    <n v="2025"/>
    <x v="28"/>
    <s v="Week 29"/>
    <s v="Week 29-2025"/>
  </r>
  <r>
    <d v="2025-07-15T00:00:00"/>
    <x v="13"/>
    <n v="5"/>
    <n v="2025"/>
    <x v="28"/>
    <s v="Week 29"/>
    <s v="Week 29-2025"/>
  </r>
  <r>
    <d v="2025-07-15T00:00:00"/>
    <x v="3"/>
    <n v="5"/>
    <n v="2025"/>
    <x v="28"/>
    <s v="Week 29"/>
    <s v="Week 29-2025"/>
  </r>
  <r>
    <d v="2025-07-15T00:00:00"/>
    <x v="13"/>
    <n v="3"/>
    <n v="2025"/>
    <x v="28"/>
    <s v="Week 29"/>
    <s v="Week 29-2025"/>
  </r>
  <r>
    <d v="2025-07-15T00:00:00"/>
    <x v="3"/>
    <n v="3"/>
    <n v="2025"/>
    <x v="28"/>
    <s v="Week 29"/>
    <s v="Week 29-2025"/>
  </r>
  <r>
    <d v="2025-07-15T00:00:00"/>
    <x v="2"/>
    <n v="4"/>
    <n v="2025"/>
    <x v="28"/>
    <s v="Week 29"/>
    <s v="Week 29-2025"/>
  </r>
  <r>
    <d v="2025-07-16T00:00:00"/>
    <x v="3"/>
    <n v="7"/>
    <n v="2025"/>
    <x v="28"/>
    <s v="Week 29"/>
    <s v="Week 29-2025"/>
  </r>
  <r>
    <d v="2025-07-16T00:00:00"/>
    <x v="11"/>
    <n v="6"/>
    <n v="2025"/>
    <x v="28"/>
    <s v="Week 29"/>
    <s v="Week 29-2025"/>
  </r>
  <r>
    <d v="2025-07-16T00:00:00"/>
    <x v="13"/>
    <n v="4"/>
    <n v="2025"/>
    <x v="28"/>
    <s v="Week 29"/>
    <s v="Week 29-2025"/>
  </r>
  <r>
    <d v="2025-07-16T00:00:00"/>
    <x v="3"/>
    <n v="5"/>
    <n v="2025"/>
    <x v="28"/>
    <s v="Week 29"/>
    <s v="Week 29-2025"/>
  </r>
  <r>
    <d v="2025-07-16T00:00:00"/>
    <x v="3"/>
    <n v="4"/>
    <n v="2025"/>
    <x v="28"/>
    <s v="Week 29"/>
    <s v="Week 29-2025"/>
  </r>
  <r>
    <d v="2025-07-16T00:00:00"/>
    <x v="30"/>
    <n v="7"/>
    <n v="2025"/>
    <x v="28"/>
    <s v="Week 29"/>
    <s v="Week 29-2025"/>
  </r>
  <r>
    <d v="2025-07-16T00:00:00"/>
    <x v="28"/>
    <n v="2"/>
    <n v="2025"/>
    <x v="28"/>
    <s v="Week 29"/>
    <s v="Week 29-2025"/>
  </r>
  <r>
    <d v="2025-07-16T00:00:00"/>
    <x v="18"/>
    <n v="1"/>
    <n v="2025"/>
    <x v="28"/>
    <s v="Week 29"/>
    <s v="Week 29-2025"/>
  </r>
  <r>
    <d v="2025-07-17T00:00:00"/>
    <x v="11"/>
    <n v="36"/>
    <n v="2025"/>
    <x v="28"/>
    <s v="Week 29"/>
    <s v="Week 29-2025"/>
  </r>
  <r>
    <d v="2025-07-17T00:00:00"/>
    <x v="12"/>
    <n v="18"/>
    <n v="2025"/>
    <x v="28"/>
    <s v="Week 29"/>
    <s v="Week 29-2025"/>
  </r>
  <r>
    <d v="2025-07-17T00:00:00"/>
    <x v="12"/>
    <n v="16"/>
    <n v="2025"/>
    <x v="28"/>
    <s v="Week 29"/>
    <s v="Week 29-2025"/>
  </r>
  <r>
    <d v="2025-07-17T00:00:00"/>
    <x v="3"/>
    <n v="12"/>
    <n v="2025"/>
    <x v="28"/>
    <s v="Week 29"/>
    <s v="Week 29-2025"/>
  </r>
  <r>
    <d v="2025-07-17T00:00:00"/>
    <x v="10"/>
    <n v="6"/>
    <n v="2025"/>
    <x v="28"/>
    <s v="Week 29"/>
    <s v="Week 29-2025"/>
  </r>
  <r>
    <d v="2025-07-17T00:00:00"/>
    <x v="15"/>
    <n v="10"/>
    <n v="2025"/>
    <x v="28"/>
    <s v="Week 29"/>
    <s v="Week 29-2025"/>
  </r>
  <r>
    <d v="2025-07-17T00:00:00"/>
    <x v="11"/>
    <n v="6"/>
    <n v="2025"/>
    <x v="28"/>
    <s v="Week 29"/>
    <s v="Week 29-2025"/>
  </r>
  <r>
    <d v="2025-07-17T00:00:00"/>
    <x v="25"/>
    <n v="8"/>
    <n v="2025"/>
    <x v="28"/>
    <s v="Week 29"/>
    <s v="Week 29-2025"/>
  </r>
  <r>
    <d v="2025-07-17T00:00:00"/>
    <x v="28"/>
    <n v="10"/>
    <n v="2025"/>
    <x v="28"/>
    <s v="Week 29"/>
    <s v="Week 29-2025"/>
  </r>
  <r>
    <d v="2025-07-17T00:00:00"/>
    <x v="19"/>
    <n v="7"/>
    <n v="2025"/>
    <x v="28"/>
    <s v="Week 29"/>
    <s v="Week 29-2025"/>
  </r>
  <r>
    <d v="2025-07-17T00:00:00"/>
    <x v="15"/>
    <n v="6"/>
    <n v="2025"/>
    <x v="28"/>
    <s v="Week 29"/>
    <s v="Week 29-2025"/>
  </r>
  <r>
    <d v="2025-07-17T00:00:00"/>
    <x v="12"/>
    <n v="4"/>
    <n v="2025"/>
    <x v="28"/>
    <s v="Week 29"/>
    <s v="Week 29-2025"/>
  </r>
  <r>
    <d v="2025-07-17T00:00:00"/>
    <x v="28"/>
    <n v="6"/>
    <n v="2025"/>
    <x v="28"/>
    <s v="Week 29"/>
    <s v="Week 29-2025"/>
  </r>
  <r>
    <d v="2025-07-17T00:00:00"/>
    <x v="9"/>
    <n v="2"/>
    <n v="2025"/>
    <x v="28"/>
    <s v="Week 29"/>
    <s v="Week 29-2025"/>
  </r>
  <r>
    <d v="2025-07-17T00:00:00"/>
    <x v="18"/>
    <n v="2"/>
    <n v="2025"/>
    <x v="28"/>
    <s v="Week 29"/>
    <s v="Week 29-2025"/>
  </r>
  <r>
    <d v="2025-07-17T00:00:00"/>
    <x v="30"/>
    <n v="2"/>
    <n v="2025"/>
    <x v="28"/>
    <s v="Week 29"/>
    <s v="Week 29-2025"/>
  </r>
  <r>
    <d v="2025-07-17T00:00:00"/>
    <x v="4"/>
    <n v="1"/>
    <n v="2025"/>
    <x v="28"/>
    <s v="Week 29"/>
    <s v="Week 29-2025"/>
  </r>
  <r>
    <d v="2025-07-19T00:00:00"/>
    <x v="5"/>
    <n v="5"/>
    <n v="2025"/>
    <x v="28"/>
    <s v="Week 29"/>
    <s v="Week 29-2025"/>
  </r>
  <r>
    <d v="2025-07-19T00:00:00"/>
    <x v="9"/>
    <n v="2"/>
    <n v="2025"/>
    <x v="28"/>
    <s v="Week 29"/>
    <s v="Week 29-2025"/>
  </r>
  <r>
    <d v="2025-07-20T00:00:00"/>
    <x v="11"/>
    <n v="16"/>
    <n v="2025"/>
    <x v="28"/>
    <s v="Week 30"/>
    <s v="Week 30-2025"/>
  </r>
  <r>
    <d v="2025-07-20T00:00:00"/>
    <x v="10"/>
    <n v="10"/>
    <n v="2025"/>
    <x v="28"/>
    <s v="Week 30"/>
    <s v="Week 30-2025"/>
  </r>
  <r>
    <d v="2025-07-20T00:00:00"/>
    <x v="10"/>
    <n v="8"/>
    <n v="2025"/>
    <x v="28"/>
    <s v="Week 30"/>
    <s v="Week 30-2025"/>
  </r>
  <r>
    <d v="2025-07-20T00:00:00"/>
    <x v="10"/>
    <n v="8"/>
    <n v="2025"/>
    <x v="28"/>
    <s v="Week 30"/>
    <s v="Week 30-2025"/>
  </r>
  <r>
    <d v="2025-07-20T00:00:00"/>
    <x v="3"/>
    <n v="7"/>
    <n v="2025"/>
    <x v="28"/>
    <s v="Week 30"/>
    <s v="Week 30-2025"/>
  </r>
  <r>
    <d v="2025-07-20T00:00:00"/>
    <x v="15"/>
    <n v="14"/>
    <n v="2025"/>
    <x v="28"/>
    <s v="Week 30"/>
    <s v="Week 30-2025"/>
  </r>
  <r>
    <d v="2025-07-20T00:00:00"/>
    <x v="11"/>
    <n v="8"/>
    <n v="2025"/>
    <x v="28"/>
    <s v="Week 30"/>
    <s v="Week 30-2025"/>
  </r>
  <r>
    <d v="2025-07-20T00:00:00"/>
    <x v="6"/>
    <n v="4"/>
    <n v="2025"/>
    <x v="28"/>
    <s v="Week 30"/>
    <s v="Week 30-2025"/>
  </r>
  <r>
    <d v="2025-07-20T00:00:00"/>
    <x v="17"/>
    <n v="4"/>
    <n v="2025"/>
    <x v="28"/>
    <s v="Week 30"/>
    <s v="Week 30-2025"/>
  </r>
  <r>
    <d v="2025-07-20T00:00:00"/>
    <x v="2"/>
    <n v="6"/>
    <n v="2025"/>
    <x v="28"/>
    <s v="Week 30"/>
    <s v="Week 30-2025"/>
  </r>
  <r>
    <d v="2025-07-20T00:00:00"/>
    <x v="12"/>
    <n v="6"/>
    <n v="2025"/>
    <x v="28"/>
    <s v="Week 30"/>
    <s v="Week 30-2025"/>
  </r>
  <r>
    <d v="2025-07-20T00:00:00"/>
    <x v="12"/>
    <n v="6"/>
    <n v="2025"/>
    <x v="28"/>
    <s v="Week 30"/>
    <s v="Week 30-2025"/>
  </r>
  <r>
    <d v="2025-07-20T00:00:00"/>
    <x v="11"/>
    <n v="4"/>
    <n v="2025"/>
    <x v="28"/>
    <s v="Week 30"/>
    <s v="Week 30-2025"/>
  </r>
  <r>
    <d v="2025-07-20T00:00:00"/>
    <x v="12"/>
    <n v="5"/>
    <n v="2025"/>
    <x v="28"/>
    <s v="Week 30"/>
    <s v="Week 30-2025"/>
  </r>
  <r>
    <d v="2025-07-20T00:00:00"/>
    <x v="6"/>
    <n v="2"/>
    <n v="2025"/>
    <x v="28"/>
    <s v="Week 30"/>
    <s v="Week 30-2025"/>
  </r>
  <r>
    <d v="2025-07-20T00:00:00"/>
    <x v="12"/>
    <n v="4"/>
    <n v="2025"/>
    <x v="28"/>
    <s v="Week 30"/>
    <s v="Week 30-2025"/>
  </r>
  <r>
    <d v="2025-07-20T00:00:00"/>
    <x v="25"/>
    <n v="2"/>
    <n v="2025"/>
    <x v="28"/>
    <s v="Week 30"/>
    <s v="Week 30-2025"/>
  </r>
  <r>
    <d v="2025-07-20T00:00:00"/>
    <x v="25"/>
    <n v="2"/>
    <n v="2025"/>
    <x v="28"/>
    <s v="Week 30"/>
    <s v="Week 30-2025"/>
  </r>
  <r>
    <d v="2025-07-20T00:00:00"/>
    <x v="15"/>
    <n v="2"/>
    <n v="2025"/>
    <x v="28"/>
    <s v="Week 30"/>
    <s v="Week 30-2025"/>
  </r>
  <r>
    <d v="2025-07-20T00:00:00"/>
    <x v="15"/>
    <n v="2"/>
    <n v="2025"/>
    <x v="28"/>
    <s v="Week 30"/>
    <s v="Week 30-2025"/>
  </r>
  <r>
    <d v="2025-07-20T00:00:00"/>
    <x v="3"/>
    <n v="1"/>
    <n v="2025"/>
    <x v="28"/>
    <s v="Week 30"/>
    <s v="Week 30-2025"/>
  </r>
  <r>
    <d v="2025-07-20T00:00:00"/>
    <x v="30"/>
    <n v="2"/>
    <n v="2025"/>
    <x v="28"/>
    <s v="Week 30"/>
    <s v="Week 30-2025"/>
  </r>
  <r>
    <d v="2025-07-20T00:00:00"/>
    <x v="30"/>
    <n v="2"/>
    <n v="2025"/>
    <x v="28"/>
    <s v="Week 30"/>
    <s v="Week 30-2025"/>
  </r>
  <r>
    <d v="2025-07-21T00:00:00"/>
    <x v="3"/>
    <n v="32"/>
    <n v="2025"/>
    <x v="29"/>
    <s v="Week 30"/>
    <s v="Week 30-2025"/>
  </r>
  <r>
    <d v="2025-07-21T00:00:00"/>
    <x v="12"/>
    <n v="19"/>
    <n v="2025"/>
    <x v="29"/>
    <s v="Week 30"/>
    <s v="Week 30-2025"/>
  </r>
  <r>
    <d v="2025-07-21T00:00:00"/>
    <x v="11"/>
    <n v="16"/>
    <n v="2025"/>
    <x v="29"/>
    <s v="Week 30"/>
    <s v="Week 30-2025"/>
  </r>
  <r>
    <d v="2025-07-21T00:00:00"/>
    <x v="13"/>
    <n v="10"/>
    <n v="2025"/>
    <x v="29"/>
    <s v="Week 30"/>
    <s v="Week 30-2025"/>
  </r>
  <r>
    <d v="2025-07-21T00:00:00"/>
    <x v="19"/>
    <n v="8"/>
    <n v="2025"/>
    <x v="29"/>
    <s v="Week 30"/>
    <s v="Week 30-2025"/>
  </r>
  <r>
    <d v="2025-07-21T00:00:00"/>
    <x v="15"/>
    <n v="5"/>
    <n v="2025"/>
    <x v="29"/>
    <s v="Week 30"/>
    <s v="Week 30-2025"/>
  </r>
  <r>
    <d v="2025-07-21T00:00:00"/>
    <x v="2"/>
    <n v="2"/>
    <n v="2025"/>
    <x v="29"/>
    <s v="Week 30"/>
    <s v="Week 30-2025"/>
  </r>
  <r>
    <d v="2025-07-22T00:00:00"/>
    <x v="12"/>
    <n v="93"/>
    <n v="2025"/>
    <x v="29"/>
    <s v="Week 30"/>
    <s v="Week 30-2025"/>
  </r>
  <r>
    <d v="2025-07-22T00:00:00"/>
    <x v="12"/>
    <n v="64"/>
    <n v="2025"/>
    <x v="29"/>
    <s v="Week 30"/>
    <s v="Week 30-2025"/>
  </r>
  <r>
    <d v="2025-07-22T00:00:00"/>
    <x v="11"/>
    <n v="45"/>
    <n v="2025"/>
    <x v="29"/>
    <s v="Week 30"/>
    <s v="Week 30-2025"/>
  </r>
  <r>
    <d v="2025-07-22T00:00:00"/>
    <x v="3"/>
    <n v="16"/>
    <n v="2025"/>
    <x v="29"/>
    <s v="Week 30"/>
    <s v="Week 30-2025"/>
  </r>
  <r>
    <d v="2025-07-22T00:00:00"/>
    <x v="15"/>
    <n v="28"/>
    <n v="2025"/>
    <x v="29"/>
    <s v="Week 30"/>
    <s v="Week 30-2025"/>
  </r>
  <r>
    <d v="2025-07-22T00:00:00"/>
    <x v="12"/>
    <n v="12"/>
    <n v="2025"/>
    <x v="29"/>
    <s v="Week 30"/>
    <s v="Week 30-2025"/>
  </r>
  <r>
    <d v="2025-07-22T00:00:00"/>
    <x v="10"/>
    <n v="8"/>
    <n v="2025"/>
    <x v="29"/>
    <s v="Week 30"/>
    <s v="Week 30-2025"/>
  </r>
  <r>
    <d v="2025-07-22T00:00:00"/>
    <x v="6"/>
    <n v="5"/>
    <n v="2025"/>
    <x v="29"/>
    <s v="Week 30"/>
    <s v="Week 30-2025"/>
  </r>
  <r>
    <d v="2025-07-22T00:00:00"/>
    <x v="6"/>
    <n v="5"/>
    <n v="2025"/>
    <x v="29"/>
    <s v="Week 30"/>
    <s v="Week 30-2025"/>
  </r>
  <r>
    <d v="2025-07-22T00:00:00"/>
    <x v="17"/>
    <n v="6"/>
    <n v="2025"/>
    <x v="29"/>
    <s v="Week 30"/>
    <s v="Week 30-2025"/>
  </r>
  <r>
    <d v="2025-07-22T00:00:00"/>
    <x v="17"/>
    <n v="4"/>
    <n v="2025"/>
    <x v="29"/>
    <s v="Week 30"/>
    <s v="Week 30-2025"/>
  </r>
  <r>
    <d v="2025-07-22T00:00:00"/>
    <x v="31"/>
    <n v="8"/>
    <n v="2025"/>
    <x v="29"/>
    <s v="Week 30"/>
    <s v="Week 30-2025"/>
  </r>
  <r>
    <d v="2025-07-22T00:00:00"/>
    <x v="27"/>
    <n v="8"/>
    <n v="2025"/>
    <x v="29"/>
    <s v="Week 30"/>
    <s v="Week 30-2025"/>
  </r>
  <r>
    <d v="2025-07-22T00:00:00"/>
    <x v="11"/>
    <n v="4"/>
    <n v="2025"/>
    <x v="29"/>
    <s v="Week 30"/>
    <s v="Week 30-2025"/>
  </r>
  <r>
    <d v="2025-07-22T00:00:00"/>
    <x v="13"/>
    <n v="2"/>
    <n v="2025"/>
    <x v="29"/>
    <s v="Week 30"/>
    <s v="Week 30-2025"/>
  </r>
  <r>
    <d v="2025-07-22T00:00:00"/>
    <x v="22"/>
    <n v="4"/>
    <n v="2025"/>
    <x v="29"/>
    <s v="Week 30"/>
    <s v="Week 30-2025"/>
  </r>
  <r>
    <d v="2025-07-22T00:00:00"/>
    <x v="15"/>
    <n v="4"/>
    <n v="2025"/>
    <x v="29"/>
    <s v="Week 30"/>
    <s v="Week 30-2025"/>
  </r>
  <r>
    <d v="2025-07-22T00:00:00"/>
    <x v="17"/>
    <n v="2"/>
    <n v="2025"/>
    <x v="29"/>
    <s v="Week 30"/>
    <s v="Week 30-2025"/>
  </r>
  <r>
    <d v="2025-07-22T00:00:00"/>
    <x v="10"/>
    <n v="2"/>
    <n v="2025"/>
    <x v="29"/>
    <s v="Week 30"/>
    <s v="Week 30-2025"/>
  </r>
  <r>
    <d v="2025-07-22T00:00:00"/>
    <x v="28"/>
    <n v="6"/>
    <n v="2025"/>
    <x v="29"/>
    <s v="Week 30"/>
    <s v="Week 30-2025"/>
  </r>
  <r>
    <d v="2025-07-22T00:00:00"/>
    <x v="3"/>
    <n v="2"/>
    <n v="2025"/>
    <x v="29"/>
    <s v="Week 30"/>
    <s v="Week 30-2025"/>
  </r>
  <r>
    <d v="2025-07-22T00:00:00"/>
    <x v="3"/>
    <n v="2"/>
    <n v="2025"/>
    <x v="29"/>
    <s v="Week 30"/>
    <s v="Week 30-2025"/>
  </r>
  <r>
    <d v="2025-07-22T00:00:00"/>
    <x v="14"/>
    <n v="2"/>
    <n v="2025"/>
    <x v="29"/>
    <s v="Week 30"/>
    <s v="Week 30-2025"/>
  </r>
  <r>
    <d v="2025-07-22T00:00:00"/>
    <x v="11"/>
    <n v="2"/>
    <n v="2025"/>
    <x v="29"/>
    <s v="Week 30"/>
    <s v="Week 30-2025"/>
  </r>
  <r>
    <d v="2025-07-22T00:00:00"/>
    <x v="11"/>
    <n v="2"/>
    <n v="2025"/>
    <x v="29"/>
    <s v="Week 30"/>
    <s v="Week 30-2025"/>
  </r>
  <r>
    <d v="2025-07-22T00:00:00"/>
    <x v="19"/>
    <n v="4"/>
    <n v="2025"/>
    <x v="29"/>
    <s v="Week 30"/>
    <s v="Week 30-2025"/>
  </r>
  <r>
    <d v="2025-07-22T00:00:00"/>
    <x v="31"/>
    <n v="3"/>
    <n v="2025"/>
    <x v="29"/>
    <s v="Week 30"/>
    <s v="Week 30-2025"/>
  </r>
  <r>
    <d v="2025-07-22T00:00:00"/>
    <x v="11"/>
    <n v="2"/>
    <n v="2025"/>
    <x v="29"/>
    <s v="Week 30"/>
    <s v="Week 30-2025"/>
  </r>
  <r>
    <d v="2025-07-22T00:00:00"/>
    <x v="2"/>
    <n v="2"/>
    <n v="2025"/>
    <x v="29"/>
    <s v="Week 30"/>
    <s v="Week 30-2025"/>
  </r>
  <r>
    <d v="2025-07-22T00:00:00"/>
    <x v="18"/>
    <n v="2"/>
    <n v="2025"/>
    <x v="29"/>
    <s v="Week 30"/>
    <s v="Week 30-2025"/>
  </r>
  <r>
    <d v="2025-07-22T00:00:00"/>
    <x v="31"/>
    <n v="1"/>
    <n v="2025"/>
    <x v="29"/>
    <s v="Week 30"/>
    <s v="Week 30-2025"/>
  </r>
  <r>
    <d v="2025-07-23T00:00:00"/>
    <x v="13"/>
    <n v="12"/>
    <n v="2025"/>
    <x v="29"/>
    <s v="Week 30"/>
    <s v="Week 30-2025"/>
  </r>
  <r>
    <d v="2025-07-23T00:00:00"/>
    <x v="11"/>
    <n v="4"/>
    <n v="2025"/>
    <x v="29"/>
    <s v="Week 30"/>
    <s v="Week 30-2025"/>
  </r>
  <r>
    <d v="2025-07-23T00:00:00"/>
    <x v="25"/>
    <n v="4"/>
    <n v="2025"/>
    <x v="29"/>
    <s v="Week 30"/>
    <s v="Week 30-2025"/>
  </r>
  <r>
    <d v="2025-07-23T00:00:00"/>
    <x v="35"/>
    <n v="4"/>
    <n v="2025"/>
    <x v="29"/>
    <s v="Week 30"/>
    <s v="Week 30-2025"/>
  </r>
  <r>
    <d v="2025-07-24T00:00:00"/>
    <x v="28"/>
    <n v="8"/>
    <n v="2025"/>
    <x v="29"/>
    <s v="Week 30"/>
    <s v="Week 30-2025"/>
  </r>
  <r>
    <d v="2025-07-24T00:00:00"/>
    <x v="30"/>
    <n v="6"/>
    <n v="2025"/>
    <x v="29"/>
    <s v="Week 30"/>
    <s v="Week 30-2025"/>
  </r>
  <r>
    <d v="2025-07-27T00:00:00"/>
    <x v="11"/>
    <n v="32"/>
    <n v="2025"/>
    <x v="29"/>
    <s v="Week 31"/>
    <s v="Week 31-2025"/>
  </r>
  <r>
    <d v="2025-07-27T00:00:00"/>
    <x v="3"/>
    <n v="25"/>
    <n v="2025"/>
    <x v="29"/>
    <s v="Week 31"/>
    <s v="Week 31-2025"/>
  </r>
  <r>
    <d v="2025-07-27T00:00:00"/>
    <x v="6"/>
    <n v="11"/>
    <n v="2025"/>
    <x v="29"/>
    <s v="Week 31"/>
    <s v="Week 31-2025"/>
  </r>
  <r>
    <d v="2025-07-27T00:00:00"/>
    <x v="3"/>
    <n v="16"/>
    <n v="2025"/>
    <x v="29"/>
    <s v="Week 31"/>
    <s v="Week 31-2025"/>
  </r>
  <r>
    <d v="2025-07-27T00:00:00"/>
    <x v="12"/>
    <n v="14"/>
    <n v="2025"/>
    <x v="29"/>
    <s v="Week 31"/>
    <s v="Week 31-2025"/>
  </r>
  <r>
    <d v="2025-07-27T00:00:00"/>
    <x v="6"/>
    <n v="6"/>
    <n v="2025"/>
    <x v="29"/>
    <s v="Week 31"/>
    <s v="Week 31-2025"/>
  </r>
  <r>
    <d v="2025-07-27T00:00:00"/>
    <x v="10"/>
    <n v="8"/>
    <n v="2025"/>
    <x v="29"/>
    <s v="Week 31"/>
    <s v="Week 31-2025"/>
  </r>
  <r>
    <d v="2025-07-27T00:00:00"/>
    <x v="12"/>
    <n v="10"/>
    <n v="2025"/>
    <x v="29"/>
    <s v="Week 31"/>
    <s v="Week 31-2025"/>
  </r>
  <r>
    <d v="2025-07-27T00:00:00"/>
    <x v="12"/>
    <n v="10"/>
    <n v="2025"/>
    <x v="29"/>
    <s v="Week 31"/>
    <s v="Week 31-2025"/>
  </r>
  <r>
    <d v="2025-07-27T00:00:00"/>
    <x v="10"/>
    <n v="6"/>
    <n v="2025"/>
    <x v="29"/>
    <s v="Week 31"/>
    <s v="Week 31-2025"/>
  </r>
  <r>
    <d v="2025-07-27T00:00:00"/>
    <x v="6"/>
    <n v="4"/>
    <n v="2025"/>
    <x v="29"/>
    <s v="Week 31"/>
    <s v="Week 31-2025"/>
  </r>
  <r>
    <d v="2025-07-27T00:00:00"/>
    <x v="2"/>
    <n v="8"/>
    <n v="2025"/>
    <x v="29"/>
    <s v="Week 31"/>
    <s v="Week 31-2025"/>
  </r>
  <r>
    <d v="2025-07-27T00:00:00"/>
    <x v="2"/>
    <n v="8"/>
    <n v="2025"/>
    <x v="29"/>
    <s v="Week 31"/>
    <s v="Week 31-2025"/>
  </r>
  <r>
    <d v="2025-07-27T00:00:00"/>
    <x v="15"/>
    <n v="9"/>
    <n v="2025"/>
    <x v="29"/>
    <s v="Week 31"/>
    <s v="Week 31-2025"/>
  </r>
  <r>
    <d v="2025-07-27T00:00:00"/>
    <x v="3"/>
    <n v="4"/>
    <n v="2025"/>
    <x v="29"/>
    <s v="Week 31"/>
    <s v="Week 31-2025"/>
  </r>
  <r>
    <d v="2025-07-27T00:00:00"/>
    <x v="28"/>
    <n v="12"/>
    <n v="2025"/>
    <x v="29"/>
    <s v="Week 31"/>
    <s v="Week 31-2025"/>
  </r>
  <r>
    <d v="2025-07-27T00:00:00"/>
    <x v="28"/>
    <n v="12"/>
    <n v="2025"/>
    <x v="29"/>
    <s v="Week 31"/>
    <s v="Week 31-2025"/>
  </r>
  <r>
    <d v="2025-07-27T00:00:00"/>
    <x v="11"/>
    <n v="4"/>
    <n v="2025"/>
    <x v="29"/>
    <s v="Week 31"/>
    <s v="Week 31-2025"/>
  </r>
  <r>
    <d v="2025-07-27T00:00:00"/>
    <x v="30"/>
    <n v="8"/>
    <n v="2025"/>
    <x v="29"/>
    <s v="Week 31"/>
    <s v="Week 31-2025"/>
  </r>
  <r>
    <d v="2025-07-27T00:00:00"/>
    <x v="15"/>
    <n v="5"/>
    <n v="2025"/>
    <x v="29"/>
    <s v="Week 31"/>
    <s v="Week 31-2025"/>
  </r>
  <r>
    <d v="2025-07-27T00:00:00"/>
    <x v="17"/>
    <n v="2"/>
    <n v="2025"/>
    <x v="29"/>
    <s v="Week 31"/>
    <s v="Week 31-2025"/>
  </r>
  <r>
    <d v="2025-07-27T00:00:00"/>
    <x v="17"/>
    <n v="2"/>
    <n v="2025"/>
    <x v="29"/>
    <s v="Week 31"/>
    <s v="Week 31-2025"/>
  </r>
  <r>
    <d v="2025-07-27T00:00:00"/>
    <x v="19"/>
    <n v="4"/>
    <n v="2025"/>
    <x v="29"/>
    <s v="Week 31"/>
    <s v="Week 31-2025"/>
  </r>
  <r>
    <d v="2025-07-27T00:00:00"/>
    <x v="12"/>
    <n v="2"/>
    <n v="2025"/>
    <x v="29"/>
    <s v="Week 31"/>
    <s v="Week 31-2025"/>
  </r>
  <r>
    <d v="2025-07-27T00:00:00"/>
    <x v="4"/>
    <n v="4"/>
    <n v="2025"/>
    <x v="29"/>
    <s v="Week 31"/>
    <s v="Week 31-2025"/>
  </r>
  <r>
    <d v="2025-07-27T00:00:00"/>
    <x v="4"/>
    <n v="4"/>
    <n v="2025"/>
    <x v="29"/>
    <s v="Week 31"/>
    <s v="Week 31-2025"/>
  </r>
  <r>
    <d v="2025-07-27T00:00:00"/>
    <x v="11"/>
    <n v="2"/>
    <n v="2025"/>
    <x v="29"/>
    <s v="Week 31"/>
    <s v="Week 31-2025"/>
  </r>
  <r>
    <d v="2025-07-27T00:00:00"/>
    <x v="11"/>
    <n v="2"/>
    <n v="2025"/>
    <x v="29"/>
    <s v="Week 31"/>
    <s v="Week 31-2025"/>
  </r>
  <r>
    <d v="2025-07-27T00:00:00"/>
    <x v="6"/>
    <n v="1"/>
    <n v="2025"/>
    <x v="29"/>
    <s v="Week 31"/>
    <s v="Week 31-2025"/>
  </r>
  <r>
    <d v="2025-07-27T00:00:00"/>
    <x v="18"/>
    <n v="4"/>
    <n v="2025"/>
    <x v="29"/>
    <s v="Week 31"/>
    <s v="Week 31-2025"/>
  </r>
  <r>
    <d v="2025-07-27T00:00:00"/>
    <x v="20"/>
    <n v="2"/>
    <n v="2025"/>
    <x v="29"/>
    <s v="Week 31"/>
    <s v="Week 31-2025"/>
  </r>
  <r>
    <d v="2025-07-27T00:00:00"/>
    <x v="20"/>
    <n v="2"/>
    <n v="2025"/>
    <x v="29"/>
    <s v="Week 31"/>
    <s v="Week 31-2025"/>
  </r>
  <r>
    <d v="2025-07-27T00:00:00"/>
    <x v="12"/>
    <n v="2"/>
    <n v="2025"/>
    <x v="29"/>
    <s v="Week 31"/>
    <s v="Week 31-2025"/>
  </r>
  <r>
    <d v="2025-07-27T00:00:00"/>
    <x v="33"/>
    <n v="2"/>
    <n v="2025"/>
    <x v="29"/>
    <s v="Week 31"/>
    <s v="Week 31-2025"/>
  </r>
  <r>
    <d v="2025-07-27T00:00:00"/>
    <x v="28"/>
    <n v="2"/>
    <n v="2025"/>
    <x v="29"/>
    <s v="Week 31"/>
    <s v="Week 31-2025"/>
  </r>
  <r>
    <d v="2025-07-27T00:00:00"/>
    <x v="28"/>
    <n v="2"/>
    <n v="2025"/>
    <x v="29"/>
    <s v="Week 31"/>
    <s v="Week 31-2025"/>
  </r>
  <r>
    <d v="2025-07-27T00:00:00"/>
    <x v="30"/>
    <n v="2"/>
    <n v="2025"/>
    <x v="29"/>
    <s v="Week 31"/>
    <s v="Week 31-2025"/>
  </r>
  <r>
    <d v="2025-07-27T00:00:00"/>
    <x v="30"/>
    <n v="2"/>
    <n v="2025"/>
    <x v="29"/>
    <s v="Week 31"/>
    <s v="Week 31-2025"/>
  </r>
  <r>
    <d v="2025-07-27T00:00:00"/>
    <x v="30"/>
    <n v="2"/>
    <n v="2025"/>
    <x v="29"/>
    <s v="Week 31"/>
    <s v="Week 31-2025"/>
  </r>
  <r>
    <d v="2025-07-28T00:00:00"/>
    <x v="13"/>
    <n v="15"/>
    <n v="2025"/>
    <x v="30"/>
    <s v="Week 31"/>
    <s v="Week 31-2025"/>
  </r>
  <r>
    <d v="2025-07-28T00:00:00"/>
    <x v="5"/>
    <n v="11"/>
    <n v="2025"/>
    <x v="30"/>
    <s v="Week 31"/>
    <s v="Week 31-2025"/>
  </r>
  <r>
    <d v="2025-07-28T00:00:00"/>
    <x v="5"/>
    <n v="8"/>
    <n v="2025"/>
    <x v="30"/>
    <s v="Week 31"/>
    <s v="Week 31-2025"/>
  </r>
  <r>
    <d v="2025-07-28T00:00:00"/>
    <x v="5"/>
    <n v="6"/>
    <n v="2025"/>
    <x v="30"/>
    <s v="Week 31"/>
    <s v="Week 31-2025"/>
  </r>
  <r>
    <d v="2025-07-28T00:00:00"/>
    <x v="5"/>
    <n v="6"/>
    <n v="2025"/>
    <x v="30"/>
    <s v="Week 31"/>
    <s v="Week 31-2025"/>
  </r>
  <r>
    <d v="2025-07-28T00:00:00"/>
    <x v="14"/>
    <n v="8"/>
    <n v="2025"/>
    <x v="30"/>
    <s v="Week 31"/>
    <s v="Week 31-2025"/>
  </r>
  <r>
    <d v="2025-07-28T00:00:00"/>
    <x v="10"/>
    <n v="8"/>
    <n v="2025"/>
    <x v="30"/>
    <s v="Week 31"/>
    <s v="Week 31-2025"/>
  </r>
  <r>
    <d v="2025-07-28T00:00:00"/>
    <x v="28"/>
    <n v="20"/>
    <n v="2025"/>
    <x v="30"/>
    <s v="Week 31"/>
    <s v="Week 31-2025"/>
  </r>
  <r>
    <d v="2025-07-28T00:00:00"/>
    <x v="28"/>
    <n v="17"/>
    <n v="2025"/>
    <x v="30"/>
    <s v="Week 31"/>
    <s v="Week 31-2025"/>
  </r>
  <r>
    <d v="2025-07-28T00:00:00"/>
    <x v="3"/>
    <n v="6"/>
    <n v="2025"/>
    <x v="30"/>
    <s v="Week 31"/>
    <s v="Week 31-2025"/>
  </r>
  <r>
    <d v="2025-07-28T00:00:00"/>
    <x v="2"/>
    <n v="8"/>
    <n v="2025"/>
    <x v="30"/>
    <s v="Week 31"/>
    <s v="Week 31-2025"/>
  </r>
  <r>
    <d v="2025-07-28T00:00:00"/>
    <x v="27"/>
    <n v="8"/>
    <n v="2025"/>
    <x v="30"/>
    <s v="Week 31"/>
    <s v="Week 31-2025"/>
  </r>
  <r>
    <d v="2025-07-28T00:00:00"/>
    <x v="13"/>
    <n v="2"/>
    <n v="2025"/>
    <x v="30"/>
    <s v="Week 31"/>
    <s v="Week 31-2025"/>
  </r>
  <r>
    <d v="2025-07-28T00:00:00"/>
    <x v="5"/>
    <n v="2"/>
    <n v="2025"/>
    <x v="30"/>
    <s v="Week 31"/>
    <s v="Week 31-2025"/>
  </r>
  <r>
    <d v="2025-07-28T00:00:00"/>
    <x v="1"/>
    <n v="4"/>
    <n v="2025"/>
    <x v="30"/>
    <s v="Week 31"/>
    <s v="Week 31-2025"/>
  </r>
  <r>
    <d v="2025-07-28T00:00:00"/>
    <x v="14"/>
    <n v="2"/>
    <n v="2025"/>
    <x v="30"/>
    <s v="Week 31"/>
    <s v="Week 31-2025"/>
  </r>
  <r>
    <d v="2025-07-28T00:00:00"/>
    <x v="14"/>
    <n v="2"/>
    <n v="2025"/>
    <x v="30"/>
    <s v="Week 31"/>
    <s v="Week 31-2025"/>
  </r>
  <r>
    <d v="2025-07-28T00:00:00"/>
    <x v="24"/>
    <n v="4"/>
    <n v="2025"/>
    <x v="30"/>
    <s v="Week 31"/>
    <s v="Week 31-2025"/>
  </r>
  <r>
    <d v="2025-07-28T00:00:00"/>
    <x v="28"/>
    <n v="4"/>
    <n v="2025"/>
    <x v="30"/>
    <s v="Week 31"/>
    <s v="Week 31-2025"/>
  </r>
  <r>
    <d v="2025-07-28T00:00:00"/>
    <x v="30"/>
    <n v="4"/>
    <n v="2025"/>
    <x v="30"/>
    <s v="Week 31"/>
    <s v="Week 31-2025"/>
  </r>
  <r>
    <d v="2025-07-28T00:00:00"/>
    <x v="26"/>
    <n v="2"/>
    <n v="2025"/>
    <x v="30"/>
    <s v="Week 31"/>
    <s v="Week 31-2025"/>
  </r>
  <r>
    <d v="2025-07-28T00:00:00"/>
    <x v="30"/>
    <n v="2"/>
    <n v="2025"/>
    <x v="30"/>
    <s v="Week 31"/>
    <s v="Week 31-2025"/>
  </r>
  <r>
    <d v="2025-07-29T00:00:00"/>
    <x v="12"/>
    <n v="24"/>
    <n v="2025"/>
    <x v="30"/>
    <s v="Week 31"/>
    <s v="Week 31-2025"/>
  </r>
  <r>
    <d v="2025-07-29T00:00:00"/>
    <x v="10"/>
    <n v="16"/>
    <n v="2025"/>
    <x v="30"/>
    <s v="Week 31"/>
    <s v="Week 31-2025"/>
  </r>
  <r>
    <d v="2025-07-29T00:00:00"/>
    <x v="10"/>
    <n v="12"/>
    <n v="2025"/>
    <x v="30"/>
    <s v="Week 31"/>
    <s v="Week 31-2025"/>
  </r>
  <r>
    <d v="2025-07-29T00:00:00"/>
    <x v="12"/>
    <n v="14"/>
    <n v="2025"/>
    <x v="30"/>
    <s v="Week 31"/>
    <s v="Week 31-2025"/>
  </r>
  <r>
    <d v="2025-07-29T00:00:00"/>
    <x v="15"/>
    <n v="12"/>
    <n v="2025"/>
    <x v="30"/>
    <s v="Week 31"/>
    <s v="Week 31-2025"/>
  </r>
  <r>
    <d v="2025-07-29T00:00:00"/>
    <x v="15"/>
    <n v="10"/>
    <n v="2025"/>
    <x v="30"/>
    <s v="Week 31"/>
    <s v="Week 31-2025"/>
  </r>
  <r>
    <d v="2025-07-29T00:00:00"/>
    <x v="3"/>
    <n v="6"/>
    <n v="2025"/>
    <x v="30"/>
    <s v="Week 31"/>
    <s v="Week 31-2025"/>
  </r>
  <r>
    <d v="2025-07-29T00:00:00"/>
    <x v="2"/>
    <n v="8"/>
    <n v="2025"/>
    <x v="30"/>
    <s v="Week 31"/>
    <s v="Week 31-2025"/>
  </r>
  <r>
    <d v="2025-07-29T00:00:00"/>
    <x v="25"/>
    <n v="8"/>
    <n v="2025"/>
    <x v="30"/>
    <s v="Week 31"/>
    <s v="Week 31-2025"/>
  </r>
  <r>
    <d v="2025-07-29T00:00:00"/>
    <x v="3"/>
    <n v="4"/>
    <n v="2025"/>
    <x v="30"/>
    <s v="Week 31"/>
    <s v="Week 31-2025"/>
  </r>
  <r>
    <d v="2025-07-29T00:00:00"/>
    <x v="14"/>
    <n v="4"/>
    <n v="2025"/>
    <x v="30"/>
    <s v="Week 31"/>
    <s v="Week 31-2025"/>
  </r>
  <r>
    <d v="2025-07-29T00:00:00"/>
    <x v="9"/>
    <n v="4"/>
    <n v="2025"/>
    <x v="30"/>
    <s v="Week 31"/>
    <s v="Week 31-2025"/>
  </r>
  <r>
    <d v="2025-07-29T00:00:00"/>
    <x v="3"/>
    <n v="4"/>
    <n v="2025"/>
    <x v="30"/>
    <s v="Week 31"/>
    <s v="Week 31-2025"/>
  </r>
  <r>
    <d v="2025-07-29T00:00:00"/>
    <x v="15"/>
    <n v="6"/>
    <n v="2025"/>
    <x v="30"/>
    <s v="Week 31"/>
    <s v="Week 31-2025"/>
  </r>
  <r>
    <d v="2025-07-29T00:00:00"/>
    <x v="23"/>
    <n v="8"/>
    <n v="2025"/>
    <x v="30"/>
    <s v="Week 31"/>
    <s v="Week 31-2025"/>
  </r>
  <r>
    <d v="2025-07-29T00:00:00"/>
    <x v="28"/>
    <n v="10"/>
    <n v="2025"/>
    <x v="30"/>
    <s v="Week 31"/>
    <s v="Week 31-2025"/>
  </r>
  <r>
    <d v="2025-07-29T00:00:00"/>
    <x v="11"/>
    <n v="4"/>
    <n v="2025"/>
    <x v="30"/>
    <s v="Week 31"/>
    <s v="Week 31-2025"/>
  </r>
  <r>
    <d v="2025-07-29T00:00:00"/>
    <x v="27"/>
    <n v="6"/>
    <n v="2025"/>
    <x v="30"/>
    <s v="Week 31"/>
    <s v="Week 31-2025"/>
  </r>
  <r>
    <d v="2025-07-29T00:00:00"/>
    <x v="17"/>
    <n v="2"/>
    <n v="2025"/>
    <x v="30"/>
    <s v="Week 31"/>
    <s v="Week 31-2025"/>
  </r>
  <r>
    <d v="2025-07-29T00:00:00"/>
    <x v="28"/>
    <n v="8"/>
    <n v="2025"/>
    <x v="30"/>
    <s v="Week 31"/>
    <s v="Week 31-2025"/>
  </r>
  <r>
    <d v="2025-07-29T00:00:00"/>
    <x v="17"/>
    <n v="2"/>
    <n v="2025"/>
    <x v="30"/>
    <s v="Week 31"/>
    <s v="Week 31-2025"/>
  </r>
  <r>
    <d v="2025-07-29T00:00:00"/>
    <x v="27"/>
    <n v="4"/>
    <n v="2025"/>
    <x v="30"/>
    <s v="Week 31"/>
    <s v="Week 31-2025"/>
  </r>
  <r>
    <d v="2025-07-29T00:00:00"/>
    <x v="30"/>
    <n v="6"/>
    <n v="2025"/>
    <x v="30"/>
    <s v="Week 31"/>
    <s v="Week 31-2025"/>
  </r>
  <r>
    <d v="2025-07-29T00:00:00"/>
    <x v="4"/>
    <n v="4"/>
    <n v="2025"/>
    <x v="30"/>
    <s v="Week 31"/>
    <s v="Week 31-2025"/>
  </r>
  <r>
    <d v="2025-07-29T00:00:00"/>
    <x v="12"/>
    <n v="2"/>
    <n v="2025"/>
    <x v="30"/>
    <s v="Week 31"/>
    <s v="Week 31-2025"/>
  </r>
  <r>
    <d v="2025-07-29T00:00:00"/>
    <x v="18"/>
    <n v="4"/>
    <n v="2025"/>
    <x v="30"/>
    <s v="Week 31"/>
    <s v="Week 31-2025"/>
  </r>
  <r>
    <d v="2025-07-29T00:00:00"/>
    <x v="15"/>
    <n v="2"/>
    <n v="2025"/>
    <x v="30"/>
    <s v="Week 31"/>
    <s v="Week 31-2025"/>
  </r>
  <r>
    <d v="2025-07-29T00:00:00"/>
    <x v="33"/>
    <n v="2"/>
    <n v="2025"/>
    <x v="30"/>
    <s v="Week 31"/>
    <s v="Week 31-2025"/>
  </r>
  <r>
    <d v="2025-07-29T00:00:00"/>
    <x v="18"/>
    <n v="2"/>
    <n v="2025"/>
    <x v="30"/>
    <s v="Week 31"/>
    <s v="Week 31-2025"/>
  </r>
  <r>
    <d v="2025-07-29T00:00:00"/>
    <x v="28"/>
    <n v="2"/>
    <n v="2025"/>
    <x v="30"/>
    <s v="Week 31"/>
    <s v="Week 31-2025"/>
  </r>
  <r>
    <d v="2025-07-30T00:00:00"/>
    <x v="10"/>
    <n v="12"/>
    <n v="2025"/>
    <x v="30"/>
    <s v="Week 31"/>
    <s v="Week 31-2025"/>
  </r>
  <r>
    <d v="2025-07-30T00:00:00"/>
    <x v="26"/>
    <n v="2"/>
    <n v="2025"/>
    <x v="30"/>
    <s v="Week 31"/>
    <s v="Week 31-2025"/>
  </r>
  <r>
    <d v="2025-07-30T00:00:00"/>
    <x v="32"/>
    <n v="2"/>
    <n v="2025"/>
    <x v="30"/>
    <s v="Week 31"/>
    <s v="Week 31-2025"/>
  </r>
  <r>
    <d v="2025-07-30T00:00:00"/>
    <x v="32"/>
    <n v="2"/>
    <n v="2025"/>
    <x v="30"/>
    <s v="Week 31"/>
    <s v="Week 31-2025"/>
  </r>
  <r>
    <d v="2025-07-31T00:00:00"/>
    <x v="12"/>
    <n v="15"/>
    <n v="2025"/>
    <x v="30"/>
    <s v="Week 31"/>
    <s v="Week 31-2025"/>
  </r>
  <r>
    <d v="2025-07-31T00:00:00"/>
    <x v="10"/>
    <n v="8"/>
    <n v="2025"/>
    <x v="30"/>
    <s v="Week 31"/>
    <s v="Week 31-2025"/>
  </r>
  <r>
    <d v="2025-07-31T00:00:00"/>
    <x v="12"/>
    <n v="11"/>
    <n v="2025"/>
    <x v="30"/>
    <s v="Week 31"/>
    <s v="Week 31-2025"/>
  </r>
  <r>
    <d v="2025-07-31T00:00:00"/>
    <x v="11"/>
    <n v="7"/>
    <n v="2025"/>
    <x v="30"/>
    <s v="Week 31"/>
    <s v="Week 31-2025"/>
  </r>
  <r>
    <d v="2025-07-31T00:00:00"/>
    <x v="12"/>
    <n v="6"/>
    <n v="2025"/>
    <x v="30"/>
    <s v="Week 31"/>
    <s v="Week 31-2025"/>
  </r>
  <r>
    <d v="2025-07-31T00:00:00"/>
    <x v="15"/>
    <n v="7"/>
    <n v="2025"/>
    <x v="30"/>
    <s v="Week 31"/>
    <s v="Week 31-2025"/>
  </r>
  <r>
    <d v="2025-07-31T00:00:00"/>
    <x v="11"/>
    <n v="4"/>
    <n v="2025"/>
    <x v="30"/>
    <s v="Week 31"/>
    <s v="Week 31-2025"/>
  </r>
  <r>
    <d v="2025-07-31T00:00:00"/>
    <x v="15"/>
    <n v="6"/>
    <n v="2025"/>
    <x v="30"/>
    <s v="Week 31"/>
    <s v="Week 31-2025"/>
  </r>
  <r>
    <d v="2025-07-31T00:00:00"/>
    <x v="12"/>
    <n v="4"/>
    <n v="2025"/>
    <x v="30"/>
    <s v="Week 31"/>
    <s v="Week 31-2025"/>
  </r>
  <r>
    <d v="2025-07-31T00:00:00"/>
    <x v="12"/>
    <n v="3"/>
    <n v="2025"/>
    <x v="30"/>
    <s v="Week 31"/>
    <s v="Week 31-2025"/>
  </r>
  <r>
    <d v="2025-07-31T00:00:00"/>
    <x v="18"/>
    <n v="4"/>
    <n v="2025"/>
    <x v="30"/>
    <s v="Week 31"/>
    <s v="Week 31-2025"/>
  </r>
  <r>
    <d v="2025-07-31T00:00:00"/>
    <x v="12"/>
    <n v="2"/>
    <n v="2025"/>
    <x v="30"/>
    <s v="Week 31"/>
    <s v="Week 31-2025"/>
  </r>
  <r>
    <d v="2025-07-31T00:00:00"/>
    <x v="30"/>
    <n v="4"/>
    <n v="2025"/>
    <x v="30"/>
    <s v="Week 31"/>
    <s v="Week 31-2025"/>
  </r>
  <r>
    <d v="2025-07-31T00:00:00"/>
    <x v="25"/>
    <n v="2"/>
    <n v="2025"/>
    <x v="30"/>
    <s v="Week 31"/>
    <s v="Week 31-2025"/>
  </r>
  <r>
    <d v="2025-07-31T00:00:00"/>
    <x v="19"/>
    <n v="2"/>
    <n v="2025"/>
    <x v="30"/>
    <s v="Week 31"/>
    <s v="Week 31-2025"/>
  </r>
  <r>
    <d v="2025-07-31T00:00:00"/>
    <x v="3"/>
    <n v="1"/>
    <n v="2025"/>
    <x v="30"/>
    <s v="Week 31"/>
    <s v="Week 31-2025"/>
  </r>
  <r>
    <d v="2025-07-31T00:00:00"/>
    <x v="11"/>
    <n v="1"/>
    <n v="2025"/>
    <x v="30"/>
    <s v="Week 31"/>
    <s v="Week 31-2025"/>
  </r>
  <r>
    <d v="2025-08-01T00:00:00"/>
    <x v="13"/>
    <n v="8"/>
    <n v="2025"/>
    <x v="30"/>
    <s v="Week 31"/>
    <s v="Week 31-2025"/>
  </r>
  <r>
    <d v="2025-08-01T00:00:00"/>
    <x v="15"/>
    <n v="7"/>
    <n v="2025"/>
    <x v="30"/>
    <s v="Week 31"/>
    <s v="Week 31-2025"/>
  </r>
  <r>
    <d v="2025-08-01T00:00:00"/>
    <x v="2"/>
    <n v="4"/>
    <n v="2025"/>
    <x v="30"/>
    <s v="Week 31"/>
    <s v="Week 31-2025"/>
  </r>
  <r>
    <d v="2025-08-01T00:00:00"/>
    <x v="1"/>
    <n v="2"/>
    <n v="2025"/>
    <x v="30"/>
    <s v="Week 31"/>
    <s v="Week 31-2025"/>
  </r>
  <r>
    <d v="2025-08-01T00:00:00"/>
    <x v="15"/>
    <n v="1"/>
    <n v="2025"/>
    <x v="30"/>
    <s v="Week 31"/>
    <s v="Week 31-2025"/>
  </r>
  <r>
    <d v="2025-08-02T00:00:00"/>
    <x v="12"/>
    <n v="4"/>
    <n v="2025"/>
    <x v="30"/>
    <s v="Week 31"/>
    <s v="Week 31-2025"/>
  </r>
  <r>
    <d v="2025-08-02T00:00:00"/>
    <x v="15"/>
    <n v="4"/>
    <n v="2025"/>
    <x v="30"/>
    <s v="Week 31"/>
    <s v="Week 31-2025"/>
  </r>
  <r>
    <d v="2025-08-03T00:00:00"/>
    <x v="24"/>
    <n v="2"/>
    <n v="2025"/>
    <x v="30"/>
    <s v="Week 32"/>
    <s v="Week 32-2025"/>
  </r>
  <r>
    <d v="2025-08-04T00:00:00"/>
    <x v="11"/>
    <n v="8"/>
    <n v="2025"/>
    <x v="31"/>
    <s v="Week 32"/>
    <s v="Week 32-2025"/>
  </r>
  <r>
    <d v="2025-08-04T00:00:00"/>
    <x v="12"/>
    <n v="69"/>
    <n v="2025"/>
    <x v="31"/>
    <s v="Week 32"/>
    <s v="Week 32-2025"/>
  </r>
  <r>
    <d v="2025-08-04T00:00:00"/>
    <x v="12"/>
    <n v="68"/>
    <n v="2025"/>
    <x v="31"/>
    <s v="Week 32"/>
    <s v="Week 32-2025"/>
  </r>
  <r>
    <d v="2025-08-04T00:00:00"/>
    <x v="11"/>
    <n v="50"/>
    <n v="2025"/>
    <x v="31"/>
    <s v="Week 32"/>
    <s v="Week 32-2025"/>
  </r>
  <r>
    <d v="2025-08-04T00:00:00"/>
    <x v="12"/>
    <n v="47"/>
    <n v="2025"/>
    <x v="31"/>
    <s v="Week 32"/>
    <s v="Week 32-2025"/>
  </r>
  <r>
    <d v="2025-08-04T00:00:00"/>
    <x v="15"/>
    <n v="50"/>
    <n v="2025"/>
    <x v="31"/>
    <s v="Week 32"/>
    <s v="Week 32-2025"/>
  </r>
  <r>
    <d v="2025-08-04T00:00:00"/>
    <x v="11"/>
    <n v="36"/>
    <n v="2025"/>
    <x v="31"/>
    <s v="Week 32"/>
    <s v="Week 32-2025"/>
  </r>
  <r>
    <d v="2025-08-04T00:00:00"/>
    <x v="15"/>
    <n v="50"/>
    <n v="2025"/>
    <x v="31"/>
    <s v="Week 32"/>
    <s v="Week 32-2025"/>
  </r>
  <r>
    <d v="2025-08-04T00:00:00"/>
    <x v="12"/>
    <n v="24"/>
    <n v="2025"/>
    <x v="31"/>
    <s v="Week 32"/>
    <s v="Week 32-2025"/>
  </r>
  <r>
    <d v="2025-08-04T00:00:00"/>
    <x v="3"/>
    <n v="18"/>
    <n v="2025"/>
    <x v="31"/>
    <s v="Week 32"/>
    <s v="Week 32-2025"/>
  </r>
  <r>
    <d v="2025-08-04T00:00:00"/>
    <x v="11"/>
    <n v="20"/>
    <n v="2025"/>
    <x v="31"/>
    <s v="Week 32"/>
    <s v="Week 32-2025"/>
  </r>
  <r>
    <d v="2025-08-04T00:00:00"/>
    <x v="3"/>
    <n v="16"/>
    <n v="2025"/>
    <x v="31"/>
    <s v="Week 32"/>
    <s v="Week 32-2025"/>
  </r>
  <r>
    <d v="2025-08-04T00:00:00"/>
    <x v="3"/>
    <n v="15"/>
    <n v="2025"/>
    <x v="31"/>
    <s v="Week 32"/>
    <s v="Week 32-2025"/>
  </r>
  <r>
    <d v="2025-08-04T00:00:00"/>
    <x v="15"/>
    <n v="26"/>
    <n v="2025"/>
    <x v="31"/>
    <s v="Week 32"/>
    <s v="Week 32-2025"/>
  </r>
  <r>
    <d v="2025-08-04T00:00:00"/>
    <x v="10"/>
    <n v="11"/>
    <n v="2025"/>
    <x v="31"/>
    <s v="Week 32"/>
    <s v="Week 32-2025"/>
  </r>
  <r>
    <d v="2025-08-04T00:00:00"/>
    <x v="11"/>
    <n v="13"/>
    <n v="2025"/>
    <x v="31"/>
    <s v="Week 32"/>
    <s v="Week 32-2025"/>
  </r>
  <r>
    <d v="2025-08-04T00:00:00"/>
    <x v="14"/>
    <n v="8"/>
    <n v="2025"/>
    <x v="31"/>
    <s v="Week 32"/>
    <s v="Week 32-2025"/>
  </r>
  <r>
    <d v="2025-08-04T00:00:00"/>
    <x v="15"/>
    <n v="20"/>
    <n v="2025"/>
    <x v="31"/>
    <s v="Week 32"/>
    <s v="Week 32-2025"/>
  </r>
  <r>
    <d v="2025-08-04T00:00:00"/>
    <x v="11"/>
    <n v="10"/>
    <n v="2025"/>
    <x v="31"/>
    <s v="Week 32"/>
    <s v="Week 32-2025"/>
  </r>
  <r>
    <d v="2025-08-04T00:00:00"/>
    <x v="2"/>
    <n v="12"/>
    <n v="2025"/>
    <x v="31"/>
    <s v="Week 32"/>
    <s v="Week 32-2025"/>
  </r>
  <r>
    <d v="2025-08-04T00:00:00"/>
    <x v="15"/>
    <n v="18"/>
    <n v="2025"/>
    <x v="31"/>
    <s v="Week 32"/>
    <s v="Week 32-2025"/>
  </r>
  <r>
    <d v="2025-08-04T00:00:00"/>
    <x v="10"/>
    <n v="7"/>
    <n v="2025"/>
    <x v="31"/>
    <s v="Week 32"/>
    <s v="Week 32-2025"/>
  </r>
  <r>
    <d v="2025-08-04T00:00:00"/>
    <x v="12"/>
    <n v="12"/>
    <n v="2025"/>
    <x v="31"/>
    <s v="Week 32"/>
    <s v="Week 32-2025"/>
  </r>
  <r>
    <d v="2025-08-04T00:00:00"/>
    <x v="18"/>
    <n v="18"/>
    <n v="2025"/>
    <x v="31"/>
    <s v="Week 32"/>
    <s v="Week 32-2025"/>
  </r>
  <r>
    <d v="2025-08-04T00:00:00"/>
    <x v="17"/>
    <n v="7"/>
    <n v="2025"/>
    <x v="31"/>
    <s v="Week 32"/>
    <s v="Week 32-2025"/>
  </r>
  <r>
    <d v="2025-08-04T00:00:00"/>
    <x v="12"/>
    <n v="10"/>
    <n v="2025"/>
    <x v="31"/>
    <s v="Week 32"/>
    <s v="Week 32-2025"/>
  </r>
  <r>
    <d v="2025-08-04T00:00:00"/>
    <x v="12"/>
    <n v="8"/>
    <n v="2025"/>
    <x v="31"/>
    <s v="Week 32"/>
    <s v="Week 32-2025"/>
  </r>
  <r>
    <d v="2025-08-04T00:00:00"/>
    <x v="3"/>
    <n v="7"/>
    <n v="2025"/>
    <x v="31"/>
    <s v="Week 32"/>
    <s v="Week 32-2025"/>
  </r>
  <r>
    <d v="2025-08-04T00:00:00"/>
    <x v="3"/>
    <n v="6"/>
    <n v="2025"/>
    <x v="31"/>
    <s v="Week 32"/>
    <s v="Week 32-2025"/>
  </r>
  <r>
    <d v="2025-08-04T00:00:00"/>
    <x v="3"/>
    <n v="6"/>
    <n v="2025"/>
    <x v="31"/>
    <s v="Week 32"/>
    <s v="Week 32-2025"/>
  </r>
  <r>
    <d v="2025-08-04T00:00:00"/>
    <x v="15"/>
    <n v="12"/>
    <n v="2025"/>
    <x v="31"/>
    <s v="Week 32"/>
    <s v="Week 32-2025"/>
  </r>
  <r>
    <d v="2025-08-04T00:00:00"/>
    <x v="12"/>
    <n v="8"/>
    <n v="2025"/>
    <x v="31"/>
    <s v="Week 32"/>
    <s v="Week 32-2025"/>
  </r>
  <r>
    <d v="2025-08-04T00:00:00"/>
    <x v="27"/>
    <n v="10"/>
    <n v="2025"/>
    <x v="31"/>
    <s v="Week 32"/>
    <s v="Week 32-2025"/>
  </r>
  <r>
    <d v="2025-08-04T00:00:00"/>
    <x v="14"/>
    <n v="4"/>
    <n v="2025"/>
    <x v="31"/>
    <s v="Week 32"/>
    <s v="Week 32-2025"/>
  </r>
  <r>
    <d v="2025-08-04T00:00:00"/>
    <x v="2"/>
    <n v="6"/>
    <n v="2025"/>
    <x v="31"/>
    <s v="Week 32"/>
    <s v="Week 32-2025"/>
  </r>
  <r>
    <d v="2025-08-04T00:00:00"/>
    <x v="19"/>
    <n v="10"/>
    <n v="2025"/>
    <x v="31"/>
    <s v="Week 32"/>
    <s v="Week 32-2025"/>
  </r>
  <r>
    <d v="2025-08-04T00:00:00"/>
    <x v="15"/>
    <n v="8"/>
    <n v="2025"/>
    <x v="31"/>
    <s v="Week 32"/>
    <s v="Week 32-2025"/>
  </r>
  <r>
    <d v="2025-08-04T00:00:00"/>
    <x v="25"/>
    <n v="6"/>
    <n v="2025"/>
    <x v="31"/>
    <s v="Week 32"/>
    <s v="Week 32-2025"/>
  </r>
  <r>
    <d v="2025-08-04T00:00:00"/>
    <x v="12"/>
    <n v="6"/>
    <n v="2025"/>
    <x v="31"/>
    <s v="Week 32"/>
    <s v="Week 32-2025"/>
  </r>
  <r>
    <d v="2025-08-04T00:00:00"/>
    <x v="22"/>
    <n v="6"/>
    <n v="2025"/>
    <x v="31"/>
    <s v="Week 32"/>
    <s v="Week 32-2025"/>
  </r>
  <r>
    <d v="2025-08-04T00:00:00"/>
    <x v="10"/>
    <n v="3"/>
    <n v="2025"/>
    <x v="31"/>
    <s v="Week 32"/>
    <s v="Week 32-2025"/>
  </r>
  <r>
    <d v="2025-08-04T00:00:00"/>
    <x v="17"/>
    <n v="3"/>
    <n v="2025"/>
    <x v="31"/>
    <s v="Week 32"/>
    <s v="Week 32-2025"/>
  </r>
  <r>
    <d v="2025-08-04T00:00:00"/>
    <x v="5"/>
    <n v="2"/>
    <n v="2025"/>
    <x v="31"/>
    <s v="Week 32"/>
    <s v="Week 32-2025"/>
  </r>
  <r>
    <d v="2025-08-04T00:00:00"/>
    <x v="6"/>
    <n v="2"/>
    <n v="2025"/>
    <x v="31"/>
    <s v="Week 32"/>
    <s v="Week 32-2025"/>
  </r>
  <r>
    <d v="2025-08-04T00:00:00"/>
    <x v="15"/>
    <n v="6"/>
    <n v="2025"/>
    <x v="31"/>
    <s v="Week 32"/>
    <s v="Week 32-2025"/>
  </r>
  <r>
    <d v="2025-08-04T00:00:00"/>
    <x v="25"/>
    <n v="4"/>
    <n v="2025"/>
    <x v="31"/>
    <s v="Week 32"/>
    <s v="Week 32-2025"/>
  </r>
  <r>
    <d v="2025-08-04T00:00:00"/>
    <x v="19"/>
    <n v="5"/>
    <n v="2025"/>
    <x v="31"/>
    <s v="Week 32"/>
    <s v="Week 32-2025"/>
  </r>
  <r>
    <d v="2025-08-04T00:00:00"/>
    <x v="20"/>
    <n v="4"/>
    <n v="2025"/>
    <x v="31"/>
    <s v="Week 32"/>
    <s v="Week 32-2025"/>
  </r>
  <r>
    <d v="2025-08-04T00:00:00"/>
    <x v="13"/>
    <n v="2"/>
    <n v="2025"/>
    <x v="31"/>
    <s v="Week 32"/>
    <s v="Week 32-2025"/>
  </r>
  <r>
    <d v="2025-08-04T00:00:00"/>
    <x v="3"/>
    <n v="3"/>
    <n v="2025"/>
    <x v="31"/>
    <s v="Week 32"/>
    <s v="Week 32-2025"/>
  </r>
  <r>
    <d v="2025-08-04T00:00:00"/>
    <x v="15"/>
    <n v="5"/>
    <n v="2025"/>
    <x v="31"/>
    <s v="Week 32"/>
    <s v="Week 32-2025"/>
  </r>
  <r>
    <d v="2025-08-04T00:00:00"/>
    <x v="25"/>
    <n v="4"/>
    <n v="2025"/>
    <x v="31"/>
    <s v="Week 32"/>
    <s v="Week 32-2025"/>
  </r>
  <r>
    <d v="2025-08-04T00:00:00"/>
    <x v="3"/>
    <n v="2"/>
    <n v="2025"/>
    <x v="31"/>
    <s v="Week 32"/>
    <s v="Week 32-2025"/>
  </r>
  <r>
    <d v="2025-08-04T00:00:00"/>
    <x v="3"/>
    <n v="2"/>
    <n v="2025"/>
    <x v="31"/>
    <s v="Week 32"/>
    <s v="Week 32-2025"/>
  </r>
  <r>
    <d v="2025-08-04T00:00:00"/>
    <x v="15"/>
    <n v="4"/>
    <n v="2025"/>
    <x v="31"/>
    <s v="Week 32"/>
    <s v="Week 32-2025"/>
  </r>
  <r>
    <d v="2025-08-04T00:00:00"/>
    <x v="28"/>
    <n v="6"/>
    <n v="2025"/>
    <x v="31"/>
    <s v="Week 32"/>
    <s v="Week 32-2025"/>
  </r>
  <r>
    <d v="2025-08-04T00:00:00"/>
    <x v="11"/>
    <n v="2"/>
    <n v="2025"/>
    <x v="31"/>
    <s v="Week 32"/>
    <s v="Week 32-2025"/>
  </r>
  <r>
    <d v="2025-08-04T00:00:00"/>
    <x v="12"/>
    <n v="2"/>
    <n v="2025"/>
    <x v="31"/>
    <s v="Week 32"/>
    <s v="Week 32-2025"/>
  </r>
  <r>
    <d v="2025-08-04T00:00:00"/>
    <x v="19"/>
    <n v="3"/>
    <n v="2025"/>
    <x v="31"/>
    <s v="Week 32"/>
    <s v="Week 32-2025"/>
  </r>
  <r>
    <d v="2025-08-04T00:00:00"/>
    <x v="10"/>
    <n v="1"/>
    <n v="2025"/>
    <x v="31"/>
    <s v="Week 32"/>
    <s v="Week 32-2025"/>
  </r>
  <r>
    <d v="2025-08-04T00:00:00"/>
    <x v="18"/>
    <n v="2"/>
    <n v="2025"/>
    <x v="31"/>
    <s v="Week 32"/>
    <s v="Week 32-2025"/>
  </r>
  <r>
    <d v="2025-08-04T00:00:00"/>
    <x v="28"/>
    <n v="2"/>
    <n v="2025"/>
    <x v="31"/>
    <s v="Week 32"/>
    <s v="Week 32-2025"/>
  </r>
  <r>
    <d v="2025-08-04T00:00:00"/>
    <x v="11"/>
    <n v="1"/>
    <n v="2025"/>
    <x v="31"/>
    <s v="Week 32"/>
    <s v="Week 32-2025"/>
  </r>
  <r>
    <d v="2025-08-04T00:00:00"/>
    <x v="18"/>
    <n v="2"/>
    <n v="2025"/>
    <x v="31"/>
    <s v="Week 32"/>
    <s v="Week 32-2025"/>
  </r>
  <r>
    <d v="2025-08-04T00:00:00"/>
    <x v="28"/>
    <n v="2"/>
    <n v="2025"/>
    <x v="31"/>
    <s v="Week 32"/>
    <s v="Week 32-2025"/>
  </r>
  <r>
    <d v="2025-08-04T00:00:00"/>
    <x v="28"/>
    <n v="2"/>
    <n v="2025"/>
    <x v="31"/>
    <s v="Week 32"/>
    <s v="Week 32-2025"/>
  </r>
  <r>
    <d v="2025-08-04T00:00:00"/>
    <x v="28"/>
    <n v="2"/>
    <n v="2025"/>
    <x v="31"/>
    <s v="Week 32"/>
    <s v="Week 32-2025"/>
  </r>
  <r>
    <d v="2025-08-04T00:00:00"/>
    <x v="32"/>
    <n v="2"/>
    <n v="2025"/>
    <x v="31"/>
    <s v="Week 32"/>
    <s v="Week 32-2025"/>
  </r>
  <r>
    <d v="2025-08-05T00:00:00"/>
    <x v="29"/>
    <n v="7"/>
    <n v="2025"/>
    <x v="31"/>
    <s v="Week 32"/>
    <s v="Week 32-2025"/>
  </r>
  <r>
    <d v="2025-08-05T00:00:00"/>
    <x v="2"/>
    <n v="24"/>
    <n v="2025"/>
    <x v="31"/>
    <s v="Week 32"/>
    <s v="Week 32-2025"/>
  </r>
  <r>
    <d v="2025-08-05T00:00:00"/>
    <x v="10"/>
    <n v="8"/>
    <n v="2025"/>
    <x v="31"/>
    <s v="Week 32"/>
    <s v="Week 32-2025"/>
  </r>
  <r>
    <d v="2025-08-05T00:00:00"/>
    <x v="20"/>
    <n v="10"/>
    <n v="2025"/>
    <x v="31"/>
    <s v="Week 32"/>
    <s v="Week 32-2025"/>
  </r>
  <r>
    <d v="2025-08-05T00:00:00"/>
    <x v="11"/>
    <n v="8"/>
    <n v="2025"/>
    <x v="31"/>
    <s v="Week 32"/>
    <s v="Week 32-2025"/>
  </r>
  <r>
    <d v="2025-08-05T00:00:00"/>
    <x v="36"/>
    <n v="3"/>
    <n v="2025"/>
    <x v="31"/>
    <s v="Week 32"/>
    <s v="Week 32-2025"/>
  </r>
  <r>
    <d v="2025-08-05T00:00:00"/>
    <x v="0"/>
    <n v="3"/>
    <n v="2025"/>
    <x v="31"/>
    <s v="Week 32"/>
    <s v="Week 32-2025"/>
  </r>
  <r>
    <d v="2025-08-05T00:00:00"/>
    <x v="17"/>
    <n v="4"/>
    <n v="2025"/>
    <x v="31"/>
    <s v="Week 32"/>
    <s v="Week 32-2025"/>
  </r>
  <r>
    <d v="2025-08-05T00:00:00"/>
    <x v="20"/>
    <n v="6"/>
    <n v="2025"/>
    <x v="31"/>
    <s v="Week 32"/>
    <s v="Week 32-2025"/>
  </r>
  <r>
    <d v="2025-08-05T00:00:00"/>
    <x v="1"/>
    <n v="8"/>
    <n v="2025"/>
    <x v="31"/>
    <s v="Week 32"/>
    <s v="Week 32-2025"/>
  </r>
  <r>
    <d v="2025-08-05T00:00:00"/>
    <x v="4"/>
    <n v="8"/>
    <n v="2025"/>
    <x v="31"/>
    <s v="Week 32"/>
    <s v="Week 32-2025"/>
  </r>
  <r>
    <d v="2025-08-05T00:00:00"/>
    <x v="5"/>
    <n v="2"/>
    <n v="2025"/>
    <x v="31"/>
    <s v="Week 32"/>
    <s v="Week 32-2025"/>
  </r>
  <r>
    <d v="2025-08-05T00:00:00"/>
    <x v="3"/>
    <n v="2"/>
    <n v="2025"/>
    <x v="31"/>
    <s v="Week 32"/>
    <s v="Week 32-2025"/>
  </r>
  <r>
    <d v="2025-08-05T00:00:00"/>
    <x v="27"/>
    <n v="4"/>
    <n v="2025"/>
    <x v="31"/>
    <s v="Week 32"/>
    <s v="Week 32-2025"/>
  </r>
  <r>
    <d v="2025-08-05T00:00:00"/>
    <x v="13"/>
    <n v="2"/>
    <n v="2025"/>
    <x v="31"/>
    <s v="Week 32"/>
    <s v="Week 32-2025"/>
  </r>
  <r>
    <d v="2025-08-05T00:00:00"/>
    <x v="15"/>
    <n v="3"/>
    <n v="2025"/>
    <x v="31"/>
    <s v="Week 32"/>
    <s v="Week 32-2025"/>
  </r>
  <r>
    <d v="2025-08-05T00:00:00"/>
    <x v="28"/>
    <n v="6"/>
    <n v="2025"/>
    <x v="31"/>
    <s v="Week 32"/>
    <s v="Week 32-2025"/>
  </r>
  <r>
    <d v="2025-08-05T00:00:00"/>
    <x v="9"/>
    <n v="2"/>
    <n v="2025"/>
    <x v="31"/>
    <s v="Week 32"/>
    <s v="Week 32-2025"/>
  </r>
  <r>
    <d v="2025-08-05T00:00:00"/>
    <x v="22"/>
    <n v="2"/>
    <n v="2025"/>
    <x v="31"/>
    <s v="Week 32"/>
    <s v="Week 32-2025"/>
  </r>
  <r>
    <d v="2025-08-05T00:00:00"/>
    <x v="22"/>
    <n v="2"/>
    <n v="2025"/>
    <x v="31"/>
    <s v="Week 32"/>
    <s v="Week 32-2025"/>
  </r>
  <r>
    <d v="2025-08-06T00:00:00"/>
    <x v="12"/>
    <n v="33"/>
    <n v="2025"/>
    <x v="31"/>
    <s v="Week 32"/>
    <s v="Week 32-2025"/>
  </r>
  <r>
    <d v="2025-08-06T00:00:00"/>
    <x v="15"/>
    <n v="22"/>
    <n v="2025"/>
    <x v="31"/>
    <s v="Week 32"/>
    <s v="Week 32-2025"/>
  </r>
  <r>
    <d v="2025-08-06T00:00:00"/>
    <x v="11"/>
    <n v="10"/>
    <n v="2025"/>
    <x v="31"/>
    <s v="Week 32"/>
    <s v="Week 32-2025"/>
  </r>
  <r>
    <d v="2025-08-06T00:00:00"/>
    <x v="14"/>
    <n v="8"/>
    <n v="2025"/>
    <x v="31"/>
    <s v="Week 32"/>
    <s v="Week 32-2025"/>
  </r>
  <r>
    <d v="2025-08-06T00:00:00"/>
    <x v="3"/>
    <n v="8"/>
    <n v="2025"/>
    <x v="31"/>
    <s v="Week 32"/>
    <s v="Week 32-2025"/>
  </r>
  <r>
    <d v="2025-08-06T00:00:00"/>
    <x v="2"/>
    <n v="10"/>
    <n v="2025"/>
    <x v="31"/>
    <s v="Week 32"/>
    <s v="Week 32-2025"/>
  </r>
  <r>
    <d v="2025-08-06T00:00:00"/>
    <x v="9"/>
    <n v="8"/>
    <n v="2025"/>
    <x v="31"/>
    <s v="Week 32"/>
    <s v="Week 32-2025"/>
  </r>
  <r>
    <d v="2025-08-06T00:00:00"/>
    <x v="3"/>
    <n v="6"/>
    <n v="2025"/>
    <x v="31"/>
    <s v="Week 32"/>
    <s v="Week 32-2025"/>
  </r>
  <r>
    <d v="2025-08-06T00:00:00"/>
    <x v="27"/>
    <n v="12"/>
    <n v="2025"/>
    <x v="31"/>
    <s v="Week 32"/>
    <s v="Week 32-2025"/>
  </r>
  <r>
    <d v="2025-08-06T00:00:00"/>
    <x v="9"/>
    <n v="6"/>
    <n v="2025"/>
    <x v="31"/>
    <s v="Week 32"/>
    <s v="Week 32-2025"/>
  </r>
  <r>
    <d v="2025-08-06T00:00:00"/>
    <x v="12"/>
    <n v="7"/>
    <n v="2025"/>
    <x v="31"/>
    <s v="Week 32"/>
    <s v="Week 32-2025"/>
  </r>
  <r>
    <d v="2025-08-06T00:00:00"/>
    <x v="11"/>
    <n v="6"/>
    <n v="2025"/>
    <x v="31"/>
    <s v="Week 32"/>
    <s v="Week 32-2025"/>
  </r>
  <r>
    <d v="2025-08-06T00:00:00"/>
    <x v="17"/>
    <n v="4"/>
    <n v="2025"/>
    <x v="31"/>
    <s v="Week 32"/>
    <s v="Week 32-2025"/>
  </r>
  <r>
    <d v="2025-08-06T00:00:00"/>
    <x v="13"/>
    <n v="4"/>
    <n v="2025"/>
    <x v="31"/>
    <s v="Week 32"/>
    <s v="Week 32-2025"/>
  </r>
  <r>
    <d v="2025-08-06T00:00:00"/>
    <x v="27"/>
    <n v="10"/>
    <n v="2025"/>
    <x v="31"/>
    <s v="Week 32"/>
    <s v="Week 32-2025"/>
  </r>
  <r>
    <d v="2025-08-06T00:00:00"/>
    <x v="14"/>
    <n v="4"/>
    <n v="2025"/>
    <x v="31"/>
    <s v="Week 32"/>
    <s v="Week 32-2025"/>
  </r>
  <r>
    <d v="2025-08-06T00:00:00"/>
    <x v="14"/>
    <n v="4"/>
    <n v="2025"/>
    <x v="31"/>
    <s v="Week 32"/>
    <s v="Week 32-2025"/>
  </r>
  <r>
    <d v="2025-08-06T00:00:00"/>
    <x v="10"/>
    <n v="4"/>
    <n v="2025"/>
    <x v="31"/>
    <s v="Week 32"/>
    <s v="Week 32-2025"/>
  </r>
  <r>
    <d v="2025-08-06T00:00:00"/>
    <x v="25"/>
    <n v="6"/>
    <n v="2025"/>
    <x v="31"/>
    <s v="Week 32"/>
    <s v="Week 32-2025"/>
  </r>
  <r>
    <d v="2025-08-06T00:00:00"/>
    <x v="3"/>
    <n v="4"/>
    <n v="2025"/>
    <x v="31"/>
    <s v="Week 32"/>
    <s v="Week 32-2025"/>
  </r>
  <r>
    <d v="2025-08-06T00:00:00"/>
    <x v="10"/>
    <n v="4"/>
    <n v="2025"/>
    <x v="31"/>
    <s v="Week 32"/>
    <s v="Week 32-2025"/>
  </r>
  <r>
    <d v="2025-08-06T00:00:00"/>
    <x v="11"/>
    <n v="4"/>
    <n v="2025"/>
    <x v="31"/>
    <s v="Week 32"/>
    <s v="Week 32-2025"/>
  </r>
  <r>
    <d v="2025-08-06T00:00:00"/>
    <x v="3"/>
    <n v="4"/>
    <n v="2025"/>
    <x v="31"/>
    <s v="Week 32"/>
    <s v="Week 32-2025"/>
  </r>
  <r>
    <d v="2025-08-06T00:00:00"/>
    <x v="15"/>
    <n v="6"/>
    <n v="2025"/>
    <x v="31"/>
    <s v="Week 32"/>
    <s v="Week 32-2025"/>
  </r>
  <r>
    <d v="2025-08-06T00:00:00"/>
    <x v="12"/>
    <n v="4"/>
    <n v="2025"/>
    <x v="31"/>
    <s v="Week 32"/>
    <s v="Week 32-2025"/>
  </r>
  <r>
    <d v="2025-08-06T00:00:00"/>
    <x v="13"/>
    <n v="2"/>
    <n v="2025"/>
    <x v="31"/>
    <s v="Week 32"/>
    <s v="Week 32-2025"/>
  </r>
  <r>
    <d v="2025-08-06T00:00:00"/>
    <x v="12"/>
    <n v="3"/>
    <n v="2025"/>
    <x v="31"/>
    <s v="Week 32"/>
    <s v="Week 32-2025"/>
  </r>
  <r>
    <d v="2025-08-06T00:00:00"/>
    <x v="14"/>
    <n v="2"/>
    <n v="2025"/>
    <x v="31"/>
    <s v="Week 32"/>
    <s v="Week 32-2025"/>
  </r>
  <r>
    <d v="2025-08-06T00:00:00"/>
    <x v="15"/>
    <n v="4"/>
    <n v="2025"/>
    <x v="31"/>
    <s v="Week 32"/>
    <s v="Week 32-2025"/>
  </r>
  <r>
    <d v="2025-08-06T00:00:00"/>
    <x v="10"/>
    <n v="2"/>
    <n v="2025"/>
    <x v="31"/>
    <s v="Week 32"/>
    <s v="Week 32-2025"/>
  </r>
  <r>
    <d v="2025-08-06T00:00:00"/>
    <x v="11"/>
    <n v="2"/>
    <n v="2025"/>
    <x v="31"/>
    <s v="Week 32"/>
    <s v="Week 32-2025"/>
  </r>
  <r>
    <d v="2025-08-06T00:00:00"/>
    <x v="9"/>
    <n v="2"/>
    <n v="2025"/>
    <x v="31"/>
    <s v="Week 32"/>
    <s v="Week 32-2025"/>
  </r>
  <r>
    <d v="2025-08-06T00:00:00"/>
    <x v="12"/>
    <n v="2"/>
    <n v="2025"/>
    <x v="31"/>
    <s v="Week 32"/>
    <s v="Week 32-2025"/>
  </r>
  <r>
    <d v="2025-08-06T00:00:00"/>
    <x v="12"/>
    <n v="2"/>
    <n v="2025"/>
    <x v="31"/>
    <s v="Week 32"/>
    <s v="Week 32-2025"/>
  </r>
  <r>
    <d v="2025-08-06T00:00:00"/>
    <x v="11"/>
    <n v="2"/>
    <n v="2025"/>
    <x v="31"/>
    <s v="Week 32"/>
    <s v="Week 32-2025"/>
  </r>
  <r>
    <d v="2025-08-06T00:00:00"/>
    <x v="25"/>
    <n v="2"/>
    <n v="2025"/>
    <x v="31"/>
    <s v="Week 32"/>
    <s v="Week 32-2025"/>
  </r>
  <r>
    <d v="2025-08-06T00:00:00"/>
    <x v="25"/>
    <n v="2"/>
    <n v="2025"/>
    <x v="31"/>
    <s v="Week 32"/>
    <s v="Week 32-2025"/>
  </r>
  <r>
    <d v="2025-08-06T00:00:00"/>
    <x v="15"/>
    <n v="1"/>
    <n v="2025"/>
    <x v="31"/>
    <s v="Week 32"/>
    <s v="Week 32-2025"/>
  </r>
  <r>
    <d v="2025-08-06T00:00:00"/>
    <x v="15"/>
    <n v="1"/>
    <n v="2025"/>
    <x v="31"/>
    <s v="Week 32"/>
    <s v="Week 32-2025"/>
  </r>
  <r>
    <d v="2025-08-09T00:00:00"/>
    <x v="15"/>
    <n v="12"/>
    <n v="2025"/>
    <x v="31"/>
    <s v="Week 32"/>
    <s v="Week 32-2025"/>
  </r>
  <r>
    <d v="2025-08-09T00:00:00"/>
    <x v="19"/>
    <n v="6"/>
    <n v="2025"/>
    <x v="31"/>
    <s v="Week 32"/>
    <s v="Week 32-2025"/>
  </r>
  <r>
    <d v="2025-08-09T00:00:00"/>
    <x v="22"/>
    <n v="2"/>
    <n v="2025"/>
    <x v="31"/>
    <s v="Week 32"/>
    <s v="Week 32-2025"/>
  </r>
  <r>
    <d v="2025-08-10T00:00:00"/>
    <x v="5"/>
    <n v="11"/>
    <n v="2025"/>
    <x v="31"/>
    <s v="Week 33"/>
    <s v="Week 33-2025"/>
  </r>
  <r>
    <d v="2025-08-10T00:00:00"/>
    <x v="13"/>
    <n v="8"/>
    <n v="2025"/>
    <x v="31"/>
    <s v="Week 33"/>
    <s v="Week 33-2025"/>
  </r>
  <r>
    <d v="2025-08-10T00:00:00"/>
    <x v="5"/>
    <n v="5"/>
    <n v="2025"/>
    <x v="31"/>
    <s v="Week 33"/>
    <s v="Week 33-2025"/>
  </r>
  <r>
    <d v="2025-08-10T00:00:00"/>
    <x v="2"/>
    <n v="8"/>
    <n v="2025"/>
    <x v="31"/>
    <s v="Week 33"/>
    <s v="Week 33-2025"/>
  </r>
  <r>
    <d v="2025-08-10T00:00:00"/>
    <x v="11"/>
    <n v="4"/>
    <n v="2025"/>
    <x v="31"/>
    <s v="Week 33"/>
    <s v="Week 33-2025"/>
  </r>
  <r>
    <d v="2025-08-11T00:00:00"/>
    <x v="3"/>
    <n v="16"/>
    <n v="2025"/>
    <x v="32"/>
    <s v="Week 33"/>
    <s v="Week 33-2025"/>
  </r>
  <r>
    <d v="2025-08-11T00:00:00"/>
    <x v="12"/>
    <n v="16"/>
    <n v="2025"/>
    <x v="32"/>
    <s v="Week 33"/>
    <s v="Week 33-2025"/>
  </r>
  <r>
    <d v="2025-08-11T00:00:00"/>
    <x v="11"/>
    <n v="11"/>
    <n v="2025"/>
    <x v="32"/>
    <s v="Week 33"/>
    <s v="Week 33-2025"/>
  </r>
  <r>
    <d v="2025-08-11T00:00:00"/>
    <x v="3"/>
    <n v="8"/>
    <n v="2025"/>
    <x v="32"/>
    <s v="Week 33"/>
    <s v="Week 33-2025"/>
  </r>
  <r>
    <d v="2025-08-11T00:00:00"/>
    <x v="11"/>
    <n v="8"/>
    <n v="2025"/>
    <x v="32"/>
    <s v="Week 33"/>
    <s v="Week 33-2025"/>
  </r>
  <r>
    <d v="2025-08-11T00:00:00"/>
    <x v="15"/>
    <n v="12"/>
    <n v="2025"/>
    <x v="32"/>
    <s v="Week 33"/>
    <s v="Week 33-2025"/>
  </r>
  <r>
    <d v="2025-08-11T00:00:00"/>
    <x v="15"/>
    <n v="10"/>
    <n v="2025"/>
    <x v="32"/>
    <s v="Week 33"/>
    <s v="Week 33-2025"/>
  </r>
  <r>
    <d v="2025-08-11T00:00:00"/>
    <x v="12"/>
    <n v="8"/>
    <n v="2025"/>
    <x v="32"/>
    <s v="Week 33"/>
    <s v="Week 33-2025"/>
  </r>
  <r>
    <d v="2025-08-11T00:00:00"/>
    <x v="12"/>
    <n v="6"/>
    <n v="2025"/>
    <x v="32"/>
    <s v="Week 33"/>
    <s v="Week 33-2025"/>
  </r>
  <r>
    <d v="2025-08-11T00:00:00"/>
    <x v="14"/>
    <n v="4"/>
    <n v="2025"/>
    <x v="32"/>
    <s v="Week 33"/>
    <s v="Week 33-2025"/>
  </r>
  <r>
    <d v="2025-08-11T00:00:00"/>
    <x v="11"/>
    <n v="5"/>
    <n v="2025"/>
    <x v="32"/>
    <s v="Week 33"/>
    <s v="Week 33-2025"/>
  </r>
  <r>
    <d v="2025-08-11T00:00:00"/>
    <x v="31"/>
    <n v="6"/>
    <n v="2025"/>
    <x v="32"/>
    <s v="Week 33"/>
    <s v="Week 33-2025"/>
  </r>
  <r>
    <d v="2025-08-11T00:00:00"/>
    <x v="25"/>
    <n v="4"/>
    <n v="2025"/>
    <x v="32"/>
    <s v="Week 33"/>
    <s v="Week 33-2025"/>
  </r>
  <r>
    <d v="2025-08-11T00:00:00"/>
    <x v="15"/>
    <n v="4"/>
    <n v="2025"/>
    <x v="32"/>
    <s v="Week 33"/>
    <s v="Week 33-2025"/>
  </r>
  <r>
    <d v="2025-08-11T00:00:00"/>
    <x v="28"/>
    <n v="6"/>
    <n v="2025"/>
    <x v="32"/>
    <s v="Week 33"/>
    <s v="Week 33-2025"/>
  </r>
  <r>
    <d v="2025-08-11T00:00:00"/>
    <x v="30"/>
    <n v="6"/>
    <n v="2025"/>
    <x v="32"/>
    <s v="Week 33"/>
    <s v="Week 33-2025"/>
  </r>
  <r>
    <d v="2025-08-11T00:00:00"/>
    <x v="32"/>
    <n v="6"/>
    <n v="2025"/>
    <x v="32"/>
    <s v="Week 33"/>
    <s v="Week 33-2025"/>
  </r>
  <r>
    <d v="2025-08-11T00:00:00"/>
    <x v="2"/>
    <n v="2"/>
    <n v="2025"/>
    <x v="32"/>
    <s v="Week 33"/>
    <s v="Week 33-2025"/>
  </r>
  <r>
    <d v="2025-08-11T00:00:00"/>
    <x v="31"/>
    <n v="2"/>
    <n v="2025"/>
    <x v="32"/>
    <s v="Week 33"/>
    <s v="Week 33-2025"/>
  </r>
  <r>
    <d v="2025-08-11T00:00:00"/>
    <x v="19"/>
    <n v="2"/>
    <n v="2025"/>
    <x v="32"/>
    <s v="Week 33"/>
    <s v="Week 33-2025"/>
  </r>
  <r>
    <d v="2025-08-11T00:00:00"/>
    <x v="18"/>
    <n v="2"/>
    <n v="2025"/>
    <x v="32"/>
    <s v="Week 33"/>
    <s v="Week 33-2025"/>
  </r>
  <r>
    <d v="2025-08-12T00:00:00"/>
    <x v="15"/>
    <n v="2"/>
    <n v="2025"/>
    <x v="32"/>
    <s v="Week 33"/>
    <s v="Week 33-2025"/>
  </r>
  <r>
    <d v="2025-08-14T00:00:00"/>
    <x v="15"/>
    <n v="40"/>
    <n v="2025"/>
    <x v="32"/>
    <s v="Week 33"/>
    <s v="Week 33-2025"/>
  </r>
  <r>
    <d v="2025-08-14T00:00:00"/>
    <x v="12"/>
    <n v="14"/>
    <n v="2025"/>
    <x v="32"/>
    <s v="Week 33"/>
    <s v="Week 33-2025"/>
  </r>
  <r>
    <d v="2025-08-14T00:00:00"/>
    <x v="12"/>
    <n v="8"/>
    <n v="2025"/>
    <x v="32"/>
    <s v="Week 33"/>
    <s v="Week 33-2025"/>
  </r>
  <r>
    <d v="2025-08-14T00:00:00"/>
    <x v="11"/>
    <n v="4"/>
    <n v="2025"/>
    <x v="32"/>
    <s v="Week 33"/>
    <s v="Week 33-2025"/>
  </r>
  <r>
    <d v="2025-08-14T00:00:00"/>
    <x v="28"/>
    <n v="8"/>
    <n v="2025"/>
    <x v="32"/>
    <s v="Week 33"/>
    <s v="Week 33-2025"/>
  </r>
  <r>
    <d v="2025-08-14T00:00:00"/>
    <x v="18"/>
    <n v="6"/>
    <n v="2025"/>
    <x v="32"/>
    <s v="Week 33"/>
    <s v="Week 33-2025"/>
  </r>
  <r>
    <d v="2025-08-14T00:00:00"/>
    <x v="30"/>
    <n v="6"/>
    <n v="2025"/>
    <x v="32"/>
    <s v="Week 33"/>
    <s v="Week 33-2025"/>
  </r>
  <r>
    <d v="2025-08-16T00:00:00"/>
    <x v="10"/>
    <n v="8"/>
    <n v="2025"/>
    <x v="32"/>
    <s v="Week 33"/>
    <s v="Week 33-2025"/>
  </r>
  <r>
    <d v="2025-08-16T00:00:00"/>
    <x v="10"/>
    <n v="7"/>
    <n v="2025"/>
    <x v="32"/>
    <s v="Week 33"/>
    <s v="Week 33-2025"/>
  </r>
  <r>
    <d v="2025-08-16T00:00:00"/>
    <x v="3"/>
    <n v="6"/>
    <n v="2025"/>
    <x v="32"/>
    <s v="Week 33"/>
    <s v="Week 33-2025"/>
  </r>
  <r>
    <d v="2025-08-16T00:00:00"/>
    <x v="10"/>
    <n v="5"/>
    <n v="2025"/>
    <x v="32"/>
    <s v="Week 33"/>
    <s v="Week 33-2025"/>
  </r>
  <r>
    <d v="2025-08-16T00:00:00"/>
    <x v="14"/>
    <n v="4"/>
    <n v="2025"/>
    <x v="32"/>
    <s v="Week 33"/>
    <s v="Week 33-2025"/>
  </r>
  <r>
    <d v="2025-08-16T00:00:00"/>
    <x v="12"/>
    <n v="6"/>
    <n v="2025"/>
    <x v="32"/>
    <s v="Week 33"/>
    <s v="Week 33-2025"/>
  </r>
  <r>
    <d v="2025-08-16T00:00:00"/>
    <x v="15"/>
    <n v="8"/>
    <n v="2025"/>
    <x v="32"/>
    <s v="Week 33"/>
    <s v="Week 33-2025"/>
  </r>
  <r>
    <d v="2025-08-16T00:00:00"/>
    <x v="12"/>
    <n v="4"/>
    <n v="2025"/>
    <x v="32"/>
    <s v="Week 33"/>
    <s v="Week 33-2025"/>
  </r>
  <r>
    <d v="2025-08-16T00:00:00"/>
    <x v="4"/>
    <n v="4"/>
    <n v="2025"/>
    <x v="32"/>
    <s v="Week 33"/>
    <s v="Week 33-2025"/>
  </r>
  <r>
    <d v="2025-08-16T00:00:00"/>
    <x v="12"/>
    <n v="2"/>
    <n v="2025"/>
    <x v="32"/>
    <s v="Week 33"/>
    <s v="Week 33-2025"/>
  </r>
  <r>
    <d v="2025-08-16T00:00:00"/>
    <x v="30"/>
    <n v="4"/>
    <n v="2025"/>
    <x v="32"/>
    <s v="Week 33"/>
    <s v="Week 33-2025"/>
  </r>
  <r>
    <d v="2025-08-16T00:00:00"/>
    <x v="15"/>
    <n v="2"/>
    <n v="2025"/>
    <x v="32"/>
    <s v="Week 33"/>
    <s v="Week 33-2025"/>
  </r>
  <r>
    <d v="2025-08-16T00:00:00"/>
    <x v="15"/>
    <n v="2"/>
    <n v="2025"/>
    <x v="32"/>
    <s v="Week 33"/>
    <s v="Week 33-2025"/>
  </r>
  <r>
    <d v="2025-08-16T00:00:00"/>
    <x v="28"/>
    <n v="2"/>
    <n v="2025"/>
    <x v="32"/>
    <s v="Week 33"/>
    <s v="Week 33-2025"/>
  </r>
  <r>
    <d v="2025-08-16T00:00:00"/>
    <x v="32"/>
    <n v="1"/>
    <n v="2025"/>
    <x v="32"/>
    <s v="Week 33"/>
    <s v="Week 33-2025"/>
  </r>
  <r>
    <d v="2025-08-17T00:00:00"/>
    <x v="12"/>
    <n v="16"/>
    <n v="2025"/>
    <x v="32"/>
    <s v="Week 34"/>
    <s v="Week 34-2025"/>
  </r>
  <r>
    <d v="2025-08-17T00:00:00"/>
    <x v="11"/>
    <n v="6"/>
    <n v="2025"/>
    <x v="32"/>
    <s v="Week 34"/>
    <s v="Week 34-2025"/>
  </r>
  <r>
    <d v="2025-08-17T00:00:00"/>
    <x v="10"/>
    <n v="4"/>
    <n v="2025"/>
    <x v="32"/>
    <s v="Week 34"/>
    <s v="Week 34-2025"/>
  </r>
  <r>
    <d v="2025-08-17T00:00:00"/>
    <x v="3"/>
    <n v="2"/>
    <n v="2025"/>
    <x v="32"/>
    <s v="Week 34"/>
    <s v="Week 34-2025"/>
  </r>
  <r>
    <d v="2025-08-18T00:00:00"/>
    <x v="12"/>
    <n v="8"/>
    <n v="2025"/>
    <x v="33"/>
    <s v="Week 34"/>
    <s v="Week 34-2025"/>
  </r>
  <r>
    <d v="2025-08-18T00:00:00"/>
    <x v="14"/>
    <n v="4"/>
    <n v="2025"/>
    <x v="33"/>
    <s v="Week 34"/>
    <s v="Week 34-2025"/>
  </r>
  <r>
    <d v="2025-08-18T00:00:00"/>
    <x v="6"/>
    <n v="2"/>
    <n v="2025"/>
    <x v="33"/>
    <s v="Week 34"/>
    <s v="Week 34-2025"/>
  </r>
  <r>
    <d v="2025-08-18T00:00:00"/>
    <x v="32"/>
    <n v="1"/>
    <n v="2025"/>
    <x v="33"/>
    <s v="Week 34"/>
    <s v="Week 34-2025"/>
  </r>
  <r>
    <d v="2025-08-19T00:00:00"/>
    <x v="10"/>
    <n v="16"/>
    <n v="2025"/>
    <x v="33"/>
    <s v="Week 34"/>
    <s v="Week 34-2025"/>
  </r>
  <r>
    <d v="2025-08-19T00:00:00"/>
    <x v="11"/>
    <n v="16"/>
    <n v="2025"/>
    <x v="33"/>
    <s v="Week 34"/>
    <s v="Week 34-2025"/>
  </r>
  <r>
    <d v="2025-08-19T00:00:00"/>
    <x v="11"/>
    <n v="23"/>
    <n v="2025"/>
    <x v="33"/>
    <s v="Week 34"/>
    <s v="Week 34-2025"/>
  </r>
  <r>
    <d v="2025-08-19T00:00:00"/>
    <x v="3"/>
    <n v="10"/>
    <n v="2025"/>
    <x v="33"/>
    <s v="Week 34"/>
    <s v="Week 34-2025"/>
  </r>
  <r>
    <d v="2025-08-19T00:00:00"/>
    <x v="12"/>
    <n v="12"/>
    <n v="2025"/>
    <x v="33"/>
    <s v="Week 34"/>
    <s v="Week 34-2025"/>
  </r>
  <r>
    <d v="2025-08-19T00:00:00"/>
    <x v="3"/>
    <n v="13"/>
    <n v="2025"/>
    <x v="33"/>
    <s v="Week 34"/>
    <s v="Week 34-2025"/>
  </r>
  <r>
    <d v="2025-08-19T00:00:00"/>
    <x v="13"/>
    <n v="8"/>
    <n v="2025"/>
    <x v="33"/>
    <s v="Week 34"/>
    <s v="Week 34-2025"/>
  </r>
  <r>
    <d v="2025-08-19T00:00:00"/>
    <x v="6"/>
    <n v="6"/>
    <n v="2025"/>
    <x v="33"/>
    <s v="Week 34"/>
    <s v="Week 34-2025"/>
  </r>
  <r>
    <d v="2025-08-19T00:00:00"/>
    <x v="12"/>
    <n v="13"/>
    <n v="2025"/>
    <x v="33"/>
    <s v="Week 34"/>
    <s v="Week 34-2025"/>
  </r>
  <r>
    <d v="2025-08-19T00:00:00"/>
    <x v="27"/>
    <n v="14"/>
    <n v="2025"/>
    <x v="33"/>
    <s v="Week 34"/>
    <s v="Week 34-2025"/>
  </r>
  <r>
    <d v="2025-08-19T00:00:00"/>
    <x v="14"/>
    <n v="8"/>
    <n v="2025"/>
    <x v="33"/>
    <s v="Week 34"/>
    <s v="Week 34-2025"/>
  </r>
  <r>
    <d v="2025-08-19T00:00:00"/>
    <x v="10"/>
    <n v="8"/>
    <n v="2025"/>
    <x v="33"/>
    <s v="Week 34"/>
    <s v="Week 34-2025"/>
  </r>
  <r>
    <d v="2025-08-19T00:00:00"/>
    <x v="14"/>
    <n v="5"/>
    <n v="2025"/>
    <x v="33"/>
    <s v="Week 34"/>
    <s v="Week 34-2025"/>
  </r>
  <r>
    <d v="2025-08-19T00:00:00"/>
    <x v="12"/>
    <n v="8"/>
    <n v="2025"/>
    <x v="33"/>
    <s v="Week 34"/>
    <s v="Week 34-2025"/>
  </r>
  <r>
    <d v="2025-08-19T00:00:00"/>
    <x v="10"/>
    <n v="5"/>
    <n v="2025"/>
    <x v="33"/>
    <s v="Week 34"/>
    <s v="Week 34-2025"/>
  </r>
  <r>
    <d v="2025-08-19T00:00:00"/>
    <x v="2"/>
    <n v="8"/>
    <n v="2025"/>
    <x v="33"/>
    <s v="Week 34"/>
    <s v="Week 34-2025"/>
  </r>
  <r>
    <d v="2025-08-19T00:00:00"/>
    <x v="10"/>
    <n v="4"/>
    <n v="2025"/>
    <x v="33"/>
    <s v="Week 34"/>
    <s v="Week 34-2025"/>
  </r>
  <r>
    <d v="2025-08-19T00:00:00"/>
    <x v="3"/>
    <n v="4"/>
    <n v="2025"/>
    <x v="33"/>
    <s v="Week 34"/>
    <s v="Week 34-2025"/>
  </r>
  <r>
    <d v="2025-08-19T00:00:00"/>
    <x v="11"/>
    <n v="5"/>
    <n v="2025"/>
    <x v="33"/>
    <s v="Week 34"/>
    <s v="Week 34-2025"/>
  </r>
  <r>
    <d v="2025-08-19T00:00:00"/>
    <x v="10"/>
    <n v="3"/>
    <n v="2025"/>
    <x v="33"/>
    <s v="Week 34"/>
    <s v="Week 34-2025"/>
  </r>
  <r>
    <d v="2025-08-19T00:00:00"/>
    <x v="17"/>
    <n v="2"/>
    <n v="2025"/>
    <x v="33"/>
    <s v="Week 34"/>
    <s v="Week 34-2025"/>
  </r>
  <r>
    <d v="2025-08-19T00:00:00"/>
    <x v="12"/>
    <n v="4"/>
    <n v="2025"/>
    <x v="33"/>
    <s v="Week 34"/>
    <s v="Week 34-2025"/>
  </r>
  <r>
    <d v="2025-08-19T00:00:00"/>
    <x v="28"/>
    <n v="8"/>
    <n v="2025"/>
    <x v="33"/>
    <s v="Week 34"/>
    <s v="Week 34-2025"/>
  </r>
  <r>
    <d v="2025-08-19T00:00:00"/>
    <x v="2"/>
    <n v="2"/>
    <n v="2025"/>
    <x v="33"/>
    <s v="Week 34"/>
    <s v="Week 34-2025"/>
  </r>
  <r>
    <d v="2025-08-19T00:00:00"/>
    <x v="18"/>
    <n v="4"/>
    <n v="2025"/>
    <x v="33"/>
    <s v="Week 34"/>
    <s v="Week 34-2025"/>
  </r>
  <r>
    <d v="2025-08-19T00:00:00"/>
    <x v="21"/>
    <n v="4"/>
    <n v="2025"/>
    <x v="33"/>
    <s v="Week 34"/>
    <s v="Week 34-2025"/>
  </r>
  <r>
    <d v="2025-08-19T00:00:00"/>
    <x v="2"/>
    <n v="2"/>
    <n v="2025"/>
    <x v="33"/>
    <s v="Week 34"/>
    <s v="Week 34-2025"/>
  </r>
  <r>
    <d v="2025-08-19T00:00:00"/>
    <x v="25"/>
    <n v="2"/>
    <n v="2025"/>
    <x v="33"/>
    <s v="Week 34"/>
    <s v="Week 34-2025"/>
  </r>
  <r>
    <d v="2025-08-19T00:00:00"/>
    <x v="18"/>
    <n v="3"/>
    <n v="2025"/>
    <x v="33"/>
    <s v="Week 34"/>
    <s v="Week 34-2025"/>
  </r>
  <r>
    <d v="2025-08-19T00:00:00"/>
    <x v="9"/>
    <n v="1"/>
    <n v="2025"/>
    <x v="33"/>
    <s v="Week 34"/>
    <s v="Week 34-2025"/>
  </r>
  <r>
    <d v="2025-08-19T00:00:00"/>
    <x v="26"/>
    <n v="2"/>
    <n v="2025"/>
    <x v="33"/>
    <s v="Week 34"/>
    <s v="Week 34-2025"/>
  </r>
  <r>
    <d v="2025-08-19T00:00:00"/>
    <x v="12"/>
    <n v="1"/>
    <n v="2025"/>
    <x v="33"/>
    <s v="Week 34"/>
    <s v="Week 34-2025"/>
  </r>
  <r>
    <d v="2025-08-19T00:00:00"/>
    <x v="11"/>
    <n v="1"/>
    <n v="2025"/>
    <x v="33"/>
    <s v="Week 34"/>
    <s v="Week 34-2025"/>
  </r>
  <r>
    <d v="2025-08-19T00:00:00"/>
    <x v="20"/>
    <n v="1"/>
    <n v="2025"/>
    <x v="33"/>
    <s v="Week 34"/>
    <s v="Week 34-2025"/>
  </r>
  <r>
    <d v="2025-08-19T00:00:00"/>
    <x v="35"/>
    <n v="1"/>
    <n v="2025"/>
    <x v="33"/>
    <s v="Week 34"/>
    <s v="Week 34-2025"/>
  </r>
  <r>
    <d v="2025-08-19T00:00:00"/>
    <x v="18"/>
    <n v="1"/>
    <n v="2025"/>
    <x v="33"/>
    <s v="Week 34"/>
    <s v="Week 34-2025"/>
  </r>
  <r>
    <d v="2025-08-19T00:00:00"/>
    <x v="21"/>
    <n v="1"/>
    <n v="2025"/>
    <x v="33"/>
    <s v="Week 34"/>
    <s v="Week 34-2025"/>
  </r>
  <r>
    <d v="2025-08-20T00:00:00"/>
    <x v="5"/>
    <n v="21"/>
    <n v="2025"/>
    <x v="33"/>
    <s v="Week 34"/>
    <s v="Week 34-2025"/>
  </r>
  <r>
    <d v="2025-08-20T00:00:00"/>
    <x v="5"/>
    <n v="13"/>
    <n v="2025"/>
    <x v="33"/>
    <s v="Week 34"/>
    <s v="Week 34-2025"/>
  </r>
  <r>
    <d v="2025-08-20T00:00:00"/>
    <x v="0"/>
    <n v="10"/>
    <n v="2025"/>
    <x v="33"/>
    <s v="Week 34"/>
    <s v="Week 34-2025"/>
  </r>
  <r>
    <d v="2025-08-20T00:00:00"/>
    <x v="0"/>
    <n v="10"/>
    <n v="2025"/>
    <x v="33"/>
    <s v="Week 34"/>
    <s v="Week 34-2025"/>
  </r>
  <r>
    <d v="2025-08-20T00:00:00"/>
    <x v="5"/>
    <n v="8"/>
    <n v="2025"/>
    <x v="33"/>
    <s v="Week 34"/>
    <s v="Week 34-2025"/>
  </r>
  <r>
    <d v="2025-08-20T00:00:00"/>
    <x v="2"/>
    <n v="17"/>
    <n v="2025"/>
    <x v="33"/>
    <s v="Week 34"/>
    <s v="Week 34-2025"/>
  </r>
  <r>
    <d v="2025-08-20T00:00:00"/>
    <x v="9"/>
    <n v="12"/>
    <n v="2025"/>
    <x v="33"/>
    <s v="Week 34"/>
    <s v="Week 34-2025"/>
  </r>
  <r>
    <d v="2025-08-20T00:00:00"/>
    <x v="16"/>
    <n v="5"/>
    <n v="2025"/>
    <x v="33"/>
    <s v="Week 34"/>
    <s v="Week 34-2025"/>
  </r>
  <r>
    <d v="2025-08-20T00:00:00"/>
    <x v="16"/>
    <n v="5"/>
    <n v="2025"/>
    <x v="33"/>
    <s v="Week 34"/>
    <s v="Week 34-2025"/>
  </r>
  <r>
    <d v="2025-08-20T00:00:00"/>
    <x v="17"/>
    <n v="7"/>
    <n v="2025"/>
    <x v="33"/>
    <s v="Week 34"/>
    <s v="Week 34-2025"/>
  </r>
  <r>
    <d v="2025-08-20T00:00:00"/>
    <x v="17"/>
    <n v="7"/>
    <n v="2025"/>
    <x v="33"/>
    <s v="Week 34"/>
    <s v="Week 34-2025"/>
  </r>
  <r>
    <d v="2025-08-20T00:00:00"/>
    <x v="13"/>
    <n v="6"/>
    <n v="2025"/>
    <x v="33"/>
    <s v="Week 34"/>
    <s v="Week 34-2025"/>
  </r>
  <r>
    <d v="2025-08-20T00:00:00"/>
    <x v="22"/>
    <n v="12"/>
    <n v="2025"/>
    <x v="33"/>
    <s v="Week 34"/>
    <s v="Week 34-2025"/>
  </r>
  <r>
    <d v="2025-08-20T00:00:00"/>
    <x v="22"/>
    <n v="12"/>
    <n v="2025"/>
    <x v="33"/>
    <s v="Week 34"/>
    <s v="Week 34-2025"/>
  </r>
  <r>
    <d v="2025-08-20T00:00:00"/>
    <x v="6"/>
    <n v="5"/>
    <n v="2025"/>
    <x v="33"/>
    <s v="Week 34"/>
    <s v="Week 34-2025"/>
  </r>
  <r>
    <d v="2025-08-20T00:00:00"/>
    <x v="6"/>
    <n v="5"/>
    <n v="2025"/>
    <x v="33"/>
    <s v="Week 34"/>
    <s v="Week 34-2025"/>
  </r>
  <r>
    <d v="2025-08-20T00:00:00"/>
    <x v="3"/>
    <n v="5"/>
    <n v="2025"/>
    <x v="33"/>
    <s v="Week 34"/>
    <s v="Week 34-2025"/>
  </r>
  <r>
    <d v="2025-08-20T00:00:00"/>
    <x v="7"/>
    <n v="3"/>
    <n v="2025"/>
    <x v="33"/>
    <s v="Week 34"/>
    <s v="Week 34-2025"/>
  </r>
  <r>
    <d v="2025-08-20T00:00:00"/>
    <x v="7"/>
    <n v="3"/>
    <n v="2025"/>
    <x v="33"/>
    <s v="Week 34"/>
    <s v="Week 34-2025"/>
  </r>
  <r>
    <d v="2025-08-20T00:00:00"/>
    <x v="25"/>
    <n v="6"/>
    <n v="2025"/>
    <x v="33"/>
    <s v="Week 34"/>
    <s v="Week 34-2025"/>
  </r>
  <r>
    <d v="2025-08-20T00:00:00"/>
    <x v="26"/>
    <n v="7"/>
    <n v="2025"/>
    <x v="33"/>
    <s v="Week 34"/>
    <s v="Week 34-2025"/>
  </r>
  <r>
    <d v="2025-08-20T00:00:00"/>
    <x v="9"/>
    <n v="4"/>
    <n v="2025"/>
    <x v="33"/>
    <s v="Week 34"/>
    <s v="Week 34-2025"/>
  </r>
  <r>
    <d v="2025-08-20T00:00:00"/>
    <x v="3"/>
    <n v="3"/>
    <n v="2025"/>
    <x v="33"/>
    <s v="Week 34"/>
    <s v="Week 34-2025"/>
  </r>
  <r>
    <d v="2025-08-20T00:00:00"/>
    <x v="9"/>
    <n v="3"/>
    <n v="2025"/>
    <x v="33"/>
    <s v="Week 34"/>
    <s v="Week 34-2025"/>
  </r>
  <r>
    <d v="2025-08-20T00:00:00"/>
    <x v="12"/>
    <n v="3"/>
    <n v="2025"/>
    <x v="33"/>
    <s v="Week 34"/>
    <s v="Week 34-2025"/>
  </r>
  <r>
    <d v="2025-08-20T00:00:00"/>
    <x v="14"/>
    <n v="2"/>
    <n v="2025"/>
    <x v="33"/>
    <s v="Week 34"/>
    <s v="Week 34-2025"/>
  </r>
  <r>
    <d v="2025-08-20T00:00:00"/>
    <x v="14"/>
    <n v="2"/>
    <n v="2025"/>
    <x v="33"/>
    <s v="Week 34"/>
    <s v="Week 34-2025"/>
  </r>
  <r>
    <d v="2025-08-20T00:00:00"/>
    <x v="3"/>
    <n v="2"/>
    <n v="2025"/>
    <x v="33"/>
    <s v="Week 34"/>
    <s v="Week 34-2025"/>
  </r>
  <r>
    <d v="2025-08-20T00:00:00"/>
    <x v="11"/>
    <n v="2"/>
    <n v="2025"/>
    <x v="33"/>
    <s v="Week 34"/>
    <s v="Week 34-2025"/>
  </r>
  <r>
    <d v="2025-08-20T00:00:00"/>
    <x v="11"/>
    <n v="2"/>
    <n v="2025"/>
    <x v="33"/>
    <s v="Week 34"/>
    <s v="Week 34-2025"/>
  </r>
  <r>
    <d v="2025-08-20T00:00:00"/>
    <x v="9"/>
    <n v="2"/>
    <n v="2025"/>
    <x v="33"/>
    <s v="Week 34"/>
    <s v="Week 34-2025"/>
  </r>
  <r>
    <d v="2025-08-20T00:00:00"/>
    <x v="2"/>
    <n v="2"/>
    <n v="2025"/>
    <x v="33"/>
    <s v="Week 34"/>
    <s v="Week 34-2025"/>
  </r>
  <r>
    <d v="2025-08-20T00:00:00"/>
    <x v="13"/>
    <n v="1"/>
    <n v="2025"/>
    <x v="33"/>
    <s v="Week 34"/>
    <s v="Week 34-2025"/>
  </r>
  <r>
    <d v="2025-08-20T00:00:00"/>
    <x v="15"/>
    <n v="2"/>
    <n v="2025"/>
    <x v="33"/>
    <s v="Week 34"/>
    <s v="Week 34-2025"/>
  </r>
  <r>
    <d v="2025-08-20T00:00:00"/>
    <x v="15"/>
    <n v="2"/>
    <n v="2025"/>
    <x v="33"/>
    <s v="Week 34"/>
    <s v="Week 34-2025"/>
  </r>
  <r>
    <d v="2025-08-20T00:00:00"/>
    <x v="10"/>
    <n v="1"/>
    <n v="2025"/>
    <x v="33"/>
    <s v="Week 34"/>
    <s v="Week 34-2025"/>
  </r>
  <r>
    <d v="2025-08-20T00:00:00"/>
    <x v="19"/>
    <n v="2"/>
    <n v="2025"/>
    <x v="33"/>
    <s v="Week 34"/>
    <s v="Week 34-2025"/>
  </r>
  <r>
    <d v="2025-08-20T00:00:00"/>
    <x v="19"/>
    <n v="2"/>
    <n v="2025"/>
    <x v="33"/>
    <s v="Week 34"/>
    <s v="Week 34-2025"/>
  </r>
  <r>
    <d v="2025-08-20T00:00:00"/>
    <x v="20"/>
    <n v="1"/>
    <n v="2025"/>
    <x v="33"/>
    <s v="Week 34"/>
    <s v="Week 34-2025"/>
  </r>
  <r>
    <d v="2025-08-20T00:00:00"/>
    <x v="20"/>
    <n v="1"/>
    <n v="2025"/>
    <x v="33"/>
    <s v="Week 34"/>
    <s v="Week 34-2025"/>
  </r>
  <r>
    <d v="2025-08-20T00:00:00"/>
    <x v="15"/>
    <n v="1"/>
    <n v="2025"/>
    <x v="33"/>
    <s v="Week 34"/>
    <s v="Week 34-2025"/>
  </r>
  <r>
    <d v="2025-08-20T00:00:00"/>
    <x v="27"/>
    <n v="1"/>
    <n v="2025"/>
    <x v="33"/>
    <s v="Week 34"/>
    <s v="Week 34-2025"/>
  </r>
  <r>
    <d v="2025-08-20T00:00:00"/>
    <x v="27"/>
    <n v="1"/>
    <n v="2025"/>
    <x v="33"/>
    <s v="Week 34"/>
    <s v="Week 34-2025"/>
  </r>
  <r>
    <d v="2025-08-20T00:00:00"/>
    <x v="18"/>
    <n v="1"/>
    <n v="2025"/>
    <x v="33"/>
    <s v="Week 34"/>
    <s v="Week 34-2025"/>
  </r>
  <r>
    <d v="2025-08-20T00:00:00"/>
    <x v="30"/>
    <n v="1"/>
    <n v="2025"/>
    <x v="33"/>
    <s v="Week 34"/>
    <s v="Week 34-2025"/>
  </r>
  <r>
    <d v="2025-08-20T00:00:00"/>
    <x v="30"/>
    <n v="1"/>
    <n v="2025"/>
    <x v="33"/>
    <s v="Week 34"/>
    <s v="Week 34-2025"/>
  </r>
  <r>
    <d v="2025-08-21T00:00:00"/>
    <x v="17"/>
    <n v="18"/>
    <n v="2025"/>
    <x v="33"/>
    <s v="Week 34"/>
    <s v="Week 34-2025"/>
  </r>
  <r>
    <d v="2025-08-21T00:00:00"/>
    <x v="5"/>
    <n v="9"/>
    <n v="2025"/>
    <x v="33"/>
    <s v="Week 34"/>
    <s v="Week 34-2025"/>
  </r>
  <r>
    <d v="2025-08-21T00:00:00"/>
    <x v="13"/>
    <n v="10"/>
    <n v="2025"/>
    <x v="33"/>
    <s v="Week 34"/>
    <s v="Week 34-2025"/>
  </r>
  <r>
    <d v="2025-08-21T00:00:00"/>
    <x v="6"/>
    <n v="8"/>
    <n v="2025"/>
    <x v="33"/>
    <s v="Week 34"/>
    <s v="Week 34-2025"/>
  </r>
  <r>
    <d v="2025-08-21T00:00:00"/>
    <x v="5"/>
    <n v="6"/>
    <n v="2025"/>
    <x v="33"/>
    <s v="Week 34"/>
    <s v="Week 34-2025"/>
  </r>
  <r>
    <d v="2025-08-21T00:00:00"/>
    <x v="10"/>
    <n v="8"/>
    <n v="2025"/>
    <x v="33"/>
    <s v="Week 34"/>
    <s v="Week 34-2025"/>
  </r>
  <r>
    <d v="2025-08-21T00:00:00"/>
    <x v="3"/>
    <n v="9"/>
    <n v="2025"/>
    <x v="33"/>
    <s v="Week 34"/>
    <s v="Week 34-2025"/>
  </r>
  <r>
    <d v="2025-08-21T00:00:00"/>
    <x v="3"/>
    <n v="8"/>
    <n v="2025"/>
    <x v="33"/>
    <s v="Week 34"/>
    <s v="Week 34-2025"/>
  </r>
  <r>
    <d v="2025-08-21T00:00:00"/>
    <x v="14"/>
    <n v="6"/>
    <n v="2025"/>
    <x v="33"/>
    <s v="Week 34"/>
    <s v="Week 34-2025"/>
  </r>
  <r>
    <d v="2025-08-21T00:00:00"/>
    <x v="5"/>
    <n v="4"/>
    <n v="2025"/>
    <x v="33"/>
    <s v="Week 34"/>
    <s v="Week 34-2025"/>
  </r>
  <r>
    <d v="2025-08-21T00:00:00"/>
    <x v="10"/>
    <n v="6"/>
    <n v="2025"/>
    <x v="33"/>
    <s v="Week 34"/>
    <s v="Week 34-2025"/>
  </r>
  <r>
    <d v="2025-08-21T00:00:00"/>
    <x v="6"/>
    <n v="4"/>
    <n v="2025"/>
    <x v="33"/>
    <s v="Week 34"/>
    <s v="Week 34-2025"/>
  </r>
  <r>
    <d v="2025-08-21T00:00:00"/>
    <x v="11"/>
    <n v="6"/>
    <n v="2025"/>
    <x v="33"/>
    <s v="Week 34"/>
    <s v="Week 34-2025"/>
  </r>
  <r>
    <d v="2025-08-21T00:00:00"/>
    <x v="13"/>
    <n v="4"/>
    <n v="2025"/>
    <x v="33"/>
    <s v="Week 34"/>
    <s v="Week 34-2025"/>
  </r>
  <r>
    <d v="2025-08-21T00:00:00"/>
    <x v="6"/>
    <n v="4"/>
    <n v="2025"/>
    <x v="33"/>
    <s v="Week 34"/>
    <s v="Week 34-2025"/>
  </r>
  <r>
    <d v="2025-08-21T00:00:00"/>
    <x v="0"/>
    <n v="3"/>
    <n v="2025"/>
    <x v="33"/>
    <s v="Week 34"/>
    <s v="Week 34-2025"/>
  </r>
  <r>
    <d v="2025-08-21T00:00:00"/>
    <x v="14"/>
    <n v="4"/>
    <n v="2025"/>
    <x v="33"/>
    <s v="Week 34"/>
    <s v="Week 34-2025"/>
  </r>
  <r>
    <d v="2025-08-21T00:00:00"/>
    <x v="22"/>
    <n v="7"/>
    <n v="2025"/>
    <x v="33"/>
    <s v="Week 34"/>
    <s v="Week 34-2025"/>
  </r>
  <r>
    <d v="2025-08-21T00:00:00"/>
    <x v="16"/>
    <n v="2"/>
    <n v="2025"/>
    <x v="33"/>
    <s v="Week 34"/>
    <s v="Week 34-2025"/>
  </r>
  <r>
    <d v="2025-08-21T00:00:00"/>
    <x v="2"/>
    <n v="5"/>
    <n v="2025"/>
    <x v="33"/>
    <s v="Week 34"/>
    <s v="Week 34-2025"/>
  </r>
  <r>
    <d v="2025-08-21T00:00:00"/>
    <x v="19"/>
    <n v="7"/>
    <n v="2025"/>
    <x v="33"/>
    <s v="Week 34"/>
    <s v="Week 34-2025"/>
  </r>
  <r>
    <d v="2025-08-21T00:00:00"/>
    <x v="11"/>
    <n v="4"/>
    <n v="2025"/>
    <x v="33"/>
    <s v="Week 34"/>
    <s v="Week 34-2025"/>
  </r>
  <r>
    <d v="2025-08-21T00:00:00"/>
    <x v="6"/>
    <n v="2"/>
    <n v="2025"/>
    <x v="33"/>
    <s v="Week 34"/>
    <s v="Week 34-2025"/>
  </r>
  <r>
    <d v="2025-08-21T00:00:00"/>
    <x v="2"/>
    <n v="4"/>
    <n v="2025"/>
    <x v="33"/>
    <s v="Week 34"/>
    <s v="Week 34-2025"/>
  </r>
  <r>
    <d v="2025-08-21T00:00:00"/>
    <x v="14"/>
    <n v="2"/>
    <n v="2025"/>
    <x v="33"/>
    <s v="Week 34"/>
    <s v="Week 34-2025"/>
  </r>
  <r>
    <d v="2025-08-21T00:00:00"/>
    <x v="10"/>
    <n v="2"/>
    <n v="2025"/>
    <x v="33"/>
    <s v="Week 34"/>
    <s v="Week 34-2025"/>
  </r>
  <r>
    <d v="2025-08-21T00:00:00"/>
    <x v="10"/>
    <n v="2"/>
    <n v="2025"/>
    <x v="33"/>
    <s v="Week 34"/>
    <s v="Week 34-2025"/>
  </r>
  <r>
    <d v="2025-08-21T00:00:00"/>
    <x v="3"/>
    <n v="2"/>
    <n v="2025"/>
    <x v="33"/>
    <s v="Week 34"/>
    <s v="Week 34-2025"/>
  </r>
  <r>
    <d v="2025-08-21T00:00:00"/>
    <x v="9"/>
    <n v="2"/>
    <n v="2025"/>
    <x v="33"/>
    <s v="Week 34"/>
    <s v="Week 34-2025"/>
  </r>
  <r>
    <d v="2025-08-21T00:00:00"/>
    <x v="8"/>
    <n v="3"/>
    <n v="2025"/>
    <x v="33"/>
    <s v="Week 34"/>
    <s v="Week 34-2025"/>
  </r>
  <r>
    <d v="2025-08-21T00:00:00"/>
    <x v="7"/>
    <n v="1"/>
    <n v="2025"/>
    <x v="33"/>
    <s v="Week 34"/>
    <s v="Week 34-2025"/>
  </r>
  <r>
    <d v="2025-08-21T00:00:00"/>
    <x v="22"/>
    <n v="2"/>
    <n v="2025"/>
    <x v="33"/>
    <s v="Week 34"/>
    <s v="Week 34-2025"/>
  </r>
  <r>
    <d v="2025-08-21T00:00:00"/>
    <x v="11"/>
    <n v="1"/>
    <n v="2025"/>
    <x v="33"/>
    <s v="Week 34"/>
    <s v="Week 34-2025"/>
  </r>
  <r>
    <d v="2025-08-21T00:00:00"/>
    <x v="20"/>
    <n v="1"/>
    <n v="2025"/>
    <x v="33"/>
    <s v="Week 34"/>
    <s v="Week 34-2025"/>
  </r>
  <r>
    <d v="2025-08-21T00:00:00"/>
    <x v="19"/>
    <n v="1"/>
    <n v="2025"/>
    <x v="33"/>
    <s v="Week 34"/>
    <s v="Week 34-2025"/>
  </r>
  <r>
    <d v="2025-08-23T00:00:00"/>
    <x v="5"/>
    <n v="15"/>
    <n v="2025"/>
    <x v="33"/>
    <s v="Week 34"/>
    <s v="Week 34-2025"/>
  </r>
  <r>
    <d v="2025-08-23T00:00:00"/>
    <x v="16"/>
    <n v="11"/>
    <n v="2025"/>
    <x v="33"/>
    <s v="Week 34"/>
    <s v="Week 34-2025"/>
  </r>
  <r>
    <d v="2025-08-23T00:00:00"/>
    <x v="16"/>
    <n v="11"/>
    <n v="2025"/>
    <x v="33"/>
    <s v="Week 34"/>
    <s v="Week 34-2025"/>
  </r>
  <r>
    <d v="2025-08-23T00:00:00"/>
    <x v="3"/>
    <n v="20"/>
    <n v="2025"/>
    <x v="33"/>
    <s v="Week 34"/>
    <s v="Week 34-2025"/>
  </r>
  <r>
    <d v="2025-08-23T00:00:00"/>
    <x v="6"/>
    <n v="11"/>
    <n v="2025"/>
    <x v="33"/>
    <s v="Week 34"/>
    <s v="Week 34-2025"/>
  </r>
  <r>
    <d v="2025-08-23T00:00:00"/>
    <x v="14"/>
    <n v="12"/>
    <n v="2025"/>
    <x v="33"/>
    <s v="Week 34"/>
    <s v="Week 34-2025"/>
  </r>
  <r>
    <d v="2025-08-23T00:00:00"/>
    <x v="3"/>
    <n v="10"/>
    <n v="2025"/>
    <x v="33"/>
    <s v="Week 34"/>
    <s v="Week 34-2025"/>
  </r>
  <r>
    <d v="2025-08-23T00:00:00"/>
    <x v="0"/>
    <n v="6"/>
    <n v="2025"/>
    <x v="33"/>
    <s v="Week 34"/>
    <s v="Week 34-2025"/>
  </r>
  <r>
    <d v="2025-08-23T00:00:00"/>
    <x v="0"/>
    <n v="6"/>
    <n v="2025"/>
    <x v="33"/>
    <s v="Week 34"/>
    <s v="Week 34-2025"/>
  </r>
  <r>
    <d v="2025-08-23T00:00:00"/>
    <x v="15"/>
    <n v="14"/>
    <n v="2025"/>
    <x v="33"/>
    <s v="Week 34"/>
    <s v="Week 34-2025"/>
  </r>
  <r>
    <d v="2025-08-23T00:00:00"/>
    <x v="17"/>
    <n v="5"/>
    <n v="2025"/>
    <x v="33"/>
    <s v="Week 34"/>
    <s v="Week 34-2025"/>
  </r>
  <r>
    <d v="2025-08-23T00:00:00"/>
    <x v="12"/>
    <n v="8"/>
    <n v="2025"/>
    <x v="33"/>
    <s v="Week 34"/>
    <s v="Week 34-2025"/>
  </r>
  <r>
    <d v="2025-08-23T00:00:00"/>
    <x v="20"/>
    <n v="6"/>
    <n v="2025"/>
    <x v="33"/>
    <s v="Week 34"/>
    <s v="Week 34-2025"/>
  </r>
  <r>
    <d v="2025-08-23T00:00:00"/>
    <x v="11"/>
    <n v="5"/>
    <n v="2025"/>
    <x v="33"/>
    <s v="Week 34"/>
    <s v="Week 34-2025"/>
  </r>
  <r>
    <d v="2025-08-23T00:00:00"/>
    <x v="26"/>
    <n v="8"/>
    <n v="2025"/>
    <x v="33"/>
    <s v="Week 34"/>
    <s v="Week 34-2025"/>
  </r>
  <r>
    <d v="2025-08-23T00:00:00"/>
    <x v="33"/>
    <n v="8"/>
    <n v="2025"/>
    <x v="33"/>
    <s v="Week 34"/>
    <s v="Week 34-2025"/>
  </r>
  <r>
    <d v="2025-08-23T00:00:00"/>
    <x v="22"/>
    <n v="6"/>
    <n v="2025"/>
    <x v="33"/>
    <s v="Week 34"/>
    <s v="Week 34-2025"/>
  </r>
  <r>
    <d v="2025-08-23T00:00:00"/>
    <x v="20"/>
    <n v="4"/>
    <n v="2025"/>
    <x v="33"/>
    <s v="Week 34"/>
    <s v="Week 34-2025"/>
  </r>
  <r>
    <d v="2025-08-23T00:00:00"/>
    <x v="11"/>
    <n v="3"/>
    <n v="2025"/>
    <x v="33"/>
    <s v="Week 34"/>
    <s v="Week 34-2025"/>
  </r>
  <r>
    <d v="2025-08-23T00:00:00"/>
    <x v="13"/>
    <n v="2"/>
    <n v="2025"/>
    <x v="33"/>
    <s v="Week 34"/>
    <s v="Week 34-2025"/>
  </r>
  <r>
    <d v="2025-08-23T00:00:00"/>
    <x v="1"/>
    <n v="4"/>
    <n v="2025"/>
    <x v="33"/>
    <s v="Week 34"/>
    <s v="Week 34-2025"/>
  </r>
  <r>
    <d v="2025-08-23T00:00:00"/>
    <x v="4"/>
    <n v="5"/>
    <n v="2025"/>
    <x v="33"/>
    <s v="Week 34"/>
    <s v="Week 34-2025"/>
  </r>
  <r>
    <d v="2025-08-23T00:00:00"/>
    <x v="14"/>
    <n v="2"/>
    <n v="2025"/>
    <x v="33"/>
    <s v="Week 34"/>
    <s v="Week 34-2025"/>
  </r>
  <r>
    <d v="2025-08-23T00:00:00"/>
    <x v="2"/>
    <n v="3"/>
    <n v="2025"/>
    <x v="33"/>
    <s v="Week 34"/>
    <s v="Week 34-2025"/>
  </r>
  <r>
    <d v="2025-08-23T00:00:00"/>
    <x v="4"/>
    <n v="4"/>
    <n v="2025"/>
    <x v="33"/>
    <s v="Week 34"/>
    <s v="Week 34-2025"/>
  </r>
  <r>
    <d v="2025-08-23T00:00:00"/>
    <x v="9"/>
    <n v="2"/>
    <n v="2025"/>
    <x v="33"/>
    <s v="Week 34"/>
    <s v="Week 34-2025"/>
  </r>
  <r>
    <d v="2025-08-23T00:00:00"/>
    <x v="15"/>
    <n v="3"/>
    <n v="2025"/>
    <x v="33"/>
    <s v="Week 34"/>
    <s v="Week 34-2025"/>
  </r>
  <r>
    <d v="2025-08-23T00:00:00"/>
    <x v="18"/>
    <n v="4"/>
    <n v="2025"/>
    <x v="33"/>
    <s v="Week 34"/>
    <s v="Week 34-2025"/>
  </r>
  <r>
    <d v="2025-08-23T00:00:00"/>
    <x v="35"/>
    <n v="3"/>
    <n v="2025"/>
    <x v="33"/>
    <s v="Week 34"/>
    <s v="Week 34-2025"/>
  </r>
  <r>
    <d v="2025-08-23T00:00:00"/>
    <x v="25"/>
    <n v="2"/>
    <n v="2025"/>
    <x v="33"/>
    <s v="Week 34"/>
    <s v="Week 34-2025"/>
  </r>
  <r>
    <d v="2025-08-23T00:00:00"/>
    <x v="10"/>
    <n v="1"/>
    <n v="2025"/>
    <x v="33"/>
    <s v="Week 34"/>
    <s v="Week 34-2025"/>
  </r>
  <r>
    <d v="2025-08-23T00:00:00"/>
    <x v="19"/>
    <n v="2"/>
    <n v="2025"/>
    <x v="33"/>
    <s v="Week 34"/>
    <s v="Week 34-2025"/>
  </r>
  <r>
    <d v="2025-08-23T00:00:00"/>
    <x v="9"/>
    <n v="1"/>
    <n v="2025"/>
    <x v="33"/>
    <s v="Week 34"/>
    <s v="Week 34-2025"/>
  </r>
  <r>
    <d v="2025-08-23T00:00:00"/>
    <x v="11"/>
    <n v="1"/>
    <n v="2025"/>
    <x v="33"/>
    <s v="Week 34"/>
    <s v="Week 34-2025"/>
  </r>
  <r>
    <d v="2025-08-23T00:00:00"/>
    <x v="35"/>
    <n v="1"/>
    <n v="2025"/>
    <x v="33"/>
    <s v="Week 34"/>
    <s v="Week 34-2025"/>
  </r>
  <r>
    <d v="2025-08-24T00:00:00"/>
    <x v="3"/>
    <n v="9"/>
    <n v="2025"/>
    <x v="33"/>
    <s v="Week 35"/>
    <s v="Week 35-2025"/>
  </r>
  <r>
    <d v="2025-08-24T00:00:00"/>
    <x v="4"/>
    <n v="4"/>
    <n v="2025"/>
    <x v="33"/>
    <s v="Week 35"/>
    <s v="Week 35-2025"/>
  </r>
  <r>
    <d v="2025-08-26T00:00:00"/>
    <x v="11"/>
    <n v="42"/>
    <n v="2025"/>
    <x v="34"/>
    <s v="Week 35"/>
    <s v="Week 35-2025"/>
  </r>
  <r>
    <d v="2025-08-26T00:00:00"/>
    <x v="25"/>
    <n v="36"/>
    <n v="2025"/>
    <x v="34"/>
    <s v="Week 35"/>
    <s v="Week 35-2025"/>
  </r>
  <r>
    <d v="2025-08-26T00:00:00"/>
    <x v="10"/>
    <n v="16"/>
    <n v="2025"/>
    <x v="34"/>
    <s v="Week 35"/>
    <s v="Week 35-2025"/>
  </r>
  <r>
    <d v="2025-08-26T00:00:00"/>
    <x v="12"/>
    <n v="16"/>
    <n v="2025"/>
    <x v="34"/>
    <s v="Week 35"/>
    <s v="Week 35-2025"/>
  </r>
  <r>
    <d v="2025-08-26T00:00:00"/>
    <x v="11"/>
    <n v="12"/>
    <n v="2025"/>
    <x v="34"/>
    <s v="Week 35"/>
    <s v="Week 35-2025"/>
  </r>
  <r>
    <d v="2025-08-26T00:00:00"/>
    <x v="28"/>
    <n v="24"/>
    <n v="2025"/>
    <x v="34"/>
    <s v="Week 35"/>
    <s v="Week 35-2025"/>
  </r>
  <r>
    <d v="2025-08-26T00:00:00"/>
    <x v="25"/>
    <n v="12"/>
    <n v="2025"/>
    <x v="34"/>
    <s v="Week 35"/>
    <s v="Week 35-2025"/>
  </r>
  <r>
    <d v="2025-08-26T00:00:00"/>
    <x v="25"/>
    <n v="12"/>
    <n v="2025"/>
    <x v="34"/>
    <s v="Week 35"/>
    <s v="Week 35-2025"/>
  </r>
  <r>
    <d v="2025-08-26T00:00:00"/>
    <x v="28"/>
    <n v="20"/>
    <n v="2025"/>
    <x v="34"/>
    <s v="Week 35"/>
    <s v="Week 35-2025"/>
  </r>
  <r>
    <d v="2025-08-26T00:00:00"/>
    <x v="12"/>
    <n v="10"/>
    <n v="2025"/>
    <x v="34"/>
    <s v="Week 35"/>
    <s v="Week 35-2025"/>
  </r>
  <r>
    <d v="2025-08-26T00:00:00"/>
    <x v="25"/>
    <n v="10"/>
    <n v="2025"/>
    <x v="34"/>
    <s v="Week 35"/>
    <s v="Week 35-2025"/>
  </r>
  <r>
    <d v="2025-08-26T00:00:00"/>
    <x v="12"/>
    <n v="8"/>
    <n v="2025"/>
    <x v="34"/>
    <s v="Week 35"/>
    <s v="Week 35-2025"/>
  </r>
  <r>
    <d v="2025-08-26T00:00:00"/>
    <x v="12"/>
    <n v="8"/>
    <n v="2025"/>
    <x v="34"/>
    <s v="Week 35"/>
    <s v="Week 35-2025"/>
  </r>
  <r>
    <d v="2025-08-26T00:00:00"/>
    <x v="6"/>
    <n v="4"/>
    <n v="2025"/>
    <x v="34"/>
    <s v="Week 35"/>
    <s v="Week 35-2025"/>
  </r>
  <r>
    <d v="2025-08-26T00:00:00"/>
    <x v="27"/>
    <n v="12"/>
    <n v="2025"/>
    <x v="34"/>
    <s v="Week 35"/>
    <s v="Week 35-2025"/>
  </r>
  <r>
    <d v="2025-08-26T00:00:00"/>
    <x v="28"/>
    <n v="10"/>
    <n v="2025"/>
    <x v="34"/>
    <s v="Week 35"/>
    <s v="Week 35-2025"/>
  </r>
  <r>
    <d v="2025-08-26T00:00:00"/>
    <x v="11"/>
    <n v="4"/>
    <n v="2025"/>
    <x v="34"/>
    <s v="Week 35"/>
    <s v="Week 35-2025"/>
  </r>
  <r>
    <d v="2025-08-26T00:00:00"/>
    <x v="3"/>
    <n v="2"/>
    <n v="2025"/>
    <x v="34"/>
    <s v="Week 35"/>
    <s v="Week 35-2025"/>
  </r>
  <r>
    <d v="2025-08-26T00:00:00"/>
    <x v="11"/>
    <n v="2"/>
    <n v="2025"/>
    <x v="34"/>
    <s v="Week 35"/>
    <s v="Week 35-2025"/>
  </r>
  <r>
    <d v="2025-08-26T00:00:00"/>
    <x v="11"/>
    <n v="2"/>
    <n v="2025"/>
    <x v="34"/>
    <s v="Week 35"/>
    <s v="Week 35-2025"/>
  </r>
  <r>
    <d v="2025-08-26T00:00:00"/>
    <x v="2"/>
    <n v="2"/>
    <n v="2025"/>
    <x v="34"/>
    <s v="Week 35"/>
    <s v="Week 35-2025"/>
  </r>
  <r>
    <d v="2025-08-26T00:00:00"/>
    <x v="32"/>
    <n v="4"/>
    <n v="2025"/>
    <x v="34"/>
    <s v="Week 35"/>
    <s v="Week 35-2025"/>
  </r>
  <r>
    <d v="2025-08-26T00:00:00"/>
    <x v="14"/>
    <n v="1"/>
    <n v="2025"/>
    <x v="34"/>
    <s v="Week 35"/>
    <s v="Week 35-2025"/>
  </r>
  <r>
    <d v="2025-08-26T00:00:00"/>
    <x v="15"/>
    <n v="2"/>
    <n v="2025"/>
    <x v="34"/>
    <s v="Week 35"/>
    <s v="Week 35-2025"/>
  </r>
  <r>
    <d v="2025-08-26T00:00:00"/>
    <x v="18"/>
    <n v="2"/>
    <n v="2025"/>
    <x v="34"/>
    <s v="Week 35"/>
    <s v="Week 35-2025"/>
  </r>
  <r>
    <d v="2025-08-27T00:00:00"/>
    <x v="29"/>
    <n v="5"/>
    <n v="2025"/>
    <x v="34"/>
    <s v="Week 35"/>
    <s v="Week 35-2025"/>
  </r>
  <r>
    <d v="2025-08-27T00:00:00"/>
    <x v="5"/>
    <n v="9"/>
    <n v="2025"/>
    <x v="34"/>
    <s v="Week 35"/>
    <s v="Week 35-2025"/>
  </r>
  <r>
    <d v="2025-08-27T00:00:00"/>
    <x v="17"/>
    <n v="11"/>
    <n v="2025"/>
    <x v="34"/>
    <s v="Week 35"/>
    <s v="Week 35-2025"/>
  </r>
  <r>
    <d v="2025-08-27T00:00:00"/>
    <x v="2"/>
    <n v="17"/>
    <n v="2025"/>
    <x v="34"/>
    <s v="Week 35"/>
    <s v="Week 35-2025"/>
  </r>
  <r>
    <d v="2025-08-27T00:00:00"/>
    <x v="16"/>
    <n v="5"/>
    <n v="2025"/>
    <x v="34"/>
    <s v="Week 35"/>
    <s v="Week 35-2025"/>
  </r>
  <r>
    <d v="2025-08-27T00:00:00"/>
    <x v="17"/>
    <n v="7"/>
    <n v="2025"/>
    <x v="34"/>
    <s v="Week 35"/>
    <s v="Week 35-2025"/>
  </r>
  <r>
    <d v="2025-08-27T00:00:00"/>
    <x v="36"/>
    <n v="4"/>
    <n v="2025"/>
    <x v="34"/>
    <s v="Week 35"/>
    <s v="Week 35-2025"/>
  </r>
  <r>
    <d v="2025-08-27T00:00:00"/>
    <x v="13"/>
    <n v="6"/>
    <n v="2025"/>
    <x v="34"/>
    <s v="Week 35"/>
    <s v="Week 35-2025"/>
  </r>
  <r>
    <d v="2025-08-27T00:00:00"/>
    <x v="2"/>
    <n v="10"/>
    <n v="2025"/>
    <x v="34"/>
    <s v="Week 35"/>
    <s v="Week 35-2025"/>
  </r>
  <r>
    <d v="2025-08-27T00:00:00"/>
    <x v="3"/>
    <n v="5"/>
    <n v="2025"/>
    <x v="34"/>
    <s v="Week 35"/>
    <s v="Week 35-2025"/>
  </r>
  <r>
    <d v="2025-08-27T00:00:00"/>
    <x v="9"/>
    <n v="5"/>
    <n v="2025"/>
    <x v="34"/>
    <s v="Week 35"/>
    <s v="Week 35-2025"/>
  </r>
  <r>
    <d v="2025-08-27T00:00:00"/>
    <x v="1"/>
    <n v="7"/>
    <n v="2025"/>
    <x v="34"/>
    <s v="Week 35"/>
    <s v="Week 35-2025"/>
  </r>
  <r>
    <d v="2025-08-27T00:00:00"/>
    <x v="33"/>
    <n v="8"/>
    <n v="2025"/>
    <x v="34"/>
    <s v="Week 35"/>
    <s v="Week 35-2025"/>
  </r>
  <r>
    <d v="2025-08-27T00:00:00"/>
    <x v="26"/>
    <n v="7"/>
    <n v="2025"/>
    <x v="34"/>
    <s v="Week 35"/>
    <s v="Week 35-2025"/>
  </r>
  <r>
    <d v="2025-08-27T00:00:00"/>
    <x v="0"/>
    <n v="2"/>
    <n v="2025"/>
    <x v="34"/>
    <s v="Week 35"/>
    <s v="Week 35-2025"/>
  </r>
  <r>
    <d v="2025-08-27T00:00:00"/>
    <x v="6"/>
    <n v="2"/>
    <n v="2025"/>
    <x v="34"/>
    <s v="Week 35"/>
    <s v="Week 35-2025"/>
  </r>
  <r>
    <d v="2025-08-27T00:00:00"/>
    <x v="25"/>
    <n v="4"/>
    <n v="2025"/>
    <x v="34"/>
    <s v="Week 35"/>
    <s v="Week 35-2025"/>
  </r>
  <r>
    <d v="2025-08-27T00:00:00"/>
    <x v="1"/>
    <n v="4"/>
    <n v="2025"/>
    <x v="34"/>
    <s v="Week 35"/>
    <s v="Week 35-2025"/>
  </r>
  <r>
    <d v="2025-08-27T00:00:00"/>
    <x v="14"/>
    <n v="2"/>
    <n v="2025"/>
    <x v="34"/>
    <s v="Week 35"/>
    <s v="Week 35-2025"/>
  </r>
  <r>
    <d v="2025-08-27T00:00:00"/>
    <x v="2"/>
    <n v="3"/>
    <n v="2025"/>
    <x v="34"/>
    <s v="Week 35"/>
    <s v="Week 35-2025"/>
  </r>
  <r>
    <d v="2025-08-27T00:00:00"/>
    <x v="35"/>
    <n v="4"/>
    <n v="2025"/>
    <x v="34"/>
    <s v="Week 35"/>
    <s v="Week 35-2025"/>
  </r>
  <r>
    <d v="2025-08-27T00:00:00"/>
    <x v="4"/>
    <n v="4"/>
    <n v="2025"/>
    <x v="34"/>
    <s v="Week 35"/>
    <s v="Week 35-2025"/>
  </r>
  <r>
    <d v="2025-08-27T00:00:00"/>
    <x v="15"/>
    <n v="3"/>
    <n v="2025"/>
    <x v="34"/>
    <s v="Week 35"/>
    <s v="Week 35-2025"/>
  </r>
  <r>
    <d v="2025-08-27T00:00:00"/>
    <x v="12"/>
    <n v="2"/>
    <n v="2025"/>
    <x v="34"/>
    <s v="Week 35"/>
    <s v="Week 35-2025"/>
  </r>
  <r>
    <d v="2025-08-27T00:00:00"/>
    <x v="7"/>
    <n v="1"/>
    <n v="2025"/>
    <x v="34"/>
    <s v="Week 35"/>
    <s v="Week 35-2025"/>
  </r>
  <r>
    <d v="2025-08-27T00:00:00"/>
    <x v="25"/>
    <n v="2"/>
    <n v="2025"/>
    <x v="34"/>
    <s v="Week 35"/>
    <s v="Week 35-2025"/>
  </r>
  <r>
    <d v="2025-08-27T00:00:00"/>
    <x v="22"/>
    <n v="2"/>
    <n v="2025"/>
    <x v="34"/>
    <s v="Week 35"/>
    <s v="Week 35-2025"/>
  </r>
  <r>
    <d v="2025-08-27T00:00:00"/>
    <x v="1"/>
    <n v="2"/>
    <n v="2025"/>
    <x v="34"/>
    <s v="Week 35"/>
    <s v="Week 35-2025"/>
  </r>
  <r>
    <d v="2025-08-27T00:00:00"/>
    <x v="31"/>
    <n v="2"/>
    <n v="2025"/>
    <x v="34"/>
    <s v="Week 35"/>
    <s v="Week 35-2025"/>
  </r>
  <r>
    <d v="2025-08-27T00:00:00"/>
    <x v="10"/>
    <n v="1"/>
    <n v="2025"/>
    <x v="34"/>
    <s v="Week 35"/>
    <s v="Week 35-2025"/>
  </r>
  <r>
    <d v="2025-08-27T00:00:00"/>
    <x v="11"/>
    <n v="1"/>
    <n v="2025"/>
    <x v="34"/>
    <s v="Week 35"/>
    <s v="Week 35-2025"/>
  </r>
  <r>
    <d v="2025-08-27T00:00:00"/>
    <x v="20"/>
    <n v="1"/>
    <n v="2025"/>
    <x v="34"/>
    <s v="Week 35"/>
    <s v="Week 35-2025"/>
  </r>
  <r>
    <d v="2025-08-27T00:00:00"/>
    <x v="30"/>
    <n v="2"/>
    <n v="2025"/>
    <x v="34"/>
    <s v="Week 35"/>
    <s v="Week 35-2025"/>
  </r>
  <r>
    <d v="2025-08-27T00:00:00"/>
    <x v="40"/>
    <n v="1"/>
    <n v="2025"/>
    <x v="34"/>
    <s v="Week 35"/>
    <s v="Week 35-2025"/>
  </r>
  <r>
    <d v="2025-08-27T00:00:00"/>
    <x v="15"/>
    <n v="1"/>
    <n v="2025"/>
    <x v="34"/>
    <s v="Week 35"/>
    <s v="Week 35-2025"/>
  </r>
  <r>
    <d v="2025-08-27T00:00:00"/>
    <x v="19"/>
    <n v="1"/>
    <n v="2025"/>
    <x v="34"/>
    <s v="Week 35"/>
    <s v="Week 35-2025"/>
  </r>
  <r>
    <d v="2025-08-27T00:00:00"/>
    <x v="18"/>
    <n v="1"/>
    <n v="2025"/>
    <x v="34"/>
    <s v="Week 35"/>
    <s v="Week 35-2025"/>
  </r>
  <r>
    <d v="2025-08-27T00:00:00"/>
    <x v="28"/>
    <n v="1"/>
    <n v="2025"/>
    <x v="34"/>
    <s v="Week 35"/>
    <s v="Week 35-2025"/>
  </r>
  <r>
    <d v="2025-08-29T00:00:00"/>
    <x v="11"/>
    <n v="12"/>
    <n v="2025"/>
    <x v="34"/>
    <s v="Week 35"/>
    <s v="Week 35-2025"/>
  </r>
  <r>
    <d v="2025-08-29T00:00:00"/>
    <x v="3"/>
    <n v="2"/>
    <n v="2025"/>
    <x v="34"/>
    <s v="Week 35"/>
    <s v="Week 35-2025"/>
  </r>
  <r>
    <d v="2025-08-31T00:00:00"/>
    <x v="11"/>
    <n v="36"/>
    <n v="2025"/>
    <x v="34"/>
    <s v="Week 36"/>
    <s v="Week 36-2025"/>
  </r>
  <r>
    <d v="2025-08-31T00:00:00"/>
    <x v="14"/>
    <n v="13"/>
    <n v="2025"/>
    <x v="34"/>
    <s v="Week 36"/>
    <s v="Week 36-2025"/>
  </r>
  <r>
    <d v="2025-08-31T00:00:00"/>
    <x v="9"/>
    <n v="9"/>
    <n v="2025"/>
    <x v="34"/>
    <s v="Week 36"/>
    <s v="Week 36-2025"/>
  </r>
  <r>
    <d v="2025-08-31T00:00:00"/>
    <x v="10"/>
    <n v="4"/>
    <n v="2025"/>
    <x v="34"/>
    <s v="Week 36"/>
    <s v="Week 36-2025"/>
  </r>
  <r>
    <d v="2025-08-31T00:00:00"/>
    <x v="25"/>
    <n v="3"/>
    <n v="2025"/>
    <x v="34"/>
    <s v="Week 36"/>
    <s v="Week 36-2025"/>
  </r>
  <r>
    <d v="2025-08-31T00:00:00"/>
    <x v="26"/>
    <n v="2"/>
    <n v="2025"/>
    <x v="34"/>
    <s v="Week 36"/>
    <s v="Week 36-2025"/>
  </r>
  <r>
    <d v="2025-08-31T00:00:00"/>
    <x v="9"/>
    <n v="1"/>
    <n v="2025"/>
    <x v="34"/>
    <s v="Week 36"/>
    <s v="Week 36-2025"/>
  </r>
  <r>
    <d v="2025-08-31T00:00:00"/>
    <x v="25"/>
    <n v="1"/>
    <n v="2025"/>
    <x v="34"/>
    <s v="Week 36"/>
    <s v="Week 36-2025"/>
  </r>
  <r>
    <d v="2025-09-02T00:00:00"/>
    <x v="3"/>
    <n v="8"/>
    <n v="2025"/>
    <x v="35"/>
    <s v="Week 36"/>
    <s v="Week 36-2025"/>
  </r>
  <r>
    <d v="2025-09-02T00:00:00"/>
    <x v="7"/>
    <n v="4"/>
    <n v="2025"/>
    <x v="35"/>
    <s v="Week 36"/>
    <s v="Week 36-2025"/>
  </r>
  <r>
    <d v="2025-09-02T00:00:00"/>
    <x v="12"/>
    <n v="6"/>
    <n v="2025"/>
    <x v="35"/>
    <s v="Week 36"/>
    <s v="Week 36-2025"/>
  </r>
  <r>
    <d v="2025-09-02T00:00:00"/>
    <x v="14"/>
    <n v="4"/>
    <n v="2025"/>
    <x v="35"/>
    <s v="Week 36"/>
    <s v="Week 36-2025"/>
  </r>
  <r>
    <d v="2025-09-02T00:00:00"/>
    <x v="12"/>
    <n v="4"/>
    <n v="2025"/>
    <x v="35"/>
    <s v="Week 36"/>
    <s v="Week 36-2025"/>
  </r>
  <r>
    <d v="2025-09-02T00:00:00"/>
    <x v="15"/>
    <n v="4"/>
    <n v="2025"/>
    <x v="35"/>
    <s v="Week 36"/>
    <s v="Week 36-2025"/>
  </r>
  <r>
    <d v="2025-09-03T00:00:00"/>
    <x v="3"/>
    <n v="4"/>
    <n v="2025"/>
    <x v="35"/>
    <s v="Week 36"/>
    <s v="Week 36-2025"/>
  </r>
  <r>
    <d v="2025-09-03T00:00:00"/>
    <x v="12"/>
    <n v="4"/>
    <n v="2025"/>
    <x v="35"/>
    <s v="Week 36"/>
    <s v="Week 36-2025"/>
  </r>
  <r>
    <d v="2025-09-03T00:00:00"/>
    <x v="13"/>
    <n v="2"/>
    <n v="2025"/>
    <x v="35"/>
    <s v="Week 36"/>
    <s v="Week 36-2025"/>
  </r>
  <r>
    <d v="2025-09-04T00:00:00"/>
    <x v="27"/>
    <n v="14"/>
    <n v="2025"/>
    <x v="35"/>
    <s v="Week 36"/>
    <s v="Week 36-2025"/>
  </r>
  <r>
    <d v="2025-09-04T00:00:00"/>
    <x v="6"/>
    <n v="4"/>
    <n v="2025"/>
    <x v="35"/>
    <s v="Week 36"/>
    <s v="Week 36-2025"/>
  </r>
  <r>
    <d v="2025-09-04T00:00:00"/>
    <x v="12"/>
    <n v="6"/>
    <n v="2025"/>
    <x v="35"/>
    <s v="Week 36"/>
    <s v="Week 36-2025"/>
  </r>
  <r>
    <d v="2025-09-04T00:00:00"/>
    <x v="15"/>
    <n v="6"/>
    <n v="2025"/>
    <x v="35"/>
    <s v="Week 36"/>
    <s v="Week 36-2025"/>
  </r>
  <r>
    <d v="2025-09-04T00:00:00"/>
    <x v="15"/>
    <n v="8"/>
    <n v="2025"/>
    <x v="35"/>
    <s v="Week 36"/>
    <s v="Week 36-2025"/>
  </r>
  <r>
    <d v="2025-09-04T00:00:00"/>
    <x v="10"/>
    <n v="4"/>
    <n v="2025"/>
    <x v="35"/>
    <s v="Week 36"/>
    <s v="Week 36-2025"/>
  </r>
  <r>
    <d v="2025-09-04T00:00:00"/>
    <x v="11"/>
    <n v="5"/>
    <n v="2025"/>
    <x v="35"/>
    <s v="Week 36"/>
    <s v="Week 36-2025"/>
  </r>
  <r>
    <d v="2025-09-04T00:00:00"/>
    <x v="15"/>
    <n v="6"/>
    <n v="2025"/>
    <x v="35"/>
    <s v="Week 36"/>
    <s v="Week 36-2025"/>
  </r>
  <r>
    <d v="2025-09-04T00:00:00"/>
    <x v="15"/>
    <n v="4"/>
    <n v="2025"/>
    <x v="35"/>
    <s v="Week 36"/>
    <s v="Week 36-2025"/>
  </r>
  <r>
    <d v="2025-09-04T00:00:00"/>
    <x v="3"/>
    <n v="2"/>
    <n v="2025"/>
    <x v="35"/>
    <s v="Week 36"/>
    <s v="Week 36-2025"/>
  </r>
  <r>
    <d v="2025-09-04T00:00:00"/>
    <x v="27"/>
    <n v="4"/>
    <n v="2025"/>
    <x v="35"/>
    <s v="Week 36"/>
    <s v="Week 36-2025"/>
  </r>
  <r>
    <d v="2025-09-04T00:00:00"/>
    <x v="15"/>
    <n v="2"/>
    <n v="2025"/>
    <x v="35"/>
    <s v="Week 36"/>
    <s v="Week 36-2025"/>
  </r>
  <r>
    <d v="2025-09-04T00:00:00"/>
    <x v="28"/>
    <n v="4"/>
    <n v="2025"/>
    <x v="35"/>
    <s v="Week 36"/>
    <s v="Week 36-2025"/>
  </r>
  <r>
    <d v="2025-09-04T00:00:00"/>
    <x v="25"/>
    <n v="2"/>
    <n v="2025"/>
    <x v="35"/>
    <s v="Week 36"/>
    <s v="Week 36-2025"/>
  </r>
  <r>
    <d v="2025-09-04T00:00:00"/>
    <x v="15"/>
    <n v="2"/>
    <n v="2025"/>
    <x v="35"/>
    <s v="Week 36"/>
    <s v="Week 36-2025"/>
  </r>
  <r>
    <d v="2025-09-04T00:00:00"/>
    <x v="11"/>
    <n v="1"/>
    <n v="2025"/>
    <x v="35"/>
    <s v="Week 36"/>
    <s v="Week 36-2025"/>
  </r>
  <r>
    <d v="2025-09-05T00:00:00"/>
    <x v="13"/>
    <n v="8"/>
    <n v="2025"/>
    <x v="35"/>
    <s v="Week 36"/>
    <s v="Week 36-2025"/>
  </r>
  <r>
    <d v="2025-09-05T00:00:00"/>
    <x v="17"/>
    <n v="8"/>
    <n v="2025"/>
    <x v="35"/>
    <s v="Week 36"/>
    <s v="Week 36-2025"/>
  </r>
  <r>
    <d v="2025-09-05T00:00:00"/>
    <x v="12"/>
    <n v="8"/>
    <n v="2025"/>
    <x v="35"/>
    <s v="Week 36"/>
    <s v="Week 36-2025"/>
  </r>
  <r>
    <d v="2025-09-05T00:00:00"/>
    <x v="12"/>
    <n v="8"/>
    <n v="2025"/>
    <x v="35"/>
    <s v="Week 36"/>
    <s v="Week 36-2025"/>
  </r>
  <r>
    <d v="2025-09-05T00:00:00"/>
    <x v="11"/>
    <n v="8"/>
    <n v="2025"/>
    <x v="35"/>
    <s v="Week 36"/>
    <s v="Week 36-2025"/>
  </r>
  <r>
    <d v="2025-09-05T00:00:00"/>
    <x v="2"/>
    <n v="8"/>
    <n v="2025"/>
    <x v="35"/>
    <s v="Week 36"/>
    <s v="Week 36-2025"/>
  </r>
  <r>
    <d v="2025-09-05T00:00:00"/>
    <x v="6"/>
    <n v="4"/>
    <n v="2025"/>
    <x v="35"/>
    <s v="Week 36"/>
    <s v="Week 36-2025"/>
  </r>
  <r>
    <d v="2025-09-05T00:00:00"/>
    <x v="12"/>
    <n v="8"/>
    <n v="2025"/>
    <x v="35"/>
    <s v="Week 36"/>
    <s v="Week 36-2025"/>
  </r>
  <r>
    <d v="2025-09-05T00:00:00"/>
    <x v="14"/>
    <n v="4"/>
    <n v="2025"/>
    <x v="35"/>
    <s v="Week 36"/>
    <s v="Week 36-2025"/>
  </r>
  <r>
    <d v="2025-09-05T00:00:00"/>
    <x v="6"/>
    <n v="3"/>
    <n v="2025"/>
    <x v="35"/>
    <s v="Week 36"/>
    <s v="Week 36-2025"/>
  </r>
  <r>
    <d v="2025-09-05T00:00:00"/>
    <x v="6"/>
    <n v="3"/>
    <n v="2025"/>
    <x v="35"/>
    <s v="Week 36"/>
    <s v="Week 36-2025"/>
  </r>
  <r>
    <d v="2025-09-05T00:00:00"/>
    <x v="14"/>
    <n v="3"/>
    <n v="2025"/>
    <x v="35"/>
    <s v="Week 36"/>
    <s v="Week 36-2025"/>
  </r>
  <r>
    <d v="2025-09-05T00:00:00"/>
    <x v="3"/>
    <n v="4"/>
    <n v="2025"/>
    <x v="35"/>
    <s v="Week 36"/>
    <s v="Week 36-2025"/>
  </r>
  <r>
    <d v="2025-09-05T00:00:00"/>
    <x v="12"/>
    <n v="4"/>
    <n v="2025"/>
    <x v="35"/>
    <s v="Week 36"/>
    <s v="Week 36-2025"/>
  </r>
  <r>
    <d v="2025-09-05T00:00:00"/>
    <x v="11"/>
    <n v="4"/>
    <n v="2025"/>
    <x v="35"/>
    <s v="Week 36"/>
    <s v="Week 36-2025"/>
  </r>
  <r>
    <d v="2025-09-05T00:00:00"/>
    <x v="6"/>
    <n v="2"/>
    <n v="2025"/>
    <x v="35"/>
    <s v="Week 36"/>
    <s v="Week 36-2025"/>
  </r>
  <r>
    <d v="2025-09-05T00:00:00"/>
    <x v="3"/>
    <n v="2"/>
    <n v="2025"/>
    <x v="35"/>
    <s v="Week 36"/>
    <s v="Week 36-2025"/>
  </r>
  <r>
    <d v="2025-09-05T00:00:00"/>
    <x v="28"/>
    <n v="4"/>
    <n v="2025"/>
    <x v="35"/>
    <s v="Week 36"/>
    <s v="Week 36-2025"/>
  </r>
  <r>
    <d v="2025-09-05T00:00:00"/>
    <x v="14"/>
    <n v="1"/>
    <n v="2025"/>
    <x v="35"/>
    <s v="Week 36"/>
    <s v="Week 36-2025"/>
  </r>
  <r>
    <d v="2025-09-05T00:00:00"/>
    <x v="32"/>
    <n v="2"/>
    <n v="2025"/>
    <x v="35"/>
    <s v="Week 36"/>
    <s v="Week 36-2025"/>
  </r>
  <r>
    <d v="2025-09-05T00:00:00"/>
    <x v="31"/>
    <n v="1"/>
    <n v="2025"/>
    <x v="35"/>
    <s v="Week 36"/>
    <s v="Week 36-2025"/>
  </r>
  <r>
    <d v="2025-09-06T00:00:00"/>
    <x v="13"/>
    <n v="10"/>
    <n v="2025"/>
    <x v="35"/>
    <s v="Week 36"/>
    <s v="Week 36-2025"/>
  </r>
  <r>
    <d v="2025-09-06T00:00:00"/>
    <x v="3"/>
    <n v="8"/>
    <n v="2025"/>
    <x v="35"/>
    <s v="Week 36"/>
    <s v="Week 36-2025"/>
  </r>
  <r>
    <d v="2025-09-06T00:00:00"/>
    <x v="1"/>
    <n v="12"/>
    <n v="2025"/>
    <x v="35"/>
    <s v="Week 36"/>
    <s v="Week 36-2025"/>
  </r>
  <r>
    <d v="2025-09-06T00:00:00"/>
    <x v="25"/>
    <n v="8"/>
    <n v="2025"/>
    <x v="35"/>
    <s v="Week 36"/>
    <s v="Week 36-2025"/>
  </r>
  <r>
    <d v="2025-09-06T00:00:00"/>
    <x v="17"/>
    <n v="4"/>
    <n v="2025"/>
    <x v="35"/>
    <s v="Week 36"/>
    <s v="Week 36-2025"/>
  </r>
  <r>
    <d v="2025-09-06T00:00:00"/>
    <x v="3"/>
    <n v="4"/>
    <n v="2025"/>
    <x v="35"/>
    <s v="Week 36"/>
    <s v="Week 36-2025"/>
  </r>
  <r>
    <d v="2025-09-06T00:00:00"/>
    <x v="19"/>
    <n v="7"/>
    <n v="2025"/>
    <x v="35"/>
    <s v="Week 36"/>
    <s v="Week 36-2025"/>
  </r>
  <r>
    <d v="2025-09-06T00:00:00"/>
    <x v="13"/>
    <n v="2"/>
    <n v="2025"/>
    <x v="35"/>
    <s v="Week 36"/>
    <s v="Week 36-2025"/>
  </r>
  <r>
    <d v="2025-09-06T00:00:00"/>
    <x v="22"/>
    <n v="4"/>
    <n v="2025"/>
    <x v="35"/>
    <s v="Week 36"/>
    <s v="Week 36-2025"/>
  </r>
  <r>
    <d v="2025-09-06T00:00:00"/>
    <x v="35"/>
    <n v="4"/>
    <n v="2025"/>
    <x v="35"/>
    <s v="Week 36"/>
    <s v="Week 36-2025"/>
  </r>
  <r>
    <d v="2025-09-06T00:00:00"/>
    <x v="9"/>
    <n v="2"/>
    <n v="2025"/>
    <x v="35"/>
    <s v="Week 36"/>
    <s v="Week 36-2025"/>
  </r>
  <r>
    <d v="2025-09-06T00:00:00"/>
    <x v="26"/>
    <n v="1"/>
    <n v="2025"/>
    <x v="35"/>
    <s v="Week 36"/>
    <s v="Week 36-2025"/>
  </r>
  <r>
    <d v="2025-09-06T00:00:00"/>
    <x v="4"/>
    <n v="1"/>
    <n v="2025"/>
    <x v="35"/>
    <s v="Week 36"/>
    <s v="Week 36-2025"/>
  </r>
  <r>
    <d v="2025-09-06T00:00:00"/>
    <x v="27"/>
    <n v="1"/>
    <n v="2025"/>
    <x v="35"/>
    <s v="Week 36"/>
    <s v="Week 36-2025"/>
  </r>
  <r>
    <d v="2025-09-07T00:00:00"/>
    <x v="12"/>
    <n v="10"/>
    <n v="2025"/>
    <x v="35"/>
    <s v="Week 37"/>
    <s v="Week 37-2025"/>
  </r>
  <r>
    <d v="2025-09-07T00:00:00"/>
    <x v="11"/>
    <n v="8"/>
    <n v="2025"/>
    <x v="35"/>
    <s v="Week 37"/>
    <s v="Week 37-2025"/>
  </r>
  <r>
    <d v="2025-09-08T00:00:00"/>
    <x v="17"/>
    <n v="2"/>
    <n v="2025"/>
    <x v="36"/>
    <s v="Week 37"/>
    <s v="Week 37-2025"/>
  </r>
  <r>
    <d v="2025-09-10T00:00:00"/>
    <x v="14"/>
    <n v="8"/>
    <n v="2025"/>
    <x v="36"/>
    <s v="Week 37"/>
    <s v="Week 37-2025"/>
  </r>
  <r>
    <d v="2025-09-10T00:00:00"/>
    <x v="11"/>
    <n v="8"/>
    <n v="2025"/>
    <x v="36"/>
    <s v="Week 37"/>
    <s v="Week 37-2025"/>
  </r>
  <r>
    <d v="2025-09-10T00:00:00"/>
    <x v="6"/>
    <n v="4"/>
    <n v="2025"/>
    <x v="36"/>
    <s v="Week 37"/>
    <s v="Week 37-2025"/>
  </r>
  <r>
    <d v="2025-09-10T00:00:00"/>
    <x v="13"/>
    <n v="4"/>
    <n v="2025"/>
    <x v="36"/>
    <s v="Week 37"/>
    <s v="Week 37-2025"/>
  </r>
  <r>
    <d v="2025-09-10T00:00:00"/>
    <x v="25"/>
    <n v="6"/>
    <n v="2025"/>
    <x v="36"/>
    <s v="Week 37"/>
    <s v="Week 37-2025"/>
  </r>
  <r>
    <d v="2025-09-10T00:00:00"/>
    <x v="5"/>
    <n v="2"/>
    <n v="2025"/>
    <x v="36"/>
    <s v="Week 37"/>
    <s v="Week 37-2025"/>
  </r>
  <r>
    <d v="2025-09-10T00:00:00"/>
    <x v="15"/>
    <n v="6"/>
    <n v="2025"/>
    <x v="36"/>
    <s v="Week 37"/>
    <s v="Week 37-2025"/>
  </r>
  <r>
    <d v="2025-09-10T00:00:00"/>
    <x v="40"/>
    <n v="4"/>
    <n v="2025"/>
    <x v="36"/>
    <s v="Week 37"/>
    <s v="Week 37-2025"/>
  </r>
  <r>
    <d v="2025-09-10T00:00:00"/>
    <x v="2"/>
    <n v="2"/>
    <n v="2025"/>
    <x v="36"/>
    <s v="Week 37"/>
    <s v="Week 37-2025"/>
  </r>
  <r>
    <d v="2025-09-11T00:00:00"/>
    <x v="13"/>
    <n v="14"/>
    <n v="2025"/>
    <x v="36"/>
    <s v="Week 37"/>
    <s v="Week 37-2025"/>
  </r>
  <r>
    <d v="2025-09-11T00:00:00"/>
    <x v="13"/>
    <n v="10"/>
    <n v="2025"/>
    <x v="36"/>
    <s v="Week 37"/>
    <s v="Week 37-2025"/>
  </r>
  <r>
    <d v="2025-09-11T00:00:00"/>
    <x v="13"/>
    <n v="6"/>
    <n v="2025"/>
    <x v="36"/>
    <s v="Week 37"/>
    <s v="Week 37-2025"/>
  </r>
  <r>
    <d v="2025-09-11T00:00:00"/>
    <x v="1"/>
    <n v="12"/>
    <n v="2025"/>
    <x v="36"/>
    <s v="Week 37"/>
    <s v="Week 37-2025"/>
  </r>
  <r>
    <d v="2025-09-11T00:00:00"/>
    <x v="2"/>
    <n v="8"/>
    <n v="2025"/>
    <x v="36"/>
    <s v="Week 37"/>
    <s v="Week 37-2025"/>
  </r>
  <r>
    <d v="2025-09-11T00:00:00"/>
    <x v="3"/>
    <n v="5"/>
    <n v="2025"/>
    <x v="36"/>
    <s v="Week 37"/>
    <s v="Week 37-2025"/>
  </r>
  <r>
    <d v="2025-09-11T00:00:00"/>
    <x v="17"/>
    <n v="4"/>
    <n v="2025"/>
    <x v="36"/>
    <s v="Week 37"/>
    <s v="Week 37-2025"/>
  </r>
  <r>
    <d v="2025-09-11T00:00:00"/>
    <x v="14"/>
    <n v="4"/>
    <n v="2025"/>
    <x v="36"/>
    <s v="Week 37"/>
    <s v="Week 37-2025"/>
  </r>
  <r>
    <d v="2025-09-11T00:00:00"/>
    <x v="20"/>
    <n v="6"/>
    <n v="2025"/>
    <x v="36"/>
    <s v="Week 37"/>
    <s v="Week 37-2025"/>
  </r>
  <r>
    <d v="2025-09-11T00:00:00"/>
    <x v="25"/>
    <n v="6"/>
    <n v="2025"/>
    <x v="36"/>
    <s v="Week 37"/>
    <s v="Week 37-2025"/>
  </r>
  <r>
    <d v="2025-09-11T00:00:00"/>
    <x v="25"/>
    <n v="6"/>
    <n v="2025"/>
    <x v="36"/>
    <s v="Week 37"/>
    <s v="Week 37-2025"/>
  </r>
  <r>
    <d v="2025-09-11T00:00:00"/>
    <x v="1"/>
    <n v="7"/>
    <n v="2025"/>
    <x v="36"/>
    <s v="Week 37"/>
    <s v="Week 37-2025"/>
  </r>
  <r>
    <d v="2025-09-11T00:00:00"/>
    <x v="3"/>
    <n v="4"/>
    <n v="2025"/>
    <x v="36"/>
    <s v="Week 37"/>
    <s v="Week 37-2025"/>
  </r>
  <r>
    <d v="2025-09-11T00:00:00"/>
    <x v="19"/>
    <n v="7"/>
    <n v="2025"/>
    <x v="36"/>
    <s v="Week 37"/>
    <s v="Week 37-2025"/>
  </r>
  <r>
    <d v="2025-09-11T00:00:00"/>
    <x v="12"/>
    <n v="4"/>
    <n v="2025"/>
    <x v="36"/>
    <s v="Week 37"/>
    <s v="Week 37-2025"/>
  </r>
  <r>
    <d v="2025-09-11T00:00:00"/>
    <x v="25"/>
    <n v="4"/>
    <n v="2025"/>
    <x v="36"/>
    <s v="Week 37"/>
    <s v="Week 37-2025"/>
  </r>
  <r>
    <d v="2025-09-11T00:00:00"/>
    <x v="22"/>
    <n v="4"/>
    <n v="2025"/>
    <x v="36"/>
    <s v="Week 37"/>
    <s v="Week 37-2025"/>
  </r>
  <r>
    <d v="2025-09-11T00:00:00"/>
    <x v="1"/>
    <n v="4"/>
    <n v="2025"/>
    <x v="36"/>
    <s v="Week 37"/>
    <s v="Week 37-2025"/>
  </r>
  <r>
    <d v="2025-09-11T00:00:00"/>
    <x v="1"/>
    <n v="4"/>
    <n v="2025"/>
    <x v="36"/>
    <s v="Week 37"/>
    <s v="Week 37-2025"/>
  </r>
  <r>
    <d v="2025-09-11T00:00:00"/>
    <x v="35"/>
    <n v="4"/>
    <n v="2025"/>
    <x v="36"/>
    <s v="Week 37"/>
    <s v="Week 37-2025"/>
  </r>
  <r>
    <d v="2025-09-11T00:00:00"/>
    <x v="11"/>
    <n v="2"/>
    <n v="2025"/>
    <x v="36"/>
    <s v="Week 37"/>
    <s v="Week 37-2025"/>
  </r>
  <r>
    <d v="2025-09-11T00:00:00"/>
    <x v="9"/>
    <n v="2"/>
    <n v="2025"/>
    <x v="36"/>
    <s v="Week 37"/>
    <s v="Week 37-2025"/>
  </r>
  <r>
    <d v="2025-09-11T00:00:00"/>
    <x v="21"/>
    <n v="4"/>
    <n v="2025"/>
    <x v="36"/>
    <s v="Week 37"/>
    <s v="Week 37-2025"/>
  </r>
  <r>
    <d v="2025-09-11T00:00:00"/>
    <x v="21"/>
    <n v="4"/>
    <n v="2025"/>
    <x v="36"/>
    <s v="Week 37"/>
    <s v="Week 37-2025"/>
  </r>
  <r>
    <d v="2025-09-11T00:00:00"/>
    <x v="12"/>
    <n v="2"/>
    <n v="2025"/>
    <x v="36"/>
    <s v="Week 37"/>
    <s v="Week 37-2025"/>
  </r>
  <r>
    <d v="2025-09-11T00:00:00"/>
    <x v="2"/>
    <n v="2"/>
    <n v="2025"/>
    <x v="36"/>
    <s v="Week 37"/>
    <s v="Week 37-2025"/>
  </r>
  <r>
    <d v="2025-09-11T00:00:00"/>
    <x v="2"/>
    <n v="2"/>
    <n v="2025"/>
    <x v="36"/>
    <s v="Week 37"/>
    <s v="Week 37-2025"/>
  </r>
  <r>
    <d v="2025-09-11T00:00:00"/>
    <x v="7"/>
    <n v="1"/>
    <n v="2025"/>
    <x v="36"/>
    <s v="Week 37"/>
    <s v="Week 37-2025"/>
  </r>
  <r>
    <d v="2025-09-11T00:00:00"/>
    <x v="25"/>
    <n v="2"/>
    <n v="2025"/>
    <x v="36"/>
    <s v="Week 37"/>
    <s v="Week 37-2025"/>
  </r>
  <r>
    <d v="2025-09-11T00:00:00"/>
    <x v="22"/>
    <n v="2"/>
    <n v="2025"/>
    <x v="36"/>
    <s v="Week 37"/>
    <s v="Week 37-2025"/>
  </r>
  <r>
    <d v="2025-09-11T00:00:00"/>
    <x v="22"/>
    <n v="2"/>
    <n v="2025"/>
    <x v="36"/>
    <s v="Week 37"/>
    <s v="Week 37-2025"/>
  </r>
  <r>
    <d v="2025-09-11T00:00:00"/>
    <x v="17"/>
    <n v="1"/>
    <n v="2025"/>
    <x v="36"/>
    <s v="Week 37"/>
    <s v="Week 37-2025"/>
  </r>
  <r>
    <d v="2025-09-11T00:00:00"/>
    <x v="31"/>
    <n v="2"/>
    <n v="2025"/>
    <x v="36"/>
    <s v="Week 37"/>
    <s v="Week 37-2025"/>
  </r>
  <r>
    <d v="2025-09-11T00:00:00"/>
    <x v="14"/>
    <n v="1"/>
    <n v="2025"/>
    <x v="36"/>
    <s v="Week 37"/>
    <s v="Week 37-2025"/>
  </r>
  <r>
    <d v="2025-09-11T00:00:00"/>
    <x v="11"/>
    <n v="1"/>
    <n v="2025"/>
    <x v="36"/>
    <s v="Week 37"/>
    <s v="Week 37-2025"/>
  </r>
  <r>
    <d v="2025-09-11T00:00:00"/>
    <x v="9"/>
    <n v="1"/>
    <n v="2025"/>
    <x v="36"/>
    <s v="Week 37"/>
    <s v="Week 37-2025"/>
  </r>
  <r>
    <d v="2025-09-11T00:00:00"/>
    <x v="27"/>
    <n v="2"/>
    <n v="2025"/>
    <x v="36"/>
    <s v="Week 37"/>
    <s v="Week 37-2025"/>
  </r>
  <r>
    <d v="2025-09-11T00:00:00"/>
    <x v="27"/>
    <n v="2"/>
    <n v="2025"/>
    <x v="36"/>
    <s v="Week 37"/>
    <s v="Week 37-2025"/>
  </r>
  <r>
    <d v="2025-09-11T00:00:00"/>
    <x v="21"/>
    <n v="2"/>
    <n v="2025"/>
    <x v="36"/>
    <s v="Week 37"/>
    <s v="Week 37-2025"/>
  </r>
  <r>
    <d v="2025-09-11T00:00:00"/>
    <x v="2"/>
    <n v="1"/>
    <n v="2025"/>
    <x v="36"/>
    <s v="Week 37"/>
    <s v="Week 37-2025"/>
  </r>
  <r>
    <d v="2025-09-11T00:00:00"/>
    <x v="15"/>
    <n v="1"/>
    <n v="2025"/>
    <x v="36"/>
    <s v="Week 37"/>
    <s v="Week 37-2025"/>
  </r>
  <r>
    <d v="2025-09-11T00:00:00"/>
    <x v="26"/>
    <n v="1"/>
    <n v="2025"/>
    <x v="36"/>
    <s v="Week 37"/>
    <s v="Week 37-2025"/>
  </r>
  <r>
    <d v="2025-09-11T00:00:00"/>
    <x v="4"/>
    <n v="1"/>
    <n v="2025"/>
    <x v="36"/>
    <s v="Week 37"/>
    <s v="Week 37-2025"/>
  </r>
  <r>
    <d v="2025-09-11T00:00:00"/>
    <x v="4"/>
    <n v="1"/>
    <n v="2025"/>
    <x v="36"/>
    <s v="Week 37"/>
    <s v="Week 37-2025"/>
  </r>
  <r>
    <d v="2025-09-12T00:00:00"/>
    <x v="3"/>
    <n v="14"/>
    <n v="2025"/>
    <x v="36"/>
    <s v="Week 37"/>
    <s v="Week 37-2025"/>
  </r>
  <r>
    <d v="2025-09-12T00:00:00"/>
    <x v="11"/>
    <n v="10"/>
    <n v="2025"/>
    <x v="36"/>
    <s v="Week 37"/>
    <s v="Week 37-2025"/>
  </r>
  <r>
    <d v="2025-09-12T00:00:00"/>
    <x v="15"/>
    <n v="8"/>
    <n v="2025"/>
    <x v="36"/>
    <s v="Week 37"/>
    <s v="Week 37-2025"/>
  </r>
  <r>
    <d v="2025-09-12T00:00:00"/>
    <x v="14"/>
    <n v="2"/>
    <n v="2025"/>
    <x v="36"/>
    <s v="Week 37"/>
    <s v="Week 37-2025"/>
  </r>
  <r>
    <d v="2025-09-12T00:00:00"/>
    <x v="25"/>
    <n v="2"/>
    <n v="2025"/>
    <x v="36"/>
    <s v="Week 37"/>
    <s v="Week 37-2025"/>
  </r>
  <r>
    <d v="2025-09-13T00:00:00"/>
    <x v="5"/>
    <n v="13"/>
    <n v="2025"/>
    <x v="36"/>
    <s v="Week 37"/>
    <s v="Week 37-2025"/>
  </r>
  <r>
    <d v="2025-09-13T00:00:00"/>
    <x v="6"/>
    <n v="11"/>
    <n v="2025"/>
    <x v="36"/>
    <s v="Week 37"/>
    <s v="Week 37-2025"/>
  </r>
  <r>
    <d v="2025-09-13T00:00:00"/>
    <x v="14"/>
    <n v="12"/>
    <n v="2025"/>
    <x v="36"/>
    <s v="Week 37"/>
    <s v="Week 37-2025"/>
  </r>
  <r>
    <d v="2025-09-13T00:00:00"/>
    <x v="29"/>
    <n v="4"/>
    <n v="2025"/>
    <x v="36"/>
    <s v="Week 37"/>
    <s v="Week 37-2025"/>
  </r>
  <r>
    <d v="2025-09-13T00:00:00"/>
    <x v="13"/>
    <n v="8"/>
    <n v="2025"/>
    <x v="36"/>
    <s v="Week 37"/>
    <s v="Week 37-2025"/>
  </r>
  <r>
    <d v="2025-09-13T00:00:00"/>
    <x v="3"/>
    <n v="10"/>
    <n v="2025"/>
    <x v="36"/>
    <s v="Week 37"/>
    <s v="Week 37-2025"/>
  </r>
  <r>
    <d v="2025-09-13T00:00:00"/>
    <x v="16"/>
    <n v="5"/>
    <n v="2025"/>
    <x v="36"/>
    <s v="Week 37"/>
    <s v="Week 37-2025"/>
  </r>
  <r>
    <d v="2025-09-13T00:00:00"/>
    <x v="17"/>
    <n v="5"/>
    <n v="2025"/>
    <x v="36"/>
    <s v="Week 37"/>
    <s v="Week 37-2025"/>
  </r>
  <r>
    <d v="2025-09-13T00:00:00"/>
    <x v="7"/>
    <n v="4"/>
    <n v="2025"/>
    <x v="36"/>
    <s v="Week 37"/>
    <s v="Week 37-2025"/>
  </r>
  <r>
    <d v="2025-09-13T00:00:00"/>
    <x v="26"/>
    <n v="8"/>
    <n v="2025"/>
    <x v="36"/>
    <s v="Week 37"/>
    <s v="Week 37-2025"/>
  </r>
  <r>
    <d v="2025-09-13T00:00:00"/>
    <x v="11"/>
    <n v="4"/>
    <n v="2025"/>
    <x v="36"/>
    <s v="Week 37"/>
    <s v="Week 37-2025"/>
  </r>
  <r>
    <d v="2025-09-13T00:00:00"/>
    <x v="22"/>
    <n v="6"/>
    <n v="2025"/>
    <x v="36"/>
    <s v="Week 37"/>
    <s v="Week 37-2025"/>
  </r>
  <r>
    <d v="2025-09-13T00:00:00"/>
    <x v="4"/>
    <n v="8"/>
    <n v="2025"/>
    <x v="36"/>
    <s v="Week 37"/>
    <s v="Week 37-2025"/>
  </r>
  <r>
    <d v="2025-09-13T00:00:00"/>
    <x v="0"/>
    <n v="2"/>
    <n v="2025"/>
    <x v="36"/>
    <s v="Week 37"/>
    <s v="Week 37-2025"/>
  </r>
  <r>
    <d v="2025-09-13T00:00:00"/>
    <x v="5"/>
    <n v="2"/>
    <n v="2025"/>
    <x v="36"/>
    <s v="Week 37"/>
    <s v="Week 37-2025"/>
  </r>
  <r>
    <d v="2025-09-13T00:00:00"/>
    <x v="29"/>
    <n v="1"/>
    <n v="2025"/>
    <x v="36"/>
    <s v="Week 37"/>
    <s v="Week 37-2025"/>
  </r>
  <r>
    <d v="2025-09-13T00:00:00"/>
    <x v="11"/>
    <n v="3"/>
    <n v="2025"/>
    <x v="36"/>
    <s v="Week 37"/>
    <s v="Week 37-2025"/>
  </r>
  <r>
    <d v="2025-09-13T00:00:00"/>
    <x v="15"/>
    <n v="4"/>
    <n v="2025"/>
    <x v="36"/>
    <s v="Week 37"/>
    <s v="Week 37-2025"/>
  </r>
  <r>
    <d v="2025-09-13T00:00:00"/>
    <x v="1"/>
    <n v="4"/>
    <n v="2025"/>
    <x v="36"/>
    <s v="Week 37"/>
    <s v="Week 37-2025"/>
  </r>
  <r>
    <d v="2025-09-13T00:00:00"/>
    <x v="15"/>
    <n v="4"/>
    <n v="2025"/>
    <x v="36"/>
    <s v="Week 37"/>
    <s v="Week 37-2025"/>
  </r>
  <r>
    <d v="2025-09-13T00:00:00"/>
    <x v="35"/>
    <n v="4"/>
    <n v="2025"/>
    <x v="36"/>
    <s v="Week 37"/>
    <s v="Week 37-2025"/>
  </r>
  <r>
    <d v="2025-09-13T00:00:00"/>
    <x v="9"/>
    <n v="2"/>
    <n v="2025"/>
    <x v="36"/>
    <s v="Week 37"/>
    <s v="Week 37-2025"/>
  </r>
  <r>
    <d v="2025-09-13T00:00:00"/>
    <x v="9"/>
    <n v="2"/>
    <n v="2025"/>
    <x v="36"/>
    <s v="Week 37"/>
    <s v="Week 37-2025"/>
  </r>
  <r>
    <d v="2025-09-13T00:00:00"/>
    <x v="18"/>
    <n v="4"/>
    <n v="2025"/>
    <x v="36"/>
    <s v="Week 37"/>
    <s v="Week 37-2025"/>
  </r>
  <r>
    <d v="2025-09-13T00:00:00"/>
    <x v="12"/>
    <n v="2"/>
    <n v="2025"/>
    <x v="36"/>
    <s v="Week 37"/>
    <s v="Week 37-2025"/>
  </r>
  <r>
    <d v="2025-09-13T00:00:00"/>
    <x v="12"/>
    <n v="2"/>
    <n v="2025"/>
    <x v="36"/>
    <s v="Week 37"/>
    <s v="Week 37-2025"/>
  </r>
  <r>
    <d v="2025-09-13T00:00:00"/>
    <x v="2"/>
    <n v="2"/>
    <n v="2025"/>
    <x v="36"/>
    <s v="Week 37"/>
    <s v="Week 37-2025"/>
  </r>
  <r>
    <d v="2025-09-13T00:00:00"/>
    <x v="7"/>
    <n v="1"/>
    <n v="2025"/>
    <x v="36"/>
    <s v="Week 37"/>
    <s v="Week 37-2025"/>
  </r>
  <r>
    <d v="2025-09-13T00:00:00"/>
    <x v="25"/>
    <n v="2"/>
    <n v="2025"/>
    <x v="36"/>
    <s v="Week 37"/>
    <s v="Week 37-2025"/>
  </r>
  <r>
    <d v="2025-09-13T00:00:00"/>
    <x v="17"/>
    <n v="1"/>
    <n v="2025"/>
    <x v="36"/>
    <s v="Week 37"/>
    <s v="Week 37-2025"/>
  </r>
  <r>
    <d v="2025-09-13T00:00:00"/>
    <x v="31"/>
    <n v="2"/>
    <n v="2025"/>
    <x v="36"/>
    <s v="Week 37"/>
    <s v="Week 37-2025"/>
  </r>
  <r>
    <d v="2025-09-13T00:00:00"/>
    <x v="31"/>
    <n v="2"/>
    <n v="2025"/>
    <x v="36"/>
    <s v="Week 37"/>
    <s v="Week 37-2025"/>
  </r>
  <r>
    <d v="2025-09-13T00:00:00"/>
    <x v="14"/>
    <n v="1"/>
    <n v="2025"/>
    <x v="36"/>
    <s v="Week 37"/>
    <s v="Week 37-2025"/>
  </r>
  <r>
    <d v="2025-09-13T00:00:00"/>
    <x v="10"/>
    <n v="1"/>
    <n v="2025"/>
    <x v="36"/>
    <s v="Week 37"/>
    <s v="Week 37-2025"/>
  </r>
  <r>
    <d v="2025-09-13T00:00:00"/>
    <x v="19"/>
    <n v="2"/>
    <n v="2025"/>
    <x v="36"/>
    <s v="Week 37"/>
    <s v="Week 37-2025"/>
  </r>
  <r>
    <d v="2025-09-13T00:00:00"/>
    <x v="19"/>
    <n v="2"/>
    <n v="2025"/>
    <x v="36"/>
    <s v="Week 37"/>
    <s v="Week 37-2025"/>
  </r>
  <r>
    <d v="2025-09-13T00:00:00"/>
    <x v="27"/>
    <n v="2"/>
    <n v="2025"/>
    <x v="36"/>
    <s v="Week 37"/>
    <s v="Week 37-2025"/>
  </r>
  <r>
    <d v="2025-09-13T00:00:00"/>
    <x v="11"/>
    <n v="1"/>
    <n v="2025"/>
    <x v="36"/>
    <s v="Week 37"/>
    <s v="Week 37-2025"/>
  </r>
  <r>
    <d v="2025-09-13T00:00:00"/>
    <x v="21"/>
    <n v="2"/>
    <n v="2025"/>
    <x v="36"/>
    <s v="Week 37"/>
    <s v="Week 37-2025"/>
  </r>
  <r>
    <d v="2025-09-13T00:00:00"/>
    <x v="2"/>
    <n v="1"/>
    <n v="2025"/>
    <x v="36"/>
    <s v="Week 37"/>
    <s v="Week 37-2025"/>
  </r>
  <r>
    <d v="2025-09-13T00:00:00"/>
    <x v="40"/>
    <n v="1"/>
    <n v="2025"/>
    <x v="36"/>
    <s v="Week 37"/>
    <s v="Week 37-2025"/>
  </r>
  <r>
    <d v="2025-09-13T00:00:00"/>
    <x v="15"/>
    <n v="1"/>
    <n v="2025"/>
    <x v="36"/>
    <s v="Week 37"/>
    <s v="Week 37-2025"/>
  </r>
  <r>
    <d v="2025-09-13T00:00:00"/>
    <x v="4"/>
    <n v="1"/>
    <n v="2025"/>
    <x v="36"/>
    <s v="Week 37"/>
    <s v="Week 37-2025"/>
  </r>
  <r>
    <d v="2025-09-13T00:00:00"/>
    <x v="4"/>
    <n v="1"/>
    <n v="2025"/>
    <x v="36"/>
    <s v="Week 37"/>
    <s v="Week 37-2025"/>
  </r>
  <r>
    <d v="2025-09-13T00:00:00"/>
    <x v="27"/>
    <n v="1"/>
    <n v="2025"/>
    <x v="36"/>
    <s v="Week 37"/>
    <s v="Week 37-2025"/>
  </r>
  <r>
    <d v="2025-09-13T00:00:00"/>
    <x v="28"/>
    <n v="1"/>
    <n v="2025"/>
    <x v="36"/>
    <s v="Week 37"/>
    <s v="Week 37-2025"/>
  </r>
  <r>
    <d v="2025-09-15T00:00:00"/>
    <x v="12"/>
    <n v="14"/>
    <n v="2025"/>
    <x v="37"/>
    <s v="Week 38"/>
    <s v="Week 38-2025"/>
  </r>
  <r>
    <d v="2025-09-15T00:00:00"/>
    <x v="18"/>
    <n v="14"/>
    <n v="2025"/>
    <x v="37"/>
    <s v="Week 38"/>
    <s v="Week 38-2025"/>
  </r>
  <r>
    <d v="2025-09-15T00:00:00"/>
    <x v="35"/>
    <n v="6"/>
    <n v="2025"/>
    <x v="37"/>
    <s v="Week 38"/>
    <s v="Week 38-2025"/>
  </r>
  <r>
    <d v="2025-09-15T00:00:00"/>
    <x v="22"/>
    <n v="4"/>
    <n v="2025"/>
    <x v="37"/>
    <s v="Week 38"/>
    <s v="Week 38-2025"/>
  </r>
  <r>
    <d v="2025-09-16T00:00:00"/>
    <x v="10"/>
    <n v="12"/>
    <n v="2025"/>
    <x v="37"/>
    <s v="Week 38"/>
    <s v="Week 38-2025"/>
  </r>
  <r>
    <d v="2025-09-16T00:00:00"/>
    <x v="14"/>
    <n v="10"/>
    <n v="2025"/>
    <x v="37"/>
    <s v="Week 38"/>
    <s v="Week 38-2025"/>
  </r>
  <r>
    <d v="2025-09-16T00:00:00"/>
    <x v="2"/>
    <n v="12"/>
    <n v="2025"/>
    <x v="37"/>
    <s v="Week 38"/>
    <s v="Week 38-2025"/>
  </r>
  <r>
    <d v="2025-09-16T00:00:00"/>
    <x v="12"/>
    <n v="8"/>
    <n v="2025"/>
    <x v="37"/>
    <s v="Week 38"/>
    <s v="Week 38-2025"/>
  </r>
  <r>
    <d v="2025-09-16T00:00:00"/>
    <x v="2"/>
    <n v="8"/>
    <n v="2025"/>
    <x v="37"/>
    <s v="Week 38"/>
    <s v="Week 38-2025"/>
  </r>
  <r>
    <d v="2025-09-16T00:00:00"/>
    <x v="25"/>
    <n v="8"/>
    <n v="2025"/>
    <x v="37"/>
    <s v="Week 38"/>
    <s v="Week 38-2025"/>
  </r>
  <r>
    <d v="2025-09-16T00:00:00"/>
    <x v="3"/>
    <n v="4"/>
    <n v="2025"/>
    <x v="37"/>
    <s v="Week 38"/>
    <s v="Week 38-2025"/>
  </r>
  <r>
    <d v="2025-09-16T00:00:00"/>
    <x v="11"/>
    <n v="5"/>
    <n v="2025"/>
    <x v="37"/>
    <s v="Week 38"/>
    <s v="Week 38-2025"/>
  </r>
  <r>
    <d v="2025-09-16T00:00:00"/>
    <x v="6"/>
    <n v="2"/>
    <n v="2025"/>
    <x v="37"/>
    <s v="Week 38"/>
    <s v="Week 38-2025"/>
  </r>
  <r>
    <d v="2025-09-16T00:00:00"/>
    <x v="6"/>
    <n v="2"/>
    <n v="2025"/>
    <x v="37"/>
    <s v="Week 38"/>
    <s v="Week 38-2025"/>
  </r>
  <r>
    <d v="2025-09-16T00:00:00"/>
    <x v="1"/>
    <n v="4"/>
    <n v="2025"/>
    <x v="37"/>
    <s v="Week 38"/>
    <s v="Week 38-2025"/>
  </r>
  <r>
    <d v="2025-09-16T00:00:00"/>
    <x v="25"/>
    <n v="4"/>
    <n v="2025"/>
    <x v="37"/>
    <s v="Week 38"/>
    <s v="Week 38-2025"/>
  </r>
  <r>
    <d v="2025-09-16T00:00:00"/>
    <x v="25"/>
    <n v="2"/>
    <n v="2025"/>
    <x v="37"/>
    <s v="Week 38"/>
    <s v="Week 38-2025"/>
  </r>
  <r>
    <d v="2025-09-16T00:00:00"/>
    <x v="1"/>
    <n v="2"/>
    <n v="2025"/>
    <x v="37"/>
    <s v="Week 38"/>
    <s v="Week 38-2025"/>
  </r>
  <r>
    <d v="2025-09-16T00:00:00"/>
    <x v="11"/>
    <n v="1"/>
    <n v="2025"/>
    <x v="37"/>
    <s v="Week 38"/>
    <s v="Week 38-2025"/>
  </r>
  <r>
    <d v="2025-09-17T00:00:00"/>
    <x v="13"/>
    <n v="30"/>
    <n v="2025"/>
    <x v="37"/>
    <s v="Week 38"/>
    <s v="Week 38-2025"/>
  </r>
  <r>
    <d v="2025-09-17T00:00:00"/>
    <x v="12"/>
    <n v="35"/>
    <n v="2025"/>
    <x v="37"/>
    <s v="Week 38"/>
    <s v="Week 38-2025"/>
  </r>
  <r>
    <d v="2025-09-17T00:00:00"/>
    <x v="3"/>
    <n v="30"/>
    <n v="2025"/>
    <x v="37"/>
    <s v="Week 38"/>
    <s v="Week 38-2025"/>
  </r>
  <r>
    <d v="2025-09-17T00:00:00"/>
    <x v="10"/>
    <n v="24"/>
    <n v="2025"/>
    <x v="37"/>
    <s v="Week 38"/>
    <s v="Week 38-2025"/>
  </r>
  <r>
    <d v="2025-09-17T00:00:00"/>
    <x v="11"/>
    <n v="22"/>
    <n v="2025"/>
    <x v="37"/>
    <s v="Week 38"/>
    <s v="Week 38-2025"/>
  </r>
  <r>
    <d v="2025-09-17T00:00:00"/>
    <x v="10"/>
    <n v="12"/>
    <n v="2025"/>
    <x v="37"/>
    <s v="Week 38"/>
    <s v="Week 38-2025"/>
  </r>
  <r>
    <d v="2025-09-17T00:00:00"/>
    <x v="10"/>
    <n v="12"/>
    <n v="2025"/>
    <x v="37"/>
    <s v="Week 38"/>
    <s v="Week 38-2025"/>
  </r>
  <r>
    <d v="2025-09-17T00:00:00"/>
    <x v="10"/>
    <n v="12"/>
    <n v="2025"/>
    <x v="37"/>
    <s v="Week 38"/>
    <s v="Week 38-2025"/>
  </r>
  <r>
    <d v="2025-09-17T00:00:00"/>
    <x v="14"/>
    <n v="10"/>
    <n v="2025"/>
    <x v="37"/>
    <s v="Week 38"/>
    <s v="Week 38-2025"/>
  </r>
  <r>
    <d v="2025-09-17T00:00:00"/>
    <x v="14"/>
    <n v="10"/>
    <n v="2025"/>
    <x v="37"/>
    <s v="Week 38"/>
    <s v="Week 38-2025"/>
  </r>
  <r>
    <d v="2025-09-17T00:00:00"/>
    <x v="4"/>
    <n v="28"/>
    <n v="2025"/>
    <x v="37"/>
    <s v="Week 38"/>
    <s v="Week 38-2025"/>
  </r>
  <r>
    <d v="2025-09-17T00:00:00"/>
    <x v="13"/>
    <n v="8"/>
    <n v="2025"/>
    <x v="37"/>
    <s v="Week 38"/>
    <s v="Week 38-2025"/>
  </r>
  <r>
    <d v="2025-09-17T00:00:00"/>
    <x v="14"/>
    <n v="7"/>
    <n v="2025"/>
    <x v="37"/>
    <s v="Week 38"/>
    <s v="Week 38-2025"/>
  </r>
  <r>
    <d v="2025-09-17T00:00:00"/>
    <x v="14"/>
    <n v="8"/>
    <n v="2025"/>
    <x v="37"/>
    <s v="Week 38"/>
    <s v="Week 38-2025"/>
  </r>
  <r>
    <d v="2025-09-17T00:00:00"/>
    <x v="10"/>
    <n v="8"/>
    <n v="2025"/>
    <x v="37"/>
    <s v="Week 38"/>
    <s v="Week 38-2025"/>
  </r>
  <r>
    <d v="2025-09-17T00:00:00"/>
    <x v="14"/>
    <n v="4"/>
    <n v="2025"/>
    <x v="37"/>
    <s v="Week 38"/>
    <s v="Week 38-2025"/>
  </r>
  <r>
    <d v="2025-09-17T00:00:00"/>
    <x v="3"/>
    <n v="4"/>
    <n v="2025"/>
    <x v="37"/>
    <s v="Week 38"/>
    <s v="Week 38-2025"/>
  </r>
  <r>
    <d v="2025-09-17T00:00:00"/>
    <x v="3"/>
    <n v="4"/>
    <n v="2025"/>
    <x v="37"/>
    <s v="Week 38"/>
    <s v="Week 38-2025"/>
  </r>
  <r>
    <d v="2025-09-17T00:00:00"/>
    <x v="14"/>
    <n v="3"/>
    <n v="2025"/>
    <x v="37"/>
    <s v="Week 38"/>
    <s v="Week 38-2025"/>
  </r>
  <r>
    <d v="2025-09-17T00:00:00"/>
    <x v="15"/>
    <n v="6"/>
    <n v="2025"/>
    <x v="37"/>
    <s v="Week 38"/>
    <s v="Week 38-2025"/>
  </r>
  <r>
    <d v="2025-09-17T00:00:00"/>
    <x v="15"/>
    <n v="6"/>
    <n v="2025"/>
    <x v="37"/>
    <s v="Week 38"/>
    <s v="Week 38-2025"/>
  </r>
  <r>
    <d v="2025-09-17T00:00:00"/>
    <x v="15"/>
    <n v="6"/>
    <n v="2025"/>
    <x v="37"/>
    <s v="Week 38"/>
    <s v="Week 38-2025"/>
  </r>
  <r>
    <d v="2025-09-17T00:00:00"/>
    <x v="4"/>
    <n v="8"/>
    <n v="2025"/>
    <x v="37"/>
    <s v="Week 38"/>
    <s v="Week 38-2025"/>
  </r>
  <r>
    <d v="2025-09-17T00:00:00"/>
    <x v="11"/>
    <n v="4"/>
    <n v="2025"/>
    <x v="37"/>
    <s v="Week 38"/>
    <s v="Week 38-2025"/>
  </r>
  <r>
    <d v="2025-09-17T00:00:00"/>
    <x v="11"/>
    <n v="4"/>
    <n v="2025"/>
    <x v="37"/>
    <s v="Week 38"/>
    <s v="Week 38-2025"/>
  </r>
  <r>
    <d v="2025-09-17T00:00:00"/>
    <x v="11"/>
    <n v="4"/>
    <n v="2025"/>
    <x v="37"/>
    <s v="Week 38"/>
    <s v="Week 38-2025"/>
  </r>
  <r>
    <d v="2025-09-17T00:00:00"/>
    <x v="11"/>
    <n v="4"/>
    <n v="2025"/>
    <x v="37"/>
    <s v="Week 38"/>
    <s v="Week 38-2025"/>
  </r>
  <r>
    <d v="2025-09-17T00:00:00"/>
    <x v="3"/>
    <n v="3"/>
    <n v="2025"/>
    <x v="37"/>
    <s v="Week 38"/>
    <s v="Week 38-2025"/>
  </r>
  <r>
    <d v="2025-09-17T00:00:00"/>
    <x v="12"/>
    <n v="4"/>
    <n v="2025"/>
    <x v="37"/>
    <s v="Week 38"/>
    <s v="Week 38-2025"/>
  </r>
  <r>
    <d v="2025-09-17T00:00:00"/>
    <x v="30"/>
    <n v="8"/>
    <n v="2025"/>
    <x v="37"/>
    <s v="Week 38"/>
    <s v="Week 38-2025"/>
  </r>
  <r>
    <d v="2025-09-17T00:00:00"/>
    <x v="1"/>
    <n v="4"/>
    <n v="2025"/>
    <x v="37"/>
    <s v="Week 38"/>
    <s v="Week 38-2025"/>
  </r>
  <r>
    <d v="2025-09-17T00:00:00"/>
    <x v="1"/>
    <n v="4"/>
    <n v="2025"/>
    <x v="37"/>
    <s v="Week 38"/>
    <s v="Week 38-2025"/>
  </r>
  <r>
    <d v="2025-09-17T00:00:00"/>
    <x v="25"/>
    <n v="4"/>
    <n v="2025"/>
    <x v="37"/>
    <s v="Week 38"/>
    <s v="Week 38-2025"/>
  </r>
  <r>
    <d v="2025-09-17T00:00:00"/>
    <x v="14"/>
    <n v="2"/>
    <n v="2025"/>
    <x v="37"/>
    <s v="Week 38"/>
    <s v="Week 38-2025"/>
  </r>
  <r>
    <d v="2025-09-17T00:00:00"/>
    <x v="15"/>
    <n v="4"/>
    <n v="2025"/>
    <x v="37"/>
    <s v="Week 38"/>
    <s v="Week 38-2025"/>
  </r>
  <r>
    <d v="2025-09-17T00:00:00"/>
    <x v="10"/>
    <n v="2"/>
    <n v="2025"/>
    <x v="37"/>
    <s v="Week 38"/>
    <s v="Week 38-2025"/>
  </r>
  <r>
    <d v="2025-09-17T00:00:00"/>
    <x v="1"/>
    <n v="2"/>
    <n v="2025"/>
    <x v="37"/>
    <s v="Week 38"/>
    <s v="Week 38-2025"/>
  </r>
  <r>
    <d v="2025-09-17T00:00:00"/>
    <x v="1"/>
    <n v="2"/>
    <n v="2025"/>
    <x v="37"/>
    <s v="Week 38"/>
    <s v="Week 38-2025"/>
  </r>
  <r>
    <d v="2025-09-17T00:00:00"/>
    <x v="3"/>
    <n v="1"/>
    <n v="2025"/>
    <x v="37"/>
    <s v="Week 38"/>
    <s v="Week 38-2025"/>
  </r>
  <r>
    <d v="2025-09-17T00:00:00"/>
    <x v="4"/>
    <n v="2"/>
    <n v="2025"/>
    <x v="37"/>
    <s v="Week 38"/>
    <s v="Week 38-2025"/>
  </r>
  <r>
    <d v="2025-09-18T00:00:00"/>
    <x v="3"/>
    <n v="14"/>
    <n v="2025"/>
    <x v="37"/>
    <s v="Week 38"/>
    <s v="Week 38-2025"/>
  </r>
  <r>
    <d v="2025-09-18T00:00:00"/>
    <x v="13"/>
    <n v="8"/>
    <n v="2025"/>
    <x v="37"/>
    <s v="Week 38"/>
    <s v="Week 38-2025"/>
  </r>
  <r>
    <d v="2025-09-18T00:00:00"/>
    <x v="36"/>
    <n v="5"/>
    <n v="2025"/>
    <x v="37"/>
    <s v="Week 38"/>
    <s v="Week 38-2025"/>
  </r>
  <r>
    <d v="2025-09-18T00:00:00"/>
    <x v="14"/>
    <n v="4"/>
    <n v="2025"/>
    <x v="37"/>
    <s v="Week 38"/>
    <s v="Week 38-2025"/>
  </r>
  <r>
    <d v="2025-09-18T00:00:00"/>
    <x v="11"/>
    <n v="5"/>
    <n v="2025"/>
    <x v="37"/>
    <s v="Week 38"/>
    <s v="Week 38-2025"/>
  </r>
  <r>
    <d v="2025-09-18T00:00:00"/>
    <x v="11"/>
    <n v="4"/>
    <n v="2025"/>
    <x v="37"/>
    <s v="Week 38"/>
    <s v="Week 38-2025"/>
  </r>
  <r>
    <d v="2025-09-18T00:00:00"/>
    <x v="29"/>
    <n v="1"/>
    <n v="2025"/>
    <x v="37"/>
    <s v="Week 38"/>
    <s v="Week 38-2025"/>
  </r>
  <r>
    <d v="2025-09-18T00:00:00"/>
    <x v="25"/>
    <n v="2"/>
    <n v="2025"/>
    <x v="37"/>
    <s v="Week 38"/>
    <s v="Week 38-2025"/>
  </r>
  <r>
    <d v="2025-09-18T00:00:00"/>
    <x v="12"/>
    <n v="1"/>
    <n v="2025"/>
    <x v="37"/>
    <s v="Week 38"/>
    <s v="Week 38-2025"/>
  </r>
  <r>
    <d v="2025-09-19T00:00:00"/>
    <x v="9"/>
    <n v="16"/>
    <n v="2025"/>
    <x v="37"/>
    <s v="Week 38"/>
    <s v="Week 38-2025"/>
  </r>
  <r>
    <d v="2025-09-19T00:00:00"/>
    <x v="13"/>
    <n v="8"/>
    <n v="2025"/>
    <x v="37"/>
    <s v="Week 38"/>
    <s v="Week 38-2025"/>
  </r>
  <r>
    <d v="2025-09-19T00:00:00"/>
    <x v="10"/>
    <n v="8"/>
    <n v="2025"/>
    <x v="37"/>
    <s v="Week 38"/>
    <s v="Week 38-2025"/>
  </r>
  <r>
    <d v="2025-09-19T00:00:00"/>
    <x v="26"/>
    <n v="16"/>
    <n v="2025"/>
    <x v="37"/>
    <s v="Week 38"/>
    <s v="Week 38-2025"/>
  </r>
  <r>
    <d v="2025-09-19T00:00:00"/>
    <x v="3"/>
    <n v="6"/>
    <n v="2025"/>
    <x v="37"/>
    <s v="Week 38"/>
    <s v="Week 38-2025"/>
  </r>
  <r>
    <d v="2025-09-19T00:00:00"/>
    <x v="12"/>
    <n v="8"/>
    <n v="2025"/>
    <x v="37"/>
    <s v="Week 38"/>
    <s v="Week 38-2025"/>
  </r>
  <r>
    <d v="2025-09-19T00:00:00"/>
    <x v="15"/>
    <n v="9"/>
    <n v="2025"/>
    <x v="37"/>
    <s v="Week 38"/>
    <s v="Week 38-2025"/>
  </r>
  <r>
    <d v="2025-09-19T00:00:00"/>
    <x v="35"/>
    <n v="8"/>
    <n v="2025"/>
    <x v="37"/>
    <s v="Week 38"/>
    <s v="Week 38-2025"/>
  </r>
  <r>
    <d v="2025-09-19T00:00:00"/>
    <x v="4"/>
    <n v="8"/>
    <n v="2025"/>
    <x v="37"/>
    <s v="Week 38"/>
    <s v="Week 38-2025"/>
  </r>
  <r>
    <d v="2025-09-19T00:00:00"/>
    <x v="7"/>
    <n v="2"/>
    <n v="2025"/>
    <x v="37"/>
    <s v="Week 38"/>
    <s v="Week 38-2025"/>
  </r>
  <r>
    <d v="2025-09-19T00:00:00"/>
    <x v="10"/>
    <n v="2"/>
    <n v="2025"/>
    <x v="37"/>
    <s v="Week 38"/>
    <s v="Week 38-2025"/>
  </r>
  <r>
    <d v="2025-09-19T00:00:00"/>
    <x v="19"/>
    <n v="4"/>
    <n v="2025"/>
    <x v="37"/>
    <s v="Week 38"/>
    <s v="Week 38-2025"/>
  </r>
  <r>
    <d v="2025-09-19T00:00:00"/>
    <x v="3"/>
    <n v="2"/>
    <n v="2025"/>
    <x v="37"/>
    <s v="Week 38"/>
    <s v="Week 38-2025"/>
  </r>
  <r>
    <d v="2025-09-19T00:00:00"/>
    <x v="19"/>
    <n v="4"/>
    <n v="2025"/>
    <x v="37"/>
    <s v="Week 38"/>
    <s v="Week 38-2025"/>
  </r>
  <r>
    <d v="2025-09-19T00:00:00"/>
    <x v="16"/>
    <n v="1"/>
    <n v="2025"/>
    <x v="37"/>
    <s v="Week 38"/>
    <s v="Week 38-2025"/>
  </r>
  <r>
    <d v="2025-09-19T00:00:00"/>
    <x v="16"/>
    <n v="1"/>
    <n v="2025"/>
    <x v="37"/>
    <s v="Week 38"/>
    <s v="Week 38-2025"/>
  </r>
  <r>
    <d v="2025-09-19T00:00:00"/>
    <x v="11"/>
    <n v="2"/>
    <n v="2025"/>
    <x v="37"/>
    <s v="Week 38"/>
    <s v="Week 38-2025"/>
  </r>
  <r>
    <d v="2025-09-19T00:00:00"/>
    <x v="9"/>
    <n v="2"/>
    <n v="2025"/>
    <x v="37"/>
    <s v="Week 38"/>
    <s v="Week 38-2025"/>
  </r>
  <r>
    <d v="2025-09-19T00:00:00"/>
    <x v="5"/>
    <n v="1"/>
    <n v="2025"/>
    <x v="37"/>
    <s v="Week 38"/>
    <s v="Week 38-2025"/>
  </r>
  <r>
    <d v="2025-09-19T00:00:00"/>
    <x v="5"/>
    <n v="1"/>
    <n v="2025"/>
    <x v="37"/>
    <s v="Week 38"/>
    <s v="Week 38-2025"/>
  </r>
  <r>
    <d v="2025-09-19T00:00:00"/>
    <x v="2"/>
    <n v="2"/>
    <n v="2025"/>
    <x v="37"/>
    <s v="Week 38"/>
    <s v="Week 38-2025"/>
  </r>
  <r>
    <d v="2025-09-19T00:00:00"/>
    <x v="24"/>
    <n v="4"/>
    <n v="2025"/>
    <x v="37"/>
    <s v="Week 38"/>
    <s v="Week 38-2025"/>
  </r>
  <r>
    <d v="2025-09-19T00:00:00"/>
    <x v="25"/>
    <n v="2"/>
    <n v="2025"/>
    <x v="37"/>
    <s v="Week 38"/>
    <s v="Week 38-2025"/>
  </r>
  <r>
    <d v="2025-09-19T00:00:00"/>
    <x v="25"/>
    <n v="2"/>
    <n v="2025"/>
    <x v="37"/>
    <s v="Week 38"/>
    <s v="Week 38-2025"/>
  </r>
  <r>
    <d v="2025-09-19T00:00:00"/>
    <x v="17"/>
    <n v="1"/>
    <n v="2025"/>
    <x v="37"/>
    <s v="Week 38"/>
    <s v="Week 38-2025"/>
  </r>
  <r>
    <d v="2025-09-19T00:00:00"/>
    <x v="28"/>
    <n v="2"/>
    <n v="2025"/>
    <x v="37"/>
    <s v="Week 38"/>
    <s v="Week 38-2025"/>
  </r>
  <r>
    <d v="2025-09-20T00:00:00"/>
    <x v="12"/>
    <n v="12"/>
    <n v="2025"/>
    <x v="37"/>
    <s v="Week 38"/>
    <s v="Week 38-2025"/>
  </r>
  <r>
    <d v="2025-09-20T00:00:00"/>
    <x v="3"/>
    <n v="4"/>
    <n v="2025"/>
    <x v="37"/>
    <s v="Week 38"/>
    <s v="Week 38-2025"/>
  </r>
  <r>
    <d v="2025-09-21T00:00:00"/>
    <x v="5"/>
    <n v="12"/>
    <n v="2025"/>
    <x v="37"/>
    <s v="Week 39"/>
    <s v="Week 39-2025"/>
  </r>
  <r>
    <d v="2025-09-21T00:00:00"/>
    <x v="10"/>
    <n v="5"/>
    <n v="2025"/>
    <x v="37"/>
    <s v="Week 39"/>
    <s v="Week 39-2025"/>
  </r>
  <r>
    <d v="2025-09-21T00:00:00"/>
    <x v="13"/>
    <n v="4"/>
    <n v="2025"/>
    <x v="37"/>
    <s v="Week 39"/>
    <s v="Week 39-2025"/>
  </r>
  <r>
    <d v="2025-09-21T00:00:00"/>
    <x v="28"/>
    <n v="12"/>
    <n v="2025"/>
    <x v="37"/>
    <s v="Week 39"/>
    <s v="Week 39-2025"/>
  </r>
  <r>
    <d v="2025-09-21T00:00:00"/>
    <x v="14"/>
    <n v="4"/>
    <n v="2025"/>
    <x v="37"/>
    <s v="Week 39"/>
    <s v="Week 39-2025"/>
  </r>
  <r>
    <d v="2025-09-21T00:00:00"/>
    <x v="18"/>
    <n v="10"/>
    <n v="2025"/>
    <x v="37"/>
    <s v="Week 39"/>
    <s v="Week 39-2025"/>
  </r>
  <r>
    <d v="2025-09-21T00:00:00"/>
    <x v="3"/>
    <n v="4"/>
    <n v="2025"/>
    <x v="37"/>
    <s v="Week 39"/>
    <s v="Week 39-2025"/>
  </r>
  <r>
    <d v="2025-09-21T00:00:00"/>
    <x v="22"/>
    <n v="4"/>
    <n v="2025"/>
    <x v="37"/>
    <s v="Week 39"/>
    <s v="Week 39-2025"/>
  </r>
  <r>
    <d v="2025-09-21T00:00:00"/>
    <x v="27"/>
    <n v="4"/>
    <n v="2025"/>
    <x v="37"/>
    <s v="Week 39"/>
    <s v="Week 39-2025"/>
  </r>
  <r>
    <d v="2025-09-21T00:00:00"/>
    <x v="11"/>
    <n v="2"/>
    <n v="2025"/>
    <x v="37"/>
    <s v="Week 39"/>
    <s v="Week 39-2025"/>
  </r>
  <r>
    <d v="2025-09-21T00:00:00"/>
    <x v="2"/>
    <n v="2"/>
    <n v="2025"/>
    <x v="37"/>
    <s v="Week 39"/>
    <s v="Week 39-2025"/>
  </r>
  <r>
    <d v="2025-09-21T00:00:00"/>
    <x v="17"/>
    <n v="1"/>
    <n v="2025"/>
    <x v="37"/>
    <s v="Week 39"/>
    <s v="Week 39-2025"/>
  </r>
  <r>
    <d v="2025-09-21T00:00:00"/>
    <x v="31"/>
    <n v="2"/>
    <n v="2025"/>
    <x v="37"/>
    <s v="Week 39"/>
    <s v="Week 39-2025"/>
  </r>
  <r>
    <d v="2025-09-21T00:00:00"/>
    <x v="10"/>
    <n v="1"/>
    <n v="2025"/>
    <x v="37"/>
    <s v="Week 39"/>
    <s v="Week 39-2025"/>
  </r>
  <r>
    <d v="2025-09-21T00:00:00"/>
    <x v="27"/>
    <n v="2"/>
    <n v="2025"/>
    <x v="37"/>
    <s v="Week 39"/>
    <s v="Week 39-2025"/>
  </r>
  <r>
    <d v="2025-09-21T00:00:00"/>
    <x v="15"/>
    <n v="1"/>
    <n v="2025"/>
    <x v="37"/>
    <s v="Week 39"/>
    <s v="Week 39-2025"/>
  </r>
  <r>
    <d v="2025-09-22T00:00:00"/>
    <x v="15"/>
    <n v="6"/>
    <n v="2025"/>
    <x v="38"/>
    <s v="Week 39"/>
    <s v="Week 39-2025"/>
  </r>
  <r>
    <d v="2025-09-22T00:00:00"/>
    <x v="11"/>
    <n v="4"/>
    <n v="2025"/>
    <x v="38"/>
    <s v="Week 39"/>
    <s v="Week 39-2025"/>
  </r>
  <r>
    <d v="2025-09-23T00:00:00"/>
    <x v="11"/>
    <n v="16"/>
    <n v="2025"/>
    <x v="38"/>
    <s v="Week 39"/>
    <s v="Week 39-2025"/>
  </r>
  <r>
    <d v="2025-09-23T00:00:00"/>
    <x v="14"/>
    <n v="10"/>
    <n v="2025"/>
    <x v="38"/>
    <s v="Week 39"/>
    <s v="Week 39-2025"/>
  </r>
  <r>
    <d v="2025-09-23T00:00:00"/>
    <x v="10"/>
    <n v="11"/>
    <n v="2025"/>
    <x v="38"/>
    <s v="Week 39"/>
    <s v="Week 39-2025"/>
  </r>
  <r>
    <d v="2025-09-23T00:00:00"/>
    <x v="10"/>
    <n v="8"/>
    <n v="2025"/>
    <x v="38"/>
    <s v="Week 39"/>
    <s v="Week 39-2025"/>
  </r>
  <r>
    <d v="2025-09-23T00:00:00"/>
    <x v="3"/>
    <n v="6"/>
    <n v="2025"/>
    <x v="38"/>
    <s v="Week 39"/>
    <s v="Week 39-2025"/>
  </r>
  <r>
    <d v="2025-09-23T00:00:00"/>
    <x v="10"/>
    <n v="6"/>
    <n v="2025"/>
    <x v="38"/>
    <s v="Week 39"/>
    <s v="Week 39-2025"/>
  </r>
  <r>
    <d v="2025-09-23T00:00:00"/>
    <x v="10"/>
    <n v="6"/>
    <n v="2025"/>
    <x v="38"/>
    <s v="Week 39"/>
    <s v="Week 39-2025"/>
  </r>
  <r>
    <d v="2025-09-23T00:00:00"/>
    <x v="11"/>
    <n v="8"/>
    <n v="2025"/>
    <x v="38"/>
    <s v="Week 39"/>
    <s v="Week 39-2025"/>
  </r>
  <r>
    <d v="2025-09-23T00:00:00"/>
    <x v="15"/>
    <n v="8"/>
    <n v="2025"/>
    <x v="38"/>
    <s v="Week 39"/>
    <s v="Week 39-2025"/>
  </r>
  <r>
    <d v="2025-09-23T00:00:00"/>
    <x v="14"/>
    <n v="4"/>
    <n v="2025"/>
    <x v="38"/>
    <s v="Week 39"/>
    <s v="Week 39-2025"/>
  </r>
  <r>
    <d v="2025-09-23T00:00:00"/>
    <x v="14"/>
    <n v="4"/>
    <n v="2025"/>
    <x v="38"/>
    <s v="Week 39"/>
    <s v="Week 39-2025"/>
  </r>
  <r>
    <d v="2025-09-23T00:00:00"/>
    <x v="11"/>
    <n v="6"/>
    <n v="2025"/>
    <x v="38"/>
    <s v="Week 39"/>
    <s v="Week 39-2025"/>
  </r>
  <r>
    <d v="2025-09-23T00:00:00"/>
    <x v="3"/>
    <n v="4"/>
    <n v="2025"/>
    <x v="38"/>
    <s v="Week 39"/>
    <s v="Week 39-2025"/>
  </r>
  <r>
    <d v="2025-09-23T00:00:00"/>
    <x v="27"/>
    <n v="6"/>
    <n v="2025"/>
    <x v="38"/>
    <s v="Week 39"/>
    <s v="Week 39-2025"/>
  </r>
  <r>
    <d v="2025-09-23T00:00:00"/>
    <x v="15"/>
    <n v="6"/>
    <n v="2025"/>
    <x v="38"/>
    <s v="Week 39"/>
    <s v="Week 39-2025"/>
  </r>
  <r>
    <d v="2025-09-23T00:00:00"/>
    <x v="11"/>
    <n v="4"/>
    <n v="2025"/>
    <x v="38"/>
    <s v="Week 39"/>
    <s v="Week 39-2025"/>
  </r>
  <r>
    <d v="2025-09-23T00:00:00"/>
    <x v="14"/>
    <n v="2"/>
    <n v="2025"/>
    <x v="38"/>
    <s v="Week 39"/>
    <s v="Week 39-2025"/>
  </r>
  <r>
    <d v="2025-09-23T00:00:00"/>
    <x v="15"/>
    <n v="4"/>
    <n v="2025"/>
    <x v="38"/>
    <s v="Week 39"/>
    <s v="Week 39-2025"/>
  </r>
  <r>
    <d v="2025-09-23T00:00:00"/>
    <x v="13"/>
    <n v="2"/>
    <n v="2025"/>
    <x v="38"/>
    <s v="Week 39"/>
    <s v="Week 39-2025"/>
  </r>
  <r>
    <d v="2025-09-23T00:00:00"/>
    <x v="25"/>
    <n v="4"/>
    <n v="2025"/>
    <x v="38"/>
    <s v="Week 39"/>
    <s v="Week 39-2025"/>
  </r>
  <r>
    <d v="2025-09-23T00:00:00"/>
    <x v="0"/>
    <n v="2"/>
    <n v="2025"/>
    <x v="38"/>
    <s v="Week 39"/>
    <s v="Week 39-2025"/>
  </r>
  <r>
    <d v="2025-09-23T00:00:00"/>
    <x v="1"/>
    <n v="4"/>
    <n v="2025"/>
    <x v="38"/>
    <s v="Week 39"/>
    <s v="Week 39-2025"/>
  </r>
  <r>
    <d v="2025-09-23T00:00:00"/>
    <x v="19"/>
    <n v="4"/>
    <n v="2025"/>
    <x v="38"/>
    <s v="Week 39"/>
    <s v="Week 39-2025"/>
  </r>
  <r>
    <d v="2025-09-23T00:00:00"/>
    <x v="15"/>
    <n v="2"/>
    <n v="2025"/>
    <x v="38"/>
    <s v="Week 39"/>
    <s v="Week 39-2025"/>
  </r>
  <r>
    <d v="2025-09-23T00:00:00"/>
    <x v="10"/>
    <n v="1"/>
    <n v="2025"/>
    <x v="38"/>
    <s v="Week 39"/>
    <s v="Week 39-2025"/>
  </r>
  <r>
    <d v="2025-09-23T00:00:00"/>
    <x v="18"/>
    <n v="2"/>
    <n v="2025"/>
    <x v="38"/>
    <s v="Week 39"/>
    <s v="Week 39-2025"/>
  </r>
  <r>
    <d v="2025-09-23T00:00:00"/>
    <x v="28"/>
    <n v="2"/>
    <n v="2025"/>
    <x v="38"/>
    <s v="Week 39"/>
    <s v="Week 39-2025"/>
  </r>
  <r>
    <d v="2025-09-23T00:00:00"/>
    <x v="27"/>
    <n v="1"/>
    <n v="2025"/>
    <x v="38"/>
    <s v="Week 39"/>
    <s v="Week 39-2025"/>
  </r>
  <r>
    <d v="2025-09-24T00:00:00"/>
    <x v="11"/>
    <n v="19"/>
    <n v="2025"/>
    <x v="38"/>
    <s v="Week 39"/>
    <s v="Week 39-2025"/>
  </r>
  <r>
    <d v="2025-09-24T00:00:00"/>
    <x v="15"/>
    <n v="8"/>
    <n v="2025"/>
    <x v="38"/>
    <s v="Week 39"/>
    <s v="Week 39-2025"/>
  </r>
  <r>
    <d v="2025-09-24T00:00:00"/>
    <x v="14"/>
    <n v="2"/>
    <n v="2025"/>
    <x v="38"/>
    <s v="Week 39"/>
    <s v="Week 39-2025"/>
  </r>
  <r>
    <d v="2025-09-24T00:00:00"/>
    <x v="11"/>
    <n v="1"/>
    <n v="2025"/>
    <x v="38"/>
    <s v="Week 39"/>
    <s v="Week 39-2025"/>
  </r>
  <r>
    <d v="2025-09-25T00:00:00"/>
    <x v="10"/>
    <n v="24"/>
    <n v="2025"/>
    <x v="38"/>
    <s v="Week 39"/>
    <s v="Week 39-2025"/>
  </r>
  <r>
    <d v="2025-09-25T00:00:00"/>
    <x v="12"/>
    <n v="38"/>
    <n v="2025"/>
    <x v="38"/>
    <s v="Week 39"/>
    <s v="Week 39-2025"/>
  </r>
  <r>
    <d v="2025-09-25T00:00:00"/>
    <x v="12"/>
    <n v="20"/>
    <n v="2025"/>
    <x v="38"/>
    <s v="Week 39"/>
    <s v="Week 39-2025"/>
  </r>
  <r>
    <d v="2025-09-25T00:00:00"/>
    <x v="5"/>
    <n v="7"/>
    <n v="2025"/>
    <x v="38"/>
    <s v="Week 39"/>
    <s v="Week 39-2025"/>
  </r>
  <r>
    <d v="2025-09-25T00:00:00"/>
    <x v="14"/>
    <n v="9"/>
    <n v="2025"/>
    <x v="38"/>
    <s v="Week 39"/>
    <s v="Week 39-2025"/>
  </r>
  <r>
    <d v="2025-09-25T00:00:00"/>
    <x v="13"/>
    <n v="8"/>
    <n v="2025"/>
    <x v="38"/>
    <s v="Week 39"/>
    <s v="Week 39-2025"/>
  </r>
  <r>
    <d v="2025-09-25T00:00:00"/>
    <x v="14"/>
    <n v="8"/>
    <n v="2025"/>
    <x v="38"/>
    <s v="Week 39"/>
    <s v="Week 39-2025"/>
  </r>
  <r>
    <d v="2025-09-25T00:00:00"/>
    <x v="25"/>
    <n v="10"/>
    <n v="2025"/>
    <x v="38"/>
    <s v="Week 39"/>
    <s v="Week 39-2025"/>
  </r>
  <r>
    <d v="2025-09-25T00:00:00"/>
    <x v="5"/>
    <n v="2"/>
    <n v="2025"/>
    <x v="38"/>
    <s v="Week 39"/>
    <s v="Week 39-2025"/>
  </r>
  <r>
    <d v="2025-09-25T00:00:00"/>
    <x v="2"/>
    <n v="4"/>
    <n v="2025"/>
    <x v="38"/>
    <s v="Week 39"/>
    <s v="Week 39-2025"/>
  </r>
  <r>
    <d v="2025-09-25T00:00:00"/>
    <x v="14"/>
    <n v="3"/>
    <n v="2025"/>
    <x v="38"/>
    <s v="Week 39"/>
    <s v="Week 39-2025"/>
  </r>
  <r>
    <d v="2025-09-25T00:00:00"/>
    <x v="5"/>
    <n v="2"/>
    <n v="2025"/>
    <x v="38"/>
    <s v="Week 39"/>
    <s v="Week 39-2025"/>
  </r>
  <r>
    <d v="2025-09-25T00:00:00"/>
    <x v="13"/>
    <n v="2"/>
    <n v="2025"/>
    <x v="38"/>
    <s v="Week 39"/>
    <s v="Week 39-2025"/>
  </r>
  <r>
    <d v="2025-09-25T00:00:00"/>
    <x v="3"/>
    <n v="2"/>
    <n v="2025"/>
    <x v="38"/>
    <s v="Week 39"/>
    <s v="Week 39-2025"/>
  </r>
  <r>
    <d v="2025-09-25T00:00:00"/>
    <x v="5"/>
    <n v="1"/>
    <n v="2025"/>
    <x v="38"/>
    <s v="Week 39"/>
    <s v="Week 39-2025"/>
  </r>
  <r>
    <d v="2025-09-26T00:00:00"/>
    <x v="11"/>
    <n v="36"/>
    <n v="2025"/>
    <x v="38"/>
    <s v="Week 39"/>
    <s v="Week 39-2025"/>
  </r>
  <r>
    <d v="2025-09-26T00:00:00"/>
    <x v="13"/>
    <n v="8"/>
    <n v="2025"/>
    <x v="38"/>
    <s v="Week 39"/>
    <s v="Week 39-2025"/>
  </r>
  <r>
    <d v="2025-09-26T00:00:00"/>
    <x v="13"/>
    <n v="8"/>
    <n v="2025"/>
    <x v="38"/>
    <s v="Week 39"/>
    <s v="Week 39-2025"/>
  </r>
  <r>
    <d v="2025-09-26T00:00:00"/>
    <x v="10"/>
    <n v="8"/>
    <n v="2025"/>
    <x v="38"/>
    <s v="Week 39"/>
    <s v="Week 39-2025"/>
  </r>
  <r>
    <d v="2025-09-26T00:00:00"/>
    <x v="12"/>
    <n v="12"/>
    <n v="2025"/>
    <x v="38"/>
    <s v="Week 39"/>
    <s v="Week 39-2025"/>
  </r>
  <r>
    <d v="2025-09-26T00:00:00"/>
    <x v="3"/>
    <n v="4"/>
    <n v="2025"/>
    <x v="38"/>
    <s v="Week 39"/>
    <s v="Week 39-2025"/>
  </r>
  <r>
    <d v="2025-09-26T00:00:00"/>
    <x v="11"/>
    <n v="4"/>
    <n v="2025"/>
    <x v="38"/>
    <s v="Week 39"/>
    <s v="Week 39-2025"/>
  </r>
  <r>
    <d v="2025-09-26T00:00:00"/>
    <x v="15"/>
    <n v="2"/>
    <n v="2025"/>
    <x v="38"/>
    <s v="Week 39"/>
    <s v="Week 39-2025"/>
  </r>
  <r>
    <d v="2025-09-26T00:00:00"/>
    <x v="15"/>
    <n v="2"/>
    <n v="2025"/>
    <x v="38"/>
    <s v="Week 39"/>
    <s v="Week 39-2025"/>
  </r>
  <r>
    <d v="2025-09-27T00:00:00"/>
    <x v="10"/>
    <n v="12"/>
    <n v="2025"/>
    <x v="38"/>
    <s v="Week 39"/>
    <s v="Week 39-2025"/>
  </r>
  <r>
    <d v="2025-09-27T00:00:00"/>
    <x v="14"/>
    <n v="10"/>
    <n v="2025"/>
    <x v="38"/>
    <s v="Week 39"/>
    <s v="Week 39-2025"/>
  </r>
  <r>
    <d v="2025-09-27T00:00:00"/>
    <x v="14"/>
    <n v="10"/>
    <n v="2025"/>
    <x v="38"/>
    <s v="Week 39"/>
    <s v="Week 39-2025"/>
  </r>
  <r>
    <d v="2025-09-27T00:00:00"/>
    <x v="13"/>
    <n v="8"/>
    <n v="2025"/>
    <x v="38"/>
    <s v="Week 39"/>
    <s v="Week 39-2025"/>
  </r>
  <r>
    <d v="2025-09-27T00:00:00"/>
    <x v="13"/>
    <n v="8"/>
    <n v="2025"/>
    <x v="38"/>
    <s v="Week 39"/>
    <s v="Week 39-2025"/>
  </r>
  <r>
    <d v="2025-09-27T00:00:00"/>
    <x v="13"/>
    <n v="8"/>
    <n v="2025"/>
    <x v="38"/>
    <s v="Week 39"/>
    <s v="Week 39-2025"/>
  </r>
  <r>
    <d v="2025-09-27T00:00:00"/>
    <x v="11"/>
    <n v="8"/>
    <n v="2025"/>
    <x v="38"/>
    <s v="Week 39"/>
    <s v="Week 39-2025"/>
  </r>
  <r>
    <d v="2025-09-27T00:00:00"/>
    <x v="11"/>
    <n v="8"/>
    <n v="2025"/>
    <x v="38"/>
    <s v="Week 39"/>
    <s v="Week 39-2025"/>
  </r>
  <r>
    <d v="2025-09-27T00:00:00"/>
    <x v="10"/>
    <n v="6"/>
    <n v="2025"/>
    <x v="38"/>
    <s v="Week 39"/>
    <s v="Week 39-2025"/>
  </r>
  <r>
    <d v="2025-09-27T00:00:00"/>
    <x v="10"/>
    <n v="6"/>
    <n v="2025"/>
    <x v="38"/>
    <s v="Week 39"/>
    <s v="Week 39-2025"/>
  </r>
  <r>
    <d v="2025-09-27T00:00:00"/>
    <x v="25"/>
    <n v="8"/>
    <n v="2025"/>
    <x v="38"/>
    <s v="Week 39"/>
    <s v="Week 39-2025"/>
  </r>
  <r>
    <d v="2025-09-27T00:00:00"/>
    <x v="14"/>
    <n v="4"/>
    <n v="2025"/>
    <x v="38"/>
    <s v="Week 39"/>
    <s v="Week 39-2025"/>
  </r>
  <r>
    <d v="2025-09-27T00:00:00"/>
    <x v="14"/>
    <n v="4"/>
    <n v="2025"/>
    <x v="38"/>
    <s v="Week 39"/>
    <s v="Week 39-2025"/>
  </r>
  <r>
    <d v="2025-09-27T00:00:00"/>
    <x v="3"/>
    <n v="4"/>
    <n v="2025"/>
    <x v="38"/>
    <s v="Week 39"/>
    <s v="Week 39-2025"/>
  </r>
  <r>
    <d v="2025-09-27T00:00:00"/>
    <x v="3"/>
    <n v="4"/>
    <n v="2025"/>
    <x v="38"/>
    <s v="Week 39"/>
    <s v="Week 39-2025"/>
  </r>
  <r>
    <d v="2025-09-27T00:00:00"/>
    <x v="3"/>
    <n v="4"/>
    <n v="2025"/>
    <x v="38"/>
    <s v="Week 39"/>
    <s v="Week 39-2025"/>
  </r>
  <r>
    <d v="2025-09-27T00:00:00"/>
    <x v="3"/>
    <n v="4"/>
    <n v="2025"/>
    <x v="38"/>
    <s v="Week 39"/>
    <s v="Week 39-2025"/>
  </r>
  <r>
    <d v="2025-09-27T00:00:00"/>
    <x v="15"/>
    <n v="6"/>
    <n v="2025"/>
    <x v="38"/>
    <s v="Week 39"/>
    <s v="Week 39-2025"/>
  </r>
  <r>
    <d v="2025-09-27T00:00:00"/>
    <x v="15"/>
    <n v="6"/>
    <n v="2025"/>
    <x v="38"/>
    <s v="Week 39"/>
    <s v="Week 39-2025"/>
  </r>
  <r>
    <d v="2025-09-27T00:00:00"/>
    <x v="11"/>
    <n v="4"/>
    <n v="2025"/>
    <x v="38"/>
    <s v="Week 39"/>
    <s v="Week 39-2025"/>
  </r>
  <r>
    <d v="2025-09-27T00:00:00"/>
    <x v="11"/>
    <n v="4"/>
    <n v="2025"/>
    <x v="38"/>
    <s v="Week 39"/>
    <s v="Week 39-2025"/>
  </r>
  <r>
    <d v="2025-09-27T00:00:00"/>
    <x v="11"/>
    <n v="4"/>
    <n v="2025"/>
    <x v="38"/>
    <s v="Week 39"/>
    <s v="Week 39-2025"/>
  </r>
  <r>
    <d v="2025-09-27T00:00:00"/>
    <x v="11"/>
    <n v="4"/>
    <n v="2025"/>
    <x v="38"/>
    <s v="Week 39"/>
    <s v="Week 39-2025"/>
  </r>
  <r>
    <d v="2025-09-27T00:00:00"/>
    <x v="11"/>
    <n v="4"/>
    <n v="2025"/>
    <x v="38"/>
    <s v="Week 39"/>
    <s v="Week 39-2025"/>
  </r>
  <r>
    <d v="2025-09-27T00:00:00"/>
    <x v="22"/>
    <n v="4"/>
    <n v="2025"/>
    <x v="38"/>
    <s v="Week 39"/>
    <s v="Week 39-2025"/>
  </r>
  <r>
    <d v="2025-09-27T00:00:00"/>
    <x v="22"/>
    <n v="4"/>
    <n v="2025"/>
    <x v="38"/>
    <s v="Week 39"/>
    <s v="Week 39-2025"/>
  </r>
  <r>
    <d v="2025-09-27T00:00:00"/>
    <x v="1"/>
    <n v="4"/>
    <n v="2025"/>
    <x v="38"/>
    <s v="Week 39"/>
    <s v="Week 39-2025"/>
  </r>
  <r>
    <d v="2025-09-27T00:00:00"/>
    <x v="14"/>
    <n v="2"/>
    <n v="2025"/>
    <x v="38"/>
    <s v="Week 39"/>
    <s v="Week 39-2025"/>
  </r>
  <r>
    <d v="2025-09-27T00:00:00"/>
    <x v="1"/>
    <n v="3"/>
    <n v="2025"/>
    <x v="38"/>
    <s v="Week 39"/>
    <s v="Week 39-2025"/>
  </r>
  <r>
    <d v="2025-09-27T00:00:00"/>
    <x v="15"/>
    <n v="2"/>
    <n v="2025"/>
    <x v="38"/>
    <s v="Week 39"/>
    <s v="Week 39-2025"/>
  </r>
  <r>
    <d v="2025-09-27T00:00:00"/>
    <x v="1"/>
    <n v="1"/>
    <n v="2025"/>
    <x v="38"/>
    <s v="Week 39"/>
    <s v="Week 39-2025"/>
  </r>
  <r>
    <d v="2025-09-29T00:00:00"/>
    <x v="10"/>
    <n v="12"/>
    <n v="2025"/>
    <x v="39"/>
    <s v="Week 40"/>
    <s v="Week 40-2025"/>
  </r>
  <r>
    <d v="2025-09-29T00:00:00"/>
    <x v="14"/>
    <n v="10"/>
    <n v="2025"/>
    <x v="39"/>
    <s v="Week 40"/>
    <s v="Week 40-2025"/>
  </r>
  <r>
    <d v="2025-09-29T00:00:00"/>
    <x v="13"/>
    <n v="8"/>
    <n v="2025"/>
    <x v="39"/>
    <s v="Week 40"/>
    <s v="Week 40-2025"/>
  </r>
  <r>
    <d v="2025-09-29T00:00:00"/>
    <x v="13"/>
    <n v="8"/>
    <n v="2025"/>
    <x v="39"/>
    <s v="Week 40"/>
    <s v="Week 40-2025"/>
  </r>
  <r>
    <d v="2025-09-29T00:00:00"/>
    <x v="3"/>
    <n v="4"/>
    <n v="2025"/>
    <x v="39"/>
    <s v="Week 40"/>
    <s v="Week 40-2025"/>
  </r>
  <r>
    <d v="2025-09-29T00:00:00"/>
    <x v="11"/>
    <n v="4"/>
    <n v="2025"/>
    <x v="39"/>
    <s v="Week 40"/>
    <s v="Week 40-2025"/>
  </r>
  <r>
    <d v="2025-09-29T00:00:00"/>
    <x v="11"/>
    <n v="4"/>
    <n v="2025"/>
    <x v="39"/>
    <s v="Week 40"/>
    <s v="Week 40-2025"/>
  </r>
  <r>
    <d v="2025-09-29T00:00:00"/>
    <x v="11"/>
    <n v="4"/>
    <n v="2025"/>
    <x v="39"/>
    <s v="Week 40"/>
    <s v="Week 40-2025"/>
  </r>
  <r>
    <d v="2025-09-29T00:00:00"/>
    <x v="1"/>
    <n v="4"/>
    <n v="2025"/>
    <x v="39"/>
    <s v="Week 40"/>
    <s v="Week 40-2025"/>
  </r>
  <r>
    <d v="2025-09-29T00:00:00"/>
    <x v="15"/>
    <n v="4"/>
    <n v="2025"/>
    <x v="39"/>
    <s v="Week 40"/>
    <s v="Week 40-2025"/>
  </r>
  <r>
    <d v="2025-09-29T00:00:00"/>
    <x v="28"/>
    <n v="4"/>
    <n v="2025"/>
    <x v="39"/>
    <s v="Week 40"/>
    <s v="Week 40-2025"/>
  </r>
  <r>
    <d v="2025-09-29T00:00:00"/>
    <x v="15"/>
    <n v="2"/>
    <n v="2025"/>
    <x v="39"/>
    <s v="Week 40"/>
    <s v="Week 40-2025"/>
  </r>
  <r>
    <d v="2025-09-29T00:00:00"/>
    <x v="15"/>
    <n v="2"/>
    <n v="2025"/>
    <x v="39"/>
    <s v="Week 40"/>
    <s v="Week 40-2025"/>
  </r>
  <r>
    <d v="2025-09-29T00:00:00"/>
    <x v="15"/>
    <n v="2"/>
    <n v="2025"/>
    <x v="39"/>
    <s v="Week 40"/>
    <s v="Week 40-2025"/>
  </r>
  <r>
    <d v="2025-09-30T00:00:00"/>
    <x v="12"/>
    <n v="32"/>
    <n v="2025"/>
    <x v="39"/>
    <s v="Week 40"/>
    <s v="Week 40-2025"/>
  </r>
  <r>
    <d v="2025-09-30T00:00:00"/>
    <x v="13"/>
    <n v="8"/>
    <n v="2025"/>
    <x v="39"/>
    <s v="Week 40"/>
    <s v="Week 40-2025"/>
  </r>
  <r>
    <d v="2025-09-30T00:00:00"/>
    <x v="11"/>
    <n v="10"/>
    <n v="2025"/>
    <x v="39"/>
    <s v="Week 40"/>
    <s v="Week 40-2025"/>
  </r>
  <r>
    <d v="2025-09-30T00:00:00"/>
    <x v="14"/>
    <n v="4"/>
    <n v="2025"/>
    <x v="39"/>
    <s v="Week 40"/>
    <s v="Week 40-2025"/>
  </r>
  <r>
    <d v="2025-09-30T00:00:00"/>
    <x v="11"/>
    <n v="4"/>
    <n v="2025"/>
    <x v="39"/>
    <s v="Week 40"/>
    <s v="Week 40-2025"/>
  </r>
  <r>
    <d v="2025-09-30T00:00:00"/>
    <x v="17"/>
    <n v="2"/>
    <n v="2025"/>
    <x v="39"/>
    <s v="Week 40"/>
    <s v="Week 40-2025"/>
  </r>
  <r>
    <d v="2025-09-30T00:00:00"/>
    <x v="3"/>
    <n v="2"/>
    <n v="2025"/>
    <x v="39"/>
    <s v="Week 40"/>
    <s v="Week 40-2025"/>
  </r>
  <r>
    <d v="2025-09-30T00:00:00"/>
    <x v="28"/>
    <n v="5"/>
    <n v="2025"/>
    <x v="39"/>
    <s v="Week 40"/>
    <s v="Week 40-2025"/>
  </r>
  <r>
    <d v="2025-09-30T00:00:00"/>
    <x v="15"/>
    <n v="2"/>
    <n v="2025"/>
    <x v="39"/>
    <s v="Week 40"/>
    <s v="Week 40-2025"/>
  </r>
  <r>
    <d v="2025-09-30T00:00:00"/>
    <x v="21"/>
    <n v="2"/>
    <n v="2025"/>
    <x v="39"/>
    <s v="Week 40"/>
    <s v="Week 40-2025"/>
  </r>
  <r>
    <d v="2025-09-30T00:00:00"/>
    <x v="32"/>
    <n v="2"/>
    <n v="2025"/>
    <x v="39"/>
    <s v="Week 40"/>
    <s v="Week 40-2025"/>
  </r>
  <r>
    <d v="2025-10-01T00:00:00"/>
    <x v="30"/>
    <n v="6"/>
    <n v="2025"/>
    <x v="39"/>
    <s v="Week 40"/>
    <s v="Week 40-2025"/>
  </r>
  <r>
    <d v="2025-10-03T00:00:00"/>
    <x v="15"/>
    <n v="20"/>
    <n v="2025"/>
    <x v="39"/>
    <s v="Week 40"/>
    <s v="Week 40-2025"/>
  </r>
  <r>
    <d v="2025-10-03T00:00:00"/>
    <x v="13"/>
    <n v="8"/>
    <n v="2025"/>
    <x v="39"/>
    <s v="Week 40"/>
    <s v="Week 40-2025"/>
  </r>
  <r>
    <d v="2025-10-03T00:00:00"/>
    <x v="11"/>
    <n v="8"/>
    <n v="2025"/>
    <x v="39"/>
    <s v="Week 40"/>
    <s v="Week 40-2025"/>
  </r>
  <r>
    <d v="2025-10-03T00:00:00"/>
    <x v="2"/>
    <n v="7"/>
    <n v="2025"/>
    <x v="39"/>
    <s v="Week 40"/>
    <s v="Week 40-2025"/>
  </r>
  <r>
    <d v="2025-10-03T00:00:00"/>
    <x v="3"/>
    <n v="4"/>
    <n v="2025"/>
    <x v="39"/>
    <s v="Week 40"/>
    <s v="Week 40-2025"/>
  </r>
  <r>
    <d v="2025-10-03T00:00:00"/>
    <x v="3"/>
    <n v="4"/>
    <n v="2025"/>
    <x v="39"/>
    <s v="Week 40"/>
    <s v="Week 40-2025"/>
  </r>
  <r>
    <d v="2025-10-03T00:00:00"/>
    <x v="19"/>
    <n v="6"/>
    <n v="2025"/>
    <x v="39"/>
    <s v="Week 40"/>
    <s v="Week 40-2025"/>
  </r>
  <r>
    <d v="2025-10-03T00:00:00"/>
    <x v="26"/>
    <n v="4"/>
    <n v="2025"/>
    <x v="39"/>
    <s v="Week 40"/>
    <s v="Week 40-2025"/>
  </r>
  <r>
    <d v="2025-10-03T00:00:00"/>
    <x v="9"/>
    <n v="2"/>
    <n v="2025"/>
    <x v="39"/>
    <s v="Week 40"/>
    <s v="Week 40-2025"/>
  </r>
  <r>
    <d v="2025-10-03T00:00:00"/>
    <x v="25"/>
    <n v="2"/>
    <n v="2025"/>
    <x v="39"/>
    <s v="Week 40"/>
    <s v="Week 40-2025"/>
  </r>
  <r>
    <d v="2025-10-03T00:00:00"/>
    <x v="22"/>
    <n v="2"/>
    <n v="2025"/>
    <x v="39"/>
    <s v="Week 40"/>
    <s v="Week 40-2025"/>
  </r>
  <r>
    <d v="2025-10-03T00:00:00"/>
    <x v="31"/>
    <n v="2"/>
    <n v="2025"/>
    <x v="39"/>
    <s v="Week 40"/>
    <s v="Week 40-2025"/>
  </r>
  <r>
    <d v="2025-10-03T00:00:00"/>
    <x v="15"/>
    <n v="2"/>
    <n v="2025"/>
    <x v="39"/>
    <s v="Week 40"/>
    <s v="Week 40-2025"/>
  </r>
  <r>
    <d v="2025-10-04T00:00:00"/>
    <x v="4"/>
    <n v="12"/>
    <n v="2025"/>
    <x v="39"/>
    <s v="Week 40"/>
    <s v="Week 40-2025"/>
  </r>
  <r>
    <d v="2025-10-04T00:00:00"/>
    <x v="32"/>
    <n v="1"/>
    <n v="2025"/>
    <x v="39"/>
    <s v="Week 40"/>
    <s v="Week 40-2025"/>
  </r>
  <r>
    <d v="2025-10-07T00:00:00"/>
    <x v="11"/>
    <n v="6"/>
    <n v="2025"/>
    <x v="40"/>
    <s v="Week 41"/>
    <s v="Week 41-2025"/>
  </r>
  <r>
    <d v="2025-10-07T00:00:00"/>
    <x v="3"/>
    <n v="4"/>
    <n v="2025"/>
    <x v="40"/>
    <s v="Week 41"/>
    <s v="Week 41-2025"/>
  </r>
  <r>
    <d v="2025-10-07T00:00:00"/>
    <x v="22"/>
    <n v="4"/>
    <n v="2025"/>
    <x v="40"/>
    <s v="Week 41"/>
    <s v="Week 41-2025"/>
  </r>
  <r>
    <d v="2025-10-07T00:00:00"/>
    <x v="1"/>
    <n v="4"/>
    <n v="2025"/>
    <x v="40"/>
    <s v="Week 41"/>
    <s v="Week 41-2025"/>
  </r>
  <r>
    <d v="2025-10-07T00:00:00"/>
    <x v="25"/>
    <n v="3"/>
    <n v="2025"/>
    <x v="40"/>
    <s v="Week 41"/>
    <s v="Week 41-2025"/>
  </r>
  <r>
    <d v="2025-10-07T00:00:00"/>
    <x v="25"/>
    <n v="1"/>
    <n v="2025"/>
    <x v="40"/>
    <s v="Week 41"/>
    <s v="Week 41-2025"/>
  </r>
  <r>
    <d v="2025-10-08T00:00:00"/>
    <x v="10"/>
    <n v="12"/>
    <n v="2025"/>
    <x v="40"/>
    <s v="Week 41"/>
    <s v="Week 41-2025"/>
  </r>
  <r>
    <d v="2025-10-08T00:00:00"/>
    <x v="12"/>
    <n v="16"/>
    <n v="2025"/>
    <x v="40"/>
    <s v="Week 41"/>
    <s v="Week 41-2025"/>
  </r>
  <r>
    <d v="2025-10-08T00:00:00"/>
    <x v="10"/>
    <n v="8"/>
    <n v="2025"/>
    <x v="40"/>
    <s v="Week 41"/>
    <s v="Week 41-2025"/>
  </r>
  <r>
    <d v="2025-10-08T00:00:00"/>
    <x v="10"/>
    <n v="8"/>
    <n v="2025"/>
    <x v="40"/>
    <s v="Week 41"/>
    <s v="Week 41-2025"/>
  </r>
  <r>
    <d v="2025-10-08T00:00:00"/>
    <x v="17"/>
    <n v="6"/>
    <n v="2025"/>
    <x v="40"/>
    <s v="Week 41"/>
    <s v="Week 41-2025"/>
  </r>
  <r>
    <d v="2025-10-08T00:00:00"/>
    <x v="12"/>
    <n v="8"/>
    <n v="2025"/>
    <x v="40"/>
    <s v="Week 41"/>
    <s v="Week 41-2025"/>
  </r>
  <r>
    <d v="2025-10-08T00:00:00"/>
    <x v="12"/>
    <n v="8"/>
    <n v="2025"/>
    <x v="40"/>
    <s v="Week 41"/>
    <s v="Week 41-2025"/>
  </r>
  <r>
    <d v="2025-10-08T00:00:00"/>
    <x v="30"/>
    <n v="16"/>
    <n v="2025"/>
    <x v="40"/>
    <s v="Week 41"/>
    <s v="Week 41-2025"/>
  </r>
  <r>
    <d v="2025-10-08T00:00:00"/>
    <x v="3"/>
    <n v="4"/>
    <n v="2025"/>
    <x v="40"/>
    <s v="Week 41"/>
    <s v="Week 41-2025"/>
  </r>
  <r>
    <d v="2025-10-08T00:00:00"/>
    <x v="11"/>
    <n v="4"/>
    <n v="2025"/>
    <x v="40"/>
    <s v="Week 41"/>
    <s v="Week 41-2025"/>
  </r>
  <r>
    <d v="2025-10-08T00:00:00"/>
    <x v="11"/>
    <n v="4"/>
    <n v="2025"/>
    <x v="40"/>
    <s v="Week 41"/>
    <s v="Week 41-2025"/>
  </r>
  <r>
    <d v="2025-10-08T00:00:00"/>
    <x v="11"/>
    <n v="4"/>
    <n v="2025"/>
    <x v="40"/>
    <s v="Week 41"/>
    <s v="Week 41-2025"/>
  </r>
  <r>
    <d v="2025-10-08T00:00:00"/>
    <x v="1"/>
    <n v="4"/>
    <n v="2025"/>
    <x v="40"/>
    <s v="Week 41"/>
    <s v="Week 41-2025"/>
  </r>
  <r>
    <d v="2025-10-08T00:00:00"/>
    <x v="15"/>
    <n v="4"/>
    <n v="2025"/>
    <x v="40"/>
    <s v="Week 41"/>
    <s v="Week 41-2025"/>
  </r>
  <r>
    <d v="2025-10-08T00:00:00"/>
    <x v="30"/>
    <n v="7"/>
    <n v="2025"/>
    <x v="40"/>
    <s v="Week 41"/>
    <s v="Week 41-2025"/>
  </r>
  <r>
    <d v="2025-10-08T00:00:00"/>
    <x v="15"/>
    <n v="4"/>
    <n v="2025"/>
    <x v="40"/>
    <s v="Week 41"/>
    <s v="Week 41-2025"/>
  </r>
  <r>
    <d v="2025-10-08T00:00:00"/>
    <x v="28"/>
    <n v="6"/>
    <n v="2025"/>
    <x v="40"/>
    <s v="Week 41"/>
    <s v="Week 41-2025"/>
  </r>
  <r>
    <d v="2025-10-08T00:00:00"/>
    <x v="28"/>
    <n v="6"/>
    <n v="2025"/>
    <x v="40"/>
    <s v="Week 41"/>
    <s v="Week 41-2025"/>
  </r>
  <r>
    <d v="2025-10-08T00:00:00"/>
    <x v="28"/>
    <n v="6"/>
    <n v="2025"/>
    <x v="40"/>
    <s v="Week 41"/>
    <s v="Week 41-2025"/>
  </r>
  <r>
    <d v="2025-10-08T00:00:00"/>
    <x v="32"/>
    <n v="6"/>
    <n v="2025"/>
    <x v="40"/>
    <s v="Week 41"/>
    <s v="Week 41-2025"/>
  </r>
  <r>
    <d v="2025-10-08T00:00:00"/>
    <x v="3"/>
    <n v="2"/>
    <n v="2025"/>
    <x v="40"/>
    <s v="Week 41"/>
    <s v="Week 41-2025"/>
  </r>
  <r>
    <d v="2025-10-08T00:00:00"/>
    <x v="19"/>
    <n v="2"/>
    <n v="2025"/>
    <x v="40"/>
    <s v="Week 41"/>
    <s v="Week 41-2025"/>
  </r>
  <r>
    <d v="2025-10-08T00:00:00"/>
    <x v="4"/>
    <n v="2"/>
    <n v="2025"/>
    <x v="40"/>
    <s v="Week 41"/>
    <s v="Week 41-2025"/>
  </r>
  <r>
    <d v="2025-10-08T00:00:00"/>
    <x v="27"/>
    <n v="2"/>
    <n v="2025"/>
    <x v="40"/>
    <s v="Week 41"/>
    <s v="Week 41-2025"/>
  </r>
  <r>
    <d v="2025-10-08T00:00:00"/>
    <x v="27"/>
    <n v="2"/>
    <n v="2025"/>
    <x v="40"/>
    <s v="Week 41"/>
    <s v="Week 41-2025"/>
  </r>
  <r>
    <d v="2025-10-08T00:00:00"/>
    <x v="18"/>
    <n v="2"/>
    <n v="2025"/>
    <x v="40"/>
    <s v="Week 41"/>
    <s v="Week 41-2025"/>
  </r>
  <r>
    <d v="2025-10-08T00:00:00"/>
    <x v="32"/>
    <n v="2"/>
    <n v="2025"/>
    <x v="40"/>
    <s v="Week 41"/>
    <s v="Week 41-2025"/>
  </r>
  <r>
    <d v="2025-10-09T00:00:00"/>
    <x v="12"/>
    <n v="34"/>
    <n v="2025"/>
    <x v="40"/>
    <s v="Week 41"/>
    <s v="Week 41-2025"/>
  </r>
  <r>
    <d v="2025-10-09T00:00:00"/>
    <x v="25"/>
    <n v="12"/>
    <n v="2025"/>
    <x v="40"/>
    <s v="Week 41"/>
    <s v="Week 41-2025"/>
  </r>
  <r>
    <d v="2025-10-09T00:00:00"/>
    <x v="25"/>
    <n v="12"/>
    <n v="2025"/>
    <x v="40"/>
    <s v="Week 41"/>
    <s v="Week 41-2025"/>
  </r>
  <r>
    <d v="2025-10-09T00:00:00"/>
    <x v="12"/>
    <n v="12"/>
    <n v="2025"/>
    <x v="40"/>
    <s v="Week 41"/>
    <s v="Week 41-2025"/>
  </r>
  <r>
    <d v="2025-10-09T00:00:00"/>
    <x v="12"/>
    <n v="11"/>
    <n v="2025"/>
    <x v="40"/>
    <s v="Week 41"/>
    <s v="Week 41-2025"/>
  </r>
  <r>
    <d v="2025-10-09T00:00:00"/>
    <x v="11"/>
    <n v="6"/>
    <n v="2025"/>
    <x v="40"/>
    <s v="Week 41"/>
    <s v="Week 41-2025"/>
  </r>
  <r>
    <d v="2025-10-09T00:00:00"/>
    <x v="11"/>
    <n v="8"/>
    <n v="2025"/>
    <x v="40"/>
    <s v="Week 41"/>
    <s v="Week 41-2025"/>
  </r>
  <r>
    <d v="2025-10-09T00:00:00"/>
    <x v="3"/>
    <n v="6"/>
    <n v="2025"/>
    <x v="40"/>
    <s v="Week 41"/>
    <s v="Week 41-2025"/>
  </r>
  <r>
    <d v="2025-10-09T00:00:00"/>
    <x v="3"/>
    <n v="4"/>
    <n v="2025"/>
    <x v="40"/>
    <s v="Week 41"/>
    <s v="Week 41-2025"/>
  </r>
  <r>
    <d v="2025-10-09T00:00:00"/>
    <x v="3"/>
    <n v="4"/>
    <n v="2025"/>
    <x v="40"/>
    <s v="Week 41"/>
    <s v="Week 41-2025"/>
  </r>
  <r>
    <d v="2025-10-09T00:00:00"/>
    <x v="25"/>
    <n v="4"/>
    <n v="2025"/>
    <x v="40"/>
    <s v="Week 41"/>
    <s v="Week 41-2025"/>
  </r>
  <r>
    <d v="2025-10-09T00:00:00"/>
    <x v="15"/>
    <n v="6"/>
    <n v="2025"/>
    <x v="40"/>
    <s v="Week 41"/>
    <s v="Week 41-2025"/>
  </r>
  <r>
    <d v="2025-10-09T00:00:00"/>
    <x v="22"/>
    <n v="4"/>
    <n v="2025"/>
    <x v="40"/>
    <s v="Week 41"/>
    <s v="Week 41-2025"/>
  </r>
  <r>
    <d v="2025-10-09T00:00:00"/>
    <x v="1"/>
    <n v="4"/>
    <n v="2025"/>
    <x v="40"/>
    <s v="Week 41"/>
    <s v="Week 41-2025"/>
  </r>
  <r>
    <d v="2025-10-09T00:00:00"/>
    <x v="1"/>
    <n v="4"/>
    <n v="2025"/>
    <x v="40"/>
    <s v="Week 41"/>
    <s v="Week 41-2025"/>
  </r>
  <r>
    <d v="2025-10-09T00:00:00"/>
    <x v="1"/>
    <n v="4"/>
    <n v="2025"/>
    <x v="40"/>
    <s v="Week 41"/>
    <s v="Week 41-2025"/>
  </r>
  <r>
    <d v="2025-10-09T00:00:00"/>
    <x v="27"/>
    <n v="6"/>
    <n v="2025"/>
    <x v="40"/>
    <s v="Week 41"/>
    <s v="Week 41-2025"/>
  </r>
  <r>
    <d v="2025-10-09T00:00:00"/>
    <x v="14"/>
    <n v="2"/>
    <n v="2025"/>
    <x v="40"/>
    <s v="Week 41"/>
    <s v="Week 41-2025"/>
  </r>
  <r>
    <d v="2025-10-09T00:00:00"/>
    <x v="28"/>
    <n v="5"/>
    <n v="2025"/>
    <x v="40"/>
    <s v="Week 41"/>
    <s v="Week 41-2025"/>
  </r>
  <r>
    <d v="2025-10-09T00:00:00"/>
    <x v="11"/>
    <n v="2"/>
    <n v="2025"/>
    <x v="40"/>
    <s v="Week 41"/>
    <s v="Week 41-2025"/>
  </r>
  <r>
    <d v="2025-10-09T00:00:00"/>
    <x v="11"/>
    <n v="2"/>
    <n v="2025"/>
    <x v="40"/>
    <s v="Week 41"/>
    <s v="Week 41-2025"/>
  </r>
  <r>
    <d v="2025-10-09T00:00:00"/>
    <x v="27"/>
    <n v="3"/>
    <n v="2025"/>
    <x v="40"/>
    <s v="Week 41"/>
    <s v="Week 41-2025"/>
  </r>
  <r>
    <d v="2025-10-09T00:00:00"/>
    <x v="27"/>
    <n v="3"/>
    <n v="2025"/>
    <x v="40"/>
    <s v="Week 41"/>
    <s v="Week 41-2025"/>
  </r>
  <r>
    <d v="2025-10-09T00:00:00"/>
    <x v="18"/>
    <n v="3"/>
    <n v="2025"/>
    <x v="40"/>
    <s v="Week 41"/>
    <s v="Week 41-2025"/>
  </r>
  <r>
    <d v="2025-10-09T00:00:00"/>
    <x v="18"/>
    <n v="2"/>
    <n v="2025"/>
    <x v="40"/>
    <s v="Week 41"/>
    <s v="Week 41-2025"/>
  </r>
  <r>
    <d v="2025-10-09T00:00:00"/>
    <x v="21"/>
    <n v="2"/>
    <n v="2025"/>
    <x v="40"/>
    <s v="Week 41"/>
    <s v="Week 41-2025"/>
  </r>
  <r>
    <d v="2025-10-09T00:00:00"/>
    <x v="28"/>
    <n v="2"/>
    <n v="2025"/>
    <x v="40"/>
    <s v="Week 41"/>
    <s v="Week 41-2025"/>
  </r>
  <r>
    <d v="2025-10-09T00:00:00"/>
    <x v="30"/>
    <n v="2"/>
    <n v="2025"/>
    <x v="40"/>
    <s v="Week 41"/>
    <s v="Week 41-2025"/>
  </r>
  <r>
    <d v="2025-10-09T00:00:00"/>
    <x v="15"/>
    <n v="1"/>
    <n v="2025"/>
    <x v="40"/>
    <s v="Week 41"/>
    <s v="Week 41-2025"/>
  </r>
  <r>
    <d v="2025-10-11T00:00:00"/>
    <x v="3"/>
    <n v="8"/>
    <n v="2025"/>
    <x v="40"/>
    <s v="Week 41"/>
    <s v="Week 41-2025"/>
  </r>
  <r>
    <d v="2025-10-11T00:00:00"/>
    <x v="11"/>
    <n v="8"/>
    <n v="2025"/>
    <x v="40"/>
    <s v="Week 41"/>
    <s v="Week 41-2025"/>
  </r>
  <r>
    <d v="2025-10-11T00:00:00"/>
    <x v="15"/>
    <n v="12"/>
    <n v="2025"/>
    <x v="40"/>
    <s v="Week 41"/>
    <s v="Week 41-2025"/>
  </r>
  <r>
    <d v="2025-10-11T00:00:00"/>
    <x v="25"/>
    <n v="10"/>
    <n v="2025"/>
    <x v="40"/>
    <s v="Week 41"/>
    <s v="Week 41-2025"/>
  </r>
  <r>
    <d v="2025-10-11T00:00:00"/>
    <x v="13"/>
    <n v="4"/>
    <n v="2025"/>
    <x v="40"/>
    <s v="Week 41"/>
    <s v="Week 41-2025"/>
  </r>
  <r>
    <d v="2025-10-11T00:00:00"/>
    <x v="15"/>
    <n v="4"/>
    <n v="2025"/>
    <x v="40"/>
    <s v="Week 41"/>
    <s v="Week 41-2025"/>
  </r>
  <r>
    <d v="2025-10-11T00:00:00"/>
    <x v="27"/>
    <n v="4"/>
    <n v="2025"/>
    <x v="40"/>
    <s v="Week 41"/>
    <s v="Week 41-2025"/>
  </r>
  <r>
    <d v="2025-10-13T00:00:00"/>
    <x v="11"/>
    <n v="36"/>
    <n v="2025"/>
    <x v="41"/>
    <s v="Week 42"/>
    <s v="Week 42-2025"/>
  </r>
  <r>
    <d v="2025-10-13T00:00:00"/>
    <x v="14"/>
    <n v="26"/>
    <n v="2025"/>
    <x v="41"/>
    <s v="Week 42"/>
    <s v="Week 42-2025"/>
  </r>
  <r>
    <d v="2025-10-13T00:00:00"/>
    <x v="15"/>
    <n v="44"/>
    <n v="2025"/>
    <x v="41"/>
    <s v="Week 42"/>
    <s v="Week 42-2025"/>
  </r>
  <r>
    <d v="2025-10-13T00:00:00"/>
    <x v="12"/>
    <n v="28"/>
    <n v="2025"/>
    <x v="41"/>
    <s v="Week 42"/>
    <s v="Week 42-2025"/>
  </r>
  <r>
    <d v="2025-10-13T00:00:00"/>
    <x v="12"/>
    <n v="26"/>
    <n v="2025"/>
    <x v="41"/>
    <s v="Week 42"/>
    <s v="Week 42-2025"/>
  </r>
  <r>
    <d v="2025-10-13T00:00:00"/>
    <x v="10"/>
    <n v="16"/>
    <n v="2025"/>
    <x v="41"/>
    <s v="Week 42"/>
    <s v="Week 42-2025"/>
  </r>
  <r>
    <d v="2025-10-13T00:00:00"/>
    <x v="44"/>
    <n v="16"/>
    <n v="2025"/>
    <x v="41"/>
    <s v="Week 42"/>
    <s v="Week 42-2025"/>
  </r>
  <r>
    <d v="2025-10-13T00:00:00"/>
    <x v="14"/>
    <n v="14"/>
    <n v="2025"/>
    <x v="41"/>
    <s v="Week 42"/>
    <s v="Week 42-2025"/>
  </r>
  <r>
    <d v="2025-10-13T00:00:00"/>
    <x v="12"/>
    <n v="20"/>
    <n v="2025"/>
    <x v="41"/>
    <s v="Week 42"/>
    <s v="Week 42-2025"/>
  </r>
  <r>
    <d v="2025-10-13T00:00:00"/>
    <x v="3"/>
    <n v="10"/>
    <n v="2025"/>
    <x v="41"/>
    <s v="Week 42"/>
    <s v="Week 42-2025"/>
  </r>
  <r>
    <d v="2025-10-13T00:00:00"/>
    <x v="12"/>
    <n v="12"/>
    <n v="2025"/>
    <x v="41"/>
    <s v="Week 42"/>
    <s v="Week 42-2025"/>
  </r>
  <r>
    <d v="2025-10-13T00:00:00"/>
    <x v="19"/>
    <n v="16"/>
    <n v="2025"/>
    <x v="41"/>
    <s v="Week 42"/>
    <s v="Week 42-2025"/>
  </r>
  <r>
    <d v="2025-10-13T00:00:00"/>
    <x v="12"/>
    <n v="10"/>
    <n v="2025"/>
    <x v="41"/>
    <s v="Week 42"/>
    <s v="Week 42-2025"/>
  </r>
  <r>
    <d v="2025-10-13T00:00:00"/>
    <x v="12"/>
    <n v="10"/>
    <n v="2025"/>
    <x v="41"/>
    <s v="Week 42"/>
    <s v="Week 42-2025"/>
  </r>
  <r>
    <d v="2025-10-13T00:00:00"/>
    <x v="11"/>
    <n v="8"/>
    <n v="2025"/>
    <x v="41"/>
    <s v="Week 42"/>
    <s v="Week 42-2025"/>
  </r>
  <r>
    <d v="2025-10-13T00:00:00"/>
    <x v="11"/>
    <n v="8"/>
    <n v="2025"/>
    <x v="41"/>
    <s v="Week 42"/>
    <s v="Week 42-2025"/>
  </r>
  <r>
    <d v="2025-10-13T00:00:00"/>
    <x v="6"/>
    <n v="5"/>
    <n v="2025"/>
    <x v="41"/>
    <s v="Week 42"/>
    <s v="Week 42-2025"/>
  </r>
  <r>
    <d v="2025-10-13T00:00:00"/>
    <x v="25"/>
    <n v="10"/>
    <n v="2025"/>
    <x v="41"/>
    <s v="Week 42"/>
    <s v="Week 42-2025"/>
  </r>
  <r>
    <d v="2025-10-13T00:00:00"/>
    <x v="13"/>
    <n v="4"/>
    <n v="2025"/>
    <x v="41"/>
    <s v="Week 42"/>
    <s v="Week 42-2025"/>
  </r>
  <r>
    <d v="2025-10-13T00:00:00"/>
    <x v="3"/>
    <n v="6"/>
    <n v="2025"/>
    <x v="41"/>
    <s v="Week 42"/>
    <s v="Week 42-2025"/>
  </r>
  <r>
    <d v="2025-10-13T00:00:00"/>
    <x v="25"/>
    <n v="8"/>
    <n v="2025"/>
    <x v="41"/>
    <s v="Week 42"/>
    <s v="Week 42-2025"/>
  </r>
  <r>
    <d v="2025-10-13T00:00:00"/>
    <x v="26"/>
    <n v="10"/>
    <n v="2025"/>
    <x v="41"/>
    <s v="Week 42"/>
    <s v="Week 42-2025"/>
  </r>
  <r>
    <d v="2025-10-13T00:00:00"/>
    <x v="17"/>
    <n v="4"/>
    <n v="2025"/>
    <x v="41"/>
    <s v="Week 42"/>
    <s v="Week 42-2025"/>
  </r>
  <r>
    <d v="2025-10-13T00:00:00"/>
    <x v="15"/>
    <n v="8"/>
    <n v="2025"/>
    <x v="41"/>
    <s v="Week 42"/>
    <s v="Week 42-2025"/>
  </r>
  <r>
    <d v="2025-10-13T00:00:00"/>
    <x v="15"/>
    <n v="8"/>
    <n v="2025"/>
    <x v="41"/>
    <s v="Week 42"/>
    <s v="Week 42-2025"/>
  </r>
  <r>
    <d v="2025-10-13T00:00:00"/>
    <x v="2"/>
    <n v="6"/>
    <n v="2025"/>
    <x v="41"/>
    <s v="Week 42"/>
    <s v="Week 42-2025"/>
  </r>
  <r>
    <d v="2025-10-13T00:00:00"/>
    <x v="6"/>
    <n v="3"/>
    <n v="2025"/>
    <x v="41"/>
    <s v="Week 42"/>
    <s v="Week 42-2025"/>
  </r>
  <r>
    <d v="2025-10-13T00:00:00"/>
    <x v="3"/>
    <n v="4"/>
    <n v="2025"/>
    <x v="41"/>
    <s v="Week 42"/>
    <s v="Week 42-2025"/>
  </r>
  <r>
    <d v="2025-10-13T00:00:00"/>
    <x v="31"/>
    <n v="6"/>
    <n v="2025"/>
    <x v="41"/>
    <s v="Week 42"/>
    <s v="Week 42-2025"/>
  </r>
  <r>
    <d v="2025-10-13T00:00:00"/>
    <x v="19"/>
    <n v="6"/>
    <n v="2025"/>
    <x v="41"/>
    <s v="Week 42"/>
    <s v="Week 42-2025"/>
  </r>
  <r>
    <d v="2025-10-13T00:00:00"/>
    <x v="11"/>
    <n v="3"/>
    <n v="2025"/>
    <x v="41"/>
    <s v="Week 42"/>
    <s v="Week 42-2025"/>
  </r>
  <r>
    <d v="2025-10-13T00:00:00"/>
    <x v="15"/>
    <n v="4"/>
    <n v="2025"/>
    <x v="41"/>
    <s v="Week 42"/>
    <s v="Week 42-2025"/>
  </r>
  <r>
    <d v="2025-10-13T00:00:00"/>
    <x v="3"/>
    <n v="2"/>
    <n v="2025"/>
    <x v="41"/>
    <s v="Week 42"/>
    <s v="Week 42-2025"/>
  </r>
  <r>
    <d v="2025-10-13T00:00:00"/>
    <x v="3"/>
    <n v="2"/>
    <n v="2025"/>
    <x v="41"/>
    <s v="Week 42"/>
    <s v="Week 42-2025"/>
  </r>
  <r>
    <d v="2025-10-13T00:00:00"/>
    <x v="4"/>
    <n v="4"/>
    <n v="2025"/>
    <x v="41"/>
    <s v="Week 42"/>
    <s v="Week 42-2025"/>
  </r>
  <r>
    <d v="2025-10-13T00:00:00"/>
    <x v="27"/>
    <n v="4"/>
    <n v="2025"/>
    <x v="41"/>
    <s v="Week 42"/>
    <s v="Week 42-2025"/>
  </r>
  <r>
    <d v="2025-10-13T00:00:00"/>
    <x v="18"/>
    <n v="4"/>
    <n v="2025"/>
    <x v="41"/>
    <s v="Week 42"/>
    <s v="Week 42-2025"/>
  </r>
  <r>
    <d v="2025-10-13T00:00:00"/>
    <x v="21"/>
    <n v="4"/>
    <n v="2025"/>
    <x v="41"/>
    <s v="Week 42"/>
    <s v="Week 42-2025"/>
  </r>
  <r>
    <d v="2025-10-13T00:00:00"/>
    <x v="30"/>
    <n v="4"/>
    <n v="2025"/>
    <x v="41"/>
    <s v="Week 42"/>
    <s v="Week 42-2025"/>
  </r>
  <r>
    <d v="2025-10-13T00:00:00"/>
    <x v="25"/>
    <n v="2"/>
    <n v="2025"/>
    <x v="41"/>
    <s v="Week 42"/>
    <s v="Week 42-2025"/>
  </r>
  <r>
    <d v="2025-10-13T00:00:00"/>
    <x v="25"/>
    <n v="2"/>
    <n v="2025"/>
    <x v="41"/>
    <s v="Week 42"/>
    <s v="Week 42-2025"/>
  </r>
  <r>
    <d v="2025-10-13T00:00:00"/>
    <x v="19"/>
    <n v="2"/>
    <n v="2025"/>
    <x v="41"/>
    <s v="Week 42"/>
    <s v="Week 42-2025"/>
  </r>
  <r>
    <d v="2025-10-13T00:00:00"/>
    <x v="33"/>
    <n v="2"/>
    <n v="2025"/>
    <x v="41"/>
    <s v="Week 42"/>
    <s v="Week 42-2025"/>
  </r>
  <r>
    <d v="2025-10-13T00:00:00"/>
    <x v="4"/>
    <n v="2"/>
    <n v="2025"/>
    <x v="41"/>
    <s v="Week 42"/>
    <s v="Week 42-2025"/>
  </r>
  <r>
    <d v="2025-10-13T00:00:00"/>
    <x v="18"/>
    <n v="2"/>
    <n v="2025"/>
    <x v="41"/>
    <s v="Week 42"/>
    <s v="Week 42-2025"/>
  </r>
  <r>
    <d v="2025-10-14T00:00:00"/>
    <x v="28"/>
    <n v="8"/>
    <n v="2025"/>
    <x v="41"/>
    <s v="Week 42"/>
    <s v="Week 42-2025"/>
  </r>
  <r>
    <d v="2025-10-16T00:00:00"/>
    <x v="12"/>
    <n v="23"/>
    <n v="2025"/>
    <x v="41"/>
    <s v="Week 42"/>
    <s v="Week 42-2025"/>
  </r>
  <r>
    <d v="2025-10-16T00:00:00"/>
    <x v="11"/>
    <n v="16"/>
    <n v="2025"/>
    <x v="41"/>
    <s v="Week 42"/>
    <s v="Week 42-2025"/>
  </r>
  <r>
    <d v="2025-10-16T00:00:00"/>
    <x v="12"/>
    <n v="16"/>
    <n v="2025"/>
    <x v="41"/>
    <s v="Week 42"/>
    <s v="Week 42-2025"/>
  </r>
  <r>
    <d v="2025-10-16T00:00:00"/>
    <x v="12"/>
    <n v="13"/>
    <n v="2025"/>
    <x v="41"/>
    <s v="Week 42"/>
    <s v="Week 42-2025"/>
  </r>
  <r>
    <d v="2025-10-16T00:00:00"/>
    <x v="3"/>
    <n v="6"/>
    <n v="2025"/>
    <x v="41"/>
    <s v="Week 42"/>
    <s v="Week 42-2025"/>
  </r>
  <r>
    <d v="2025-10-16T00:00:00"/>
    <x v="6"/>
    <n v="2"/>
    <n v="2025"/>
    <x v="41"/>
    <s v="Week 42"/>
    <s v="Week 42-2025"/>
  </r>
  <r>
    <d v="2025-10-16T00:00:00"/>
    <x v="19"/>
    <n v="4"/>
    <n v="2025"/>
    <x v="41"/>
    <s v="Week 42"/>
    <s v="Week 42-2025"/>
  </r>
  <r>
    <d v="2025-10-16T00:00:00"/>
    <x v="3"/>
    <n v="2"/>
    <n v="2025"/>
    <x v="41"/>
    <s v="Week 42"/>
    <s v="Week 42-2025"/>
  </r>
  <r>
    <d v="2025-10-16T00:00:00"/>
    <x v="3"/>
    <n v="2"/>
    <n v="2025"/>
    <x v="41"/>
    <s v="Week 42"/>
    <s v="Week 42-2025"/>
  </r>
  <r>
    <d v="2025-10-16T00:00:00"/>
    <x v="30"/>
    <n v="4"/>
    <n v="2025"/>
    <x v="41"/>
    <s v="Week 42"/>
    <s v="Week 42-2025"/>
  </r>
  <r>
    <d v="2025-10-16T00:00:00"/>
    <x v="18"/>
    <n v="3"/>
    <n v="2025"/>
    <x v="41"/>
    <s v="Week 42"/>
    <s v="Week 42-2025"/>
  </r>
  <r>
    <d v="2025-10-16T00:00:00"/>
    <x v="27"/>
    <n v="2"/>
    <n v="2025"/>
    <x v="41"/>
    <s v="Week 42"/>
    <s v="Week 42-2025"/>
  </r>
  <r>
    <d v="2025-10-16T00:00:00"/>
    <x v="11"/>
    <n v="1"/>
    <n v="2025"/>
    <x v="41"/>
    <s v="Week 42"/>
    <s v="Week 42-2025"/>
  </r>
  <r>
    <d v="2025-10-16T00:00:00"/>
    <x v="30"/>
    <n v="2"/>
    <n v="2025"/>
    <x v="41"/>
    <s v="Week 42"/>
    <s v="Week 42-2025"/>
  </r>
  <r>
    <d v="2025-10-16T00:00:00"/>
    <x v="30"/>
    <n v="2"/>
    <n v="2025"/>
    <x v="41"/>
    <s v="Week 42"/>
    <s v="Week 42-2025"/>
  </r>
  <r>
    <d v="2025-10-16T00:00:00"/>
    <x v="19"/>
    <n v="1"/>
    <n v="2025"/>
    <x v="41"/>
    <s v="Week 42"/>
    <s v="Week 42-2025"/>
  </r>
  <r>
    <d v="2025-10-17T00:00:00"/>
    <x v="14"/>
    <n v="16"/>
    <n v="2025"/>
    <x v="41"/>
    <s v="Week 42"/>
    <s v="Week 42-2025"/>
  </r>
  <r>
    <d v="2025-10-17T00:00:00"/>
    <x v="12"/>
    <n v="8"/>
    <n v="2025"/>
    <x v="41"/>
    <s v="Week 42"/>
    <s v="Week 42-2025"/>
  </r>
  <r>
    <d v="2025-10-19T00:00:00"/>
    <x v="2"/>
    <n v="8"/>
    <n v="2025"/>
    <x v="41"/>
    <s v="Week 43"/>
    <s v="Week 43-2025"/>
  </r>
  <r>
    <d v="2025-10-19T00:00:00"/>
    <x v="11"/>
    <n v="4"/>
    <n v="2025"/>
    <x v="41"/>
    <s v="Week 43"/>
    <s v="Week 43-2025"/>
  </r>
  <r>
    <d v="2025-10-19T00:00:00"/>
    <x v="6"/>
    <n v="2"/>
    <n v="2025"/>
    <x v="41"/>
    <s v="Week 43"/>
    <s v="Week 43-2025"/>
  </r>
  <r>
    <d v="2025-10-22T00:00:00"/>
    <x v="3"/>
    <n v="8"/>
    <n v="2025"/>
    <x v="42"/>
    <s v="Week 43"/>
    <s v="Week 43-2025"/>
  </r>
  <r>
    <d v="2025-10-22T00:00:00"/>
    <x v="19"/>
    <n v="18"/>
    <n v="2025"/>
    <x v="42"/>
    <s v="Week 43"/>
    <s v="Week 43-2025"/>
  </r>
  <r>
    <d v="2025-10-22T00:00:00"/>
    <x v="19"/>
    <n v="16"/>
    <n v="2025"/>
    <x v="42"/>
    <s v="Week 43"/>
    <s v="Week 43-2025"/>
  </r>
  <r>
    <d v="2025-10-22T00:00:00"/>
    <x v="12"/>
    <n v="8"/>
    <n v="2025"/>
    <x v="42"/>
    <s v="Week 43"/>
    <s v="Week 43-2025"/>
  </r>
  <r>
    <d v="2025-10-22T00:00:00"/>
    <x v="23"/>
    <n v="8"/>
    <n v="2025"/>
    <x v="42"/>
    <s v="Week 43"/>
    <s v="Week 43-2025"/>
  </r>
  <r>
    <d v="2025-10-22T00:00:00"/>
    <x v="23"/>
    <n v="8"/>
    <n v="2025"/>
    <x v="42"/>
    <s v="Week 43"/>
    <s v="Week 43-2025"/>
  </r>
  <r>
    <d v="2025-10-22T00:00:00"/>
    <x v="12"/>
    <n v="4"/>
    <n v="2025"/>
    <x v="42"/>
    <s v="Week 43"/>
    <s v="Week 43-2025"/>
  </r>
  <r>
    <d v="2025-10-22T00:00:00"/>
    <x v="21"/>
    <n v="6"/>
    <n v="2025"/>
    <x v="42"/>
    <s v="Week 43"/>
    <s v="Week 43-2025"/>
  </r>
  <r>
    <d v="2025-10-22T00:00:00"/>
    <x v="30"/>
    <n v="6"/>
    <n v="2025"/>
    <x v="42"/>
    <s v="Week 43"/>
    <s v="Week 43-2025"/>
  </r>
  <r>
    <d v="2025-10-22T00:00:00"/>
    <x v="18"/>
    <n v="6"/>
    <n v="2025"/>
    <x v="42"/>
    <s v="Week 43"/>
    <s v="Week 43-2025"/>
  </r>
  <r>
    <d v="2025-10-22T00:00:00"/>
    <x v="23"/>
    <n v="4"/>
    <n v="2025"/>
    <x v="42"/>
    <s v="Week 43"/>
    <s v="Week 43-2025"/>
  </r>
  <r>
    <d v="2025-10-22T00:00:00"/>
    <x v="21"/>
    <n v="4"/>
    <n v="2025"/>
    <x v="42"/>
    <s v="Week 43"/>
    <s v="Week 43-2025"/>
  </r>
  <r>
    <d v="2025-10-22T00:00:00"/>
    <x v="2"/>
    <n v="2"/>
    <n v="2025"/>
    <x v="42"/>
    <s v="Week 43"/>
    <s v="Week 43-2025"/>
  </r>
  <r>
    <d v="2025-10-22T00:00:00"/>
    <x v="2"/>
    <n v="2"/>
    <n v="2025"/>
    <x v="42"/>
    <s v="Week 43"/>
    <s v="Week 43-2025"/>
  </r>
  <r>
    <d v="2025-10-22T00:00:00"/>
    <x v="2"/>
    <n v="2"/>
    <n v="2025"/>
    <x v="42"/>
    <s v="Week 43"/>
    <s v="Week 43-2025"/>
  </r>
  <r>
    <d v="2025-10-22T00:00:00"/>
    <x v="30"/>
    <n v="2"/>
    <n v="2025"/>
    <x v="42"/>
    <s v="Week 43"/>
    <s v="Week 43-2025"/>
  </r>
  <r>
    <d v="2025-10-22T00:00:00"/>
    <x v="35"/>
    <n v="1"/>
    <n v="2025"/>
    <x v="42"/>
    <s v="Week 43"/>
    <s v="Week 43-2025"/>
  </r>
  <r>
    <d v="2025-10-22T00:00:00"/>
    <x v="23"/>
    <n v="1"/>
    <n v="2025"/>
    <x v="42"/>
    <s v="Week 43"/>
    <s v="Week 43-2025"/>
  </r>
  <r>
    <d v="2025-10-23T00:00:00"/>
    <x v="13"/>
    <n v="20"/>
    <n v="2025"/>
    <x v="42"/>
    <s v="Week 43"/>
    <s v="Week 43-2025"/>
  </r>
  <r>
    <d v="2025-10-23T00:00:00"/>
    <x v="13"/>
    <n v="18"/>
    <n v="2025"/>
    <x v="42"/>
    <s v="Week 43"/>
    <s v="Week 43-2025"/>
  </r>
  <r>
    <d v="2025-10-23T00:00:00"/>
    <x v="1"/>
    <n v="24"/>
    <n v="2025"/>
    <x v="42"/>
    <s v="Week 43"/>
    <s v="Week 43-2025"/>
  </r>
  <r>
    <d v="2025-10-23T00:00:00"/>
    <x v="35"/>
    <n v="28"/>
    <n v="2025"/>
    <x v="42"/>
    <s v="Week 43"/>
    <s v="Week 43-2025"/>
  </r>
  <r>
    <d v="2025-10-23T00:00:00"/>
    <x v="11"/>
    <n v="14"/>
    <n v="2025"/>
    <x v="42"/>
    <s v="Week 43"/>
    <s v="Week 43-2025"/>
  </r>
  <r>
    <d v="2025-10-23T00:00:00"/>
    <x v="0"/>
    <n v="6"/>
    <n v="2025"/>
    <x v="42"/>
    <s v="Week 43"/>
    <s v="Week 43-2025"/>
  </r>
  <r>
    <d v="2025-10-23T00:00:00"/>
    <x v="3"/>
    <n v="10"/>
    <n v="2025"/>
    <x v="42"/>
    <s v="Week 43"/>
    <s v="Week 43-2025"/>
  </r>
  <r>
    <d v="2025-10-23T00:00:00"/>
    <x v="22"/>
    <n v="10"/>
    <n v="2025"/>
    <x v="42"/>
    <s v="Week 43"/>
    <s v="Week 43-2025"/>
  </r>
  <r>
    <d v="2025-10-23T00:00:00"/>
    <x v="21"/>
    <n v="14"/>
    <n v="2025"/>
    <x v="42"/>
    <s v="Week 43"/>
    <s v="Week 43-2025"/>
  </r>
  <r>
    <d v="2025-10-23T00:00:00"/>
    <x v="15"/>
    <n v="8"/>
    <n v="2025"/>
    <x v="42"/>
    <s v="Week 43"/>
    <s v="Week 43-2025"/>
  </r>
  <r>
    <d v="2025-10-23T00:00:00"/>
    <x v="6"/>
    <n v="3"/>
    <n v="2025"/>
    <x v="42"/>
    <s v="Week 43"/>
    <s v="Week 43-2025"/>
  </r>
  <r>
    <d v="2025-10-23T00:00:00"/>
    <x v="3"/>
    <n v="4"/>
    <n v="2025"/>
    <x v="42"/>
    <s v="Week 43"/>
    <s v="Week 43-2025"/>
  </r>
  <r>
    <d v="2025-10-23T00:00:00"/>
    <x v="20"/>
    <n v="4"/>
    <n v="2025"/>
    <x v="42"/>
    <s v="Week 43"/>
    <s v="Week 43-2025"/>
  </r>
  <r>
    <d v="2025-10-23T00:00:00"/>
    <x v="12"/>
    <n v="4"/>
    <n v="2025"/>
    <x v="42"/>
    <s v="Week 43"/>
    <s v="Week 43-2025"/>
  </r>
  <r>
    <d v="2025-10-23T00:00:00"/>
    <x v="2"/>
    <n v="4"/>
    <n v="2025"/>
    <x v="42"/>
    <s v="Week 43"/>
    <s v="Week 43-2025"/>
  </r>
  <r>
    <d v="2025-10-23T00:00:00"/>
    <x v="2"/>
    <n v="4"/>
    <n v="2025"/>
    <x v="42"/>
    <s v="Week 43"/>
    <s v="Week 43-2025"/>
  </r>
  <r>
    <d v="2025-10-23T00:00:00"/>
    <x v="12"/>
    <n v="4"/>
    <n v="2025"/>
    <x v="42"/>
    <s v="Week 43"/>
    <s v="Week 43-2025"/>
  </r>
  <r>
    <d v="2025-10-23T00:00:00"/>
    <x v="4"/>
    <n v="6"/>
    <n v="2025"/>
    <x v="42"/>
    <s v="Week 43"/>
    <s v="Week 43-2025"/>
  </r>
  <r>
    <d v="2025-10-23T00:00:00"/>
    <x v="17"/>
    <n v="2"/>
    <n v="2025"/>
    <x v="42"/>
    <s v="Week 43"/>
    <s v="Week 43-2025"/>
  </r>
  <r>
    <d v="2025-10-23T00:00:00"/>
    <x v="32"/>
    <n v="6"/>
    <n v="2025"/>
    <x v="42"/>
    <s v="Week 43"/>
    <s v="Week 43-2025"/>
  </r>
  <r>
    <d v="2025-10-23T00:00:00"/>
    <x v="31"/>
    <n v="4"/>
    <n v="2025"/>
    <x v="42"/>
    <s v="Week 43"/>
    <s v="Week 43-2025"/>
  </r>
  <r>
    <d v="2025-10-23T00:00:00"/>
    <x v="14"/>
    <n v="2"/>
    <n v="2025"/>
    <x v="42"/>
    <s v="Week 43"/>
    <s v="Week 43-2025"/>
  </r>
  <r>
    <d v="2025-10-23T00:00:00"/>
    <x v="27"/>
    <n v="4"/>
    <n v="2025"/>
    <x v="42"/>
    <s v="Week 43"/>
    <s v="Week 43-2025"/>
  </r>
  <r>
    <d v="2025-10-23T00:00:00"/>
    <x v="30"/>
    <n v="4"/>
    <n v="2025"/>
    <x v="42"/>
    <s v="Week 43"/>
    <s v="Week 43-2025"/>
  </r>
  <r>
    <d v="2025-10-23T00:00:00"/>
    <x v="4"/>
    <n v="3"/>
    <n v="2025"/>
    <x v="42"/>
    <s v="Week 43"/>
    <s v="Week 43-2025"/>
  </r>
  <r>
    <d v="2025-10-23T00:00:00"/>
    <x v="25"/>
    <n v="2"/>
    <n v="2025"/>
    <x v="42"/>
    <s v="Week 43"/>
    <s v="Week 43-2025"/>
  </r>
  <r>
    <d v="2025-10-23T00:00:00"/>
    <x v="15"/>
    <n v="2"/>
    <n v="2025"/>
    <x v="42"/>
    <s v="Week 43"/>
    <s v="Week 43-2025"/>
  </r>
  <r>
    <d v="2025-10-23T00:00:00"/>
    <x v="4"/>
    <n v="1"/>
    <n v="2025"/>
    <x v="42"/>
    <s v="Week 43"/>
    <s v="Week 43-2025"/>
  </r>
  <r>
    <d v="2025-10-25T00:00:00"/>
    <x v="26"/>
    <n v="12"/>
    <n v="2025"/>
    <x v="42"/>
    <s v="Week 43"/>
    <s v="Week 43-2025"/>
  </r>
  <r>
    <d v="2025-10-25T00:00:00"/>
    <x v="21"/>
    <n v="12"/>
    <n v="2025"/>
    <x v="42"/>
    <s v="Week 43"/>
    <s v="Week 43-2025"/>
  </r>
  <r>
    <d v="2025-10-25T00:00:00"/>
    <x v="15"/>
    <n v="8"/>
    <n v="2025"/>
    <x v="42"/>
    <s v="Week 43"/>
    <s v="Week 43-2025"/>
  </r>
  <r>
    <d v="2025-10-25T00:00:00"/>
    <x v="14"/>
    <n v="4"/>
    <n v="2025"/>
    <x v="42"/>
    <s v="Week 43"/>
    <s v="Week 43-2025"/>
  </r>
  <r>
    <d v="2025-10-25T00:00:00"/>
    <x v="19"/>
    <n v="6"/>
    <n v="2025"/>
    <x v="42"/>
    <s v="Week 43"/>
    <s v="Week 43-2025"/>
  </r>
  <r>
    <d v="2025-10-25T00:00:00"/>
    <x v="10"/>
    <n v="2"/>
    <n v="2025"/>
    <x v="42"/>
    <s v="Week 43"/>
    <s v="Week 43-2025"/>
  </r>
  <r>
    <d v="2025-10-25T00:00:00"/>
    <x v="32"/>
    <n v="4"/>
    <n v="2025"/>
    <x v="42"/>
    <s v="Week 43"/>
    <s v="Week 43-2025"/>
  </r>
  <r>
    <d v="2025-10-25T00:00:00"/>
    <x v="23"/>
    <n v="2"/>
    <n v="2025"/>
    <x v="42"/>
    <s v="Week 43"/>
    <s v="Week 43-2025"/>
  </r>
  <r>
    <d v="2025-10-25T00:00:00"/>
    <x v="2"/>
    <n v="1"/>
    <n v="2025"/>
    <x v="42"/>
    <s v="Week 43"/>
    <s v="Week 43-2025"/>
  </r>
  <r>
    <d v="2025-10-25T00:00:00"/>
    <x v="35"/>
    <n v="1"/>
    <n v="2025"/>
    <x v="42"/>
    <s v="Week 43"/>
    <s v="Week 43-2025"/>
  </r>
  <r>
    <d v="2025-10-25T00:00:00"/>
    <x v="30"/>
    <n v="1"/>
    <n v="2025"/>
    <x v="42"/>
    <s v="Week 43"/>
    <s v="Week 43-2025"/>
  </r>
  <r>
    <d v="2025-10-25T00:00:00"/>
    <x v="30"/>
    <n v="1"/>
    <n v="2025"/>
    <x v="42"/>
    <s v="Week 43"/>
    <s v="Week 43-2025"/>
  </r>
  <r>
    <d v="2025-10-27T00:00:00"/>
    <x v="13"/>
    <n v="32"/>
    <n v="2025"/>
    <x v="43"/>
    <s v="Week 44"/>
    <s v="Week 44-2025"/>
  </r>
  <r>
    <d v="2025-10-27T00:00:00"/>
    <x v="12"/>
    <n v="18"/>
    <n v="2025"/>
    <x v="43"/>
    <s v="Week 44"/>
    <s v="Week 44-2025"/>
  </r>
  <r>
    <d v="2025-10-27T00:00:00"/>
    <x v="12"/>
    <n v="16"/>
    <n v="2025"/>
    <x v="43"/>
    <s v="Week 44"/>
    <s v="Week 44-2025"/>
  </r>
  <r>
    <d v="2025-10-27T00:00:00"/>
    <x v="15"/>
    <n v="22"/>
    <n v="2025"/>
    <x v="43"/>
    <s v="Week 44"/>
    <s v="Week 44-2025"/>
  </r>
  <r>
    <d v="2025-10-27T00:00:00"/>
    <x v="5"/>
    <n v="4"/>
    <n v="2025"/>
    <x v="43"/>
    <s v="Week 44"/>
    <s v="Week 44-2025"/>
  </r>
  <r>
    <d v="2025-10-27T00:00:00"/>
    <x v="2"/>
    <n v="6"/>
    <n v="2025"/>
    <x v="43"/>
    <s v="Week 44"/>
    <s v="Week 44-2025"/>
  </r>
  <r>
    <d v="2025-10-27T00:00:00"/>
    <x v="31"/>
    <n v="8"/>
    <n v="2025"/>
    <x v="43"/>
    <s v="Week 44"/>
    <s v="Week 44-2025"/>
  </r>
  <r>
    <d v="2025-10-27T00:00:00"/>
    <x v="19"/>
    <n v="8"/>
    <n v="2025"/>
    <x v="43"/>
    <s v="Week 44"/>
    <s v="Week 44-2025"/>
  </r>
  <r>
    <d v="2025-10-27T00:00:00"/>
    <x v="11"/>
    <n v="4"/>
    <n v="2025"/>
    <x v="43"/>
    <s v="Week 44"/>
    <s v="Week 44-2025"/>
  </r>
  <r>
    <d v="2025-10-27T00:00:00"/>
    <x v="11"/>
    <n v="4"/>
    <n v="2025"/>
    <x v="43"/>
    <s v="Week 44"/>
    <s v="Week 44-2025"/>
  </r>
  <r>
    <d v="2025-10-27T00:00:00"/>
    <x v="1"/>
    <n v="5"/>
    <n v="2025"/>
    <x v="43"/>
    <s v="Week 44"/>
    <s v="Week 44-2025"/>
  </r>
  <r>
    <d v="2025-10-27T00:00:00"/>
    <x v="15"/>
    <n v="5"/>
    <n v="2025"/>
    <x v="43"/>
    <s v="Week 44"/>
    <s v="Week 44-2025"/>
  </r>
  <r>
    <d v="2025-10-27T00:00:00"/>
    <x v="3"/>
    <n v="2"/>
    <n v="2025"/>
    <x v="43"/>
    <s v="Week 44"/>
    <s v="Week 44-2025"/>
  </r>
  <r>
    <d v="2025-10-27T00:00:00"/>
    <x v="1"/>
    <n v="3"/>
    <n v="2025"/>
    <x v="43"/>
    <s v="Week 44"/>
    <s v="Week 44-2025"/>
  </r>
  <r>
    <d v="2025-10-27T00:00:00"/>
    <x v="11"/>
    <n v="2"/>
    <n v="2025"/>
    <x v="43"/>
    <s v="Week 44"/>
    <s v="Week 44-2025"/>
  </r>
  <r>
    <d v="2025-10-27T00:00:00"/>
    <x v="18"/>
    <n v="3"/>
    <n v="2025"/>
    <x v="43"/>
    <s v="Week 44"/>
    <s v="Week 44-2025"/>
  </r>
  <r>
    <d v="2025-10-27T00:00:00"/>
    <x v="27"/>
    <n v="1"/>
    <n v="2025"/>
    <x v="43"/>
    <s v="Week 44"/>
    <s v="Week 44-2025"/>
  </r>
  <r>
    <d v="2025-10-28T00:00:00"/>
    <x v="14"/>
    <n v="16"/>
    <n v="2025"/>
    <x v="43"/>
    <s v="Week 44"/>
    <s v="Week 44-2025"/>
  </r>
  <r>
    <d v="2025-10-28T00:00:00"/>
    <x v="3"/>
    <n v="16"/>
    <n v="2025"/>
    <x v="43"/>
    <s v="Week 44"/>
    <s v="Week 44-2025"/>
  </r>
  <r>
    <d v="2025-10-28T00:00:00"/>
    <x v="18"/>
    <n v="32"/>
    <n v="2025"/>
    <x v="43"/>
    <s v="Week 44"/>
    <s v="Week 44-2025"/>
  </r>
  <r>
    <d v="2025-10-28T00:00:00"/>
    <x v="10"/>
    <n v="14"/>
    <n v="2025"/>
    <x v="43"/>
    <s v="Week 44"/>
    <s v="Week 44-2025"/>
  </r>
  <r>
    <d v="2025-10-28T00:00:00"/>
    <x v="10"/>
    <n v="12"/>
    <n v="2025"/>
    <x v="43"/>
    <s v="Week 44"/>
    <s v="Week 44-2025"/>
  </r>
  <r>
    <d v="2025-10-28T00:00:00"/>
    <x v="13"/>
    <n v="10"/>
    <n v="2025"/>
    <x v="43"/>
    <s v="Week 44"/>
    <s v="Week 44-2025"/>
  </r>
  <r>
    <d v="2025-10-28T00:00:00"/>
    <x v="17"/>
    <n v="10"/>
    <n v="2025"/>
    <x v="43"/>
    <s v="Week 44"/>
    <s v="Week 44-2025"/>
  </r>
  <r>
    <d v="2025-10-28T00:00:00"/>
    <x v="9"/>
    <n v="12"/>
    <n v="2025"/>
    <x v="43"/>
    <s v="Week 44"/>
    <s v="Week 44-2025"/>
  </r>
  <r>
    <d v="2025-10-28T00:00:00"/>
    <x v="10"/>
    <n v="8"/>
    <n v="2025"/>
    <x v="43"/>
    <s v="Week 44"/>
    <s v="Week 44-2025"/>
  </r>
  <r>
    <d v="2025-10-28T00:00:00"/>
    <x v="7"/>
    <n v="6"/>
    <n v="2025"/>
    <x v="43"/>
    <s v="Week 44"/>
    <s v="Week 44-2025"/>
  </r>
  <r>
    <d v="2025-10-28T00:00:00"/>
    <x v="11"/>
    <n v="10"/>
    <n v="2025"/>
    <x v="43"/>
    <s v="Week 44"/>
    <s v="Week 44-2025"/>
  </r>
  <r>
    <d v="2025-10-28T00:00:00"/>
    <x v="4"/>
    <n v="17"/>
    <n v="2025"/>
    <x v="43"/>
    <s v="Week 44"/>
    <s v="Week 44-2025"/>
  </r>
  <r>
    <d v="2025-10-28T00:00:00"/>
    <x v="14"/>
    <n v="6"/>
    <n v="2025"/>
    <x v="43"/>
    <s v="Week 44"/>
    <s v="Week 44-2025"/>
  </r>
  <r>
    <d v="2025-10-28T00:00:00"/>
    <x v="26"/>
    <n v="12"/>
    <n v="2025"/>
    <x v="43"/>
    <s v="Week 44"/>
    <s v="Week 44-2025"/>
  </r>
  <r>
    <d v="2025-10-28T00:00:00"/>
    <x v="25"/>
    <n v="8"/>
    <n v="2025"/>
    <x v="43"/>
    <s v="Week 44"/>
    <s v="Week 44-2025"/>
  </r>
  <r>
    <d v="2025-10-28T00:00:00"/>
    <x v="19"/>
    <n v="10"/>
    <n v="2025"/>
    <x v="43"/>
    <s v="Week 44"/>
    <s v="Week 44-2025"/>
  </r>
  <r>
    <d v="2025-10-28T00:00:00"/>
    <x v="12"/>
    <n v="6"/>
    <n v="2025"/>
    <x v="43"/>
    <s v="Week 44"/>
    <s v="Week 44-2025"/>
  </r>
  <r>
    <d v="2025-10-28T00:00:00"/>
    <x v="13"/>
    <n v="4"/>
    <n v="2025"/>
    <x v="43"/>
    <s v="Week 44"/>
    <s v="Week 44-2025"/>
  </r>
  <r>
    <d v="2025-10-28T00:00:00"/>
    <x v="10"/>
    <n v="4"/>
    <n v="2025"/>
    <x v="43"/>
    <s v="Week 44"/>
    <s v="Week 44-2025"/>
  </r>
  <r>
    <d v="2025-10-28T00:00:00"/>
    <x v="14"/>
    <n v="4"/>
    <n v="2025"/>
    <x v="43"/>
    <s v="Week 44"/>
    <s v="Week 44-2025"/>
  </r>
  <r>
    <d v="2025-10-28T00:00:00"/>
    <x v="2"/>
    <n v="4"/>
    <n v="2025"/>
    <x v="43"/>
    <s v="Week 44"/>
    <s v="Week 44-2025"/>
  </r>
  <r>
    <d v="2025-10-28T00:00:00"/>
    <x v="32"/>
    <n v="6"/>
    <n v="2025"/>
    <x v="43"/>
    <s v="Week 44"/>
    <s v="Week 44-2025"/>
  </r>
  <r>
    <d v="2025-10-28T00:00:00"/>
    <x v="18"/>
    <n v="4"/>
    <n v="2025"/>
    <x v="43"/>
    <s v="Week 44"/>
    <s v="Week 44-2025"/>
  </r>
  <r>
    <d v="2025-10-28T00:00:00"/>
    <x v="30"/>
    <n v="4"/>
    <n v="2025"/>
    <x v="43"/>
    <s v="Week 44"/>
    <s v="Week 44-2025"/>
  </r>
  <r>
    <d v="2025-10-28T00:00:00"/>
    <x v="27"/>
    <n v="2"/>
    <n v="2025"/>
    <x v="43"/>
    <s v="Week 44"/>
    <s v="Week 44-2025"/>
  </r>
  <r>
    <d v="2025-10-28T00:00:00"/>
    <x v="28"/>
    <n v="2"/>
    <n v="2025"/>
    <x v="43"/>
    <s v="Week 44"/>
    <s v="Week 44-2025"/>
  </r>
  <r>
    <d v="2025-10-28T00:00:00"/>
    <x v="4"/>
    <n v="1"/>
    <n v="2025"/>
    <x v="43"/>
    <s v="Week 44"/>
    <s v="Week 44-2025"/>
  </r>
  <r>
    <d v="2025-10-30T00:00:00"/>
    <x v="17"/>
    <n v="6"/>
    <n v="2025"/>
    <x v="43"/>
    <s v="Week 44"/>
    <s v="Week 44-2025"/>
  </r>
  <r>
    <d v="2025-10-30T00:00:00"/>
    <x v="45"/>
    <n v="4"/>
    <n v="2025"/>
    <x v="43"/>
    <s v="Week 44"/>
    <s v="Week 44-2025"/>
  </r>
  <r>
    <d v="2025-10-30T00:00:00"/>
    <x v="31"/>
    <n v="8"/>
    <n v="2025"/>
    <x v="43"/>
    <s v="Week 44"/>
    <s v="Week 44-2025"/>
  </r>
  <r>
    <d v="2025-10-30T00:00:00"/>
    <x v="20"/>
    <n v="4"/>
    <n v="2025"/>
    <x v="43"/>
    <s v="Week 44"/>
    <s v="Week 44-2025"/>
  </r>
  <r>
    <d v="2025-10-30T00:00:00"/>
    <x v="5"/>
    <n v="2"/>
    <n v="2025"/>
    <x v="43"/>
    <s v="Week 44"/>
    <s v="Week 44-2025"/>
  </r>
  <r>
    <d v="2025-10-30T00:00:00"/>
    <x v="5"/>
    <n v="2"/>
    <n v="2025"/>
    <x v="43"/>
    <s v="Week 44"/>
    <s v="Week 44-2025"/>
  </r>
  <r>
    <d v="2025-10-30T00:00:00"/>
    <x v="28"/>
    <n v="6"/>
    <n v="2025"/>
    <x v="43"/>
    <s v="Week 44"/>
    <s v="Week 44-2025"/>
  </r>
  <r>
    <d v="2025-10-31T00:00:00"/>
    <x v="12"/>
    <n v="15"/>
    <n v="2025"/>
    <x v="43"/>
    <s v="Week 44"/>
    <s v="Week 44-2025"/>
  </r>
  <r>
    <d v="2025-10-31T00:00:00"/>
    <x v="15"/>
    <n v="20"/>
    <n v="2025"/>
    <x v="43"/>
    <s v="Week 44"/>
    <s v="Week 44-2025"/>
  </r>
  <r>
    <d v="2025-10-31T00:00:00"/>
    <x v="12"/>
    <n v="9"/>
    <n v="2025"/>
    <x v="43"/>
    <s v="Week 44"/>
    <s v="Week 44-2025"/>
  </r>
  <r>
    <d v="2025-10-31T00:00:00"/>
    <x v="12"/>
    <n v="9"/>
    <n v="2025"/>
    <x v="43"/>
    <s v="Week 44"/>
    <s v="Week 44-2025"/>
  </r>
  <r>
    <d v="2025-10-31T00:00:00"/>
    <x v="12"/>
    <n v="7"/>
    <n v="2025"/>
    <x v="43"/>
    <s v="Week 44"/>
    <s v="Week 44-2025"/>
  </r>
  <r>
    <d v="2025-10-31T00:00:00"/>
    <x v="12"/>
    <n v="8"/>
    <n v="2025"/>
    <x v="43"/>
    <s v="Week 44"/>
    <s v="Week 44-2025"/>
  </r>
  <r>
    <d v="2025-10-31T00:00:00"/>
    <x v="10"/>
    <n v="4"/>
    <n v="2025"/>
    <x v="43"/>
    <s v="Week 44"/>
    <s v="Week 44-2025"/>
  </r>
  <r>
    <d v="2025-10-31T00:00:00"/>
    <x v="26"/>
    <n v="8"/>
    <n v="2025"/>
    <x v="43"/>
    <s v="Week 44"/>
    <s v="Week 44-2025"/>
  </r>
  <r>
    <d v="2025-10-31T00:00:00"/>
    <x v="11"/>
    <n v="4"/>
    <n v="2025"/>
    <x v="43"/>
    <s v="Week 44"/>
    <s v="Week 44-2025"/>
  </r>
  <r>
    <d v="2025-10-31T00:00:00"/>
    <x v="11"/>
    <n v="4"/>
    <n v="2025"/>
    <x v="43"/>
    <s v="Week 44"/>
    <s v="Week 44-2025"/>
  </r>
  <r>
    <d v="2025-10-31T00:00:00"/>
    <x v="12"/>
    <n v="4"/>
    <n v="2025"/>
    <x v="43"/>
    <s v="Week 44"/>
    <s v="Week 44-2025"/>
  </r>
  <r>
    <d v="2025-10-31T00:00:00"/>
    <x v="17"/>
    <n v="2"/>
    <n v="2025"/>
    <x v="43"/>
    <s v="Week 44"/>
    <s v="Week 44-2025"/>
  </r>
  <r>
    <d v="2025-10-31T00:00:00"/>
    <x v="25"/>
    <n v="4"/>
    <n v="2025"/>
    <x v="43"/>
    <s v="Week 44"/>
    <s v="Week 44-2025"/>
  </r>
  <r>
    <d v="2025-10-31T00:00:00"/>
    <x v="3"/>
    <n v="2"/>
    <n v="2025"/>
    <x v="43"/>
    <s v="Week 44"/>
    <s v="Week 44-2025"/>
  </r>
  <r>
    <d v="2025-10-31T00:00:00"/>
    <x v="19"/>
    <n v="4"/>
    <n v="2025"/>
    <x v="43"/>
    <s v="Week 44"/>
    <s v="Week 44-2025"/>
  </r>
  <r>
    <d v="2025-10-31T00:00:00"/>
    <x v="3"/>
    <n v="2"/>
    <n v="2025"/>
    <x v="43"/>
    <s v="Week 44"/>
    <s v="Week 44-2025"/>
  </r>
  <r>
    <d v="2025-10-31T00:00:00"/>
    <x v="2"/>
    <n v="2"/>
    <n v="2025"/>
    <x v="43"/>
    <s v="Week 44"/>
    <s v="Week 44-2025"/>
  </r>
  <r>
    <d v="2025-10-31T00:00:00"/>
    <x v="18"/>
    <n v="4"/>
    <n v="2025"/>
    <x v="43"/>
    <s v="Week 44"/>
    <s v="Week 44-2025"/>
  </r>
  <r>
    <d v="2025-10-31T00:00:00"/>
    <x v="30"/>
    <n v="3"/>
    <n v="2025"/>
    <x v="43"/>
    <s v="Week 44"/>
    <s v="Week 44-2025"/>
  </r>
  <r>
    <d v="2025-10-31T00:00:00"/>
    <x v="19"/>
    <n v="2"/>
    <n v="2025"/>
    <x v="43"/>
    <s v="Week 44"/>
    <s v="Week 44-2025"/>
  </r>
  <r>
    <d v="2025-10-31T00:00:00"/>
    <x v="28"/>
    <n v="2"/>
    <n v="2025"/>
    <x v="43"/>
    <s v="Week 44"/>
    <s v="Week 44-2025"/>
  </r>
  <r>
    <d v="2025-10-31T00:00:00"/>
    <x v="30"/>
    <n v="2"/>
    <n v="2025"/>
    <x v="43"/>
    <s v="Week 44"/>
    <s v="Week 44-2025"/>
  </r>
  <r>
    <d v="2025-10-31T00:00:00"/>
    <x v="32"/>
    <n v="2"/>
    <n v="2025"/>
    <x v="43"/>
    <s v="Week 44"/>
    <s v="Week 44-2025"/>
  </r>
  <r>
    <d v="2025-10-31T00:00:00"/>
    <x v="27"/>
    <n v="1"/>
    <n v="2025"/>
    <x v="43"/>
    <s v="Week 44"/>
    <s v="Week 44-2025"/>
  </r>
  <r>
    <d v="2025-10-31T00:00:00"/>
    <x v="30"/>
    <n v="1"/>
    <n v="2025"/>
    <x v="43"/>
    <s v="Week 44"/>
    <s v="Week 44-2025"/>
  </r>
  <r>
    <d v="2025-11-02T00:00:00"/>
    <x v="3"/>
    <n v="12"/>
    <n v="2025"/>
    <x v="43"/>
    <s v="Week 45"/>
    <s v="Week 45-2025"/>
  </r>
  <r>
    <d v="2025-11-02T00:00:00"/>
    <x v="11"/>
    <n v="8"/>
    <n v="2025"/>
    <x v="43"/>
    <s v="Week 45"/>
    <s v="Week 45-2025"/>
  </r>
  <r>
    <d v="2025-11-02T00:00:00"/>
    <x v="14"/>
    <n v="4"/>
    <n v="2025"/>
    <x v="43"/>
    <s v="Week 45"/>
    <s v="Week 45-2025"/>
  </r>
  <r>
    <d v="2025-11-02T00:00:00"/>
    <x v="19"/>
    <n v="6"/>
    <n v="2025"/>
    <x v="43"/>
    <s v="Week 45"/>
    <s v="Week 45-2025"/>
  </r>
  <r>
    <d v="2025-11-03T00:00:00"/>
    <x v="14"/>
    <n v="16"/>
    <n v="2025"/>
    <x v="44"/>
    <s v="Week 45"/>
    <s v="Week 45-2025"/>
  </r>
  <r>
    <d v="2025-11-03T00:00:00"/>
    <x v="12"/>
    <n v="22"/>
    <n v="2025"/>
    <x v="44"/>
    <s v="Week 45"/>
    <s v="Week 45-2025"/>
  </r>
  <r>
    <d v="2025-11-03T00:00:00"/>
    <x v="12"/>
    <n v="12"/>
    <n v="2025"/>
    <x v="44"/>
    <s v="Week 45"/>
    <s v="Week 45-2025"/>
  </r>
  <r>
    <d v="2025-11-03T00:00:00"/>
    <x v="10"/>
    <n v="8"/>
    <n v="2025"/>
    <x v="44"/>
    <s v="Week 45"/>
    <s v="Week 45-2025"/>
  </r>
  <r>
    <d v="2025-11-03T00:00:00"/>
    <x v="6"/>
    <n v="4"/>
    <n v="2025"/>
    <x v="44"/>
    <s v="Week 45"/>
    <s v="Week 45-2025"/>
  </r>
  <r>
    <d v="2025-11-03T00:00:00"/>
    <x v="11"/>
    <n v="6"/>
    <n v="2025"/>
    <x v="44"/>
    <s v="Week 45"/>
    <s v="Week 45-2025"/>
  </r>
  <r>
    <d v="2025-11-03T00:00:00"/>
    <x v="10"/>
    <n v="4"/>
    <n v="2025"/>
    <x v="44"/>
    <s v="Week 45"/>
    <s v="Week 45-2025"/>
  </r>
  <r>
    <d v="2025-11-03T00:00:00"/>
    <x v="3"/>
    <n v="4"/>
    <n v="2025"/>
    <x v="44"/>
    <s v="Week 45"/>
    <s v="Week 45-2025"/>
  </r>
  <r>
    <d v="2025-11-03T00:00:00"/>
    <x v="17"/>
    <n v="1"/>
    <n v="2025"/>
    <x v="44"/>
    <s v="Week 45"/>
    <s v="Week 45-2025"/>
  </r>
  <r>
    <d v="2025-11-03T00:00:00"/>
    <x v="9"/>
    <n v="1"/>
    <n v="2025"/>
    <x v="44"/>
    <s v="Week 45"/>
    <s v="Week 45-2025"/>
  </r>
  <r>
    <d v="2025-11-03T00:00:00"/>
    <x v="2"/>
    <n v="1"/>
    <n v="2025"/>
    <x v="44"/>
    <s v="Week 45"/>
    <s v="Week 45-2025"/>
  </r>
  <r>
    <d v="2025-11-04T00:00:00"/>
    <x v="10"/>
    <n v="12"/>
    <n v="2025"/>
    <x v="44"/>
    <s v="Week 45"/>
    <s v="Week 45-2025"/>
  </r>
  <r>
    <d v="2025-11-04T00:00:00"/>
    <x v="13"/>
    <n v="2"/>
    <n v="2025"/>
    <x v="44"/>
    <s v="Week 45"/>
    <s v="Week 45-2025"/>
  </r>
  <r>
    <d v="2025-11-04T00:00:00"/>
    <x v="14"/>
    <n v="2"/>
    <n v="2025"/>
    <x v="44"/>
    <s v="Week 45"/>
    <s v="Week 45-2025"/>
  </r>
  <r>
    <d v="2025-11-04T00:00:00"/>
    <x v="3"/>
    <n v="2"/>
    <n v="2025"/>
    <x v="44"/>
    <s v="Week 45"/>
    <s v="Week 45-2025"/>
  </r>
  <r>
    <d v="2025-11-04T00:00:00"/>
    <x v="25"/>
    <n v="2"/>
    <n v="2025"/>
    <x v="44"/>
    <s v="Week 45"/>
    <s v="Week 45-2025"/>
  </r>
  <r>
    <d v="2025-11-04T00:00:00"/>
    <x v="2"/>
    <n v="1"/>
    <n v="2025"/>
    <x v="44"/>
    <s v="Week 45"/>
    <s v="Week 45-2025"/>
  </r>
  <r>
    <d v="2025-11-04T00:00:00"/>
    <x v="15"/>
    <n v="1"/>
    <n v="2025"/>
    <x v="44"/>
    <s v="Week 45"/>
    <s v="Week 45-2025"/>
  </r>
  <r>
    <d v="2025-11-04T00:00:00"/>
    <x v="27"/>
    <n v="1"/>
    <n v="2025"/>
    <x v="44"/>
    <s v="Week 45"/>
    <s v="Week 45-2025"/>
  </r>
  <r>
    <d v="2025-11-05T00:00:00"/>
    <x v="14"/>
    <n v="24"/>
    <n v="2025"/>
    <x v="44"/>
    <s v="Week 45"/>
    <s v="Week 45-2025"/>
  </r>
  <r>
    <d v="2025-11-05T00:00:00"/>
    <x v="12"/>
    <n v="21"/>
    <n v="2025"/>
    <x v="44"/>
    <s v="Week 45"/>
    <s v="Week 45-2025"/>
  </r>
  <r>
    <d v="2025-11-05T00:00:00"/>
    <x v="12"/>
    <n v="16"/>
    <n v="2025"/>
    <x v="44"/>
    <s v="Week 45"/>
    <s v="Week 45-2025"/>
  </r>
  <r>
    <d v="2025-11-05T00:00:00"/>
    <x v="3"/>
    <n v="12"/>
    <n v="2025"/>
    <x v="44"/>
    <s v="Week 45"/>
    <s v="Week 45-2025"/>
  </r>
  <r>
    <d v="2025-11-05T00:00:00"/>
    <x v="6"/>
    <n v="8"/>
    <n v="2025"/>
    <x v="44"/>
    <s v="Week 45"/>
    <s v="Week 45-2025"/>
  </r>
  <r>
    <d v="2025-11-05T00:00:00"/>
    <x v="25"/>
    <n v="12"/>
    <n v="2025"/>
    <x v="44"/>
    <s v="Week 45"/>
    <s v="Week 45-2025"/>
  </r>
  <r>
    <d v="2025-11-05T00:00:00"/>
    <x v="6"/>
    <n v="5"/>
    <n v="2025"/>
    <x v="44"/>
    <s v="Week 45"/>
    <s v="Week 45-2025"/>
  </r>
  <r>
    <d v="2025-11-05T00:00:00"/>
    <x v="10"/>
    <n v="6"/>
    <n v="2025"/>
    <x v="44"/>
    <s v="Week 45"/>
    <s v="Week 45-2025"/>
  </r>
  <r>
    <d v="2025-11-05T00:00:00"/>
    <x v="6"/>
    <n v="4"/>
    <n v="2025"/>
    <x v="44"/>
    <s v="Week 45"/>
    <s v="Week 45-2025"/>
  </r>
  <r>
    <d v="2025-11-05T00:00:00"/>
    <x v="13"/>
    <n v="4"/>
    <n v="2025"/>
    <x v="44"/>
    <s v="Week 45"/>
    <s v="Week 45-2025"/>
  </r>
  <r>
    <d v="2025-11-05T00:00:00"/>
    <x v="17"/>
    <n v="4"/>
    <n v="2025"/>
    <x v="44"/>
    <s v="Week 45"/>
    <s v="Week 45-2025"/>
  </r>
  <r>
    <d v="2025-11-05T00:00:00"/>
    <x v="11"/>
    <n v="5"/>
    <n v="2025"/>
    <x v="44"/>
    <s v="Week 45"/>
    <s v="Week 45-2025"/>
  </r>
  <r>
    <d v="2025-11-05T00:00:00"/>
    <x v="11"/>
    <n v="4"/>
    <n v="2025"/>
    <x v="44"/>
    <s v="Week 45"/>
    <s v="Week 45-2025"/>
  </r>
  <r>
    <d v="2025-11-05T00:00:00"/>
    <x v="11"/>
    <n v="3"/>
    <n v="2025"/>
    <x v="44"/>
    <s v="Week 45"/>
    <s v="Week 45-2025"/>
  </r>
  <r>
    <d v="2025-11-05T00:00:00"/>
    <x v="25"/>
    <n v="4"/>
    <n v="2025"/>
    <x v="44"/>
    <s v="Week 45"/>
    <s v="Week 45-2025"/>
  </r>
  <r>
    <d v="2025-11-05T00:00:00"/>
    <x v="17"/>
    <n v="2"/>
    <n v="2025"/>
    <x v="44"/>
    <s v="Week 45"/>
    <s v="Week 45-2025"/>
  </r>
  <r>
    <d v="2025-11-05T00:00:00"/>
    <x v="12"/>
    <n v="3"/>
    <n v="2025"/>
    <x v="44"/>
    <s v="Week 45"/>
    <s v="Week 45-2025"/>
  </r>
  <r>
    <d v="2025-11-05T00:00:00"/>
    <x v="15"/>
    <n v="4"/>
    <n v="2025"/>
    <x v="44"/>
    <s v="Week 45"/>
    <s v="Week 45-2025"/>
  </r>
  <r>
    <d v="2025-11-05T00:00:00"/>
    <x v="26"/>
    <n v="4"/>
    <n v="2025"/>
    <x v="44"/>
    <s v="Week 45"/>
    <s v="Week 45-2025"/>
  </r>
  <r>
    <d v="2025-11-05T00:00:00"/>
    <x v="4"/>
    <n v="3"/>
    <n v="2025"/>
    <x v="44"/>
    <s v="Week 45"/>
    <s v="Week 45-2025"/>
  </r>
  <r>
    <d v="2025-11-05T00:00:00"/>
    <x v="19"/>
    <n v="2"/>
    <n v="2025"/>
    <x v="44"/>
    <s v="Week 45"/>
    <s v="Week 45-2025"/>
  </r>
  <r>
    <d v="2025-11-05T00:00:00"/>
    <x v="21"/>
    <n v="2"/>
    <n v="2025"/>
    <x v="44"/>
    <s v="Week 45"/>
    <s v="Week 45-2025"/>
  </r>
  <r>
    <d v="2025-11-05T00:00:00"/>
    <x v="35"/>
    <n v="1"/>
    <n v="2025"/>
    <x v="44"/>
    <s v="Week 45"/>
    <s v="Week 45-2025"/>
  </r>
  <r>
    <d v="2025-11-05T00:00:00"/>
    <x v="35"/>
    <n v="1"/>
    <n v="2025"/>
    <x v="44"/>
    <s v="Week 45"/>
    <s v="Week 45-2025"/>
  </r>
  <r>
    <d v="2025-11-05T00:00:00"/>
    <x v="4"/>
    <n v="1"/>
    <n v="2025"/>
    <x v="44"/>
    <s v="Week 45"/>
    <s v="Week 45-2025"/>
  </r>
  <r>
    <d v="2025-11-06T00:00:00"/>
    <x v="13"/>
    <n v="43"/>
    <n v="2025"/>
    <x v="44"/>
    <s v="Week 45"/>
    <s v="Week 45-2025"/>
  </r>
  <r>
    <d v="2025-11-06T00:00:00"/>
    <x v="14"/>
    <n v="28"/>
    <n v="2025"/>
    <x v="44"/>
    <s v="Week 45"/>
    <s v="Week 45-2025"/>
  </r>
  <r>
    <d v="2025-11-06T00:00:00"/>
    <x v="7"/>
    <n v="16"/>
    <n v="2025"/>
    <x v="44"/>
    <s v="Week 45"/>
    <s v="Week 45-2025"/>
  </r>
  <r>
    <d v="2025-11-06T00:00:00"/>
    <x v="3"/>
    <n v="16"/>
    <n v="2025"/>
    <x v="44"/>
    <s v="Week 45"/>
    <s v="Week 45-2025"/>
  </r>
  <r>
    <d v="2025-11-06T00:00:00"/>
    <x v="13"/>
    <n v="8"/>
    <n v="2025"/>
    <x v="44"/>
    <s v="Week 45"/>
    <s v="Week 45-2025"/>
  </r>
  <r>
    <d v="2025-11-06T00:00:00"/>
    <x v="9"/>
    <n v="14"/>
    <n v="2025"/>
    <x v="44"/>
    <s v="Week 45"/>
    <s v="Week 45-2025"/>
  </r>
  <r>
    <d v="2025-11-06T00:00:00"/>
    <x v="3"/>
    <n v="12"/>
    <n v="2025"/>
    <x v="44"/>
    <s v="Week 45"/>
    <s v="Week 45-2025"/>
  </r>
  <r>
    <d v="2025-11-06T00:00:00"/>
    <x v="0"/>
    <n v="6"/>
    <n v="2025"/>
    <x v="44"/>
    <s v="Week 45"/>
    <s v="Week 45-2025"/>
  </r>
  <r>
    <d v="2025-11-06T00:00:00"/>
    <x v="34"/>
    <n v="8"/>
    <n v="2025"/>
    <x v="44"/>
    <s v="Week 45"/>
    <s v="Week 45-2025"/>
  </r>
  <r>
    <d v="2025-11-06T00:00:00"/>
    <x v="12"/>
    <n v="8"/>
    <n v="2025"/>
    <x v="44"/>
    <s v="Week 45"/>
    <s v="Week 45-2025"/>
  </r>
  <r>
    <d v="2025-11-06T00:00:00"/>
    <x v="3"/>
    <n v="2"/>
    <n v="2025"/>
    <x v="44"/>
    <s v="Week 45"/>
    <s v="Week 45-2025"/>
  </r>
  <r>
    <d v="2025-11-06T00:00:00"/>
    <x v="27"/>
    <n v="2"/>
    <n v="2025"/>
    <x v="44"/>
    <s v="Week 45"/>
    <s v="Week 45-2025"/>
  </r>
  <r>
    <d v="2025-11-06T00:00:00"/>
    <x v="27"/>
    <n v="2"/>
    <n v="2025"/>
    <x v="44"/>
    <s v="Week 45"/>
    <s v="Week 45-2025"/>
  </r>
  <r>
    <d v="2025-11-07T00:00:00"/>
    <x v="13"/>
    <n v="47"/>
    <n v="2025"/>
    <x v="44"/>
    <s v="Week 45"/>
    <s v="Week 45-2025"/>
  </r>
  <r>
    <d v="2025-11-07T00:00:00"/>
    <x v="12"/>
    <n v="28"/>
    <n v="2025"/>
    <x v="44"/>
    <s v="Week 45"/>
    <s v="Week 45-2025"/>
  </r>
  <r>
    <d v="2025-11-07T00:00:00"/>
    <x v="10"/>
    <n v="17"/>
    <n v="2025"/>
    <x v="44"/>
    <s v="Week 45"/>
    <s v="Week 45-2025"/>
  </r>
  <r>
    <d v="2025-11-07T00:00:00"/>
    <x v="10"/>
    <n v="16"/>
    <n v="2025"/>
    <x v="44"/>
    <s v="Week 45"/>
    <s v="Week 45-2025"/>
  </r>
  <r>
    <d v="2025-11-07T00:00:00"/>
    <x v="10"/>
    <n v="11"/>
    <n v="2025"/>
    <x v="44"/>
    <s v="Week 45"/>
    <s v="Week 45-2025"/>
  </r>
  <r>
    <d v="2025-11-07T00:00:00"/>
    <x v="3"/>
    <n v="12"/>
    <n v="2025"/>
    <x v="44"/>
    <s v="Week 45"/>
    <s v="Week 45-2025"/>
  </r>
  <r>
    <d v="2025-11-07T00:00:00"/>
    <x v="11"/>
    <n v="6"/>
    <n v="2025"/>
    <x v="44"/>
    <s v="Week 45"/>
    <s v="Week 45-2025"/>
  </r>
  <r>
    <d v="2025-11-07T00:00:00"/>
    <x v="12"/>
    <n v="6"/>
    <n v="2025"/>
    <x v="44"/>
    <s v="Week 45"/>
    <s v="Week 45-2025"/>
  </r>
  <r>
    <d v="2025-11-07T00:00:00"/>
    <x v="13"/>
    <n v="3"/>
    <n v="2025"/>
    <x v="44"/>
    <s v="Week 45"/>
    <s v="Week 45-2025"/>
  </r>
  <r>
    <d v="2025-11-07T00:00:00"/>
    <x v="15"/>
    <n v="4"/>
    <n v="2025"/>
    <x v="44"/>
    <s v="Week 45"/>
    <s v="Week 45-2025"/>
  </r>
  <r>
    <d v="2025-11-07T00:00:00"/>
    <x v="18"/>
    <n v="6"/>
    <n v="2025"/>
    <x v="44"/>
    <s v="Week 45"/>
    <s v="Week 45-2025"/>
  </r>
  <r>
    <d v="2025-11-07T00:00:00"/>
    <x v="22"/>
    <n v="4"/>
    <n v="2025"/>
    <x v="44"/>
    <s v="Week 45"/>
    <s v="Week 45-2025"/>
  </r>
  <r>
    <d v="2025-11-07T00:00:00"/>
    <x v="12"/>
    <n v="2"/>
    <n v="2025"/>
    <x v="44"/>
    <s v="Week 45"/>
    <s v="Week 45-2025"/>
  </r>
  <r>
    <d v="2025-11-07T00:00:00"/>
    <x v="1"/>
    <n v="2"/>
    <n v="2025"/>
    <x v="44"/>
    <s v="Week 45"/>
    <s v="Week 45-2025"/>
  </r>
  <r>
    <d v="2025-11-07T00:00:00"/>
    <x v="15"/>
    <n v="2"/>
    <n v="2025"/>
    <x v="44"/>
    <s v="Week 45"/>
    <s v="Week 45-2025"/>
  </r>
  <r>
    <d v="2025-11-07T00:00:00"/>
    <x v="15"/>
    <n v="2"/>
    <n v="2025"/>
    <x v="44"/>
    <s v="Week 45"/>
    <s v="Week 45-2025"/>
  </r>
  <r>
    <d v="2025-11-07T00:00:00"/>
    <x v="3"/>
    <n v="1"/>
    <n v="2025"/>
    <x v="44"/>
    <s v="Week 45"/>
    <s v="Week 45-2025"/>
  </r>
  <r>
    <d v="2025-11-07T00:00:00"/>
    <x v="4"/>
    <n v="2"/>
    <n v="2025"/>
    <x v="44"/>
    <s v="Week 45"/>
    <s v="Week 45-2025"/>
  </r>
  <r>
    <d v="2025-11-07T00:00:00"/>
    <x v="11"/>
    <n v="1"/>
    <n v="2025"/>
    <x v="44"/>
    <s v="Week 45"/>
    <s v="Week 45-2025"/>
  </r>
  <r>
    <d v="2025-11-09T00:00:00"/>
    <x v="5"/>
    <n v="8"/>
    <n v="2025"/>
    <x v="44"/>
    <s v="Week 46"/>
    <s v="Week 46-2025"/>
  </r>
  <r>
    <d v="2025-11-09T00:00:00"/>
    <x v="10"/>
    <n v="8"/>
    <n v="2025"/>
    <x v="44"/>
    <s v="Week 46"/>
    <s v="Week 46-2025"/>
  </r>
  <r>
    <d v="2025-11-09T00:00:00"/>
    <x v="12"/>
    <n v="7"/>
    <n v="2025"/>
    <x v="44"/>
    <s v="Week 46"/>
    <s v="Week 46-2025"/>
  </r>
  <r>
    <d v="2025-11-09T00:00:00"/>
    <x v="14"/>
    <n v="4"/>
    <n v="2025"/>
    <x v="44"/>
    <s v="Week 46"/>
    <s v="Week 46-2025"/>
  </r>
  <r>
    <d v="2025-11-09T00:00:00"/>
    <x v="27"/>
    <n v="8"/>
    <n v="2025"/>
    <x v="44"/>
    <s v="Week 46"/>
    <s v="Week 46-2025"/>
  </r>
  <r>
    <d v="2025-11-09T00:00:00"/>
    <x v="15"/>
    <n v="4"/>
    <n v="2025"/>
    <x v="44"/>
    <s v="Week 46"/>
    <s v="Week 46-2025"/>
  </r>
  <r>
    <d v="2025-11-09T00:00:00"/>
    <x v="11"/>
    <n v="2"/>
    <n v="2025"/>
    <x v="44"/>
    <s v="Week 46"/>
    <s v="Week 46-2025"/>
  </r>
  <r>
    <d v="2025-11-09T00:00:00"/>
    <x v="12"/>
    <n v="1"/>
    <n v="2025"/>
    <x v="44"/>
    <s v="Week 46"/>
    <s v="Week 46-2025"/>
  </r>
  <r>
    <d v="2025-11-10T00:00:00"/>
    <x v="12"/>
    <n v="12"/>
    <n v="2025"/>
    <x v="45"/>
    <s v="Week 46"/>
    <s v="Week 46-2025"/>
  </r>
  <r>
    <d v="2025-11-10T00:00:00"/>
    <x v="11"/>
    <n v="6"/>
    <n v="2025"/>
    <x v="45"/>
    <s v="Week 46"/>
    <s v="Week 46-2025"/>
  </r>
  <r>
    <d v="2025-11-10T00:00:00"/>
    <x v="15"/>
    <n v="6"/>
    <n v="2025"/>
    <x v="45"/>
    <s v="Week 46"/>
    <s v="Week 46-2025"/>
  </r>
  <r>
    <d v="2025-11-10T00:00:00"/>
    <x v="28"/>
    <n v="6"/>
    <n v="2025"/>
    <x v="45"/>
    <s v="Week 46"/>
    <s v="Week 46-2025"/>
  </r>
  <r>
    <d v="2025-11-10T00:00:00"/>
    <x v="32"/>
    <n v="6"/>
    <n v="2025"/>
    <x v="45"/>
    <s v="Week 46"/>
    <s v="Week 46-2025"/>
  </r>
  <r>
    <d v="2025-11-10T00:00:00"/>
    <x v="19"/>
    <n v="2"/>
    <n v="2025"/>
    <x v="45"/>
    <s v="Week 46"/>
    <s v="Week 46-2025"/>
  </r>
  <r>
    <d v="2025-11-10T00:00:00"/>
    <x v="18"/>
    <n v="2"/>
    <n v="2025"/>
    <x v="45"/>
    <s v="Week 46"/>
    <s v="Week 46-2025"/>
  </r>
  <r>
    <d v="2025-11-10T00:00:00"/>
    <x v="30"/>
    <n v="2"/>
    <n v="2025"/>
    <x v="45"/>
    <s v="Week 46"/>
    <s v="Week 46-2025"/>
  </r>
  <r>
    <d v="2025-11-11T00:00:00"/>
    <x v="11"/>
    <n v="7"/>
    <n v="2025"/>
    <x v="45"/>
    <s v="Week 46"/>
    <s v="Week 46-2025"/>
  </r>
  <r>
    <d v="2025-11-11T00:00:00"/>
    <x v="15"/>
    <n v="11"/>
    <n v="2025"/>
    <x v="45"/>
    <s v="Week 46"/>
    <s v="Week 46-2025"/>
  </r>
  <r>
    <d v="2025-11-11T00:00:00"/>
    <x v="25"/>
    <n v="6"/>
    <n v="2025"/>
    <x v="45"/>
    <s v="Week 46"/>
    <s v="Week 46-2025"/>
  </r>
  <r>
    <d v="2025-11-11T00:00:00"/>
    <x v="11"/>
    <n v="4"/>
    <n v="2025"/>
    <x v="45"/>
    <s v="Week 46"/>
    <s v="Week 46-2025"/>
  </r>
  <r>
    <d v="2025-11-11T00:00:00"/>
    <x v="15"/>
    <n v="6"/>
    <n v="2025"/>
    <x v="45"/>
    <s v="Week 46"/>
    <s v="Week 46-2025"/>
  </r>
  <r>
    <d v="2025-11-11T00:00:00"/>
    <x v="25"/>
    <n v="2"/>
    <n v="2025"/>
    <x v="45"/>
    <s v="Week 46"/>
    <s v="Week 46-2025"/>
  </r>
  <r>
    <d v="2025-11-12T00:00:00"/>
    <x v="10"/>
    <n v="17"/>
    <n v="2025"/>
    <x v="45"/>
    <s v="Week 46"/>
    <s v="Week 46-2025"/>
  </r>
  <r>
    <d v="2025-11-12T00:00:00"/>
    <x v="12"/>
    <n v="24"/>
    <n v="2025"/>
    <x v="45"/>
    <s v="Week 46"/>
    <s v="Week 46-2025"/>
  </r>
  <r>
    <d v="2025-11-12T00:00:00"/>
    <x v="27"/>
    <n v="28"/>
    <n v="2025"/>
    <x v="45"/>
    <s v="Week 46"/>
    <s v="Week 46-2025"/>
  </r>
  <r>
    <d v="2025-11-12T00:00:00"/>
    <x v="13"/>
    <n v="8"/>
    <n v="2025"/>
    <x v="45"/>
    <s v="Week 46"/>
    <s v="Week 46-2025"/>
  </r>
  <r>
    <d v="2025-11-12T00:00:00"/>
    <x v="25"/>
    <n v="12"/>
    <n v="2025"/>
    <x v="45"/>
    <s v="Week 46"/>
    <s v="Week 46-2025"/>
  </r>
  <r>
    <d v="2025-11-12T00:00:00"/>
    <x v="12"/>
    <n v="10"/>
    <n v="2025"/>
    <x v="45"/>
    <s v="Week 46"/>
    <s v="Week 46-2025"/>
  </r>
  <r>
    <d v="2025-11-12T00:00:00"/>
    <x v="10"/>
    <n v="7"/>
    <n v="2025"/>
    <x v="45"/>
    <s v="Week 46"/>
    <s v="Week 46-2025"/>
  </r>
  <r>
    <d v="2025-11-12T00:00:00"/>
    <x v="11"/>
    <n v="8"/>
    <n v="2025"/>
    <x v="45"/>
    <s v="Week 46"/>
    <s v="Week 46-2025"/>
  </r>
  <r>
    <d v="2025-11-12T00:00:00"/>
    <x v="11"/>
    <n v="8"/>
    <n v="2025"/>
    <x v="45"/>
    <s v="Week 46"/>
    <s v="Week 46-2025"/>
  </r>
  <r>
    <d v="2025-11-12T00:00:00"/>
    <x v="18"/>
    <n v="12"/>
    <n v="2025"/>
    <x v="45"/>
    <s v="Week 46"/>
    <s v="Week 46-2025"/>
  </r>
  <r>
    <d v="2025-11-12T00:00:00"/>
    <x v="19"/>
    <n v="8"/>
    <n v="2025"/>
    <x v="45"/>
    <s v="Week 46"/>
    <s v="Week 46-2025"/>
  </r>
  <r>
    <d v="2025-11-12T00:00:00"/>
    <x v="5"/>
    <n v="2"/>
    <n v="2025"/>
    <x v="45"/>
    <s v="Week 46"/>
    <s v="Week 46-2025"/>
  </r>
  <r>
    <d v="2025-11-12T00:00:00"/>
    <x v="2"/>
    <n v="4"/>
    <n v="2025"/>
    <x v="45"/>
    <s v="Week 46"/>
    <s v="Week 46-2025"/>
  </r>
  <r>
    <d v="2025-11-12T00:00:00"/>
    <x v="15"/>
    <n v="6"/>
    <n v="2025"/>
    <x v="45"/>
    <s v="Week 46"/>
    <s v="Week 46-2025"/>
  </r>
  <r>
    <d v="2025-11-12T00:00:00"/>
    <x v="32"/>
    <n v="8"/>
    <n v="2025"/>
    <x v="45"/>
    <s v="Week 46"/>
    <s v="Week 46-2025"/>
  </r>
  <r>
    <d v="2025-11-12T00:00:00"/>
    <x v="4"/>
    <n v="6"/>
    <n v="2025"/>
    <x v="45"/>
    <s v="Week 46"/>
    <s v="Week 46-2025"/>
  </r>
  <r>
    <d v="2025-11-12T00:00:00"/>
    <x v="31"/>
    <n v="3"/>
    <n v="2025"/>
    <x v="45"/>
    <s v="Week 46"/>
    <s v="Week 46-2025"/>
  </r>
  <r>
    <d v="2025-11-12T00:00:00"/>
    <x v="14"/>
    <n v="2"/>
    <n v="2025"/>
    <x v="45"/>
    <s v="Week 46"/>
    <s v="Week 46-2025"/>
  </r>
  <r>
    <d v="2025-11-12T00:00:00"/>
    <x v="18"/>
    <n v="4"/>
    <n v="2025"/>
    <x v="45"/>
    <s v="Week 46"/>
    <s v="Week 46-2025"/>
  </r>
  <r>
    <d v="2025-11-12T00:00:00"/>
    <x v="30"/>
    <n v="4"/>
    <n v="2025"/>
    <x v="45"/>
    <s v="Week 46"/>
    <s v="Week 46-2025"/>
  </r>
  <r>
    <d v="2025-11-12T00:00:00"/>
    <x v="25"/>
    <n v="2"/>
    <n v="2025"/>
    <x v="45"/>
    <s v="Week 46"/>
    <s v="Week 46-2025"/>
  </r>
  <r>
    <d v="2025-11-12T00:00:00"/>
    <x v="25"/>
    <n v="2"/>
    <n v="2025"/>
    <x v="45"/>
    <s v="Week 46"/>
    <s v="Week 46-2025"/>
  </r>
  <r>
    <d v="2025-11-12T00:00:00"/>
    <x v="31"/>
    <n v="2"/>
    <n v="2025"/>
    <x v="45"/>
    <s v="Week 46"/>
    <s v="Week 46-2025"/>
  </r>
  <r>
    <d v="2025-11-12T00:00:00"/>
    <x v="31"/>
    <n v="2"/>
    <n v="2025"/>
    <x v="45"/>
    <s v="Week 46"/>
    <s v="Week 46-2025"/>
  </r>
  <r>
    <d v="2025-11-12T00:00:00"/>
    <x v="15"/>
    <n v="2"/>
    <n v="2025"/>
    <x v="45"/>
    <s v="Week 46"/>
    <s v="Week 46-2025"/>
  </r>
  <r>
    <d v="2025-11-12T00:00:00"/>
    <x v="31"/>
    <n v="1"/>
    <n v="2025"/>
    <x v="45"/>
    <s v="Week 46"/>
    <s v="Week 46-2025"/>
  </r>
  <r>
    <d v="2025-11-13T00:00:00"/>
    <x v="3"/>
    <n v="14"/>
    <n v="2025"/>
    <x v="45"/>
    <s v="Week 46"/>
    <s v="Week 46-2025"/>
  </r>
  <r>
    <d v="2025-11-13T00:00:00"/>
    <x v="15"/>
    <n v="21"/>
    <n v="2025"/>
    <x v="45"/>
    <s v="Week 46"/>
    <s v="Week 46-2025"/>
  </r>
  <r>
    <d v="2025-11-13T00:00:00"/>
    <x v="15"/>
    <n v="17"/>
    <n v="2025"/>
    <x v="45"/>
    <s v="Week 46"/>
    <s v="Week 46-2025"/>
  </r>
  <r>
    <d v="2025-11-13T00:00:00"/>
    <x v="12"/>
    <n v="12"/>
    <n v="2025"/>
    <x v="45"/>
    <s v="Week 46"/>
    <s v="Week 46-2025"/>
  </r>
  <r>
    <d v="2025-11-13T00:00:00"/>
    <x v="28"/>
    <n v="4"/>
    <n v="2025"/>
    <x v="45"/>
    <s v="Week 46"/>
    <s v="Week 46-2025"/>
  </r>
  <r>
    <d v="2025-11-13T00:00:00"/>
    <x v="32"/>
    <n v="2"/>
    <n v="2025"/>
    <x v="45"/>
    <s v="Week 46"/>
    <s v="Week 46-2025"/>
  </r>
  <r>
    <d v="2025-11-14T00:00:00"/>
    <x v="11"/>
    <n v="3"/>
    <n v="2025"/>
    <x v="45"/>
    <s v="Week 46"/>
    <s v="Week 46-2025"/>
  </r>
  <r>
    <d v="2025-11-15T00:00:00"/>
    <x v="12"/>
    <n v="8"/>
    <n v="2025"/>
    <x v="45"/>
    <s v="Week 46"/>
    <s v="Week 46-2025"/>
  </r>
  <r>
    <d v="2025-11-15T00:00:00"/>
    <x v="20"/>
    <n v="1"/>
    <n v="2025"/>
    <x v="45"/>
    <s v="Week 46"/>
    <s v="Week 46-2025"/>
  </r>
  <r>
    <d v="2025-11-15T00:00:00"/>
    <x v="23"/>
    <n v="1"/>
    <n v="2025"/>
    <x v="45"/>
    <s v="Week 46"/>
    <s v="Week 46-2025"/>
  </r>
  <r>
    <d v="2025-11-16T00:00:00"/>
    <x v="10"/>
    <n v="4"/>
    <n v="2025"/>
    <x v="45"/>
    <s v="Week 47"/>
    <s v="Week 47-2025"/>
  </r>
  <r>
    <d v="2025-11-16T00:00:00"/>
    <x v="11"/>
    <n v="4"/>
    <n v="2025"/>
    <x v="45"/>
    <s v="Week 47"/>
    <s v="Week 47-2025"/>
  </r>
  <r>
    <d v="2025-11-16T00:00:00"/>
    <x v="15"/>
    <n v="8"/>
    <n v="2025"/>
    <x v="45"/>
    <s v="Week 47"/>
    <s v="Week 47-2025"/>
  </r>
  <r>
    <d v="2025-11-16T00:00:00"/>
    <x v="6"/>
    <n v="2"/>
    <n v="2025"/>
    <x v="45"/>
    <s v="Week 47"/>
    <s v="Week 47-2025"/>
  </r>
  <r>
    <d v="2025-11-16T00:00:00"/>
    <x v="2"/>
    <n v="4"/>
    <n v="2025"/>
    <x v="45"/>
    <s v="Week 47"/>
    <s v="Week 47-2025"/>
  </r>
  <r>
    <d v="2025-11-16T00:00:00"/>
    <x v="17"/>
    <n v="2"/>
    <n v="2025"/>
    <x v="45"/>
    <s v="Week 47"/>
    <s v="Week 47-2025"/>
  </r>
  <r>
    <d v="2025-11-16T00:00:00"/>
    <x v="11"/>
    <n v="2"/>
    <n v="2025"/>
    <x v="45"/>
    <s v="Week 47"/>
    <s v="Week 47-2025"/>
  </r>
  <r>
    <d v="2025-11-16T00:00:00"/>
    <x v="33"/>
    <n v="2"/>
    <n v="2025"/>
    <x v="45"/>
    <s v="Week 47"/>
    <s v="Week 47-2025"/>
  </r>
  <r>
    <d v="2025-11-16T00:00:00"/>
    <x v="19"/>
    <n v="2"/>
    <n v="2025"/>
    <x v="45"/>
    <s v="Week 47"/>
    <s v="Week 47-2025"/>
  </r>
  <r>
    <d v="2025-11-16T00:00:00"/>
    <x v="30"/>
    <n v="2"/>
    <n v="2025"/>
    <x v="45"/>
    <s v="Week 47"/>
    <s v="Week 47-2025"/>
  </r>
  <r>
    <d v="2025-11-17T00:00:00"/>
    <x v="6"/>
    <n v="10"/>
    <n v="2025"/>
    <x v="46"/>
    <s v="Week 47"/>
    <s v="Week 47-2025"/>
  </r>
  <r>
    <d v="2025-11-17T00:00:00"/>
    <x v="5"/>
    <n v="2"/>
    <n v="2025"/>
    <x v="46"/>
    <s v="Week 47"/>
    <s v="Week 47-2025"/>
  </r>
  <r>
    <d v="2025-11-18T00:00:00"/>
    <x v="3"/>
    <n v="50"/>
    <n v="2025"/>
    <x v="46"/>
    <s v="Week 47"/>
    <s v="Week 47-2025"/>
  </r>
  <r>
    <d v="2025-11-18T00:00:00"/>
    <x v="11"/>
    <n v="56"/>
    <n v="2025"/>
    <x v="46"/>
    <s v="Week 47"/>
    <s v="Week 47-2025"/>
  </r>
  <r>
    <d v="2025-11-18T00:00:00"/>
    <x v="10"/>
    <n v="32"/>
    <n v="2025"/>
    <x v="46"/>
    <s v="Week 47"/>
    <s v="Week 47-2025"/>
  </r>
  <r>
    <d v="2025-11-18T00:00:00"/>
    <x v="12"/>
    <n v="30"/>
    <n v="2025"/>
    <x v="46"/>
    <s v="Week 47"/>
    <s v="Week 47-2025"/>
  </r>
  <r>
    <d v="2025-11-18T00:00:00"/>
    <x v="12"/>
    <n v="22"/>
    <n v="2025"/>
    <x v="46"/>
    <s v="Week 47"/>
    <s v="Week 47-2025"/>
  </r>
  <r>
    <d v="2025-11-18T00:00:00"/>
    <x v="15"/>
    <n v="25"/>
    <n v="2025"/>
    <x v="46"/>
    <s v="Week 47"/>
    <s v="Week 47-2025"/>
  </r>
  <r>
    <d v="2025-11-18T00:00:00"/>
    <x v="17"/>
    <n v="11"/>
    <n v="2025"/>
    <x v="46"/>
    <s v="Week 47"/>
    <s v="Week 47-2025"/>
  </r>
  <r>
    <d v="2025-11-18T00:00:00"/>
    <x v="17"/>
    <n v="5"/>
    <n v="2025"/>
    <x v="46"/>
    <s v="Week 47"/>
    <s v="Week 47-2025"/>
  </r>
  <r>
    <d v="2025-11-18T00:00:00"/>
    <x v="13"/>
    <n v="4"/>
    <n v="2025"/>
    <x v="46"/>
    <s v="Week 47"/>
    <s v="Week 47-2025"/>
  </r>
  <r>
    <d v="2025-11-18T00:00:00"/>
    <x v="3"/>
    <n v="4"/>
    <n v="2025"/>
    <x v="46"/>
    <s v="Week 47"/>
    <s v="Week 47-2025"/>
  </r>
  <r>
    <d v="2025-11-18T00:00:00"/>
    <x v="15"/>
    <n v="8"/>
    <n v="2025"/>
    <x v="46"/>
    <s v="Week 47"/>
    <s v="Week 47-2025"/>
  </r>
  <r>
    <d v="2025-11-18T00:00:00"/>
    <x v="25"/>
    <n v="6"/>
    <n v="2025"/>
    <x v="46"/>
    <s v="Week 47"/>
    <s v="Week 47-2025"/>
  </r>
  <r>
    <d v="2025-11-18T00:00:00"/>
    <x v="9"/>
    <n v="4"/>
    <n v="2025"/>
    <x v="46"/>
    <s v="Week 47"/>
    <s v="Week 47-2025"/>
  </r>
  <r>
    <d v="2025-11-18T00:00:00"/>
    <x v="1"/>
    <n v="4"/>
    <n v="2025"/>
    <x v="46"/>
    <s v="Week 47"/>
    <s v="Week 47-2025"/>
  </r>
  <r>
    <d v="2025-11-18T00:00:00"/>
    <x v="25"/>
    <n v="4"/>
    <n v="2025"/>
    <x v="46"/>
    <s v="Week 47"/>
    <s v="Week 47-2025"/>
  </r>
  <r>
    <d v="2025-11-18T00:00:00"/>
    <x v="1"/>
    <n v="4"/>
    <n v="2025"/>
    <x v="46"/>
    <s v="Week 47"/>
    <s v="Week 47-2025"/>
  </r>
  <r>
    <d v="2025-11-18T00:00:00"/>
    <x v="14"/>
    <n v="2"/>
    <n v="2025"/>
    <x v="46"/>
    <s v="Week 47"/>
    <s v="Week 47-2025"/>
  </r>
  <r>
    <d v="2025-11-18T00:00:00"/>
    <x v="19"/>
    <n v="4"/>
    <n v="2025"/>
    <x v="46"/>
    <s v="Week 47"/>
    <s v="Week 47-2025"/>
  </r>
  <r>
    <d v="2025-11-18T00:00:00"/>
    <x v="3"/>
    <n v="2"/>
    <n v="2025"/>
    <x v="46"/>
    <s v="Week 47"/>
    <s v="Week 47-2025"/>
  </r>
  <r>
    <d v="2025-11-18T00:00:00"/>
    <x v="25"/>
    <n v="2"/>
    <n v="2025"/>
    <x v="46"/>
    <s v="Week 47"/>
    <s v="Week 47-2025"/>
  </r>
  <r>
    <d v="2025-11-18T00:00:00"/>
    <x v="19"/>
    <n v="2"/>
    <n v="2025"/>
    <x v="46"/>
    <s v="Week 47"/>
    <s v="Week 47-2025"/>
  </r>
  <r>
    <d v="2025-11-18T00:00:00"/>
    <x v="28"/>
    <n v="2"/>
    <n v="2025"/>
    <x v="46"/>
    <s v="Week 47"/>
    <s v="Week 47-2025"/>
  </r>
  <r>
    <d v="2025-11-18T00:00:00"/>
    <x v="1"/>
    <n v="1"/>
    <n v="2025"/>
    <x v="46"/>
    <s v="Week 47"/>
    <s v="Week 47-2025"/>
  </r>
  <r>
    <d v="2025-11-19T00:00:00"/>
    <x v="6"/>
    <n v="16"/>
    <n v="2025"/>
    <x v="46"/>
    <s v="Week 47"/>
    <s v="Week 47-2025"/>
  </r>
  <r>
    <d v="2025-11-19T00:00:00"/>
    <x v="13"/>
    <n v="16"/>
    <n v="2025"/>
    <x v="46"/>
    <s v="Week 47"/>
    <s v="Week 47-2025"/>
  </r>
  <r>
    <d v="2025-11-19T00:00:00"/>
    <x v="11"/>
    <n v="17"/>
    <n v="2025"/>
    <x v="46"/>
    <s v="Week 47"/>
    <s v="Week 47-2025"/>
  </r>
  <r>
    <d v="2025-11-19T00:00:00"/>
    <x v="11"/>
    <n v="16"/>
    <n v="2025"/>
    <x v="46"/>
    <s v="Week 47"/>
    <s v="Week 47-2025"/>
  </r>
  <r>
    <d v="2025-11-19T00:00:00"/>
    <x v="11"/>
    <n v="13"/>
    <n v="2025"/>
    <x v="46"/>
    <s v="Week 47"/>
    <s v="Week 47-2025"/>
  </r>
  <r>
    <d v="2025-11-19T00:00:00"/>
    <x v="14"/>
    <n v="10"/>
    <n v="2025"/>
    <x v="46"/>
    <s v="Week 47"/>
    <s v="Week 47-2025"/>
  </r>
  <r>
    <d v="2025-11-19T00:00:00"/>
    <x v="11"/>
    <n v="8"/>
    <n v="2025"/>
    <x v="46"/>
    <s v="Week 47"/>
    <s v="Week 47-2025"/>
  </r>
  <r>
    <d v="2025-11-19T00:00:00"/>
    <x v="12"/>
    <n v="10"/>
    <n v="2025"/>
    <x v="46"/>
    <s v="Week 47"/>
    <s v="Week 47-2025"/>
  </r>
  <r>
    <d v="2025-11-19T00:00:00"/>
    <x v="25"/>
    <n v="8"/>
    <n v="2025"/>
    <x v="46"/>
    <s v="Week 47"/>
    <s v="Week 47-2025"/>
  </r>
  <r>
    <d v="2025-11-19T00:00:00"/>
    <x v="12"/>
    <n v="4"/>
    <n v="2025"/>
    <x v="46"/>
    <s v="Week 47"/>
    <s v="Week 47-2025"/>
  </r>
  <r>
    <d v="2025-11-19T00:00:00"/>
    <x v="3"/>
    <n v="3"/>
    <n v="2025"/>
    <x v="46"/>
    <s v="Week 47"/>
    <s v="Week 47-2025"/>
  </r>
  <r>
    <d v="2025-11-19T00:00:00"/>
    <x v="11"/>
    <n v="3"/>
    <n v="2025"/>
    <x v="46"/>
    <s v="Week 47"/>
    <s v="Week 47-2025"/>
  </r>
  <r>
    <d v="2025-11-19T00:00:00"/>
    <x v="11"/>
    <n v="2"/>
    <n v="2025"/>
    <x v="46"/>
    <s v="Week 47"/>
    <s v="Week 47-2025"/>
  </r>
  <r>
    <d v="2025-11-19T00:00:00"/>
    <x v="19"/>
    <n v="4"/>
    <n v="2025"/>
    <x v="46"/>
    <s v="Week 47"/>
    <s v="Week 47-2025"/>
  </r>
  <r>
    <d v="2025-11-19T00:00:00"/>
    <x v="35"/>
    <n v="4"/>
    <n v="2025"/>
    <x v="46"/>
    <s v="Week 47"/>
    <s v="Week 47-2025"/>
  </r>
  <r>
    <d v="2025-11-19T00:00:00"/>
    <x v="12"/>
    <n v="2"/>
    <n v="2025"/>
    <x v="46"/>
    <s v="Week 47"/>
    <s v="Week 47-2025"/>
  </r>
  <r>
    <d v="2025-11-19T00:00:00"/>
    <x v="15"/>
    <n v="2"/>
    <n v="2025"/>
    <x v="46"/>
    <s v="Week 47"/>
    <s v="Week 47-2025"/>
  </r>
  <r>
    <d v="2025-11-19T00:00:00"/>
    <x v="19"/>
    <n v="2"/>
    <n v="2025"/>
    <x v="46"/>
    <s v="Week 47"/>
    <s v="Week 47-2025"/>
  </r>
  <r>
    <d v="2025-11-20T00:00:00"/>
    <x v="11"/>
    <n v="20"/>
    <n v="2025"/>
    <x v="46"/>
    <s v="Week 47"/>
    <s v="Week 47-2025"/>
  </r>
  <r>
    <d v="2025-11-20T00:00:00"/>
    <x v="12"/>
    <n v="28"/>
    <n v="2025"/>
    <x v="46"/>
    <s v="Week 47"/>
    <s v="Week 47-2025"/>
  </r>
  <r>
    <d v="2025-11-20T00:00:00"/>
    <x v="27"/>
    <n v="22"/>
    <n v="2025"/>
    <x v="46"/>
    <s v="Week 47"/>
    <s v="Week 47-2025"/>
  </r>
  <r>
    <d v="2025-11-20T00:00:00"/>
    <x v="11"/>
    <n v="16"/>
    <n v="2025"/>
    <x v="46"/>
    <s v="Week 47"/>
    <s v="Week 47-2025"/>
  </r>
  <r>
    <d v="2025-11-20T00:00:00"/>
    <x v="12"/>
    <n v="16"/>
    <n v="2025"/>
    <x v="46"/>
    <s v="Week 47"/>
    <s v="Week 47-2025"/>
  </r>
  <r>
    <d v="2025-11-20T00:00:00"/>
    <x v="3"/>
    <n v="8"/>
    <n v="2025"/>
    <x v="46"/>
    <s v="Week 47"/>
    <s v="Week 47-2025"/>
  </r>
  <r>
    <d v="2025-11-20T00:00:00"/>
    <x v="19"/>
    <n v="22"/>
    <n v="2025"/>
    <x v="46"/>
    <s v="Week 47"/>
    <s v="Week 47-2025"/>
  </r>
  <r>
    <d v="2025-11-20T00:00:00"/>
    <x v="3"/>
    <n v="8"/>
    <n v="2025"/>
    <x v="46"/>
    <s v="Week 47"/>
    <s v="Week 47-2025"/>
  </r>
  <r>
    <d v="2025-11-20T00:00:00"/>
    <x v="12"/>
    <n v="8"/>
    <n v="2025"/>
    <x v="46"/>
    <s v="Week 47"/>
    <s v="Week 47-2025"/>
  </r>
  <r>
    <d v="2025-11-20T00:00:00"/>
    <x v="11"/>
    <n v="10"/>
    <n v="2025"/>
    <x v="46"/>
    <s v="Week 47"/>
    <s v="Week 47-2025"/>
  </r>
  <r>
    <d v="2025-11-20T00:00:00"/>
    <x v="11"/>
    <n v="9"/>
    <n v="2025"/>
    <x v="46"/>
    <s v="Week 47"/>
    <s v="Week 47-2025"/>
  </r>
  <r>
    <d v="2025-11-20T00:00:00"/>
    <x v="25"/>
    <n v="8"/>
    <n v="2025"/>
    <x v="46"/>
    <s v="Week 47"/>
    <s v="Week 47-2025"/>
  </r>
  <r>
    <d v="2025-11-20T00:00:00"/>
    <x v="11"/>
    <n v="8"/>
    <n v="2025"/>
    <x v="46"/>
    <s v="Week 47"/>
    <s v="Week 47-2025"/>
  </r>
  <r>
    <d v="2025-11-20T00:00:00"/>
    <x v="11"/>
    <n v="8"/>
    <n v="2025"/>
    <x v="46"/>
    <s v="Week 47"/>
    <s v="Week 47-2025"/>
  </r>
  <r>
    <d v="2025-11-20T00:00:00"/>
    <x v="17"/>
    <n v="4"/>
    <n v="2025"/>
    <x v="46"/>
    <s v="Week 47"/>
    <s v="Week 47-2025"/>
  </r>
  <r>
    <d v="2025-11-20T00:00:00"/>
    <x v="12"/>
    <n v="9"/>
    <n v="2025"/>
    <x v="46"/>
    <s v="Week 47"/>
    <s v="Week 47-2025"/>
  </r>
  <r>
    <d v="2025-11-20T00:00:00"/>
    <x v="3"/>
    <n v="6"/>
    <n v="2025"/>
    <x v="46"/>
    <s v="Week 47"/>
    <s v="Week 47-2025"/>
  </r>
  <r>
    <d v="2025-11-20T00:00:00"/>
    <x v="3"/>
    <n v="6"/>
    <n v="2025"/>
    <x v="46"/>
    <s v="Week 47"/>
    <s v="Week 47-2025"/>
  </r>
  <r>
    <d v="2025-11-20T00:00:00"/>
    <x v="14"/>
    <n v="4"/>
    <n v="2025"/>
    <x v="46"/>
    <s v="Week 47"/>
    <s v="Week 47-2025"/>
  </r>
  <r>
    <d v="2025-11-20T00:00:00"/>
    <x v="15"/>
    <n v="8"/>
    <n v="2025"/>
    <x v="46"/>
    <s v="Week 47"/>
    <s v="Week 47-2025"/>
  </r>
  <r>
    <d v="2025-11-20T00:00:00"/>
    <x v="15"/>
    <n v="8"/>
    <n v="2025"/>
    <x v="46"/>
    <s v="Week 47"/>
    <s v="Week 47-2025"/>
  </r>
  <r>
    <d v="2025-11-20T00:00:00"/>
    <x v="10"/>
    <n v="4"/>
    <n v="2025"/>
    <x v="46"/>
    <s v="Week 47"/>
    <s v="Week 47-2025"/>
  </r>
  <r>
    <d v="2025-11-20T00:00:00"/>
    <x v="10"/>
    <n v="4"/>
    <n v="2025"/>
    <x v="46"/>
    <s v="Week 47"/>
    <s v="Week 47-2025"/>
  </r>
  <r>
    <d v="2025-11-20T00:00:00"/>
    <x v="18"/>
    <n v="10"/>
    <n v="2025"/>
    <x v="46"/>
    <s v="Week 47"/>
    <s v="Week 47-2025"/>
  </r>
  <r>
    <d v="2025-11-20T00:00:00"/>
    <x v="11"/>
    <n v="4"/>
    <n v="2025"/>
    <x v="46"/>
    <s v="Week 47"/>
    <s v="Week 47-2025"/>
  </r>
  <r>
    <d v="2025-11-20T00:00:00"/>
    <x v="6"/>
    <n v="2"/>
    <n v="2025"/>
    <x v="46"/>
    <s v="Week 47"/>
    <s v="Week 47-2025"/>
  </r>
  <r>
    <d v="2025-11-20T00:00:00"/>
    <x v="6"/>
    <n v="2"/>
    <n v="2025"/>
    <x v="46"/>
    <s v="Week 47"/>
    <s v="Week 47-2025"/>
  </r>
  <r>
    <d v="2025-11-20T00:00:00"/>
    <x v="6"/>
    <n v="2"/>
    <n v="2025"/>
    <x v="46"/>
    <s v="Week 47"/>
    <s v="Week 47-2025"/>
  </r>
  <r>
    <d v="2025-11-20T00:00:00"/>
    <x v="15"/>
    <n v="6"/>
    <n v="2025"/>
    <x v="46"/>
    <s v="Week 47"/>
    <s v="Week 47-2025"/>
  </r>
  <r>
    <d v="2025-11-20T00:00:00"/>
    <x v="10"/>
    <n v="3"/>
    <n v="2025"/>
    <x v="46"/>
    <s v="Week 47"/>
    <s v="Week 47-2025"/>
  </r>
  <r>
    <d v="2025-11-20T00:00:00"/>
    <x v="20"/>
    <n v="4"/>
    <n v="2025"/>
    <x v="46"/>
    <s v="Week 47"/>
    <s v="Week 47-2025"/>
  </r>
  <r>
    <d v="2025-11-20T00:00:00"/>
    <x v="18"/>
    <n v="6"/>
    <n v="2025"/>
    <x v="46"/>
    <s v="Week 47"/>
    <s v="Week 47-2025"/>
  </r>
  <r>
    <d v="2025-11-20T00:00:00"/>
    <x v="12"/>
    <n v="3"/>
    <n v="2025"/>
    <x v="46"/>
    <s v="Week 47"/>
    <s v="Week 47-2025"/>
  </r>
  <r>
    <d v="2025-11-20T00:00:00"/>
    <x v="31"/>
    <n v="4"/>
    <n v="2025"/>
    <x v="46"/>
    <s v="Week 47"/>
    <s v="Week 47-2025"/>
  </r>
  <r>
    <d v="2025-11-20T00:00:00"/>
    <x v="15"/>
    <n v="4"/>
    <n v="2025"/>
    <x v="46"/>
    <s v="Week 47"/>
    <s v="Week 47-2025"/>
  </r>
  <r>
    <d v="2025-11-20T00:00:00"/>
    <x v="25"/>
    <n v="3"/>
    <n v="2025"/>
    <x v="46"/>
    <s v="Week 47"/>
    <s v="Week 47-2025"/>
  </r>
  <r>
    <d v="2025-11-20T00:00:00"/>
    <x v="4"/>
    <n v="4"/>
    <n v="2025"/>
    <x v="46"/>
    <s v="Week 47"/>
    <s v="Week 47-2025"/>
  </r>
  <r>
    <d v="2025-11-20T00:00:00"/>
    <x v="4"/>
    <n v="2"/>
    <n v="2025"/>
    <x v="46"/>
    <s v="Week 47"/>
    <s v="Week 47-2025"/>
  </r>
  <r>
    <d v="2025-11-20T00:00:00"/>
    <x v="24"/>
    <n v="2"/>
    <n v="2025"/>
    <x v="46"/>
    <s v="Week 47"/>
    <s v="Week 47-2025"/>
  </r>
  <r>
    <d v="2025-11-20T00:00:00"/>
    <x v="15"/>
    <n v="1"/>
    <n v="2025"/>
    <x v="46"/>
    <s v="Week 47"/>
    <s v="Week 47-2025"/>
  </r>
  <r>
    <d v="2025-11-21T00:00:00"/>
    <x v="12"/>
    <n v="48"/>
    <n v="2025"/>
    <x v="46"/>
    <s v="Week 47"/>
    <s v="Week 47-2025"/>
  </r>
  <r>
    <d v="2025-11-21T00:00:00"/>
    <x v="11"/>
    <n v="40"/>
    <n v="2025"/>
    <x v="46"/>
    <s v="Week 47"/>
    <s v="Week 47-2025"/>
  </r>
  <r>
    <d v="2025-11-21T00:00:00"/>
    <x v="3"/>
    <n v="25"/>
    <n v="2025"/>
    <x v="46"/>
    <s v="Week 47"/>
    <s v="Week 47-2025"/>
  </r>
  <r>
    <d v="2025-11-21T00:00:00"/>
    <x v="15"/>
    <n v="32"/>
    <n v="2025"/>
    <x v="46"/>
    <s v="Week 47"/>
    <s v="Week 47-2025"/>
  </r>
  <r>
    <d v="2025-11-21T00:00:00"/>
    <x v="13"/>
    <n v="8"/>
    <n v="2025"/>
    <x v="46"/>
    <s v="Week 47"/>
    <s v="Week 47-2025"/>
  </r>
  <r>
    <d v="2025-11-21T00:00:00"/>
    <x v="13"/>
    <n v="8"/>
    <n v="2025"/>
    <x v="46"/>
    <s v="Week 47"/>
    <s v="Week 47-2025"/>
  </r>
  <r>
    <d v="2025-11-21T00:00:00"/>
    <x v="10"/>
    <n v="10"/>
    <n v="2025"/>
    <x v="46"/>
    <s v="Week 47"/>
    <s v="Week 47-2025"/>
  </r>
  <r>
    <d v="2025-11-21T00:00:00"/>
    <x v="14"/>
    <n v="6"/>
    <n v="2025"/>
    <x v="46"/>
    <s v="Week 47"/>
    <s v="Week 47-2025"/>
  </r>
  <r>
    <d v="2025-11-21T00:00:00"/>
    <x v="12"/>
    <n v="7"/>
    <n v="2025"/>
    <x v="46"/>
    <s v="Week 47"/>
    <s v="Week 47-2025"/>
  </r>
  <r>
    <d v="2025-11-21T00:00:00"/>
    <x v="15"/>
    <n v="8"/>
    <n v="2025"/>
    <x v="46"/>
    <s v="Week 47"/>
    <s v="Week 47-2025"/>
  </r>
  <r>
    <d v="2025-11-21T00:00:00"/>
    <x v="19"/>
    <n v="9"/>
    <n v="2025"/>
    <x v="46"/>
    <s v="Week 47"/>
    <s v="Week 47-2025"/>
  </r>
  <r>
    <d v="2025-11-21T00:00:00"/>
    <x v="12"/>
    <n v="5"/>
    <n v="2025"/>
    <x v="46"/>
    <s v="Week 47"/>
    <s v="Week 47-2025"/>
  </r>
  <r>
    <d v="2025-11-21T00:00:00"/>
    <x v="12"/>
    <n v="4"/>
    <n v="2025"/>
    <x v="46"/>
    <s v="Week 47"/>
    <s v="Week 47-2025"/>
  </r>
  <r>
    <d v="2025-11-21T00:00:00"/>
    <x v="17"/>
    <n v="2"/>
    <n v="2025"/>
    <x v="46"/>
    <s v="Week 47"/>
    <s v="Week 47-2025"/>
  </r>
  <r>
    <d v="2025-11-21T00:00:00"/>
    <x v="11"/>
    <n v="2"/>
    <n v="2025"/>
    <x v="46"/>
    <s v="Week 47"/>
    <s v="Week 47-2025"/>
  </r>
  <r>
    <d v="2025-11-21T00:00:00"/>
    <x v="11"/>
    <n v="2"/>
    <n v="2025"/>
    <x v="46"/>
    <s v="Week 47"/>
    <s v="Week 47-2025"/>
  </r>
  <r>
    <d v="2025-11-21T00:00:00"/>
    <x v="18"/>
    <n v="4"/>
    <n v="2025"/>
    <x v="46"/>
    <s v="Week 47"/>
    <s v="Week 47-2025"/>
  </r>
  <r>
    <d v="2025-11-21T00:00:00"/>
    <x v="28"/>
    <n v="2"/>
    <n v="2025"/>
    <x v="46"/>
    <s v="Week 47"/>
    <s v="Week 47-2025"/>
  </r>
  <r>
    <d v="2025-11-22T00:00:00"/>
    <x v="12"/>
    <n v="33"/>
    <n v="2025"/>
    <x v="46"/>
    <s v="Week 47"/>
    <s v="Week 47-2025"/>
  </r>
  <r>
    <d v="2025-11-22T00:00:00"/>
    <x v="25"/>
    <n v="8"/>
    <n v="2025"/>
    <x v="46"/>
    <s v="Week 47"/>
    <s v="Week 47-2025"/>
  </r>
  <r>
    <d v="2025-11-22T00:00:00"/>
    <x v="15"/>
    <n v="9"/>
    <n v="2025"/>
    <x v="46"/>
    <s v="Week 47"/>
    <s v="Week 47-2025"/>
  </r>
  <r>
    <d v="2025-11-22T00:00:00"/>
    <x v="17"/>
    <n v="2"/>
    <n v="2025"/>
    <x v="46"/>
    <s v="Week 47"/>
    <s v="Week 47-2025"/>
  </r>
  <r>
    <d v="2025-11-22T00:00:00"/>
    <x v="19"/>
    <n v="4"/>
    <n v="2025"/>
    <x v="46"/>
    <s v="Week 47"/>
    <s v="Week 47-2025"/>
  </r>
  <r>
    <d v="2025-11-22T00:00:00"/>
    <x v="19"/>
    <n v="4"/>
    <n v="2025"/>
    <x v="46"/>
    <s v="Week 47"/>
    <s v="Week 47-2025"/>
  </r>
  <r>
    <d v="2025-11-22T00:00:00"/>
    <x v="22"/>
    <n v="2"/>
    <n v="2025"/>
    <x v="46"/>
    <s v="Week 47"/>
    <s v="Week 47-2025"/>
  </r>
  <r>
    <d v="2025-11-22T00:00:00"/>
    <x v="3"/>
    <n v="1"/>
    <n v="2025"/>
    <x v="46"/>
    <s v="Week 47"/>
    <s v="Week 47-2025"/>
  </r>
  <r>
    <d v="2025-11-22T00:00:00"/>
    <x v="11"/>
    <n v="1"/>
    <n v="2025"/>
    <x v="46"/>
    <s v="Week 47"/>
    <s v="Week 47-2025"/>
  </r>
  <r>
    <d v="2025-11-23T00:00:00"/>
    <x v="15"/>
    <n v="8"/>
    <n v="2025"/>
    <x v="46"/>
    <s v="Week 48"/>
    <s v="Week 48-2025"/>
  </r>
  <r>
    <d v="2025-11-23T00:00:00"/>
    <x v="13"/>
    <n v="1"/>
    <n v="2025"/>
    <x v="46"/>
    <s v="Week 48"/>
    <s v="Week 48-2025"/>
  </r>
  <r>
    <d v="2025-11-23T00:00:00"/>
    <x v="19"/>
    <n v="2"/>
    <n v="2025"/>
    <x v="46"/>
    <s v="Week 48"/>
    <s v="Week 48-2025"/>
  </r>
  <r>
    <d v="2025-11-24T00:00:00"/>
    <x v="12"/>
    <n v="12"/>
    <n v="2025"/>
    <x v="47"/>
    <s v="Week 48"/>
    <s v="Week 48-2025"/>
  </r>
  <r>
    <d v="2025-11-24T00:00:00"/>
    <x v="11"/>
    <n v="6"/>
    <n v="2025"/>
    <x v="47"/>
    <s v="Week 48"/>
    <s v="Week 48-2025"/>
  </r>
  <r>
    <d v="2025-11-24T00:00:00"/>
    <x v="25"/>
    <n v="6"/>
    <n v="2025"/>
    <x v="47"/>
    <s v="Week 48"/>
    <s v="Week 48-2025"/>
  </r>
  <r>
    <d v="2025-11-24T00:00:00"/>
    <x v="11"/>
    <n v="4"/>
    <n v="2025"/>
    <x v="47"/>
    <s v="Week 48"/>
    <s v="Week 48-2025"/>
  </r>
  <r>
    <d v="2025-11-24T00:00:00"/>
    <x v="11"/>
    <n v="4"/>
    <n v="2025"/>
    <x v="47"/>
    <s v="Week 48"/>
    <s v="Week 48-2025"/>
  </r>
  <r>
    <d v="2025-11-24T00:00:00"/>
    <x v="12"/>
    <n v="4"/>
    <n v="2025"/>
    <x v="47"/>
    <s v="Week 48"/>
    <s v="Week 48-2025"/>
  </r>
  <r>
    <d v="2025-11-24T00:00:00"/>
    <x v="12"/>
    <n v="4"/>
    <n v="2025"/>
    <x v="47"/>
    <s v="Week 48"/>
    <s v="Week 48-2025"/>
  </r>
  <r>
    <d v="2025-11-24T00:00:00"/>
    <x v="1"/>
    <n v="4"/>
    <n v="2025"/>
    <x v="47"/>
    <s v="Week 48"/>
    <s v="Week 48-2025"/>
  </r>
  <r>
    <d v="2025-11-24T00:00:00"/>
    <x v="22"/>
    <n v="4"/>
    <n v="2025"/>
    <x v="47"/>
    <s v="Week 48"/>
    <s v="Week 48-2025"/>
  </r>
  <r>
    <d v="2025-11-24T00:00:00"/>
    <x v="22"/>
    <n v="4"/>
    <n v="2025"/>
    <x v="47"/>
    <s v="Week 48"/>
    <s v="Week 48-2025"/>
  </r>
  <r>
    <d v="2025-11-24T00:00:00"/>
    <x v="15"/>
    <n v="4"/>
    <n v="2025"/>
    <x v="47"/>
    <s v="Week 48"/>
    <s v="Week 48-2025"/>
  </r>
  <r>
    <d v="2025-11-24T00:00:00"/>
    <x v="18"/>
    <n v="2"/>
    <n v="2025"/>
    <x v="47"/>
    <s v="Week 48"/>
    <s v="Week 48-2025"/>
  </r>
  <r>
    <d v="2025-11-24T00:00:00"/>
    <x v="25"/>
    <n v="1"/>
    <n v="2025"/>
    <x v="47"/>
    <s v="Week 48"/>
    <s v="Week 48-2025"/>
  </r>
  <r>
    <d v="2025-11-24T00:00:00"/>
    <x v="25"/>
    <n v="1"/>
    <n v="2025"/>
    <x v="47"/>
    <s v="Week 48"/>
    <s v="Week 48-2025"/>
  </r>
  <r>
    <d v="2025-11-24T00:00:00"/>
    <x v="25"/>
    <n v="1"/>
    <n v="2025"/>
    <x v="47"/>
    <s v="Week 48"/>
    <s v="Week 48-2025"/>
  </r>
  <r>
    <d v="2025-11-24T00:00:00"/>
    <x v="25"/>
    <n v="1"/>
    <n v="2025"/>
    <x v="47"/>
    <s v="Week 48"/>
    <s v="Week 48-2025"/>
  </r>
  <r>
    <d v="2025-11-25T00:00:00"/>
    <x v="12"/>
    <n v="100"/>
    <n v="2025"/>
    <x v="47"/>
    <s v="Week 48"/>
    <s v="Week 48-2025"/>
  </r>
  <r>
    <d v="2025-11-25T00:00:00"/>
    <x v="14"/>
    <n v="21"/>
    <n v="2025"/>
    <x v="47"/>
    <s v="Week 48"/>
    <s v="Week 48-2025"/>
  </r>
  <r>
    <d v="2025-11-25T00:00:00"/>
    <x v="12"/>
    <n v="20"/>
    <n v="2025"/>
    <x v="47"/>
    <s v="Week 48"/>
    <s v="Week 48-2025"/>
  </r>
  <r>
    <d v="2025-11-25T00:00:00"/>
    <x v="3"/>
    <n v="23"/>
    <n v="2025"/>
    <x v="47"/>
    <s v="Week 48"/>
    <s v="Week 48-2025"/>
  </r>
  <r>
    <d v="2025-11-25T00:00:00"/>
    <x v="2"/>
    <n v="30"/>
    <n v="2025"/>
    <x v="47"/>
    <s v="Week 48"/>
    <s v="Week 48-2025"/>
  </r>
  <r>
    <d v="2025-11-25T00:00:00"/>
    <x v="15"/>
    <n v="30"/>
    <n v="2025"/>
    <x v="47"/>
    <s v="Week 48"/>
    <s v="Week 48-2025"/>
  </r>
  <r>
    <d v="2025-11-25T00:00:00"/>
    <x v="11"/>
    <n v="8"/>
    <n v="2025"/>
    <x v="47"/>
    <s v="Week 48"/>
    <s v="Week 48-2025"/>
  </r>
  <r>
    <d v="2025-11-25T00:00:00"/>
    <x v="14"/>
    <n v="9"/>
    <n v="2025"/>
    <x v="47"/>
    <s v="Week 48"/>
    <s v="Week 48-2025"/>
  </r>
  <r>
    <d v="2025-11-25T00:00:00"/>
    <x v="3"/>
    <n v="7"/>
    <n v="2025"/>
    <x v="47"/>
    <s v="Week 48"/>
    <s v="Week 48-2025"/>
  </r>
  <r>
    <d v="2025-11-25T00:00:00"/>
    <x v="3"/>
    <n v="4"/>
    <n v="2025"/>
    <x v="47"/>
    <s v="Week 48"/>
    <s v="Week 48-2025"/>
  </r>
  <r>
    <d v="2025-11-25T00:00:00"/>
    <x v="15"/>
    <n v="7"/>
    <n v="2025"/>
    <x v="47"/>
    <s v="Week 48"/>
    <s v="Week 48-2025"/>
  </r>
  <r>
    <d v="2025-11-25T00:00:00"/>
    <x v="10"/>
    <n v="5"/>
    <n v="2025"/>
    <x v="47"/>
    <s v="Week 48"/>
    <s v="Week 48-2025"/>
  </r>
  <r>
    <d v="2025-11-25T00:00:00"/>
    <x v="10"/>
    <n v="3"/>
    <n v="2025"/>
    <x v="47"/>
    <s v="Week 48"/>
    <s v="Week 48-2025"/>
  </r>
  <r>
    <d v="2025-11-25T00:00:00"/>
    <x v="15"/>
    <n v="1"/>
    <n v="2025"/>
    <x v="47"/>
    <s v="Week 48"/>
    <s v="Week 48-2025"/>
  </r>
  <r>
    <d v="2025-11-26T00:00:00"/>
    <x v="13"/>
    <n v="11"/>
    <n v="2025"/>
    <x v="47"/>
    <s v="Week 48"/>
    <s v="Week 48-2025"/>
  </r>
  <r>
    <d v="2025-11-26T00:00:00"/>
    <x v="11"/>
    <n v="8"/>
    <n v="2025"/>
    <x v="47"/>
    <s v="Week 48"/>
    <s v="Week 48-2025"/>
  </r>
  <r>
    <d v="2025-11-26T00:00:00"/>
    <x v="11"/>
    <n v="8"/>
    <n v="2025"/>
    <x v="47"/>
    <s v="Week 48"/>
    <s v="Week 48-2025"/>
  </r>
  <r>
    <d v="2025-11-26T00:00:00"/>
    <x v="12"/>
    <n v="4"/>
    <n v="2025"/>
    <x v="47"/>
    <s v="Week 48"/>
    <s v="Week 48-2025"/>
  </r>
  <r>
    <d v="2025-11-26T00:00:00"/>
    <x v="12"/>
    <n v="4"/>
    <n v="2025"/>
    <x v="47"/>
    <s v="Week 48"/>
    <s v="Week 48-2025"/>
  </r>
  <r>
    <d v="2025-11-26T00:00:00"/>
    <x v="3"/>
    <n v="2"/>
    <n v="2025"/>
    <x v="47"/>
    <s v="Week 48"/>
    <s v="Week 48-2025"/>
  </r>
  <r>
    <d v="2025-11-26T00:00:00"/>
    <x v="3"/>
    <n v="2"/>
    <n v="2025"/>
    <x v="47"/>
    <s v="Week 48"/>
    <s v="Week 48-2025"/>
  </r>
  <r>
    <d v="2025-11-26T00:00:00"/>
    <x v="12"/>
    <n v="1"/>
    <n v="2025"/>
    <x v="47"/>
    <s v="Week 48"/>
    <s v="Week 48-2025"/>
  </r>
  <r>
    <d v="2025-11-27T00:00:00"/>
    <x v="12"/>
    <n v="30"/>
    <n v="2025"/>
    <x v="47"/>
    <s v="Week 48"/>
    <s v="Week 48-2025"/>
  </r>
  <r>
    <d v="2025-11-27T00:00:00"/>
    <x v="13"/>
    <n v="13"/>
    <n v="2025"/>
    <x v="47"/>
    <s v="Week 48"/>
    <s v="Week 48-2025"/>
  </r>
  <r>
    <d v="2025-11-27T00:00:00"/>
    <x v="11"/>
    <n v="21"/>
    <n v="2025"/>
    <x v="47"/>
    <s v="Week 48"/>
    <s v="Week 48-2025"/>
  </r>
  <r>
    <d v="2025-11-27T00:00:00"/>
    <x v="3"/>
    <n v="8"/>
    <n v="2025"/>
    <x v="47"/>
    <s v="Week 48"/>
    <s v="Week 48-2025"/>
  </r>
  <r>
    <d v="2025-11-27T00:00:00"/>
    <x v="12"/>
    <n v="10"/>
    <n v="2025"/>
    <x v="47"/>
    <s v="Week 48"/>
    <s v="Week 48-2025"/>
  </r>
  <r>
    <d v="2025-11-27T00:00:00"/>
    <x v="20"/>
    <n v="8"/>
    <n v="2025"/>
    <x v="47"/>
    <s v="Week 48"/>
    <s v="Week 48-2025"/>
  </r>
  <r>
    <d v="2025-11-27T00:00:00"/>
    <x v="11"/>
    <n v="8"/>
    <n v="2025"/>
    <x v="47"/>
    <s v="Week 48"/>
    <s v="Week 48-2025"/>
  </r>
  <r>
    <d v="2025-11-27T00:00:00"/>
    <x v="12"/>
    <n v="8"/>
    <n v="2025"/>
    <x v="47"/>
    <s v="Week 48"/>
    <s v="Week 48-2025"/>
  </r>
  <r>
    <d v="2025-11-27T00:00:00"/>
    <x v="13"/>
    <n v="4"/>
    <n v="2025"/>
    <x v="47"/>
    <s v="Week 48"/>
    <s v="Week 48-2025"/>
  </r>
  <r>
    <d v="2025-11-27T00:00:00"/>
    <x v="2"/>
    <n v="8"/>
    <n v="2025"/>
    <x v="47"/>
    <s v="Week 48"/>
    <s v="Week 48-2025"/>
  </r>
  <r>
    <d v="2025-11-27T00:00:00"/>
    <x v="15"/>
    <n v="8"/>
    <n v="2025"/>
    <x v="47"/>
    <s v="Week 48"/>
    <s v="Week 48-2025"/>
  </r>
  <r>
    <d v="2025-11-27T00:00:00"/>
    <x v="15"/>
    <n v="8"/>
    <n v="2025"/>
    <x v="47"/>
    <s v="Week 48"/>
    <s v="Week 48-2025"/>
  </r>
  <r>
    <d v="2025-11-27T00:00:00"/>
    <x v="19"/>
    <n v="8"/>
    <n v="2025"/>
    <x v="47"/>
    <s v="Week 48"/>
    <s v="Week 48-2025"/>
  </r>
  <r>
    <d v="2025-11-27T00:00:00"/>
    <x v="3"/>
    <n v="4"/>
    <n v="2025"/>
    <x v="47"/>
    <s v="Week 48"/>
    <s v="Week 48-2025"/>
  </r>
  <r>
    <d v="2025-11-27T00:00:00"/>
    <x v="3"/>
    <n v="4"/>
    <n v="2025"/>
    <x v="47"/>
    <s v="Week 48"/>
    <s v="Week 48-2025"/>
  </r>
  <r>
    <d v="2025-11-27T00:00:00"/>
    <x v="12"/>
    <n v="5"/>
    <n v="2025"/>
    <x v="47"/>
    <s v="Week 48"/>
    <s v="Week 48-2025"/>
  </r>
  <r>
    <d v="2025-11-27T00:00:00"/>
    <x v="11"/>
    <n v="4"/>
    <n v="2025"/>
    <x v="47"/>
    <s v="Week 48"/>
    <s v="Week 48-2025"/>
  </r>
  <r>
    <d v="2025-11-27T00:00:00"/>
    <x v="1"/>
    <n v="4"/>
    <n v="2025"/>
    <x v="47"/>
    <s v="Week 48"/>
    <s v="Week 48-2025"/>
  </r>
  <r>
    <d v="2025-11-27T00:00:00"/>
    <x v="11"/>
    <n v="3"/>
    <n v="2025"/>
    <x v="47"/>
    <s v="Week 48"/>
    <s v="Week 48-2025"/>
  </r>
  <r>
    <d v="2025-11-27T00:00:00"/>
    <x v="15"/>
    <n v="4"/>
    <n v="2025"/>
    <x v="47"/>
    <s v="Week 48"/>
    <s v="Week 48-2025"/>
  </r>
  <r>
    <d v="2025-11-27T00:00:00"/>
    <x v="15"/>
    <n v="4"/>
    <n v="2025"/>
    <x v="47"/>
    <s v="Week 48"/>
    <s v="Week 48-2025"/>
  </r>
  <r>
    <d v="2025-11-27T00:00:00"/>
    <x v="15"/>
    <n v="4"/>
    <n v="2025"/>
    <x v="47"/>
    <s v="Week 48"/>
    <s v="Week 48-2025"/>
  </r>
  <r>
    <d v="2025-11-27T00:00:00"/>
    <x v="15"/>
    <n v="4"/>
    <n v="2025"/>
    <x v="47"/>
    <s v="Week 48"/>
    <s v="Week 48-2025"/>
  </r>
  <r>
    <d v="2025-11-27T00:00:00"/>
    <x v="10"/>
    <n v="2"/>
    <n v="2025"/>
    <x v="47"/>
    <s v="Week 48"/>
    <s v="Week 48-2025"/>
  </r>
  <r>
    <d v="2025-11-27T00:00:00"/>
    <x v="4"/>
    <n v="4"/>
    <n v="2025"/>
    <x v="47"/>
    <s v="Week 48"/>
    <s v="Week 48-2025"/>
  </r>
  <r>
    <d v="2025-11-27T00:00:00"/>
    <x v="5"/>
    <n v="1"/>
    <n v="2025"/>
    <x v="47"/>
    <s v="Week 48"/>
    <s v="Week 48-2025"/>
  </r>
  <r>
    <d v="2025-11-27T00:00:00"/>
    <x v="5"/>
    <n v="1"/>
    <n v="2025"/>
    <x v="47"/>
    <s v="Week 48"/>
    <s v="Week 48-2025"/>
  </r>
  <r>
    <d v="2025-11-27T00:00:00"/>
    <x v="12"/>
    <n v="2"/>
    <n v="2025"/>
    <x v="47"/>
    <s v="Week 48"/>
    <s v="Week 48-2025"/>
  </r>
  <r>
    <d v="2025-11-27T00:00:00"/>
    <x v="25"/>
    <n v="2"/>
    <n v="2025"/>
    <x v="47"/>
    <s v="Week 48"/>
    <s v="Week 48-2025"/>
  </r>
  <r>
    <d v="2025-11-27T00:00:00"/>
    <x v="12"/>
    <n v="1"/>
    <n v="2025"/>
    <x v="47"/>
    <s v="Week 48"/>
    <s v="Week 48-2025"/>
  </r>
  <r>
    <d v="2025-11-27T00:00:00"/>
    <x v="32"/>
    <n v="2"/>
    <n v="2025"/>
    <x v="47"/>
    <s v="Week 48"/>
    <s v="Week 48-2025"/>
  </r>
  <r>
    <d v="2025-11-27T00:00:00"/>
    <x v="15"/>
    <n v="1"/>
    <n v="2025"/>
    <x v="47"/>
    <s v="Week 48"/>
    <s v="Week 48-2025"/>
  </r>
  <r>
    <d v="2025-11-29T00:00:00"/>
    <x v="12"/>
    <n v="14"/>
    <n v="2025"/>
    <x v="47"/>
    <s v="Week 48"/>
    <s v="Week 48-2025"/>
  </r>
  <r>
    <d v="2025-11-29T00:00:00"/>
    <x v="10"/>
    <n v="8"/>
    <n v="2025"/>
    <x v="47"/>
    <s v="Week 48"/>
    <s v="Week 48-2025"/>
  </r>
  <r>
    <d v="2025-11-29T00:00:00"/>
    <x v="17"/>
    <n v="8"/>
    <n v="2025"/>
    <x v="47"/>
    <s v="Week 48"/>
    <s v="Week 48-2025"/>
  </r>
  <r>
    <d v="2025-11-29T00:00:00"/>
    <x v="3"/>
    <n v="8"/>
    <n v="2025"/>
    <x v="47"/>
    <s v="Week 48"/>
    <s v="Week 48-2025"/>
  </r>
  <r>
    <d v="2025-11-29T00:00:00"/>
    <x v="18"/>
    <n v="2"/>
    <n v="2025"/>
    <x v="47"/>
    <s v="Week 48"/>
    <s v="Week 48-2025"/>
  </r>
  <r>
    <d v="2025-12-01T00:00:00"/>
    <x v="17"/>
    <n v="12"/>
    <n v="2025"/>
    <x v="48"/>
    <s v="Week 49"/>
    <s v="Week 49-2025"/>
  </r>
  <r>
    <d v="2025-12-01T00:00:00"/>
    <x v="17"/>
    <n v="2"/>
    <n v="2025"/>
    <x v="48"/>
    <s v="Week 49"/>
    <s v="Week 49-2025"/>
  </r>
  <r>
    <d v="2025-12-02T00:00:00"/>
    <x v="12"/>
    <n v="44"/>
    <n v="2025"/>
    <x v="48"/>
    <s v="Week 49"/>
    <s v="Week 49-2025"/>
  </r>
  <r>
    <d v="2025-12-02T00:00:00"/>
    <x v="10"/>
    <n v="16"/>
    <n v="2025"/>
    <x v="48"/>
    <s v="Week 49"/>
    <s v="Week 49-2025"/>
  </r>
  <r>
    <d v="2025-12-02T00:00:00"/>
    <x v="3"/>
    <n v="13"/>
    <n v="2025"/>
    <x v="48"/>
    <s v="Week 49"/>
    <s v="Week 49-2025"/>
  </r>
  <r>
    <d v="2025-12-02T00:00:00"/>
    <x v="12"/>
    <n v="14"/>
    <n v="2025"/>
    <x v="48"/>
    <s v="Week 49"/>
    <s v="Week 49-2025"/>
  </r>
  <r>
    <d v="2025-12-02T00:00:00"/>
    <x v="12"/>
    <n v="10"/>
    <n v="2025"/>
    <x v="48"/>
    <s v="Week 49"/>
    <s v="Week 49-2025"/>
  </r>
  <r>
    <d v="2025-12-02T00:00:00"/>
    <x v="11"/>
    <n v="8"/>
    <n v="2025"/>
    <x v="48"/>
    <s v="Week 49"/>
    <s v="Week 49-2025"/>
  </r>
  <r>
    <d v="2025-12-02T00:00:00"/>
    <x v="11"/>
    <n v="6"/>
    <n v="2025"/>
    <x v="48"/>
    <s v="Week 49"/>
    <s v="Week 49-2025"/>
  </r>
  <r>
    <d v="2025-12-02T00:00:00"/>
    <x v="3"/>
    <n v="5"/>
    <n v="2025"/>
    <x v="48"/>
    <s v="Week 49"/>
    <s v="Week 49-2025"/>
  </r>
  <r>
    <d v="2025-12-02T00:00:00"/>
    <x v="15"/>
    <n v="8"/>
    <n v="2025"/>
    <x v="48"/>
    <s v="Week 49"/>
    <s v="Week 49-2025"/>
  </r>
  <r>
    <d v="2025-12-02T00:00:00"/>
    <x v="26"/>
    <n v="8"/>
    <n v="2025"/>
    <x v="48"/>
    <s v="Week 49"/>
    <s v="Week 49-2025"/>
  </r>
  <r>
    <d v="2025-12-02T00:00:00"/>
    <x v="33"/>
    <n v="8"/>
    <n v="2025"/>
    <x v="48"/>
    <s v="Week 49"/>
    <s v="Week 49-2025"/>
  </r>
  <r>
    <d v="2025-12-02T00:00:00"/>
    <x v="3"/>
    <n v="4"/>
    <n v="2025"/>
    <x v="48"/>
    <s v="Week 49"/>
    <s v="Week 49-2025"/>
  </r>
  <r>
    <d v="2025-12-02T00:00:00"/>
    <x v="25"/>
    <n v="6"/>
    <n v="2025"/>
    <x v="48"/>
    <s v="Week 49"/>
    <s v="Week 49-2025"/>
  </r>
  <r>
    <d v="2025-12-02T00:00:00"/>
    <x v="15"/>
    <n v="6"/>
    <n v="2025"/>
    <x v="48"/>
    <s v="Week 49"/>
    <s v="Week 49-2025"/>
  </r>
  <r>
    <d v="2025-12-02T00:00:00"/>
    <x v="5"/>
    <n v="2"/>
    <n v="2025"/>
    <x v="48"/>
    <s v="Week 49"/>
    <s v="Week 49-2025"/>
  </r>
  <r>
    <d v="2025-12-02T00:00:00"/>
    <x v="28"/>
    <n v="7"/>
    <n v="2025"/>
    <x v="48"/>
    <s v="Week 49"/>
    <s v="Week 49-2025"/>
  </r>
  <r>
    <d v="2025-12-02T00:00:00"/>
    <x v="13"/>
    <n v="2"/>
    <n v="2025"/>
    <x v="48"/>
    <s v="Week 49"/>
    <s v="Week 49-2025"/>
  </r>
  <r>
    <d v="2025-12-02T00:00:00"/>
    <x v="22"/>
    <n v="4"/>
    <n v="2025"/>
    <x v="48"/>
    <s v="Week 49"/>
    <s v="Week 49-2025"/>
  </r>
  <r>
    <d v="2025-12-02T00:00:00"/>
    <x v="14"/>
    <n v="2"/>
    <n v="2025"/>
    <x v="48"/>
    <s v="Week 49"/>
    <s v="Week 49-2025"/>
  </r>
  <r>
    <d v="2025-12-02T00:00:00"/>
    <x v="10"/>
    <n v="2"/>
    <n v="2025"/>
    <x v="48"/>
    <s v="Week 49"/>
    <s v="Week 49-2025"/>
  </r>
  <r>
    <d v="2025-12-02T00:00:00"/>
    <x v="19"/>
    <n v="4"/>
    <n v="2025"/>
    <x v="48"/>
    <s v="Week 49"/>
    <s v="Week 49-2025"/>
  </r>
  <r>
    <d v="2025-12-02T00:00:00"/>
    <x v="3"/>
    <n v="2"/>
    <n v="2025"/>
    <x v="48"/>
    <s v="Week 49"/>
    <s v="Week 49-2025"/>
  </r>
  <r>
    <d v="2025-12-02T00:00:00"/>
    <x v="18"/>
    <n v="4"/>
    <n v="2025"/>
    <x v="48"/>
    <s v="Week 49"/>
    <s v="Week 49-2025"/>
  </r>
  <r>
    <d v="2025-12-02T00:00:00"/>
    <x v="28"/>
    <n v="1"/>
    <n v="2025"/>
    <x v="48"/>
    <s v="Week 49"/>
    <s v="Week 49-2025"/>
  </r>
  <r>
    <d v="2025-12-03T00:00:00"/>
    <x v="12"/>
    <n v="22"/>
    <n v="2025"/>
    <x v="48"/>
    <s v="Week 49"/>
    <s v="Week 49-2025"/>
  </r>
  <r>
    <d v="2025-12-03T00:00:00"/>
    <x v="15"/>
    <n v="21"/>
    <n v="2025"/>
    <x v="48"/>
    <s v="Week 49"/>
    <s v="Week 49-2025"/>
  </r>
  <r>
    <d v="2025-12-03T00:00:00"/>
    <x v="12"/>
    <n v="13"/>
    <n v="2025"/>
    <x v="48"/>
    <s v="Week 49"/>
    <s v="Week 49-2025"/>
  </r>
  <r>
    <d v="2025-12-03T00:00:00"/>
    <x v="12"/>
    <n v="12"/>
    <n v="2025"/>
    <x v="48"/>
    <s v="Week 49"/>
    <s v="Week 49-2025"/>
  </r>
  <r>
    <d v="2025-12-03T00:00:00"/>
    <x v="11"/>
    <n v="8"/>
    <n v="2025"/>
    <x v="48"/>
    <s v="Week 49"/>
    <s v="Week 49-2025"/>
  </r>
  <r>
    <d v="2025-12-03T00:00:00"/>
    <x v="3"/>
    <n v="4"/>
    <n v="2025"/>
    <x v="48"/>
    <s v="Week 49"/>
    <s v="Week 49-2025"/>
  </r>
  <r>
    <d v="2025-12-03T00:00:00"/>
    <x v="17"/>
    <n v="2"/>
    <n v="2025"/>
    <x v="48"/>
    <s v="Week 49"/>
    <s v="Week 49-2025"/>
  </r>
  <r>
    <d v="2025-12-03T00:00:00"/>
    <x v="15"/>
    <n v="3"/>
    <n v="2025"/>
    <x v="48"/>
    <s v="Week 49"/>
    <s v="Week 49-2025"/>
  </r>
  <r>
    <d v="2025-12-03T00:00:00"/>
    <x v="19"/>
    <n v="2"/>
    <n v="2025"/>
    <x v="48"/>
    <s v="Week 49"/>
    <s v="Week 49-2025"/>
  </r>
  <r>
    <d v="2025-12-04T00:00:00"/>
    <x v="13"/>
    <n v="26"/>
    <n v="2025"/>
    <x v="48"/>
    <s v="Week 49"/>
    <s v="Week 49-2025"/>
  </r>
  <r>
    <d v="2025-12-04T00:00:00"/>
    <x v="3"/>
    <n v="28"/>
    <n v="2025"/>
    <x v="48"/>
    <s v="Week 49"/>
    <s v="Week 49-2025"/>
  </r>
  <r>
    <d v="2025-12-04T00:00:00"/>
    <x v="13"/>
    <n v="20"/>
    <n v="2025"/>
    <x v="48"/>
    <s v="Week 49"/>
    <s v="Week 49-2025"/>
  </r>
  <r>
    <d v="2025-12-04T00:00:00"/>
    <x v="13"/>
    <n v="12"/>
    <n v="2025"/>
    <x v="48"/>
    <s v="Week 49"/>
    <s v="Week 49-2025"/>
  </r>
  <r>
    <d v="2025-12-04T00:00:00"/>
    <x v="13"/>
    <n v="12"/>
    <n v="2025"/>
    <x v="48"/>
    <s v="Week 49"/>
    <s v="Week 49-2025"/>
  </r>
  <r>
    <d v="2025-12-04T00:00:00"/>
    <x v="3"/>
    <n v="6"/>
    <n v="2025"/>
    <x v="48"/>
    <s v="Week 49"/>
    <s v="Week 49-2025"/>
  </r>
  <r>
    <d v="2025-12-04T00:00:00"/>
    <x v="10"/>
    <n v="4"/>
    <n v="2025"/>
    <x v="48"/>
    <s v="Week 49"/>
    <s v="Week 49-2025"/>
  </r>
  <r>
    <d v="2025-12-04T00:00:00"/>
    <x v="9"/>
    <n v="2"/>
    <n v="2025"/>
    <x v="48"/>
    <s v="Week 49"/>
    <s v="Week 49-2025"/>
  </r>
  <r>
    <d v="2025-12-04T00:00:00"/>
    <x v="2"/>
    <n v="2"/>
    <n v="2025"/>
    <x v="48"/>
    <s v="Week 49"/>
    <s v="Week 49-2025"/>
  </r>
  <r>
    <d v="2025-12-05T00:00:00"/>
    <x v="14"/>
    <n v="12"/>
    <n v="2025"/>
    <x v="48"/>
    <s v="Week 49"/>
    <s v="Week 49-2025"/>
  </r>
  <r>
    <d v="2025-12-05T00:00:00"/>
    <x v="10"/>
    <n v="13"/>
    <n v="2025"/>
    <x v="48"/>
    <s v="Week 49"/>
    <s v="Week 49-2025"/>
  </r>
  <r>
    <d v="2025-12-05T00:00:00"/>
    <x v="13"/>
    <n v="8"/>
    <n v="2025"/>
    <x v="48"/>
    <s v="Week 49"/>
    <s v="Week 49-2025"/>
  </r>
  <r>
    <d v="2025-12-05T00:00:00"/>
    <x v="2"/>
    <n v="15"/>
    <n v="2025"/>
    <x v="48"/>
    <s v="Week 49"/>
    <s v="Week 49-2025"/>
  </r>
  <r>
    <d v="2025-12-05T00:00:00"/>
    <x v="5"/>
    <n v="5"/>
    <n v="2025"/>
    <x v="48"/>
    <s v="Week 49"/>
    <s v="Week 49-2025"/>
  </r>
  <r>
    <d v="2025-12-05T00:00:00"/>
    <x v="5"/>
    <n v="4"/>
    <n v="2025"/>
    <x v="48"/>
    <s v="Week 49"/>
    <s v="Week 49-2025"/>
  </r>
  <r>
    <d v="2025-12-05T00:00:00"/>
    <x v="13"/>
    <n v="5"/>
    <n v="2025"/>
    <x v="48"/>
    <s v="Week 49"/>
    <s v="Week 49-2025"/>
  </r>
  <r>
    <d v="2025-12-05T00:00:00"/>
    <x v="7"/>
    <n v="4"/>
    <n v="2025"/>
    <x v="48"/>
    <s v="Week 49"/>
    <s v="Week 49-2025"/>
  </r>
  <r>
    <d v="2025-12-05T00:00:00"/>
    <x v="13"/>
    <n v="4"/>
    <n v="2025"/>
    <x v="48"/>
    <s v="Week 49"/>
    <s v="Week 49-2025"/>
  </r>
  <r>
    <d v="2025-12-05T00:00:00"/>
    <x v="13"/>
    <n v="4"/>
    <n v="2025"/>
    <x v="48"/>
    <s v="Week 49"/>
    <s v="Week 49-2025"/>
  </r>
  <r>
    <d v="2025-12-05T00:00:00"/>
    <x v="14"/>
    <n v="4"/>
    <n v="2025"/>
    <x v="48"/>
    <s v="Week 49"/>
    <s v="Week 49-2025"/>
  </r>
  <r>
    <d v="2025-12-05T00:00:00"/>
    <x v="3"/>
    <n v="5"/>
    <n v="2025"/>
    <x v="48"/>
    <s v="Week 49"/>
    <s v="Week 49-2025"/>
  </r>
  <r>
    <d v="2025-12-05T00:00:00"/>
    <x v="0"/>
    <n v="3"/>
    <n v="2025"/>
    <x v="48"/>
    <s v="Week 49"/>
    <s v="Week 49-2025"/>
  </r>
  <r>
    <d v="2025-12-05T00:00:00"/>
    <x v="11"/>
    <n v="6"/>
    <n v="2025"/>
    <x v="48"/>
    <s v="Week 49"/>
    <s v="Week 49-2025"/>
  </r>
  <r>
    <d v="2025-12-05T00:00:00"/>
    <x v="15"/>
    <n v="8"/>
    <n v="2025"/>
    <x v="48"/>
    <s v="Week 49"/>
    <s v="Week 49-2025"/>
  </r>
  <r>
    <d v="2025-12-05T00:00:00"/>
    <x v="9"/>
    <n v="4"/>
    <n v="2025"/>
    <x v="48"/>
    <s v="Week 49"/>
    <s v="Week 49-2025"/>
  </r>
  <r>
    <d v="2025-12-05T00:00:00"/>
    <x v="10"/>
    <n v="3"/>
    <n v="2025"/>
    <x v="48"/>
    <s v="Week 49"/>
    <s v="Week 49-2025"/>
  </r>
  <r>
    <d v="2025-12-05T00:00:00"/>
    <x v="11"/>
    <n v="4"/>
    <n v="2025"/>
    <x v="48"/>
    <s v="Week 49"/>
    <s v="Week 49-2025"/>
  </r>
  <r>
    <d v="2025-12-05T00:00:00"/>
    <x v="6"/>
    <n v="2"/>
    <n v="2025"/>
    <x v="48"/>
    <s v="Week 49"/>
    <s v="Week 49-2025"/>
  </r>
  <r>
    <d v="2025-12-05T00:00:00"/>
    <x v="1"/>
    <n v="4"/>
    <n v="2025"/>
    <x v="48"/>
    <s v="Week 49"/>
    <s v="Week 49-2025"/>
  </r>
  <r>
    <d v="2025-12-05T00:00:00"/>
    <x v="14"/>
    <n v="2"/>
    <n v="2025"/>
    <x v="48"/>
    <s v="Week 49"/>
    <s v="Week 49-2025"/>
  </r>
  <r>
    <d v="2025-12-05T00:00:00"/>
    <x v="15"/>
    <n v="3"/>
    <n v="2025"/>
    <x v="48"/>
    <s v="Week 49"/>
    <s v="Week 49-2025"/>
  </r>
  <r>
    <d v="2025-12-05T00:00:00"/>
    <x v="26"/>
    <n v="3"/>
    <n v="2025"/>
    <x v="48"/>
    <s v="Week 49"/>
    <s v="Week 49-2025"/>
  </r>
  <r>
    <d v="2025-12-05T00:00:00"/>
    <x v="25"/>
    <n v="2"/>
    <n v="2025"/>
    <x v="48"/>
    <s v="Week 49"/>
    <s v="Week 49-2025"/>
  </r>
  <r>
    <d v="2025-12-05T00:00:00"/>
    <x v="22"/>
    <n v="2"/>
    <n v="2025"/>
    <x v="48"/>
    <s v="Week 49"/>
    <s v="Week 49-2025"/>
  </r>
  <r>
    <d v="2025-12-05T00:00:00"/>
    <x v="1"/>
    <n v="1"/>
    <n v="2025"/>
    <x v="48"/>
    <s v="Week 49"/>
    <s v="Week 49-2025"/>
  </r>
  <r>
    <d v="2025-12-05T00:00:00"/>
    <x v="4"/>
    <n v="1"/>
    <n v="2025"/>
    <x v="48"/>
    <s v="Week 49"/>
    <s v="Week 49-2025"/>
  </r>
  <r>
    <d v="2025-12-06T00:00:00"/>
    <x v="12"/>
    <n v="30"/>
    <n v="2025"/>
    <x v="48"/>
    <s v="Week 49"/>
    <s v="Week 49-2025"/>
  </r>
  <r>
    <d v="2025-12-06T00:00:00"/>
    <x v="15"/>
    <n v="22"/>
    <n v="2025"/>
    <x v="48"/>
    <s v="Week 49"/>
    <s v="Week 49-2025"/>
  </r>
  <r>
    <d v="2025-12-06T00:00:00"/>
    <x v="11"/>
    <n v="8"/>
    <n v="2025"/>
    <x v="48"/>
    <s v="Week 49"/>
    <s v="Week 49-2025"/>
  </r>
  <r>
    <d v="2025-12-06T00:00:00"/>
    <x v="26"/>
    <n v="10"/>
    <n v="2025"/>
    <x v="48"/>
    <s v="Week 49"/>
    <s v="Week 49-2025"/>
  </r>
  <r>
    <d v="2025-12-06T00:00:00"/>
    <x v="12"/>
    <n v="6"/>
    <n v="2025"/>
    <x v="48"/>
    <s v="Week 49"/>
    <s v="Week 49-2025"/>
  </r>
  <r>
    <d v="2025-12-06T00:00:00"/>
    <x v="28"/>
    <n v="13"/>
    <n v="2025"/>
    <x v="48"/>
    <s v="Week 49"/>
    <s v="Week 49-2025"/>
  </r>
  <r>
    <d v="2025-12-06T00:00:00"/>
    <x v="10"/>
    <n v="4"/>
    <n v="2025"/>
    <x v="48"/>
    <s v="Week 49"/>
    <s v="Week 49-2025"/>
  </r>
  <r>
    <d v="2025-12-06T00:00:00"/>
    <x v="15"/>
    <n v="7"/>
    <n v="2025"/>
    <x v="48"/>
    <s v="Week 49"/>
    <s v="Week 49-2025"/>
  </r>
  <r>
    <d v="2025-12-06T00:00:00"/>
    <x v="19"/>
    <n v="6"/>
    <n v="2025"/>
    <x v="48"/>
    <s v="Week 49"/>
    <s v="Week 49-2025"/>
  </r>
  <r>
    <d v="2025-12-06T00:00:00"/>
    <x v="18"/>
    <n v="7"/>
    <n v="2025"/>
    <x v="48"/>
    <s v="Week 49"/>
    <s v="Week 49-2025"/>
  </r>
  <r>
    <d v="2025-12-06T00:00:00"/>
    <x v="4"/>
    <n v="8"/>
    <n v="2025"/>
    <x v="48"/>
    <s v="Week 49"/>
    <s v="Week 49-2025"/>
  </r>
  <r>
    <d v="2025-12-06T00:00:00"/>
    <x v="15"/>
    <n v="5"/>
    <n v="2025"/>
    <x v="48"/>
    <s v="Week 49"/>
    <s v="Week 49-2025"/>
  </r>
  <r>
    <d v="2025-12-06T00:00:00"/>
    <x v="19"/>
    <n v="5"/>
    <n v="2025"/>
    <x v="48"/>
    <s v="Week 49"/>
    <s v="Week 49-2025"/>
  </r>
  <r>
    <d v="2025-12-06T00:00:00"/>
    <x v="1"/>
    <n v="4"/>
    <n v="2025"/>
    <x v="48"/>
    <s v="Week 49"/>
    <s v="Week 49-2025"/>
  </r>
  <r>
    <d v="2025-12-06T00:00:00"/>
    <x v="3"/>
    <n v="2"/>
    <n v="2025"/>
    <x v="48"/>
    <s v="Week 49"/>
    <s v="Week 49-2025"/>
  </r>
  <r>
    <d v="2025-12-06T00:00:00"/>
    <x v="14"/>
    <n v="2"/>
    <n v="2025"/>
    <x v="48"/>
    <s v="Week 49"/>
    <s v="Week 49-2025"/>
  </r>
  <r>
    <d v="2025-12-06T00:00:00"/>
    <x v="11"/>
    <n v="2"/>
    <n v="2025"/>
    <x v="48"/>
    <s v="Week 49"/>
    <s v="Week 49-2025"/>
  </r>
  <r>
    <d v="2025-12-06T00:00:00"/>
    <x v="30"/>
    <n v="4"/>
    <n v="2025"/>
    <x v="48"/>
    <s v="Week 49"/>
    <s v="Week 49-2025"/>
  </r>
  <r>
    <d v="2025-12-06T00:00:00"/>
    <x v="32"/>
    <n v="4"/>
    <n v="2025"/>
    <x v="48"/>
    <s v="Week 49"/>
    <s v="Week 49-2025"/>
  </r>
  <r>
    <d v="2025-12-06T00:00:00"/>
    <x v="27"/>
    <n v="3"/>
    <n v="2025"/>
    <x v="48"/>
    <s v="Week 49"/>
    <s v="Week 49-2025"/>
  </r>
  <r>
    <d v="2025-12-06T00:00:00"/>
    <x v="19"/>
    <n v="2"/>
    <n v="2025"/>
    <x v="48"/>
    <s v="Week 49"/>
    <s v="Week 49-2025"/>
  </r>
  <r>
    <d v="2025-12-06T00:00:00"/>
    <x v="28"/>
    <n v="2"/>
    <n v="2025"/>
    <x v="48"/>
    <s v="Week 49"/>
    <s v="Week 49-2025"/>
  </r>
  <r>
    <d v="2025-12-06T00:00:00"/>
    <x v="28"/>
    <n v="2"/>
    <n v="2025"/>
    <x v="48"/>
    <s v="Week 49"/>
    <s v="Week 49-2025"/>
  </r>
  <r>
    <d v="2025-12-06T00:00:00"/>
    <x v="30"/>
    <n v="2"/>
    <n v="2025"/>
    <x v="48"/>
    <s v="Week 49"/>
    <s v="Week 49-2025"/>
  </r>
  <r>
    <d v="2025-12-07T00:00:00"/>
    <x v="10"/>
    <n v="44"/>
    <n v="2025"/>
    <x v="48"/>
    <s v="Week 50"/>
    <s v="Week 50-2025"/>
  </r>
  <r>
    <d v="2025-12-07T00:00:00"/>
    <x v="12"/>
    <n v="54"/>
    <n v="2025"/>
    <x v="48"/>
    <s v="Week 50"/>
    <s v="Week 50-2025"/>
  </r>
  <r>
    <d v="2025-12-07T00:00:00"/>
    <x v="12"/>
    <n v="37"/>
    <n v="2025"/>
    <x v="48"/>
    <s v="Week 50"/>
    <s v="Week 50-2025"/>
  </r>
  <r>
    <d v="2025-12-07T00:00:00"/>
    <x v="12"/>
    <n v="20"/>
    <n v="2025"/>
    <x v="48"/>
    <s v="Week 50"/>
    <s v="Week 50-2025"/>
  </r>
  <r>
    <d v="2025-12-07T00:00:00"/>
    <x v="13"/>
    <n v="15"/>
    <n v="2025"/>
    <x v="48"/>
    <s v="Week 50"/>
    <s v="Week 50-2025"/>
  </r>
  <r>
    <d v="2025-12-07T00:00:00"/>
    <x v="13"/>
    <n v="15"/>
    <n v="2025"/>
    <x v="48"/>
    <s v="Week 50"/>
    <s v="Week 50-2025"/>
  </r>
  <r>
    <d v="2025-12-07T00:00:00"/>
    <x v="15"/>
    <n v="22"/>
    <n v="2025"/>
    <x v="48"/>
    <s v="Week 50"/>
    <s v="Week 50-2025"/>
  </r>
  <r>
    <d v="2025-12-07T00:00:00"/>
    <x v="17"/>
    <n v="12"/>
    <n v="2025"/>
    <x v="48"/>
    <s v="Week 50"/>
    <s v="Week 50-2025"/>
  </r>
  <r>
    <d v="2025-12-07T00:00:00"/>
    <x v="9"/>
    <n v="16"/>
    <n v="2025"/>
    <x v="48"/>
    <s v="Week 50"/>
    <s v="Week 50-2025"/>
  </r>
  <r>
    <d v="2025-12-07T00:00:00"/>
    <x v="15"/>
    <n v="27"/>
    <n v="2025"/>
    <x v="48"/>
    <s v="Week 50"/>
    <s v="Week 50-2025"/>
  </r>
  <r>
    <d v="2025-12-07T00:00:00"/>
    <x v="13"/>
    <n v="10"/>
    <n v="2025"/>
    <x v="48"/>
    <s v="Week 50"/>
    <s v="Week 50-2025"/>
  </r>
  <r>
    <d v="2025-12-07T00:00:00"/>
    <x v="13"/>
    <n v="10"/>
    <n v="2025"/>
    <x v="48"/>
    <s v="Week 50"/>
    <s v="Week 50-2025"/>
  </r>
  <r>
    <d v="2025-12-07T00:00:00"/>
    <x v="11"/>
    <n v="15"/>
    <n v="2025"/>
    <x v="48"/>
    <s v="Week 50"/>
    <s v="Week 50-2025"/>
  </r>
  <r>
    <d v="2025-12-07T00:00:00"/>
    <x v="13"/>
    <n v="10"/>
    <n v="2025"/>
    <x v="48"/>
    <s v="Week 50"/>
    <s v="Week 50-2025"/>
  </r>
  <r>
    <d v="2025-12-07T00:00:00"/>
    <x v="6"/>
    <n v="8"/>
    <n v="2025"/>
    <x v="48"/>
    <s v="Week 50"/>
    <s v="Week 50-2025"/>
  </r>
  <r>
    <d v="2025-12-07T00:00:00"/>
    <x v="2"/>
    <n v="15"/>
    <n v="2025"/>
    <x v="48"/>
    <s v="Week 50"/>
    <s v="Week 50-2025"/>
  </r>
  <r>
    <d v="2025-12-07T00:00:00"/>
    <x v="6"/>
    <n v="7"/>
    <n v="2025"/>
    <x v="48"/>
    <s v="Week 50"/>
    <s v="Week 50-2025"/>
  </r>
  <r>
    <d v="2025-12-07T00:00:00"/>
    <x v="11"/>
    <n v="9"/>
    <n v="2025"/>
    <x v="48"/>
    <s v="Week 50"/>
    <s v="Week 50-2025"/>
  </r>
  <r>
    <d v="2025-12-07T00:00:00"/>
    <x v="9"/>
    <n v="11"/>
    <n v="2025"/>
    <x v="48"/>
    <s v="Week 50"/>
    <s v="Week 50-2025"/>
  </r>
  <r>
    <d v="2025-12-07T00:00:00"/>
    <x v="11"/>
    <n v="11"/>
    <n v="2025"/>
    <x v="48"/>
    <s v="Week 50"/>
    <s v="Week 50-2025"/>
  </r>
  <r>
    <d v="2025-12-07T00:00:00"/>
    <x v="14"/>
    <n v="8"/>
    <n v="2025"/>
    <x v="48"/>
    <s v="Week 50"/>
    <s v="Week 50-2025"/>
  </r>
  <r>
    <d v="2025-12-07T00:00:00"/>
    <x v="3"/>
    <n v="6"/>
    <n v="2025"/>
    <x v="48"/>
    <s v="Week 50"/>
    <s v="Week 50-2025"/>
  </r>
  <r>
    <d v="2025-12-07T00:00:00"/>
    <x v="13"/>
    <n v="6"/>
    <n v="2025"/>
    <x v="48"/>
    <s v="Week 50"/>
    <s v="Week 50-2025"/>
  </r>
  <r>
    <d v="2025-12-07T00:00:00"/>
    <x v="19"/>
    <n v="11"/>
    <n v="2025"/>
    <x v="48"/>
    <s v="Week 50"/>
    <s v="Week 50-2025"/>
  </r>
  <r>
    <d v="2025-12-07T00:00:00"/>
    <x v="2"/>
    <n v="9"/>
    <n v="2025"/>
    <x v="48"/>
    <s v="Week 50"/>
    <s v="Week 50-2025"/>
  </r>
  <r>
    <d v="2025-12-07T00:00:00"/>
    <x v="2"/>
    <n v="9"/>
    <n v="2025"/>
    <x v="48"/>
    <s v="Week 50"/>
    <s v="Week 50-2025"/>
  </r>
  <r>
    <d v="2025-12-07T00:00:00"/>
    <x v="13"/>
    <n v="5"/>
    <n v="2025"/>
    <x v="48"/>
    <s v="Week 50"/>
    <s v="Week 50-2025"/>
  </r>
  <r>
    <d v="2025-12-07T00:00:00"/>
    <x v="17"/>
    <n v="4"/>
    <n v="2025"/>
    <x v="48"/>
    <s v="Week 50"/>
    <s v="Week 50-2025"/>
  </r>
  <r>
    <d v="2025-12-07T00:00:00"/>
    <x v="17"/>
    <n v="5"/>
    <n v="2025"/>
    <x v="48"/>
    <s v="Week 50"/>
    <s v="Week 50-2025"/>
  </r>
  <r>
    <d v="2025-12-07T00:00:00"/>
    <x v="17"/>
    <n v="5"/>
    <n v="2025"/>
    <x v="48"/>
    <s v="Week 50"/>
    <s v="Week 50-2025"/>
  </r>
  <r>
    <d v="2025-12-07T00:00:00"/>
    <x v="12"/>
    <n v="8"/>
    <n v="2025"/>
    <x v="48"/>
    <s v="Week 50"/>
    <s v="Week 50-2025"/>
  </r>
  <r>
    <d v="2025-12-07T00:00:00"/>
    <x v="7"/>
    <n v="4"/>
    <n v="2025"/>
    <x v="48"/>
    <s v="Week 50"/>
    <s v="Week 50-2025"/>
  </r>
  <r>
    <d v="2025-12-07T00:00:00"/>
    <x v="11"/>
    <n v="6"/>
    <n v="2025"/>
    <x v="48"/>
    <s v="Week 50"/>
    <s v="Week 50-2025"/>
  </r>
  <r>
    <d v="2025-12-07T00:00:00"/>
    <x v="19"/>
    <n v="6"/>
    <n v="2025"/>
    <x v="48"/>
    <s v="Week 50"/>
    <s v="Week 50-2025"/>
  </r>
  <r>
    <d v="2025-12-07T00:00:00"/>
    <x v="22"/>
    <n v="6"/>
    <n v="2025"/>
    <x v="48"/>
    <s v="Week 50"/>
    <s v="Week 50-2025"/>
  </r>
  <r>
    <d v="2025-12-07T00:00:00"/>
    <x v="22"/>
    <n v="6"/>
    <n v="2025"/>
    <x v="48"/>
    <s v="Week 50"/>
    <s v="Week 50-2025"/>
  </r>
  <r>
    <d v="2025-12-07T00:00:00"/>
    <x v="22"/>
    <n v="6"/>
    <n v="2025"/>
    <x v="48"/>
    <s v="Week 50"/>
    <s v="Week 50-2025"/>
  </r>
  <r>
    <d v="2025-12-07T00:00:00"/>
    <x v="22"/>
    <n v="6"/>
    <n v="2025"/>
    <x v="48"/>
    <s v="Week 50"/>
    <s v="Week 50-2025"/>
  </r>
  <r>
    <d v="2025-12-07T00:00:00"/>
    <x v="3"/>
    <n v="4"/>
    <n v="2025"/>
    <x v="48"/>
    <s v="Week 50"/>
    <s v="Week 50-2025"/>
  </r>
  <r>
    <d v="2025-12-07T00:00:00"/>
    <x v="9"/>
    <n v="4"/>
    <n v="2025"/>
    <x v="48"/>
    <s v="Week 50"/>
    <s v="Week 50-2025"/>
  </r>
  <r>
    <d v="2025-12-07T00:00:00"/>
    <x v="9"/>
    <n v="4"/>
    <n v="2025"/>
    <x v="48"/>
    <s v="Week 50"/>
    <s v="Week 50-2025"/>
  </r>
  <r>
    <d v="2025-12-07T00:00:00"/>
    <x v="9"/>
    <n v="4"/>
    <n v="2025"/>
    <x v="48"/>
    <s v="Week 50"/>
    <s v="Week 50-2025"/>
  </r>
  <r>
    <d v="2025-12-07T00:00:00"/>
    <x v="11"/>
    <n v="3"/>
    <n v="2025"/>
    <x v="48"/>
    <s v="Week 50"/>
    <s v="Week 50-2025"/>
  </r>
  <r>
    <d v="2025-12-07T00:00:00"/>
    <x v="11"/>
    <n v="4"/>
    <n v="2025"/>
    <x v="48"/>
    <s v="Week 50"/>
    <s v="Week 50-2025"/>
  </r>
  <r>
    <d v="2025-12-07T00:00:00"/>
    <x v="5"/>
    <n v="2"/>
    <n v="2025"/>
    <x v="48"/>
    <s v="Week 50"/>
    <s v="Week 50-2025"/>
  </r>
  <r>
    <d v="2025-12-07T00:00:00"/>
    <x v="12"/>
    <n v="4"/>
    <n v="2025"/>
    <x v="48"/>
    <s v="Week 50"/>
    <s v="Week 50-2025"/>
  </r>
  <r>
    <d v="2025-12-07T00:00:00"/>
    <x v="12"/>
    <n v="4"/>
    <n v="2025"/>
    <x v="48"/>
    <s v="Week 50"/>
    <s v="Week 50-2025"/>
  </r>
  <r>
    <d v="2025-12-07T00:00:00"/>
    <x v="6"/>
    <n v="2"/>
    <n v="2025"/>
    <x v="48"/>
    <s v="Week 50"/>
    <s v="Week 50-2025"/>
  </r>
  <r>
    <d v="2025-12-07T00:00:00"/>
    <x v="6"/>
    <n v="2"/>
    <n v="2025"/>
    <x v="48"/>
    <s v="Week 50"/>
    <s v="Week 50-2025"/>
  </r>
  <r>
    <d v="2025-12-07T00:00:00"/>
    <x v="15"/>
    <n v="4"/>
    <n v="2025"/>
    <x v="48"/>
    <s v="Week 50"/>
    <s v="Week 50-2025"/>
  </r>
  <r>
    <d v="2025-12-07T00:00:00"/>
    <x v="14"/>
    <n v="2"/>
    <n v="2025"/>
    <x v="48"/>
    <s v="Week 50"/>
    <s v="Week 50-2025"/>
  </r>
  <r>
    <d v="2025-12-07T00:00:00"/>
    <x v="14"/>
    <n v="2"/>
    <n v="2025"/>
    <x v="48"/>
    <s v="Week 50"/>
    <s v="Week 50-2025"/>
  </r>
  <r>
    <d v="2025-12-07T00:00:00"/>
    <x v="14"/>
    <n v="2"/>
    <n v="2025"/>
    <x v="48"/>
    <s v="Week 50"/>
    <s v="Week 50-2025"/>
  </r>
  <r>
    <d v="2025-12-07T00:00:00"/>
    <x v="2"/>
    <n v="3"/>
    <n v="2025"/>
    <x v="48"/>
    <s v="Week 50"/>
    <s v="Week 50-2025"/>
  </r>
  <r>
    <d v="2025-12-07T00:00:00"/>
    <x v="2"/>
    <n v="3"/>
    <n v="2025"/>
    <x v="48"/>
    <s v="Week 50"/>
    <s v="Week 50-2025"/>
  </r>
  <r>
    <d v="2025-12-07T00:00:00"/>
    <x v="3"/>
    <n v="2"/>
    <n v="2025"/>
    <x v="48"/>
    <s v="Week 50"/>
    <s v="Week 50-2025"/>
  </r>
  <r>
    <d v="2025-12-07T00:00:00"/>
    <x v="11"/>
    <n v="2"/>
    <n v="2025"/>
    <x v="48"/>
    <s v="Week 50"/>
    <s v="Week 50-2025"/>
  </r>
  <r>
    <d v="2025-12-07T00:00:00"/>
    <x v="11"/>
    <n v="2"/>
    <n v="2025"/>
    <x v="48"/>
    <s v="Week 50"/>
    <s v="Week 50-2025"/>
  </r>
  <r>
    <d v="2025-12-07T00:00:00"/>
    <x v="9"/>
    <n v="2"/>
    <n v="2025"/>
    <x v="48"/>
    <s v="Week 50"/>
    <s v="Week 50-2025"/>
  </r>
  <r>
    <d v="2025-12-07T00:00:00"/>
    <x v="15"/>
    <n v="3"/>
    <n v="2025"/>
    <x v="48"/>
    <s v="Week 50"/>
    <s v="Week 50-2025"/>
  </r>
  <r>
    <d v="2025-12-07T00:00:00"/>
    <x v="15"/>
    <n v="3"/>
    <n v="2025"/>
    <x v="48"/>
    <s v="Week 50"/>
    <s v="Week 50-2025"/>
  </r>
  <r>
    <d v="2025-12-07T00:00:00"/>
    <x v="26"/>
    <n v="3"/>
    <n v="2025"/>
    <x v="48"/>
    <s v="Week 50"/>
    <s v="Week 50-2025"/>
  </r>
  <r>
    <d v="2025-12-07T00:00:00"/>
    <x v="19"/>
    <n v="3"/>
    <n v="2025"/>
    <x v="48"/>
    <s v="Week 50"/>
    <s v="Week 50-2025"/>
  </r>
  <r>
    <d v="2025-12-07T00:00:00"/>
    <x v="15"/>
    <n v="2"/>
    <n v="2025"/>
    <x v="48"/>
    <s v="Week 50"/>
    <s v="Week 50-2025"/>
  </r>
  <r>
    <d v="2025-12-07T00:00:00"/>
    <x v="15"/>
    <n v="2"/>
    <n v="2025"/>
    <x v="48"/>
    <s v="Week 50"/>
    <s v="Week 50-2025"/>
  </r>
  <r>
    <d v="2025-12-07T00:00:00"/>
    <x v="25"/>
    <n v="2"/>
    <n v="2025"/>
    <x v="48"/>
    <s v="Week 50"/>
    <s v="Week 50-2025"/>
  </r>
  <r>
    <d v="2025-12-07T00:00:00"/>
    <x v="22"/>
    <n v="2"/>
    <n v="2025"/>
    <x v="48"/>
    <s v="Week 50"/>
    <s v="Week 50-2025"/>
  </r>
  <r>
    <d v="2025-12-07T00:00:00"/>
    <x v="15"/>
    <n v="2"/>
    <n v="2025"/>
    <x v="48"/>
    <s v="Week 50"/>
    <s v="Week 50-2025"/>
  </r>
  <r>
    <d v="2025-12-07T00:00:00"/>
    <x v="26"/>
    <n v="2"/>
    <n v="2025"/>
    <x v="48"/>
    <s v="Week 50"/>
    <s v="Week 50-2025"/>
  </r>
  <r>
    <d v="2025-12-07T00:00:00"/>
    <x v="26"/>
    <n v="2"/>
    <n v="2025"/>
    <x v="48"/>
    <s v="Week 50"/>
    <s v="Week 50-2025"/>
  </r>
  <r>
    <d v="2025-12-07T00:00:00"/>
    <x v="28"/>
    <n v="2"/>
    <n v="2025"/>
    <x v="48"/>
    <s v="Week 50"/>
    <s v="Week 50-2025"/>
  </r>
  <r>
    <d v="2025-12-07T00:00:00"/>
    <x v="15"/>
    <n v="1"/>
    <n v="2025"/>
    <x v="48"/>
    <s v="Week 50"/>
    <s v="Week 50-2025"/>
  </r>
  <r>
    <d v="2025-12-07T00:00:00"/>
    <x v="28"/>
    <n v="2"/>
    <n v="2025"/>
    <x v="48"/>
    <s v="Week 50"/>
    <s v="Week 50-2025"/>
  </r>
  <r>
    <d v="2025-12-07T00:00:00"/>
    <x v="28"/>
    <n v="2"/>
    <n v="2025"/>
    <x v="48"/>
    <s v="Week 50"/>
    <s v="Week 50-2025"/>
  </r>
  <r>
    <d v="2025-12-07T00:00:00"/>
    <x v="25"/>
    <n v="1"/>
    <n v="2025"/>
    <x v="48"/>
    <s v="Week 50"/>
    <s v="Week 50-2025"/>
  </r>
  <r>
    <d v="2025-12-07T00:00:00"/>
    <x v="25"/>
    <n v="1"/>
    <n v="2025"/>
    <x v="48"/>
    <s v="Week 50"/>
    <s v="Week 50-2025"/>
  </r>
  <r>
    <d v="2025-12-07T00:00:00"/>
    <x v="22"/>
    <n v="1"/>
    <n v="2025"/>
    <x v="48"/>
    <s v="Week 50"/>
    <s v="Week 50-2025"/>
  </r>
  <r>
    <d v="2025-12-07T00:00:00"/>
    <x v="22"/>
    <n v="1"/>
    <n v="2025"/>
    <x v="48"/>
    <s v="Week 50"/>
    <s v="Week 50-2025"/>
  </r>
  <r>
    <d v="2025-12-07T00:00:00"/>
    <x v="30"/>
    <n v="1"/>
    <n v="2025"/>
    <x v="48"/>
    <s v="Week 50"/>
    <s v="Week 50-2025"/>
  </r>
  <r>
    <d v="2025-12-07T00:00:00"/>
    <x v="30"/>
    <n v="1"/>
    <n v="2025"/>
    <x v="48"/>
    <s v="Week 50"/>
    <s v="Week 50-2025"/>
  </r>
  <r>
    <d v="2025-12-08T00:00:00"/>
    <x v="22"/>
    <n v="4"/>
    <n v="2025"/>
    <x v="49"/>
    <s v="Week 50"/>
    <s v="Week 50-2025"/>
  </r>
  <r>
    <d v="2025-12-10T00:00:00"/>
    <x v="5"/>
    <n v="19"/>
    <n v="2025"/>
    <x v="49"/>
    <s v="Week 50"/>
    <s v="Week 50-2025"/>
  </r>
  <r>
    <d v="2025-12-10T00:00:00"/>
    <x v="5"/>
    <n v="12"/>
    <n v="2025"/>
    <x v="49"/>
    <s v="Week 50"/>
    <s v="Week 50-2025"/>
  </r>
  <r>
    <d v="2025-12-10T00:00:00"/>
    <x v="3"/>
    <n v="20"/>
    <n v="2025"/>
    <x v="49"/>
    <s v="Week 50"/>
    <s v="Week 50-2025"/>
  </r>
  <r>
    <d v="2025-12-10T00:00:00"/>
    <x v="0"/>
    <n v="10"/>
    <n v="2025"/>
    <x v="49"/>
    <s v="Week 50"/>
    <s v="Week 50-2025"/>
  </r>
  <r>
    <d v="2025-12-10T00:00:00"/>
    <x v="0"/>
    <n v="10"/>
    <n v="2025"/>
    <x v="49"/>
    <s v="Week 50"/>
    <s v="Week 50-2025"/>
  </r>
  <r>
    <d v="2025-12-10T00:00:00"/>
    <x v="12"/>
    <n v="23"/>
    <n v="2025"/>
    <x v="49"/>
    <s v="Week 50"/>
    <s v="Week 50-2025"/>
  </r>
  <r>
    <d v="2025-12-10T00:00:00"/>
    <x v="11"/>
    <n v="20"/>
    <n v="2025"/>
    <x v="49"/>
    <s v="Week 50"/>
    <s v="Week 50-2025"/>
  </r>
  <r>
    <d v="2025-12-10T00:00:00"/>
    <x v="5"/>
    <n v="10"/>
    <n v="2025"/>
    <x v="49"/>
    <s v="Week 50"/>
    <s v="Week 50-2025"/>
  </r>
  <r>
    <d v="2025-12-10T00:00:00"/>
    <x v="14"/>
    <n v="12"/>
    <n v="2025"/>
    <x v="49"/>
    <s v="Week 50"/>
    <s v="Week 50-2025"/>
  </r>
  <r>
    <d v="2025-12-10T00:00:00"/>
    <x v="3"/>
    <n v="11"/>
    <n v="2025"/>
    <x v="49"/>
    <s v="Week 50"/>
    <s v="Week 50-2025"/>
  </r>
  <r>
    <d v="2025-12-10T00:00:00"/>
    <x v="12"/>
    <n v="15"/>
    <n v="2025"/>
    <x v="49"/>
    <s v="Week 50"/>
    <s v="Week 50-2025"/>
  </r>
  <r>
    <d v="2025-12-10T00:00:00"/>
    <x v="10"/>
    <n v="10"/>
    <n v="2025"/>
    <x v="49"/>
    <s v="Week 50"/>
    <s v="Week 50-2025"/>
  </r>
  <r>
    <d v="2025-12-10T00:00:00"/>
    <x v="17"/>
    <n v="8"/>
    <n v="2025"/>
    <x v="49"/>
    <s v="Week 50"/>
    <s v="Week 50-2025"/>
  </r>
  <r>
    <d v="2025-12-10T00:00:00"/>
    <x v="14"/>
    <n v="8"/>
    <n v="2025"/>
    <x v="49"/>
    <s v="Week 50"/>
    <s v="Week 50-2025"/>
  </r>
  <r>
    <d v="2025-12-10T00:00:00"/>
    <x v="16"/>
    <n v="4"/>
    <n v="2025"/>
    <x v="49"/>
    <s v="Week 50"/>
    <s v="Week 50-2025"/>
  </r>
  <r>
    <d v="2025-12-10T00:00:00"/>
    <x v="16"/>
    <n v="4"/>
    <n v="2025"/>
    <x v="49"/>
    <s v="Week 50"/>
    <s v="Week 50-2025"/>
  </r>
  <r>
    <d v="2025-12-10T00:00:00"/>
    <x v="4"/>
    <n v="16"/>
    <n v="2025"/>
    <x v="49"/>
    <s v="Week 50"/>
    <s v="Week 50-2025"/>
  </r>
  <r>
    <d v="2025-12-10T00:00:00"/>
    <x v="3"/>
    <n v="7"/>
    <n v="2025"/>
    <x v="49"/>
    <s v="Week 50"/>
    <s v="Week 50-2025"/>
  </r>
  <r>
    <d v="2025-12-10T00:00:00"/>
    <x v="17"/>
    <n v="5"/>
    <n v="2025"/>
    <x v="49"/>
    <s v="Week 50"/>
    <s v="Week 50-2025"/>
  </r>
  <r>
    <d v="2025-12-10T00:00:00"/>
    <x v="17"/>
    <n v="5"/>
    <n v="2025"/>
    <x v="49"/>
    <s v="Week 50"/>
    <s v="Week 50-2025"/>
  </r>
  <r>
    <d v="2025-12-10T00:00:00"/>
    <x v="10"/>
    <n v="6"/>
    <n v="2025"/>
    <x v="49"/>
    <s v="Week 50"/>
    <s v="Week 50-2025"/>
  </r>
  <r>
    <d v="2025-12-10T00:00:00"/>
    <x v="3"/>
    <n v="5"/>
    <n v="2025"/>
    <x v="49"/>
    <s v="Week 50"/>
    <s v="Week 50-2025"/>
  </r>
  <r>
    <d v="2025-12-10T00:00:00"/>
    <x v="0"/>
    <n v="3"/>
    <n v="2025"/>
    <x v="49"/>
    <s v="Week 50"/>
    <s v="Week 50-2025"/>
  </r>
  <r>
    <d v="2025-12-10T00:00:00"/>
    <x v="2"/>
    <n v="6"/>
    <n v="2025"/>
    <x v="49"/>
    <s v="Week 50"/>
    <s v="Week 50-2025"/>
  </r>
  <r>
    <d v="2025-12-10T00:00:00"/>
    <x v="17"/>
    <n v="4"/>
    <n v="2025"/>
    <x v="49"/>
    <s v="Week 50"/>
    <s v="Week 50-2025"/>
  </r>
  <r>
    <d v="2025-12-10T00:00:00"/>
    <x v="5"/>
    <n v="3"/>
    <n v="2025"/>
    <x v="49"/>
    <s v="Week 50"/>
    <s v="Week 50-2025"/>
  </r>
  <r>
    <d v="2025-12-10T00:00:00"/>
    <x v="5"/>
    <n v="3"/>
    <n v="2025"/>
    <x v="49"/>
    <s v="Week 50"/>
    <s v="Week 50-2025"/>
  </r>
  <r>
    <d v="2025-12-10T00:00:00"/>
    <x v="5"/>
    <n v="3"/>
    <n v="2025"/>
    <x v="49"/>
    <s v="Week 50"/>
    <s v="Week 50-2025"/>
  </r>
  <r>
    <d v="2025-12-10T00:00:00"/>
    <x v="4"/>
    <n v="10"/>
    <n v="2025"/>
    <x v="49"/>
    <s v="Week 50"/>
    <s v="Week 50-2025"/>
  </r>
  <r>
    <d v="2025-12-10T00:00:00"/>
    <x v="14"/>
    <n v="4"/>
    <n v="2025"/>
    <x v="49"/>
    <s v="Week 50"/>
    <s v="Week 50-2025"/>
  </r>
  <r>
    <d v="2025-12-10T00:00:00"/>
    <x v="15"/>
    <n v="8"/>
    <n v="2025"/>
    <x v="49"/>
    <s v="Week 50"/>
    <s v="Week 50-2025"/>
  </r>
  <r>
    <d v="2025-12-10T00:00:00"/>
    <x v="15"/>
    <n v="8"/>
    <n v="2025"/>
    <x v="49"/>
    <s v="Week 50"/>
    <s v="Week 50-2025"/>
  </r>
  <r>
    <d v="2025-12-10T00:00:00"/>
    <x v="1"/>
    <n v="7"/>
    <n v="2025"/>
    <x v="49"/>
    <s v="Week 50"/>
    <s v="Week 50-2025"/>
  </r>
  <r>
    <d v="2025-12-10T00:00:00"/>
    <x v="3"/>
    <n v="4"/>
    <n v="2025"/>
    <x v="49"/>
    <s v="Week 50"/>
    <s v="Week 50-2025"/>
  </r>
  <r>
    <d v="2025-12-10T00:00:00"/>
    <x v="33"/>
    <n v="8"/>
    <n v="2025"/>
    <x v="49"/>
    <s v="Week 50"/>
    <s v="Week 50-2025"/>
  </r>
  <r>
    <d v="2025-12-10T00:00:00"/>
    <x v="33"/>
    <n v="8"/>
    <n v="2025"/>
    <x v="49"/>
    <s v="Week 50"/>
    <s v="Week 50-2025"/>
  </r>
  <r>
    <d v="2025-12-10T00:00:00"/>
    <x v="12"/>
    <n v="5"/>
    <n v="2025"/>
    <x v="49"/>
    <s v="Week 50"/>
    <s v="Week 50-2025"/>
  </r>
  <r>
    <d v="2025-12-10T00:00:00"/>
    <x v="1"/>
    <n v="6"/>
    <n v="2025"/>
    <x v="49"/>
    <s v="Week 50"/>
    <s v="Week 50-2025"/>
  </r>
  <r>
    <d v="2025-12-10T00:00:00"/>
    <x v="5"/>
    <n v="2"/>
    <n v="2025"/>
    <x v="49"/>
    <s v="Week 50"/>
    <s v="Week 50-2025"/>
  </r>
  <r>
    <d v="2025-12-10T00:00:00"/>
    <x v="1"/>
    <n v="5"/>
    <n v="2025"/>
    <x v="49"/>
    <s v="Week 50"/>
    <s v="Week 50-2025"/>
  </r>
  <r>
    <d v="2025-12-10T00:00:00"/>
    <x v="1"/>
    <n v="5"/>
    <n v="2025"/>
    <x v="49"/>
    <s v="Week 50"/>
    <s v="Week 50-2025"/>
  </r>
  <r>
    <d v="2025-12-10T00:00:00"/>
    <x v="19"/>
    <n v="6"/>
    <n v="2025"/>
    <x v="49"/>
    <s v="Week 50"/>
    <s v="Week 50-2025"/>
  </r>
  <r>
    <d v="2025-12-10T00:00:00"/>
    <x v="19"/>
    <n v="6"/>
    <n v="2025"/>
    <x v="49"/>
    <s v="Week 50"/>
    <s v="Week 50-2025"/>
  </r>
  <r>
    <d v="2025-12-10T00:00:00"/>
    <x v="4"/>
    <n v="5"/>
    <n v="2025"/>
    <x v="49"/>
    <s v="Week 50"/>
    <s v="Week 50-2025"/>
  </r>
  <r>
    <d v="2025-12-10T00:00:00"/>
    <x v="35"/>
    <n v="4"/>
    <n v="2025"/>
    <x v="49"/>
    <s v="Week 50"/>
    <s v="Week 50-2025"/>
  </r>
  <r>
    <d v="2025-12-10T00:00:00"/>
    <x v="3"/>
    <n v="2"/>
    <n v="2025"/>
    <x v="49"/>
    <s v="Week 50"/>
    <s v="Week 50-2025"/>
  </r>
  <r>
    <d v="2025-12-10T00:00:00"/>
    <x v="27"/>
    <n v="4"/>
    <n v="2025"/>
    <x v="49"/>
    <s v="Week 50"/>
    <s v="Week 50-2025"/>
  </r>
  <r>
    <d v="2025-12-10T00:00:00"/>
    <x v="40"/>
    <n v="2"/>
    <n v="2025"/>
    <x v="49"/>
    <s v="Week 50"/>
    <s v="Week 50-2025"/>
  </r>
  <r>
    <d v="2025-12-10T00:00:00"/>
    <x v="21"/>
    <n v="3"/>
    <n v="2025"/>
    <x v="49"/>
    <s v="Week 50"/>
    <s v="Week 50-2025"/>
  </r>
  <r>
    <d v="2025-12-10T00:00:00"/>
    <x v="3"/>
    <n v="1"/>
    <n v="2025"/>
    <x v="49"/>
    <s v="Week 50"/>
    <s v="Week 50-2025"/>
  </r>
  <r>
    <d v="2025-12-10T00:00:00"/>
    <x v="35"/>
    <n v="2"/>
    <n v="2025"/>
    <x v="49"/>
    <s v="Week 50"/>
    <s v="Week 50-2025"/>
  </r>
  <r>
    <d v="2025-12-10T00:00:00"/>
    <x v="33"/>
    <n v="2"/>
    <n v="2025"/>
    <x v="49"/>
    <s v="Week 50"/>
    <s v="Week 50-2025"/>
  </r>
  <r>
    <d v="2025-12-10T00:00:00"/>
    <x v="33"/>
    <n v="2"/>
    <n v="2025"/>
    <x v="49"/>
    <s v="Week 50"/>
    <s v="Week 50-2025"/>
  </r>
  <r>
    <d v="2025-12-10T00:00:00"/>
    <x v="4"/>
    <n v="2"/>
    <n v="2025"/>
    <x v="49"/>
    <s v="Week 50"/>
    <s v="Week 50-2025"/>
  </r>
  <r>
    <d v="2025-12-10T00:00:00"/>
    <x v="12"/>
    <n v="1"/>
    <n v="2025"/>
    <x v="49"/>
    <s v="Week 50"/>
    <s v="Week 50-2025"/>
  </r>
  <r>
    <d v="2025-12-10T00:00:00"/>
    <x v="12"/>
    <n v="1"/>
    <n v="2025"/>
    <x v="49"/>
    <s v="Week 50"/>
    <s v="Week 50-2025"/>
  </r>
  <r>
    <d v="2025-12-10T00:00:00"/>
    <x v="12"/>
    <n v="1"/>
    <n v="2025"/>
    <x v="49"/>
    <s v="Week 50"/>
    <s v="Week 50-2025"/>
  </r>
  <r>
    <d v="2025-12-10T00:00:00"/>
    <x v="28"/>
    <n v="2"/>
    <n v="2025"/>
    <x v="49"/>
    <s v="Week 50"/>
    <s v="Week 50-2025"/>
  </r>
  <r>
    <d v="2025-12-10T00:00:00"/>
    <x v="30"/>
    <n v="2"/>
    <n v="2025"/>
    <x v="49"/>
    <s v="Week 50"/>
    <s v="Week 50-2025"/>
  </r>
  <r>
    <d v="2025-12-10T00:00:00"/>
    <x v="1"/>
    <n v="1"/>
    <n v="2025"/>
    <x v="49"/>
    <s v="Week 50"/>
    <s v="Week 50-2025"/>
  </r>
  <r>
    <d v="2025-12-10T00:00:00"/>
    <x v="1"/>
    <n v="1"/>
    <n v="2025"/>
    <x v="49"/>
    <s v="Week 50"/>
    <s v="Week 50-2025"/>
  </r>
  <r>
    <d v="2025-12-10T00:00:00"/>
    <x v="4"/>
    <n v="1"/>
    <n v="2025"/>
    <x v="49"/>
    <s v="Week 50"/>
    <s v="Week 50-2025"/>
  </r>
  <r>
    <d v="2025-12-10T00:00:00"/>
    <x v="4"/>
    <n v="1"/>
    <n v="2025"/>
    <x v="49"/>
    <s v="Week 50"/>
    <s v="Week 50-2025"/>
  </r>
  <r>
    <d v="2025-12-11T00:00:00"/>
    <x v="12"/>
    <n v="18"/>
    <n v="2025"/>
    <x v="49"/>
    <s v="Week 50"/>
    <s v="Week 50-2025"/>
  </r>
  <r>
    <d v="2025-12-11T00:00:00"/>
    <x v="11"/>
    <n v="11"/>
    <n v="2025"/>
    <x v="49"/>
    <s v="Week 50"/>
    <s v="Week 50-2025"/>
  </r>
  <r>
    <d v="2025-12-11T00:00:00"/>
    <x v="3"/>
    <n v="2"/>
    <n v="2025"/>
    <x v="49"/>
    <s v="Week 50"/>
    <s v="Week 50-2025"/>
  </r>
  <r>
    <d v="2025-12-11T00:00:00"/>
    <x v="3"/>
    <n v="2"/>
    <n v="2025"/>
    <x v="49"/>
    <s v="Week 50"/>
    <s v="Week 50-2025"/>
  </r>
  <r>
    <d v="2025-12-11T00:00:00"/>
    <x v="19"/>
    <n v="1"/>
    <n v="2025"/>
    <x v="49"/>
    <s v="Week 50"/>
    <s v="Week 50-2025"/>
  </r>
  <r>
    <d v="2025-12-12T00:00:00"/>
    <x v="12"/>
    <n v="32"/>
    <n v="2025"/>
    <x v="49"/>
    <s v="Week 50"/>
    <s v="Week 50-2025"/>
  </r>
  <r>
    <d v="2025-12-12T00:00:00"/>
    <x v="3"/>
    <n v="22"/>
    <n v="2025"/>
    <x v="49"/>
    <s v="Week 50"/>
    <s v="Week 50-2025"/>
  </r>
  <r>
    <d v="2025-12-12T00:00:00"/>
    <x v="3"/>
    <n v="16"/>
    <n v="2025"/>
    <x v="49"/>
    <s v="Week 50"/>
    <s v="Week 50-2025"/>
  </r>
  <r>
    <d v="2025-12-12T00:00:00"/>
    <x v="13"/>
    <n v="8"/>
    <n v="2025"/>
    <x v="49"/>
    <s v="Week 50"/>
    <s v="Week 50-2025"/>
  </r>
  <r>
    <d v="2025-12-12T00:00:00"/>
    <x v="11"/>
    <n v="10"/>
    <n v="2025"/>
    <x v="49"/>
    <s v="Week 50"/>
    <s v="Week 50-2025"/>
  </r>
  <r>
    <d v="2025-12-12T00:00:00"/>
    <x v="15"/>
    <n v="13"/>
    <n v="2025"/>
    <x v="49"/>
    <s v="Week 50"/>
    <s v="Week 50-2025"/>
  </r>
  <r>
    <d v="2025-12-12T00:00:00"/>
    <x v="12"/>
    <n v="6"/>
    <n v="2025"/>
    <x v="49"/>
    <s v="Week 50"/>
    <s v="Week 50-2025"/>
  </r>
  <r>
    <d v="2025-12-12T00:00:00"/>
    <x v="4"/>
    <n v="9"/>
    <n v="2025"/>
    <x v="49"/>
    <s v="Week 50"/>
    <s v="Week 50-2025"/>
  </r>
  <r>
    <d v="2025-12-12T00:00:00"/>
    <x v="11"/>
    <n v="4"/>
    <n v="2025"/>
    <x v="49"/>
    <s v="Week 50"/>
    <s v="Week 50-2025"/>
  </r>
  <r>
    <d v="2025-12-12T00:00:00"/>
    <x v="10"/>
    <n v="2"/>
    <n v="2025"/>
    <x v="49"/>
    <s v="Week 50"/>
    <s v="Week 50-2025"/>
  </r>
  <r>
    <d v="2025-12-12T00:00:00"/>
    <x v="18"/>
    <n v="4"/>
    <n v="2025"/>
    <x v="49"/>
    <s v="Week 50"/>
    <s v="Week 50-2025"/>
  </r>
  <r>
    <d v="2025-12-12T00:00:00"/>
    <x v="30"/>
    <n v="4"/>
    <n v="2025"/>
    <x v="49"/>
    <s v="Week 50"/>
    <s v="Week 50-2025"/>
  </r>
  <r>
    <d v="2025-12-12T00:00:00"/>
    <x v="32"/>
    <n v="4"/>
    <n v="2025"/>
    <x v="49"/>
    <s v="Week 50"/>
    <s v="Week 50-2025"/>
  </r>
  <r>
    <d v="2025-12-12T00:00:00"/>
    <x v="4"/>
    <n v="3"/>
    <n v="2025"/>
    <x v="49"/>
    <s v="Week 50"/>
    <s v="Week 50-2025"/>
  </r>
  <r>
    <d v="2025-12-12T00:00:00"/>
    <x v="30"/>
    <n v="1"/>
    <n v="2025"/>
    <x v="49"/>
    <s v="Week 50"/>
    <s v="Week 50-2025"/>
  </r>
  <r>
    <d v="2025-12-12T00:00:00"/>
    <x v="32"/>
    <n v="1"/>
    <n v="2025"/>
    <x v="49"/>
    <s v="Week 50"/>
    <s v="Week 50-2025"/>
  </r>
  <r>
    <d v="2025-12-13T00:00:00"/>
    <x v="5"/>
    <n v="19"/>
    <n v="2025"/>
    <x v="49"/>
    <s v="Week 50"/>
    <s v="Week 50-2025"/>
  </r>
  <r>
    <d v="2025-12-13T00:00:00"/>
    <x v="5"/>
    <n v="12"/>
    <n v="2025"/>
    <x v="49"/>
    <s v="Week 50"/>
    <s v="Week 50-2025"/>
  </r>
  <r>
    <d v="2025-12-13T00:00:00"/>
    <x v="5"/>
    <n v="12"/>
    <n v="2025"/>
    <x v="49"/>
    <s v="Week 50"/>
    <s v="Week 50-2025"/>
  </r>
  <r>
    <d v="2025-12-13T00:00:00"/>
    <x v="12"/>
    <n v="16"/>
    <n v="2025"/>
    <x v="49"/>
    <s v="Week 50"/>
    <s v="Week 50-2025"/>
  </r>
  <r>
    <d v="2025-12-13T00:00:00"/>
    <x v="6"/>
    <n v="7"/>
    <n v="2025"/>
    <x v="49"/>
    <s v="Week 50"/>
    <s v="Week 50-2025"/>
  </r>
  <r>
    <d v="2025-12-13T00:00:00"/>
    <x v="6"/>
    <n v="5"/>
    <n v="2025"/>
    <x v="49"/>
    <s v="Week 50"/>
    <s v="Week 50-2025"/>
  </r>
  <r>
    <d v="2025-12-13T00:00:00"/>
    <x v="16"/>
    <n v="3"/>
    <n v="2025"/>
    <x v="49"/>
    <s v="Week 50"/>
    <s v="Week 50-2025"/>
  </r>
  <r>
    <d v="2025-12-13T00:00:00"/>
    <x v="16"/>
    <n v="3"/>
    <n v="2025"/>
    <x v="49"/>
    <s v="Week 50"/>
    <s v="Week 50-2025"/>
  </r>
  <r>
    <d v="2025-12-13T00:00:00"/>
    <x v="29"/>
    <n v="2"/>
    <n v="2025"/>
    <x v="49"/>
    <s v="Week 50"/>
    <s v="Week 50-2025"/>
  </r>
  <r>
    <d v="2025-12-13T00:00:00"/>
    <x v="29"/>
    <n v="2"/>
    <n v="2025"/>
    <x v="49"/>
    <s v="Week 50"/>
    <s v="Week 50-2025"/>
  </r>
  <r>
    <d v="2025-12-13T00:00:00"/>
    <x v="14"/>
    <n v="5"/>
    <n v="2025"/>
    <x v="49"/>
    <s v="Week 50"/>
    <s v="Week 50-2025"/>
  </r>
  <r>
    <d v="2025-12-13T00:00:00"/>
    <x v="6"/>
    <n v="4"/>
    <n v="2025"/>
    <x v="49"/>
    <s v="Week 50"/>
    <s v="Week 50-2025"/>
  </r>
  <r>
    <d v="2025-12-13T00:00:00"/>
    <x v="11"/>
    <n v="6"/>
    <n v="2025"/>
    <x v="49"/>
    <s v="Week 50"/>
    <s v="Week 50-2025"/>
  </r>
  <r>
    <d v="2025-12-13T00:00:00"/>
    <x v="17"/>
    <n v="4"/>
    <n v="2025"/>
    <x v="49"/>
    <s v="Week 50"/>
    <s v="Week 50-2025"/>
  </r>
  <r>
    <d v="2025-12-13T00:00:00"/>
    <x v="17"/>
    <n v="4"/>
    <n v="2025"/>
    <x v="49"/>
    <s v="Week 50"/>
    <s v="Week 50-2025"/>
  </r>
  <r>
    <d v="2025-12-13T00:00:00"/>
    <x v="14"/>
    <n v="4"/>
    <n v="2025"/>
    <x v="49"/>
    <s v="Week 50"/>
    <s v="Week 50-2025"/>
  </r>
  <r>
    <d v="2025-12-13T00:00:00"/>
    <x v="14"/>
    <n v="4"/>
    <n v="2025"/>
    <x v="49"/>
    <s v="Week 50"/>
    <s v="Week 50-2025"/>
  </r>
  <r>
    <d v="2025-12-13T00:00:00"/>
    <x v="3"/>
    <n v="4"/>
    <n v="2025"/>
    <x v="49"/>
    <s v="Week 50"/>
    <s v="Week 50-2025"/>
  </r>
  <r>
    <d v="2025-12-13T00:00:00"/>
    <x v="3"/>
    <n v="4"/>
    <n v="2025"/>
    <x v="49"/>
    <s v="Week 50"/>
    <s v="Week 50-2025"/>
  </r>
  <r>
    <d v="2025-12-13T00:00:00"/>
    <x v="3"/>
    <n v="4"/>
    <n v="2025"/>
    <x v="49"/>
    <s v="Week 50"/>
    <s v="Week 50-2025"/>
  </r>
  <r>
    <d v="2025-12-13T00:00:00"/>
    <x v="3"/>
    <n v="4"/>
    <n v="2025"/>
    <x v="49"/>
    <s v="Week 50"/>
    <s v="Week 50-2025"/>
  </r>
  <r>
    <d v="2025-12-13T00:00:00"/>
    <x v="22"/>
    <n v="6"/>
    <n v="2025"/>
    <x v="49"/>
    <s v="Week 50"/>
    <s v="Week 50-2025"/>
  </r>
  <r>
    <d v="2025-12-13T00:00:00"/>
    <x v="22"/>
    <n v="6"/>
    <n v="2025"/>
    <x v="49"/>
    <s v="Week 50"/>
    <s v="Week 50-2025"/>
  </r>
  <r>
    <d v="2025-12-13T00:00:00"/>
    <x v="4"/>
    <n v="8"/>
    <n v="2025"/>
    <x v="49"/>
    <s v="Week 50"/>
    <s v="Week 50-2025"/>
  </r>
  <r>
    <d v="2025-12-13T00:00:00"/>
    <x v="4"/>
    <n v="8"/>
    <n v="2025"/>
    <x v="49"/>
    <s v="Week 50"/>
    <s v="Week 50-2025"/>
  </r>
  <r>
    <d v="2025-12-13T00:00:00"/>
    <x v="4"/>
    <n v="8"/>
    <n v="2025"/>
    <x v="49"/>
    <s v="Week 50"/>
    <s v="Week 50-2025"/>
  </r>
  <r>
    <d v="2025-12-13T00:00:00"/>
    <x v="11"/>
    <n v="4"/>
    <n v="2025"/>
    <x v="49"/>
    <s v="Week 50"/>
    <s v="Week 50-2025"/>
  </r>
  <r>
    <d v="2025-12-13T00:00:00"/>
    <x v="1"/>
    <n v="6"/>
    <n v="2025"/>
    <x v="49"/>
    <s v="Week 50"/>
    <s v="Week 50-2025"/>
  </r>
  <r>
    <d v="2025-12-13T00:00:00"/>
    <x v="1"/>
    <n v="6"/>
    <n v="2025"/>
    <x v="49"/>
    <s v="Week 50"/>
    <s v="Week 50-2025"/>
  </r>
  <r>
    <d v="2025-12-13T00:00:00"/>
    <x v="14"/>
    <n v="3"/>
    <n v="2025"/>
    <x v="49"/>
    <s v="Week 50"/>
    <s v="Week 50-2025"/>
  </r>
  <r>
    <d v="2025-12-13T00:00:00"/>
    <x v="15"/>
    <n v="6"/>
    <n v="2025"/>
    <x v="49"/>
    <s v="Week 50"/>
    <s v="Week 50-2025"/>
  </r>
  <r>
    <d v="2025-12-13T00:00:00"/>
    <x v="4"/>
    <n v="6"/>
    <n v="2025"/>
    <x v="49"/>
    <s v="Week 50"/>
    <s v="Week 50-2025"/>
  </r>
  <r>
    <d v="2025-12-13T00:00:00"/>
    <x v="9"/>
    <n v="3"/>
    <n v="2025"/>
    <x v="49"/>
    <s v="Week 50"/>
    <s v="Week 50-2025"/>
  </r>
  <r>
    <d v="2025-12-13T00:00:00"/>
    <x v="9"/>
    <n v="3"/>
    <n v="2025"/>
    <x v="49"/>
    <s v="Week 50"/>
    <s v="Week 50-2025"/>
  </r>
  <r>
    <d v="2025-12-13T00:00:00"/>
    <x v="19"/>
    <n v="5"/>
    <n v="2025"/>
    <x v="49"/>
    <s v="Week 50"/>
    <s v="Week 50-2025"/>
  </r>
  <r>
    <d v="2025-12-13T00:00:00"/>
    <x v="13"/>
    <n v="2"/>
    <n v="2025"/>
    <x v="49"/>
    <s v="Week 50"/>
    <s v="Week 50-2025"/>
  </r>
  <r>
    <d v="2025-12-13T00:00:00"/>
    <x v="13"/>
    <n v="2"/>
    <n v="2025"/>
    <x v="49"/>
    <s v="Week 50"/>
    <s v="Week 50-2025"/>
  </r>
  <r>
    <d v="2025-12-13T00:00:00"/>
    <x v="13"/>
    <n v="2"/>
    <n v="2025"/>
    <x v="49"/>
    <s v="Week 50"/>
    <s v="Week 50-2025"/>
  </r>
  <r>
    <d v="2025-12-13T00:00:00"/>
    <x v="13"/>
    <n v="2"/>
    <n v="2025"/>
    <x v="49"/>
    <s v="Week 50"/>
    <s v="Week 50-2025"/>
  </r>
  <r>
    <d v="2025-12-13T00:00:00"/>
    <x v="27"/>
    <n v="6"/>
    <n v="2025"/>
    <x v="49"/>
    <s v="Week 50"/>
    <s v="Week 50-2025"/>
  </r>
  <r>
    <d v="2025-12-13T00:00:00"/>
    <x v="17"/>
    <n v="2"/>
    <n v="2025"/>
    <x v="49"/>
    <s v="Week 50"/>
    <s v="Week 50-2025"/>
  </r>
  <r>
    <d v="2025-12-13T00:00:00"/>
    <x v="17"/>
    <n v="2"/>
    <n v="2025"/>
    <x v="49"/>
    <s v="Week 50"/>
    <s v="Week 50-2025"/>
  </r>
  <r>
    <d v="2025-12-13T00:00:00"/>
    <x v="12"/>
    <n v="3"/>
    <n v="2025"/>
    <x v="49"/>
    <s v="Week 50"/>
    <s v="Week 50-2025"/>
  </r>
  <r>
    <d v="2025-12-13T00:00:00"/>
    <x v="12"/>
    <n v="3"/>
    <n v="2025"/>
    <x v="49"/>
    <s v="Week 50"/>
    <s v="Week 50-2025"/>
  </r>
  <r>
    <d v="2025-12-13T00:00:00"/>
    <x v="14"/>
    <n v="2"/>
    <n v="2025"/>
    <x v="49"/>
    <s v="Week 50"/>
    <s v="Week 50-2025"/>
  </r>
  <r>
    <d v="2025-12-13T00:00:00"/>
    <x v="14"/>
    <n v="2"/>
    <n v="2025"/>
    <x v="49"/>
    <s v="Week 50"/>
    <s v="Week 50-2025"/>
  </r>
  <r>
    <d v="2025-12-13T00:00:00"/>
    <x v="14"/>
    <n v="2"/>
    <n v="2025"/>
    <x v="49"/>
    <s v="Week 50"/>
    <s v="Week 50-2025"/>
  </r>
  <r>
    <d v="2025-12-13T00:00:00"/>
    <x v="28"/>
    <n v="6"/>
    <n v="2025"/>
    <x v="49"/>
    <s v="Week 50"/>
    <s v="Week 50-2025"/>
  </r>
  <r>
    <d v="2025-12-13T00:00:00"/>
    <x v="28"/>
    <n v="6"/>
    <n v="2025"/>
    <x v="49"/>
    <s v="Week 50"/>
    <s v="Week 50-2025"/>
  </r>
  <r>
    <d v="2025-12-13T00:00:00"/>
    <x v="10"/>
    <n v="2"/>
    <n v="2025"/>
    <x v="49"/>
    <s v="Week 50"/>
    <s v="Week 50-2025"/>
  </r>
  <r>
    <d v="2025-12-13T00:00:00"/>
    <x v="26"/>
    <n v="4"/>
    <n v="2025"/>
    <x v="49"/>
    <s v="Week 50"/>
    <s v="Week 50-2025"/>
  </r>
  <r>
    <d v="2025-12-13T00:00:00"/>
    <x v="26"/>
    <n v="4"/>
    <n v="2025"/>
    <x v="49"/>
    <s v="Week 50"/>
    <s v="Week 50-2025"/>
  </r>
  <r>
    <d v="2025-12-13T00:00:00"/>
    <x v="19"/>
    <n v="4"/>
    <n v="2025"/>
    <x v="49"/>
    <s v="Week 50"/>
    <s v="Week 50-2025"/>
  </r>
  <r>
    <d v="2025-12-13T00:00:00"/>
    <x v="16"/>
    <n v="1"/>
    <n v="2025"/>
    <x v="49"/>
    <s v="Week 50"/>
    <s v="Week 50-2025"/>
  </r>
  <r>
    <d v="2025-12-13T00:00:00"/>
    <x v="16"/>
    <n v="1"/>
    <n v="2025"/>
    <x v="49"/>
    <s v="Week 50"/>
    <s v="Week 50-2025"/>
  </r>
  <r>
    <d v="2025-12-13T00:00:00"/>
    <x v="22"/>
    <n v="3"/>
    <n v="2025"/>
    <x v="49"/>
    <s v="Week 50"/>
    <s v="Week 50-2025"/>
  </r>
  <r>
    <d v="2025-12-13T00:00:00"/>
    <x v="22"/>
    <n v="3"/>
    <n v="2025"/>
    <x v="49"/>
    <s v="Week 50"/>
    <s v="Week 50-2025"/>
  </r>
  <r>
    <d v="2025-12-13T00:00:00"/>
    <x v="19"/>
    <n v="3"/>
    <n v="2025"/>
    <x v="49"/>
    <s v="Week 50"/>
    <s v="Week 50-2025"/>
  </r>
  <r>
    <d v="2025-12-13T00:00:00"/>
    <x v="19"/>
    <n v="3"/>
    <n v="2025"/>
    <x v="49"/>
    <s v="Week 50"/>
    <s v="Week 50-2025"/>
  </r>
  <r>
    <d v="2025-12-13T00:00:00"/>
    <x v="6"/>
    <n v="1"/>
    <n v="2025"/>
    <x v="49"/>
    <s v="Week 50"/>
    <s v="Week 50-2025"/>
  </r>
  <r>
    <d v="2025-12-13T00:00:00"/>
    <x v="25"/>
    <n v="2"/>
    <n v="2025"/>
    <x v="49"/>
    <s v="Week 50"/>
    <s v="Week 50-2025"/>
  </r>
  <r>
    <d v="2025-12-13T00:00:00"/>
    <x v="18"/>
    <n v="3"/>
    <n v="2025"/>
    <x v="49"/>
    <s v="Week 50"/>
    <s v="Week 50-2025"/>
  </r>
  <r>
    <d v="2025-12-13T00:00:00"/>
    <x v="15"/>
    <n v="2"/>
    <n v="2025"/>
    <x v="49"/>
    <s v="Week 50"/>
    <s v="Week 50-2025"/>
  </r>
  <r>
    <d v="2025-12-13T00:00:00"/>
    <x v="15"/>
    <n v="2"/>
    <n v="2025"/>
    <x v="49"/>
    <s v="Week 50"/>
    <s v="Week 50-2025"/>
  </r>
  <r>
    <d v="2025-12-13T00:00:00"/>
    <x v="19"/>
    <n v="2"/>
    <n v="2025"/>
    <x v="49"/>
    <s v="Week 50"/>
    <s v="Week 50-2025"/>
  </r>
  <r>
    <d v="2025-12-13T00:00:00"/>
    <x v="19"/>
    <n v="2"/>
    <n v="2025"/>
    <x v="49"/>
    <s v="Week 50"/>
    <s v="Week 50-2025"/>
  </r>
  <r>
    <d v="2025-12-13T00:00:00"/>
    <x v="35"/>
    <n v="2"/>
    <n v="2025"/>
    <x v="49"/>
    <s v="Week 50"/>
    <s v="Week 50-2025"/>
  </r>
  <r>
    <d v="2025-12-13T00:00:00"/>
    <x v="4"/>
    <n v="2"/>
    <n v="2025"/>
    <x v="49"/>
    <s v="Week 50"/>
    <s v="Week 50-2025"/>
  </r>
  <r>
    <d v="2025-12-13T00:00:00"/>
    <x v="9"/>
    <n v="1"/>
    <n v="2025"/>
    <x v="49"/>
    <s v="Week 50"/>
    <s v="Week 50-2025"/>
  </r>
  <r>
    <d v="2025-12-13T00:00:00"/>
    <x v="9"/>
    <n v="1"/>
    <n v="2025"/>
    <x v="49"/>
    <s v="Week 50"/>
    <s v="Week 50-2025"/>
  </r>
  <r>
    <d v="2025-12-13T00:00:00"/>
    <x v="27"/>
    <n v="2"/>
    <n v="2025"/>
    <x v="49"/>
    <s v="Week 50"/>
    <s v="Week 50-2025"/>
  </r>
  <r>
    <d v="2025-12-13T00:00:00"/>
    <x v="2"/>
    <n v="1"/>
    <n v="2025"/>
    <x v="49"/>
    <s v="Week 50"/>
    <s v="Week 50-2025"/>
  </r>
  <r>
    <d v="2025-12-13T00:00:00"/>
    <x v="2"/>
    <n v="1"/>
    <n v="2025"/>
    <x v="49"/>
    <s v="Week 50"/>
    <s v="Week 50-2025"/>
  </r>
  <r>
    <d v="2025-12-13T00:00:00"/>
    <x v="30"/>
    <n v="2"/>
    <n v="2025"/>
    <x v="49"/>
    <s v="Week 50"/>
    <s v="Week 50-2025"/>
  </r>
  <r>
    <d v="2025-12-13T00:00:00"/>
    <x v="30"/>
    <n v="2"/>
    <n v="2025"/>
    <x v="49"/>
    <s v="Week 50"/>
    <s v="Week 50-2025"/>
  </r>
  <r>
    <d v="2025-12-13T00:00:00"/>
    <x v="19"/>
    <n v="1"/>
    <n v="2025"/>
    <x v="49"/>
    <s v="Week 50"/>
    <s v="Week 50-2025"/>
  </r>
  <r>
    <d v="2025-12-13T00:00:00"/>
    <x v="35"/>
    <n v="1"/>
    <n v="2025"/>
    <x v="49"/>
    <s v="Week 50"/>
    <s v="Week 50-2025"/>
  </r>
  <r>
    <d v="2025-12-13T00:00:00"/>
    <x v="35"/>
    <n v="1"/>
    <n v="2025"/>
    <x v="49"/>
    <s v="Week 50"/>
    <s v="Week 50-2025"/>
  </r>
  <r>
    <d v="2025-12-13T00:00:00"/>
    <x v="18"/>
    <n v="1"/>
    <n v="2025"/>
    <x v="49"/>
    <s v="Week 50"/>
    <s v="Week 50-2025"/>
  </r>
  <r>
    <d v="2025-12-14T00:00:00"/>
    <x v="13"/>
    <n v="14"/>
    <n v="2025"/>
    <x v="49"/>
    <s v="Week 51"/>
    <s v="Week 51-2025"/>
  </r>
  <r>
    <d v="2025-12-14T00:00:00"/>
    <x v="10"/>
    <n v="6"/>
    <n v="2025"/>
    <x v="49"/>
    <s v="Week 51"/>
    <s v="Week 51-2025"/>
  </r>
  <r>
    <d v="2025-12-15T00:00:00"/>
    <x v="27"/>
    <n v="9"/>
    <n v="2025"/>
    <x v="50"/>
    <s v="Week 51"/>
    <s v="Week 51-2025"/>
  </r>
  <r>
    <d v="2025-12-15T00:00:00"/>
    <x v="27"/>
    <n v="1"/>
    <n v="2025"/>
    <x v="50"/>
    <s v="Week 51"/>
    <s v="Week 51-2025"/>
  </r>
  <r>
    <d v="2025-12-16T00:00:00"/>
    <x v="3"/>
    <n v="6"/>
    <n v="2025"/>
    <x v="50"/>
    <s v="Week 51"/>
    <s v="Week 51-2025"/>
  </r>
  <r>
    <d v="2025-12-16T00:00:00"/>
    <x v="35"/>
    <n v="2"/>
    <n v="2025"/>
    <x v="50"/>
    <s v="Week 51"/>
    <s v="Week 51-2025"/>
  </r>
  <r>
    <d v="2025-12-17T00:00:00"/>
    <x v="12"/>
    <n v="31"/>
    <n v="2025"/>
    <x v="50"/>
    <s v="Week 51"/>
    <s v="Week 51-2025"/>
  </r>
  <r>
    <d v="2025-12-17T00:00:00"/>
    <x v="3"/>
    <n v="18"/>
    <n v="2025"/>
    <x v="50"/>
    <s v="Week 51"/>
    <s v="Week 51-2025"/>
  </r>
  <r>
    <d v="2025-12-17T00:00:00"/>
    <x v="17"/>
    <n v="12"/>
    <n v="2025"/>
    <x v="50"/>
    <s v="Week 51"/>
    <s v="Week 51-2025"/>
  </r>
  <r>
    <d v="2025-12-17T00:00:00"/>
    <x v="4"/>
    <n v="24"/>
    <n v="2025"/>
    <x v="50"/>
    <s v="Week 51"/>
    <s v="Week 51-2025"/>
  </r>
  <r>
    <d v="2025-12-17T00:00:00"/>
    <x v="12"/>
    <n v="14"/>
    <n v="2025"/>
    <x v="50"/>
    <s v="Week 51"/>
    <s v="Week 51-2025"/>
  </r>
  <r>
    <d v="2025-12-17T00:00:00"/>
    <x v="10"/>
    <n v="7"/>
    <n v="2025"/>
    <x v="50"/>
    <s v="Week 51"/>
    <s v="Week 51-2025"/>
  </r>
  <r>
    <d v="2025-12-17T00:00:00"/>
    <x v="9"/>
    <n v="8"/>
    <n v="2025"/>
    <x v="50"/>
    <s v="Week 51"/>
    <s v="Week 51-2025"/>
  </r>
  <r>
    <d v="2025-12-17T00:00:00"/>
    <x v="10"/>
    <n v="5"/>
    <n v="2025"/>
    <x v="50"/>
    <s v="Week 51"/>
    <s v="Week 51-2025"/>
  </r>
  <r>
    <d v="2025-12-17T00:00:00"/>
    <x v="14"/>
    <n v="4"/>
    <n v="2025"/>
    <x v="50"/>
    <s v="Week 51"/>
    <s v="Week 51-2025"/>
  </r>
  <r>
    <d v="2025-12-17T00:00:00"/>
    <x v="15"/>
    <n v="8"/>
    <n v="2025"/>
    <x v="50"/>
    <s v="Week 51"/>
    <s v="Week 51-2025"/>
  </r>
  <r>
    <d v="2025-12-17T00:00:00"/>
    <x v="11"/>
    <n v="4"/>
    <n v="2025"/>
    <x v="50"/>
    <s v="Week 51"/>
    <s v="Week 51-2025"/>
  </r>
  <r>
    <d v="2025-12-17T00:00:00"/>
    <x v="19"/>
    <n v="3"/>
    <n v="2025"/>
    <x v="50"/>
    <s v="Week 51"/>
    <s v="Week 51-2025"/>
  </r>
  <r>
    <d v="2025-12-17T00:00:00"/>
    <x v="19"/>
    <n v="3"/>
    <n v="2025"/>
    <x v="50"/>
    <s v="Week 51"/>
    <s v="Week 51-2025"/>
  </r>
  <r>
    <d v="2025-12-17T00:00:00"/>
    <x v="4"/>
    <n v="4"/>
    <n v="2025"/>
    <x v="50"/>
    <s v="Week 51"/>
    <s v="Week 51-2025"/>
  </r>
  <r>
    <d v="2025-12-17T00:00:00"/>
    <x v="15"/>
    <n v="3"/>
    <n v="2025"/>
    <x v="50"/>
    <s v="Week 51"/>
    <s v="Week 51-2025"/>
  </r>
  <r>
    <d v="2025-12-17T00:00:00"/>
    <x v="28"/>
    <n v="4"/>
    <n v="2025"/>
    <x v="50"/>
    <s v="Week 51"/>
    <s v="Week 51-2025"/>
  </r>
  <r>
    <d v="2025-12-17T00:00:00"/>
    <x v="19"/>
    <n v="2"/>
    <n v="2025"/>
    <x v="50"/>
    <s v="Week 51"/>
    <s v="Week 51-2025"/>
  </r>
  <r>
    <d v="2025-12-17T00:00:00"/>
    <x v="15"/>
    <n v="2"/>
    <n v="2025"/>
    <x v="50"/>
    <s v="Week 51"/>
    <s v="Week 51-2025"/>
  </r>
  <r>
    <d v="2025-12-17T00:00:00"/>
    <x v="27"/>
    <n v="2"/>
    <n v="2025"/>
    <x v="50"/>
    <s v="Week 51"/>
    <s v="Week 51-2025"/>
  </r>
  <r>
    <d v="2025-12-19T00:00:00"/>
    <x v="6"/>
    <n v="6"/>
    <n v="2025"/>
    <x v="50"/>
    <s v="Week 51"/>
    <s v="Week 51-2025"/>
  </r>
  <r>
    <d v="2025-12-19T00:00:00"/>
    <x v="2"/>
    <n v="8"/>
    <n v="2025"/>
    <x v="50"/>
    <s v="Week 51"/>
    <s v="Week 51-2025"/>
  </r>
  <r>
    <d v="2025-12-19T00:00:00"/>
    <x v="12"/>
    <n v="8"/>
    <n v="2025"/>
    <x v="50"/>
    <s v="Week 51"/>
    <s v="Week 51-2025"/>
  </r>
  <r>
    <d v="2025-12-19T00:00:00"/>
    <x v="14"/>
    <n v="4"/>
    <n v="2025"/>
    <x v="50"/>
    <s v="Week 51"/>
    <s v="Week 51-2025"/>
  </r>
  <r>
    <d v="2025-12-19T00:00:00"/>
    <x v="17"/>
    <n v="4"/>
    <n v="2025"/>
    <x v="50"/>
    <s v="Week 51"/>
    <s v="Week 51-2025"/>
  </r>
  <r>
    <d v="2025-12-19T00:00:00"/>
    <x v="22"/>
    <n v="8"/>
    <n v="2025"/>
    <x v="50"/>
    <s v="Week 51"/>
    <s v="Week 51-2025"/>
  </r>
  <r>
    <d v="2025-12-19T00:00:00"/>
    <x v="11"/>
    <n v="6"/>
    <n v="2025"/>
    <x v="50"/>
    <s v="Week 51"/>
    <s v="Week 51-2025"/>
  </r>
  <r>
    <d v="2025-12-19T00:00:00"/>
    <x v="28"/>
    <n v="5"/>
    <n v="2025"/>
    <x v="50"/>
    <s v="Week 51"/>
    <s v="Week 51-2025"/>
  </r>
  <r>
    <d v="2025-12-19T00:00:00"/>
    <x v="25"/>
    <n v="2"/>
    <n v="2025"/>
    <x v="50"/>
    <s v="Week 51"/>
    <s v="Week 51-2025"/>
  </r>
  <r>
    <d v="2025-12-19T00:00:00"/>
    <x v="28"/>
    <n v="3"/>
    <n v="2025"/>
    <x v="50"/>
    <s v="Week 51"/>
    <s v="Week 51-2025"/>
  </r>
  <r>
    <d v="2025-12-19T00:00:00"/>
    <x v="12"/>
    <n v="1"/>
    <n v="2025"/>
    <x v="50"/>
    <s v="Week 51"/>
    <s v="Week 51-2025"/>
  </r>
  <r>
    <d v="2025-12-19T00:00:00"/>
    <x v="8"/>
    <n v="1"/>
    <n v="2025"/>
    <x v="50"/>
    <s v="Week 51"/>
    <s v="Week 51-2025"/>
  </r>
  <r>
    <d v="2025-12-19T00:00:00"/>
    <x v="8"/>
    <n v="1"/>
    <n v="2025"/>
    <x v="50"/>
    <s v="Week 51"/>
    <s v="Week 51-2025"/>
  </r>
  <r>
    <d v="2025-12-19T00:00:00"/>
    <x v="8"/>
    <n v="1"/>
    <n v="2025"/>
    <x v="50"/>
    <s v="Week 51"/>
    <s v="Week 51-2025"/>
  </r>
  <r>
    <d v="2025-12-19T00:00:00"/>
    <x v="8"/>
    <n v="1"/>
    <n v="2025"/>
    <x v="50"/>
    <s v="Week 51"/>
    <s v="Week 51-2025"/>
  </r>
  <r>
    <d v="2025-12-19T00:00:00"/>
    <x v="46"/>
    <n v="1"/>
    <n v="2025"/>
    <x v="50"/>
    <s v="Week 51"/>
    <s v="Week 51-2025"/>
  </r>
  <r>
    <d v="2025-12-19T00:00:00"/>
    <x v="46"/>
    <n v="1"/>
    <n v="2025"/>
    <x v="50"/>
    <s v="Week 51"/>
    <s v="Week 51-2025"/>
  </r>
  <r>
    <d v="2025-12-20T00:00:00"/>
    <x v="12"/>
    <n v="44"/>
    <n v="2025"/>
    <x v="50"/>
    <s v="Week 51"/>
    <s v="Week 51-2025"/>
  </r>
  <r>
    <d v="2025-12-20T00:00:00"/>
    <x v="11"/>
    <n v="22"/>
    <n v="2025"/>
    <x v="50"/>
    <s v="Week 51"/>
    <s v="Week 51-2025"/>
  </r>
  <r>
    <d v="2025-12-20T00:00:00"/>
    <x v="15"/>
    <n v="24"/>
    <n v="2025"/>
    <x v="50"/>
    <s v="Week 51"/>
    <s v="Week 51-2025"/>
  </r>
  <r>
    <d v="2025-12-20T00:00:00"/>
    <x v="3"/>
    <n v="11"/>
    <n v="2025"/>
    <x v="50"/>
    <s v="Week 51"/>
    <s v="Week 51-2025"/>
  </r>
  <r>
    <d v="2025-12-20T00:00:00"/>
    <x v="12"/>
    <n v="14"/>
    <n v="2025"/>
    <x v="50"/>
    <s v="Week 51"/>
    <s v="Week 51-2025"/>
  </r>
  <r>
    <d v="2025-12-20T00:00:00"/>
    <x v="11"/>
    <n v="6"/>
    <n v="2025"/>
    <x v="50"/>
    <s v="Week 51"/>
    <s v="Week 51-2025"/>
  </r>
  <r>
    <d v="2025-12-20T00:00:00"/>
    <x v="15"/>
    <n v="8"/>
    <n v="2025"/>
    <x v="50"/>
    <s v="Week 51"/>
    <s v="Week 51-2025"/>
  </r>
  <r>
    <d v="2025-12-20T00:00:00"/>
    <x v="10"/>
    <n v="4"/>
    <n v="2025"/>
    <x v="50"/>
    <s v="Week 51"/>
    <s v="Week 51-2025"/>
  </r>
  <r>
    <d v="2025-12-20T00:00:00"/>
    <x v="3"/>
    <n v="4"/>
    <n v="2025"/>
    <x v="50"/>
    <s v="Week 51"/>
    <s v="Week 51-2025"/>
  </r>
  <r>
    <d v="2025-12-20T00:00:00"/>
    <x v="2"/>
    <n v="4"/>
    <n v="2025"/>
    <x v="50"/>
    <s v="Week 51"/>
    <s v="Week 51-2025"/>
  </r>
  <r>
    <d v="2025-12-20T00:00:00"/>
    <x v="15"/>
    <n v="5"/>
    <n v="2025"/>
    <x v="50"/>
    <s v="Week 51"/>
    <s v="Week 51-2025"/>
  </r>
  <r>
    <d v="2025-12-20T00:00:00"/>
    <x v="22"/>
    <n v="4"/>
    <n v="2025"/>
    <x v="50"/>
    <s v="Week 51"/>
    <s v="Week 51-2025"/>
  </r>
  <r>
    <d v="2025-12-20T00:00:00"/>
    <x v="13"/>
    <n v="2"/>
    <n v="2025"/>
    <x v="50"/>
    <s v="Week 51"/>
    <s v="Week 51-2025"/>
  </r>
  <r>
    <d v="2025-12-20T00:00:00"/>
    <x v="11"/>
    <n v="2"/>
    <n v="2025"/>
    <x v="50"/>
    <s v="Week 51"/>
    <s v="Week 51-2025"/>
  </r>
  <r>
    <d v="2025-12-20T00:00:00"/>
    <x v="15"/>
    <n v="3"/>
    <n v="2025"/>
    <x v="50"/>
    <s v="Week 51"/>
    <s v="Week 51-2025"/>
  </r>
  <r>
    <d v="2025-12-20T00:00:00"/>
    <x v="25"/>
    <n v="2"/>
    <n v="2025"/>
    <x v="50"/>
    <s v="Week 51"/>
    <s v="Week 51-2025"/>
  </r>
  <r>
    <d v="2025-12-20T00:00:00"/>
    <x v="21"/>
    <n v="2"/>
    <n v="2025"/>
    <x v="50"/>
    <s v="Week 51"/>
    <s v="Week 51-2025"/>
  </r>
  <r>
    <d v="2025-12-23T00:00:00"/>
    <x v="14"/>
    <n v="10"/>
    <n v="2025"/>
    <x v="51"/>
    <s v="Week 52"/>
    <s v="Week 52-2025"/>
  </r>
  <r>
    <d v="2025-12-23T00:00:00"/>
    <x v="10"/>
    <n v="8"/>
    <n v="2025"/>
    <x v="51"/>
    <s v="Week 52"/>
    <s v="Week 52-2025"/>
  </r>
  <r>
    <d v="2025-12-23T00:00:00"/>
    <x v="11"/>
    <n v="8"/>
    <n v="2025"/>
    <x v="51"/>
    <s v="Week 52"/>
    <s v="Week 52-2025"/>
  </r>
  <r>
    <d v="2025-12-23T00:00:00"/>
    <x v="3"/>
    <n v="8"/>
    <n v="2025"/>
    <x v="51"/>
    <s v="Week 52"/>
    <s v="Week 52-2025"/>
  </r>
  <r>
    <d v="2025-12-23T00:00:00"/>
    <x v="2"/>
    <n v="10"/>
    <n v="2025"/>
    <x v="51"/>
    <s v="Week 52"/>
    <s v="Week 52-2025"/>
  </r>
  <r>
    <d v="2025-12-23T00:00:00"/>
    <x v="11"/>
    <n v="6"/>
    <n v="2025"/>
    <x v="51"/>
    <s v="Week 52"/>
    <s v="Week 52-2025"/>
  </r>
  <r>
    <d v="2025-12-23T00:00:00"/>
    <x v="9"/>
    <n v="6"/>
    <n v="2025"/>
    <x v="51"/>
    <s v="Week 52"/>
    <s v="Week 52-2025"/>
  </r>
  <r>
    <d v="2025-12-23T00:00:00"/>
    <x v="17"/>
    <n v="3"/>
    <n v="2025"/>
    <x v="51"/>
    <s v="Week 52"/>
    <s v="Week 52-2025"/>
  </r>
  <r>
    <d v="2025-12-23T00:00:00"/>
    <x v="17"/>
    <n v="3"/>
    <n v="2025"/>
    <x v="51"/>
    <s v="Week 52"/>
    <s v="Week 52-2025"/>
  </r>
  <r>
    <d v="2025-12-23T00:00:00"/>
    <x v="15"/>
    <n v="7"/>
    <n v="2025"/>
    <x v="51"/>
    <s v="Week 52"/>
    <s v="Week 52-2025"/>
  </r>
  <r>
    <d v="2025-12-23T00:00:00"/>
    <x v="7"/>
    <n v="2"/>
    <n v="2025"/>
    <x v="51"/>
    <s v="Week 52"/>
    <s v="Week 52-2025"/>
  </r>
  <r>
    <d v="2025-12-23T00:00:00"/>
    <x v="6"/>
    <n v="2"/>
    <n v="2025"/>
    <x v="51"/>
    <s v="Week 52"/>
    <s v="Week 52-2025"/>
  </r>
  <r>
    <d v="2025-12-23T00:00:00"/>
    <x v="11"/>
    <n v="2"/>
    <n v="2025"/>
    <x v="51"/>
    <s v="Week 52"/>
    <s v="Week 52-2025"/>
  </r>
  <r>
    <d v="2025-12-23T00:00:00"/>
    <x v="12"/>
    <n v="2"/>
    <n v="2025"/>
    <x v="51"/>
    <s v="Week 52"/>
    <s v="Week 52-2025"/>
  </r>
  <r>
    <d v="2025-12-23T00:00:00"/>
    <x v="13"/>
    <n v="1"/>
    <n v="2025"/>
    <x v="51"/>
    <s v="Week 52"/>
    <s v="Week 52-2025"/>
  </r>
  <r>
    <d v="2025-12-23T00:00:00"/>
    <x v="3"/>
    <n v="1"/>
    <n v="2025"/>
    <x v="51"/>
    <s v="Week 52"/>
    <s v="Week 52-2025"/>
  </r>
  <r>
    <d v="2025-12-23T00:00:00"/>
    <x v="19"/>
    <n v="2"/>
    <n v="2025"/>
    <x v="51"/>
    <s v="Week 52"/>
    <s v="Week 52-2025"/>
  </r>
  <r>
    <d v="2025-12-23T00:00:00"/>
    <x v="4"/>
    <n v="2"/>
    <n v="2025"/>
    <x v="51"/>
    <s v="Week 52"/>
    <s v="Week 52-2025"/>
  </r>
  <r>
    <d v="2025-12-23T00:00:00"/>
    <x v="12"/>
    <n v="1"/>
    <n v="2025"/>
    <x v="51"/>
    <s v="Week 52"/>
    <s v="Week 52-2025"/>
  </r>
  <r>
    <d v="2025-12-24T00:00:00"/>
    <x v="11"/>
    <n v="8"/>
    <n v="2025"/>
    <x v="51"/>
    <s v="Week 52"/>
    <s v="Week 52-2025"/>
  </r>
  <r>
    <d v="2025-12-24T00:00:00"/>
    <x v="12"/>
    <n v="9"/>
    <n v="2025"/>
    <x v="51"/>
    <s v="Week 52"/>
    <s v="Week 52-2025"/>
  </r>
  <r>
    <d v="2025-12-24T00:00:00"/>
    <x v="3"/>
    <n v="6"/>
    <n v="2025"/>
    <x v="51"/>
    <s v="Week 52"/>
    <s v="Week 52-2025"/>
  </r>
  <r>
    <d v="2025-12-24T00:00:00"/>
    <x v="15"/>
    <n v="9"/>
    <n v="2025"/>
    <x v="51"/>
    <s v="Week 52"/>
    <s v="Week 52-2025"/>
  </r>
  <r>
    <d v="2025-12-24T00:00:00"/>
    <x v="12"/>
    <n v="6"/>
    <n v="2025"/>
    <x v="51"/>
    <s v="Week 52"/>
    <s v="Week 52-2025"/>
  </r>
  <r>
    <d v="2025-12-24T00:00:00"/>
    <x v="47"/>
    <n v="1"/>
    <n v="2025"/>
    <x v="51"/>
    <s v="Week 52"/>
    <s v="Week 52-2025"/>
  </r>
  <r>
    <d v="2025-12-24T00:00:00"/>
    <x v="12"/>
    <n v="3"/>
    <n v="2025"/>
    <x v="51"/>
    <s v="Week 52"/>
    <s v="Week 52-2025"/>
  </r>
  <r>
    <d v="2025-12-24T00:00:00"/>
    <x v="4"/>
    <n v="4"/>
    <n v="2025"/>
    <x v="51"/>
    <s v="Week 52"/>
    <s v="Week 52-2025"/>
  </r>
  <r>
    <d v="2025-12-25T00:00:00"/>
    <x v="15"/>
    <n v="32"/>
    <n v="2025"/>
    <x v="51"/>
    <s v="Week 52"/>
    <s v="Week 52-2025"/>
  </r>
  <r>
    <d v="2025-12-25T00:00:00"/>
    <x v="12"/>
    <n v="16"/>
    <n v="2025"/>
    <x v="51"/>
    <s v="Week 52"/>
    <s v="Week 52-2025"/>
  </r>
  <r>
    <d v="2025-12-25T00:00:00"/>
    <x v="25"/>
    <n v="7"/>
    <n v="2025"/>
    <x v="51"/>
    <s v="Week 52"/>
    <s v="Week 52-2025"/>
  </r>
  <r>
    <d v="2025-12-25T00:00:00"/>
    <x v="47"/>
    <n v="1"/>
    <n v="2025"/>
    <x v="51"/>
    <s v="Week 52"/>
    <s v="Week 52-2025"/>
  </r>
  <r>
    <d v="2025-12-25T00:00:00"/>
    <x v="10"/>
    <n v="3"/>
    <n v="2025"/>
    <x v="51"/>
    <s v="Week 52"/>
    <s v="Week 52-2025"/>
  </r>
  <r>
    <d v="2025-12-25T00:00:00"/>
    <x v="7"/>
    <n v="2"/>
    <n v="2025"/>
    <x v="51"/>
    <s v="Week 52"/>
    <s v="Week 52-2025"/>
  </r>
  <r>
    <d v="2025-12-25T00:00:00"/>
    <x v="6"/>
    <n v="2"/>
    <n v="2025"/>
    <x v="51"/>
    <s v="Week 52"/>
    <s v="Week 52-2025"/>
  </r>
  <r>
    <d v="2025-12-25T00:00:00"/>
    <x v="17"/>
    <n v="2"/>
    <n v="2025"/>
    <x v="51"/>
    <s v="Week 52"/>
    <s v="Week 52-2025"/>
  </r>
  <r>
    <d v="2025-12-25T00:00:00"/>
    <x v="17"/>
    <n v="2"/>
    <n v="2025"/>
    <x v="51"/>
    <s v="Week 52"/>
    <s v="Week 52-2025"/>
  </r>
  <r>
    <d v="2025-12-25T00:00:00"/>
    <x v="15"/>
    <n v="4"/>
    <n v="2025"/>
    <x v="51"/>
    <s v="Week 52"/>
    <s v="Week 52-2025"/>
  </r>
  <r>
    <d v="2025-12-25T00:00:00"/>
    <x v="13"/>
    <n v="1"/>
    <n v="2025"/>
    <x v="51"/>
    <s v="Week 52"/>
    <s v="Week 52-2025"/>
  </r>
  <r>
    <d v="2025-12-25T00:00:00"/>
    <x v="3"/>
    <n v="1"/>
    <n v="2025"/>
    <x v="51"/>
    <s v="Week 52"/>
    <s v="Week 52-2025"/>
  </r>
  <r>
    <d v="2025-12-25T00:00:00"/>
    <x v="12"/>
    <n v="1"/>
    <n v="2025"/>
    <x v="51"/>
    <s v="Week 52"/>
    <s v="Week 52-2025"/>
  </r>
  <r>
    <d v="2025-12-25T00:00:00"/>
    <x v="25"/>
    <n v="1"/>
    <n v="2025"/>
    <x v="51"/>
    <s v="Week 52"/>
    <s v="Week 52-2025"/>
  </r>
  <r>
    <d v="2025-12-25T00:00:00"/>
    <x v="15"/>
    <n v="1"/>
    <n v="2025"/>
    <x v="51"/>
    <s v="Week 52"/>
    <s v="Week 52-2025"/>
  </r>
  <r>
    <d v="2025-12-26T00:00:00"/>
    <x v="27"/>
    <n v="2"/>
    <n v="2025"/>
    <x v="51"/>
    <s v="Week 52"/>
    <s v="Week 52-2025"/>
  </r>
  <r>
    <d v="2025-12-27T00:00:00"/>
    <x v="12"/>
    <n v="13"/>
    <n v="2025"/>
    <x v="51"/>
    <s v="Week 52"/>
    <s v="Week 52-2025"/>
  </r>
  <r>
    <d v="2025-12-27T00:00:00"/>
    <x v="12"/>
    <n v="12"/>
    <n v="2025"/>
    <x v="51"/>
    <s v="Week 52"/>
    <s v="Week 52-2025"/>
  </r>
  <r>
    <d v="2025-12-27T00:00:00"/>
    <x v="15"/>
    <n v="13"/>
    <n v="2025"/>
    <x v="51"/>
    <s v="Week 52"/>
    <s v="Week 52-2025"/>
  </r>
  <r>
    <d v="2025-12-27T00:00:00"/>
    <x v="11"/>
    <n v="8"/>
    <n v="2025"/>
    <x v="51"/>
    <s v="Week 52"/>
    <s v="Week 52-2025"/>
  </r>
  <r>
    <d v="2025-12-27T00:00:00"/>
    <x v="12"/>
    <n v="8"/>
    <n v="2025"/>
    <x v="51"/>
    <s v="Week 52"/>
    <s v="Week 52-2025"/>
  </r>
  <r>
    <d v="2025-12-27T00:00:00"/>
    <x v="3"/>
    <n v="6"/>
    <n v="2025"/>
    <x v="51"/>
    <s v="Week 52"/>
    <s v="Week 52-2025"/>
  </r>
  <r>
    <d v="2025-12-27T00:00:00"/>
    <x v="15"/>
    <n v="6"/>
    <n v="2025"/>
    <x v="51"/>
    <s v="Week 52"/>
    <s v="Week 52-2025"/>
  </r>
  <r>
    <d v="2025-12-27T00:00:00"/>
    <x v="11"/>
    <n v="4"/>
    <n v="2025"/>
    <x v="51"/>
    <s v="Week 52"/>
    <s v="Week 52-2025"/>
  </r>
  <r>
    <d v="2025-12-27T00:00:00"/>
    <x v="11"/>
    <n v="4"/>
    <n v="2025"/>
    <x v="51"/>
    <s v="Week 52"/>
    <s v="Week 52-2025"/>
  </r>
  <r>
    <d v="2025-12-27T00:00:00"/>
    <x v="1"/>
    <n v="4"/>
    <n v="2025"/>
    <x v="51"/>
    <s v="Week 52"/>
    <s v="Week 52-2025"/>
  </r>
  <r>
    <d v="2025-12-27T00:00:00"/>
    <x v="1"/>
    <n v="4"/>
    <n v="2025"/>
    <x v="51"/>
    <s v="Week 52"/>
    <s v="Week 52-2025"/>
  </r>
  <r>
    <d v="2025-12-27T00:00:00"/>
    <x v="19"/>
    <n v="5"/>
    <n v="2025"/>
    <x v="51"/>
    <s v="Week 52"/>
    <s v="Week 52-2025"/>
  </r>
  <r>
    <d v="2025-12-27T00:00:00"/>
    <x v="17"/>
    <n v="2"/>
    <n v="2025"/>
    <x v="51"/>
    <s v="Week 52"/>
    <s v="Week 52-2025"/>
  </r>
  <r>
    <d v="2025-12-27T00:00:00"/>
    <x v="11"/>
    <n v="2"/>
    <n v="2025"/>
    <x v="51"/>
    <s v="Week 52"/>
    <s v="Week 52-2025"/>
  </r>
  <r>
    <d v="2025-12-27T00:00:00"/>
    <x v="19"/>
    <n v="3"/>
    <n v="2025"/>
    <x v="51"/>
    <s v="Week 52"/>
    <s v="Week 52-2025"/>
  </r>
  <r>
    <d v="2025-12-27T00:00:00"/>
    <x v="24"/>
    <n v="4"/>
    <n v="2025"/>
    <x v="51"/>
    <s v="Week 52"/>
    <s v="Week 52-2025"/>
  </r>
  <r>
    <d v="2025-12-27T00:00:00"/>
    <x v="13"/>
    <n v="1"/>
    <n v="2025"/>
    <x v="51"/>
    <s v="Week 52"/>
    <s v="Week 52-2025"/>
  </r>
  <r>
    <d v="2025-12-27T00:00:00"/>
    <x v="4"/>
    <n v="2"/>
    <n v="2025"/>
    <x v="51"/>
    <s v="Week 52"/>
    <s v="Week 52-2025"/>
  </r>
  <r>
    <d v="2025-12-27T00:00:00"/>
    <x v="27"/>
    <n v="2"/>
    <n v="2025"/>
    <x v="51"/>
    <s v="Week 52"/>
    <s v="Week 52-2025"/>
  </r>
  <r>
    <d v="2025-12-31T00:00:00"/>
    <x v="10"/>
    <n v="31"/>
    <n v="2025"/>
    <x v="0"/>
    <s v="Week 53"/>
    <s v="Week 53-2025"/>
  </r>
  <r>
    <d v="2025-12-31T00:00:00"/>
    <x v="11"/>
    <n v="20"/>
    <n v="2025"/>
    <x v="0"/>
    <s v="Week 53"/>
    <s v="Week 53-2025"/>
  </r>
  <r>
    <d v="2025-12-31T00:00:00"/>
    <x v="3"/>
    <n v="12"/>
    <n v="2025"/>
    <x v="0"/>
    <s v="Week 53"/>
    <s v="Week 53-2025"/>
  </r>
  <r>
    <d v="2025-12-31T00:00:00"/>
    <x v="5"/>
    <n v="6"/>
    <n v="2025"/>
    <x v="0"/>
    <s v="Week 53"/>
    <s v="Week 53-2025"/>
  </r>
  <r>
    <d v="2025-12-31T00:00:00"/>
    <x v="11"/>
    <n v="8"/>
    <n v="2025"/>
    <x v="0"/>
    <s v="Week 53"/>
    <s v="Week 53-2025"/>
  </r>
  <r>
    <d v="2025-12-31T00:00:00"/>
    <x v="11"/>
    <n v="4"/>
    <n v="2025"/>
    <x v="0"/>
    <s v="Week 53"/>
    <s v="Week 53-2025"/>
  </r>
  <r>
    <d v="2025-12-31T00:00:00"/>
    <x v="6"/>
    <n v="2"/>
    <n v="2025"/>
    <x v="0"/>
    <s v="Week 53"/>
    <s v="Week 53-2025"/>
  </r>
  <r>
    <d v="2025-12-31T00:00:00"/>
    <x v="22"/>
    <n v="4"/>
    <n v="2025"/>
    <x v="0"/>
    <s v="Week 53"/>
    <s v="Week 53-2025"/>
  </r>
  <r>
    <d v="2025-12-31T00:00:00"/>
    <x v="6"/>
    <n v="1"/>
    <n v="2025"/>
    <x v="0"/>
    <s v="Week 53"/>
    <s v="Week 53-2025"/>
  </r>
  <r>
    <d v="2025-12-31T00:00:00"/>
    <x v="6"/>
    <n v="1"/>
    <n v="2025"/>
    <x v="0"/>
    <s v="Week 53"/>
    <s v="Week 53-2025"/>
  </r>
  <r>
    <d v="2025-12-31T00:00:00"/>
    <x v="18"/>
    <n v="2"/>
    <n v="2025"/>
    <x v="0"/>
    <s v="Week 53"/>
    <s v="Week 53-2025"/>
  </r>
  <r>
    <d v="2026-01-02T00:00:00"/>
    <x v="48"/>
    <n v="16"/>
    <n v="2026"/>
    <x v="52"/>
    <s v="Week 1"/>
    <s v="Week 1-2026"/>
  </r>
  <r>
    <d v="2026-01-03T00:00:00"/>
    <x v="12"/>
    <n v="36"/>
    <n v="2026"/>
    <x v="52"/>
    <s v="Week 1"/>
    <s v="Week 1-2026"/>
  </r>
  <r>
    <d v="2026-01-03T00:00:00"/>
    <x v="15"/>
    <n v="18"/>
    <n v="2026"/>
    <x v="52"/>
    <s v="Week 1"/>
    <s v="Week 1-2026"/>
  </r>
  <r>
    <d v="2026-01-03T00:00:00"/>
    <x v="12"/>
    <n v="7"/>
    <n v="2026"/>
    <x v="52"/>
    <s v="Week 1"/>
    <s v="Week 1-2026"/>
  </r>
  <r>
    <d v="2026-01-03T00:00:00"/>
    <x v="10"/>
    <n v="4"/>
    <n v="2026"/>
    <x v="52"/>
    <s v="Week 1"/>
    <s v="Week 1-2026"/>
  </r>
  <r>
    <d v="2026-01-03T00:00:00"/>
    <x v="3"/>
    <n v="4"/>
    <n v="2026"/>
    <x v="52"/>
    <s v="Week 1"/>
    <s v="Week 1-2026"/>
  </r>
  <r>
    <d v="2026-01-03T00:00:00"/>
    <x v="11"/>
    <n v="3"/>
    <n v="2026"/>
    <x v="52"/>
    <s v="Week 1"/>
    <s v="Week 1-2026"/>
  </r>
  <r>
    <d v="2026-01-03T00:00:00"/>
    <x v="19"/>
    <n v="4"/>
    <n v="2026"/>
    <x v="52"/>
    <s v="Week 1"/>
    <s v="Week 1-2026"/>
  </r>
  <r>
    <d v="2026-01-03T00:00:00"/>
    <x v="11"/>
    <n v="1"/>
    <n v="2026"/>
    <x v="52"/>
    <s v="Week 1"/>
    <s v="Week 1-2026"/>
  </r>
  <r>
    <d v="2026-01-06T00:00:00"/>
    <x v="10"/>
    <n v="4"/>
    <n v="2026"/>
    <x v="53"/>
    <s v="Week 2"/>
    <s v="Week 2-2026"/>
  </r>
  <r>
    <d v="2026-01-06T00:00:00"/>
    <x v="15"/>
    <n v="6"/>
    <n v="2026"/>
    <x v="53"/>
    <s v="Week 2"/>
    <s v="Week 2-2026"/>
  </r>
  <r>
    <d v="2026-01-06T00:00:00"/>
    <x v="22"/>
    <n v="4"/>
    <n v="2026"/>
    <x v="53"/>
    <s v="Week 2"/>
    <s v="Week 2-2026"/>
  </r>
  <r>
    <d v="2026-01-06T00:00:00"/>
    <x v="25"/>
    <n v="2"/>
    <n v="2026"/>
    <x v="53"/>
    <s v="Week 2"/>
    <s v="Week 2-2026"/>
  </r>
  <r>
    <d v="2026-01-06T00:00:00"/>
    <x v="15"/>
    <n v="2"/>
    <n v="2026"/>
    <x v="53"/>
    <s v="Week 2"/>
    <s v="Week 2-2026"/>
  </r>
  <r>
    <d v="2026-01-06T00:00:00"/>
    <x v="27"/>
    <n v="1"/>
    <n v="2026"/>
    <x v="53"/>
    <s v="Week 2"/>
    <s v="Week 2-2026"/>
  </r>
  <r>
    <d v="2026-01-06T00:00:00"/>
    <x v="28"/>
    <n v="1"/>
    <n v="2026"/>
    <x v="53"/>
    <s v="Week 2"/>
    <s v="Week 2-2026"/>
  </r>
  <r>
    <d v="2026-01-06T00:00:00"/>
    <x v="27"/>
    <n v="1"/>
    <n v="2026"/>
    <x v="53"/>
    <s v="Week 2"/>
    <s v="Week 2-2026"/>
  </r>
  <r>
    <d v="2026-01-06T00:00:00"/>
    <x v="27"/>
    <n v="1"/>
    <n v="2026"/>
    <x v="53"/>
    <s v="Week 2"/>
    <s v="Week 2-2026"/>
  </r>
  <r>
    <d v="2026-01-07T00:00:00"/>
    <x v="12"/>
    <n v="24"/>
    <n v="2026"/>
    <x v="53"/>
    <s v="Week 2"/>
    <s v="Week 2-2026"/>
  </r>
  <r>
    <d v="2026-01-07T00:00:00"/>
    <x v="10"/>
    <n v="12"/>
    <n v="2026"/>
    <x v="53"/>
    <s v="Week 2"/>
    <s v="Week 2-2026"/>
  </r>
  <r>
    <d v="2026-01-07T00:00:00"/>
    <x v="22"/>
    <n v="16"/>
    <n v="2026"/>
    <x v="53"/>
    <s v="Week 2"/>
    <s v="Week 2-2026"/>
  </r>
  <r>
    <d v="2026-01-07T00:00:00"/>
    <x v="14"/>
    <n v="8"/>
    <n v="2026"/>
    <x v="53"/>
    <s v="Week 2"/>
    <s v="Week 2-2026"/>
  </r>
  <r>
    <d v="2026-01-07T00:00:00"/>
    <x v="11"/>
    <n v="8"/>
    <n v="2026"/>
    <x v="53"/>
    <s v="Week 2"/>
    <s v="Week 2-2026"/>
  </r>
  <r>
    <d v="2026-01-07T00:00:00"/>
    <x v="25"/>
    <n v="9"/>
    <n v="2026"/>
    <x v="53"/>
    <s v="Week 2"/>
    <s v="Week 2-2026"/>
  </r>
  <r>
    <d v="2026-01-07T00:00:00"/>
    <x v="11"/>
    <n v="6"/>
    <n v="2026"/>
    <x v="53"/>
    <s v="Week 2"/>
    <s v="Week 2-2026"/>
  </r>
  <r>
    <d v="2026-01-07T00:00:00"/>
    <x v="15"/>
    <n v="8"/>
    <n v="2026"/>
    <x v="53"/>
    <s v="Week 2"/>
    <s v="Week 2-2026"/>
  </r>
  <r>
    <d v="2026-01-07T00:00:00"/>
    <x v="3"/>
    <n v="3"/>
    <n v="2026"/>
    <x v="53"/>
    <s v="Week 2"/>
    <s v="Week 2-2026"/>
  </r>
  <r>
    <d v="2026-01-07T00:00:00"/>
    <x v="33"/>
    <n v="2"/>
    <n v="2026"/>
    <x v="53"/>
    <s v="Week 2"/>
    <s v="Week 2-2026"/>
  </r>
  <r>
    <d v="2026-01-07T00:00:00"/>
    <x v="35"/>
    <n v="2"/>
    <n v="2026"/>
    <x v="53"/>
    <s v="Week 2"/>
    <s v="Week 2-2026"/>
  </r>
  <r>
    <d v="2026-01-07T00:00:00"/>
    <x v="25"/>
    <n v="1"/>
    <n v="2026"/>
    <x v="53"/>
    <s v="Week 2"/>
    <s v="Week 2-2026"/>
  </r>
  <r>
    <d v="2026-01-08T00:00:00"/>
    <x v="11"/>
    <n v="4"/>
    <n v="2026"/>
    <x v="53"/>
    <s v="Week 2"/>
    <s v="Week 2-2026"/>
  </r>
  <r>
    <d v="2026-01-08T00:00:00"/>
    <x v="12"/>
    <n v="4"/>
    <n v="2026"/>
    <x v="53"/>
    <s v="Week 2"/>
    <s v="Week 2-2026"/>
  </r>
  <r>
    <d v="2026-01-08T00:00:00"/>
    <x v="4"/>
    <n v="6"/>
    <n v="2026"/>
    <x v="53"/>
    <s v="Week 2"/>
    <s v="Week 2-2026"/>
  </r>
  <r>
    <d v="2026-01-08T00:00:00"/>
    <x v="25"/>
    <n v="4"/>
    <n v="2026"/>
    <x v="53"/>
    <s v="Week 2"/>
    <s v="Week 2-2026"/>
  </r>
  <r>
    <d v="2026-01-08T00:00:00"/>
    <x v="30"/>
    <n v="4"/>
    <n v="2026"/>
    <x v="53"/>
    <s v="Week 2"/>
    <s v="Week 2-2026"/>
  </r>
  <r>
    <d v="2026-01-08T00:00:00"/>
    <x v="4"/>
    <n v="2"/>
    <n v="2026"/>
    <x v="53"/>
    <s v="Week 2"/>
    <s v="Week 2-2026"/>
  </r>
  <r>
    <d v="2026-01-08T00:00:00"/>
    <x v="27"/>
    <n v="2"/>
    <n v="2026"/>
    <x v="53"/>
    <s v="Week 2"/>
    <s v="Week 2-2026"/>
  </r>
  <r>
    <d v="2026-01-09T00:00:00"/>
    <x v="11"/>
    <n v="4"/>
    <n v="2026"/>
    <x v="53"/>
    <s v="Week 2"/>
    <s v="Week 2-2026"/>
  </r>
  <r>
    <d v="2026-01-09T00:00:00"/>
    <x v="12"/>
    <n v="4"/>
    <n v="2026"/>
    <x v="53"/>
    <s v="Week 2"/>
    <s v="Week 2-2026"/>
  </r>
  <r>
    <d v="2026-01-09T00:00:00"/>
    <x v="31"/>
    <n v="4"/>
    <n v="2026"/>
    <x v="53"/>
    <s v="Week 2"/>
    <s v="Week 2-2026"/>
  </r>
  <r>
    <d v="2026-01-09T00:00:00"/>
    <x v="25"/>
    <n v="2"/>
    <n v="2026"/>
    <x v="53"/>
    <s v="Week 2"/>
    <s v="Week 2-2026"/>
  </r>
  <r>
    <d v="2026-01-10T00:00:00"/>
    <x v="13"/>
    <n v="16"/>
    <n v="2026"/>
    <x v="53"/>
    <s v="Week 2"/>
    <s v="Week 2-2026"/>
  </r>
  <r>
    <d v="2026-01-12T00:00:00"/>
    <x v="3"/>
    <n v="26"/>
    <n v="2026"/>
    <x v="54"/>
    <s v="Week 3"/>
    <s v="Week 3-2026"/>
  </r>
  <r>
    <d v="2026-01-12T00:00:00"/>
    <x v="15"/>
    <n v="40"/>
    <n v="2026"/>
    <x v="54"/>
    <s v="Week 3"/>
    <s v="Week 3-2026"/>
  </r>
  <r>
    <d v="2026-01-12T00:00:00"/>
    <x v="12"/>
    <n v="24"/>
    <n v="2026"/>
    <x v="54"/>
    <s v="Week 3"/>
    <s v="Week 3-2026"/>
  </r>
  <r>
    <d v="2026-01-12T00:00:00"/>
    <x v="11"/>
    <n v="20"/>
    <n v="2026"/>
    <x v="54"/>
    <s v="Week 3"/>
    <s v="Week 3-2026"/>
  </r>
  <r>
    <d v="2026-01-12T00:00:00"/>
    <x v="12"/>
    <n v="14"/>
    <n v="2026"/>
    <x v="54"/>
    <s v="Week 3"/>
    <s v="Week 3-2026"/>
  </r>
  <r>
    <d v="2026-01-12T00:00:00"/>
    <x v="10"/>
    <n v="8"/>
    <n v="2026"/>
    <x v="54"/>
    <s v="Week 3"/>
    <s v="Week 3-2026"/>
  </r>
  <r>
    <d v="2026-01-12T00:00:00"/>
    <x v="28"/>
    <n v="10"/>
    <n v="2026"/>
    <x v="54"/>
    <s v="Week 3"/>
    <s v="Week 3-2026"/>
  </r>
  <r>
    <d v="2026-01-12T00:00:00"/>
    <x v="30"/>
    <n v="10"/>
    <n v="2026"/>
    <x v="54"/>
    <s v="Week 3"/>
    <s v="Week 3-2026"/>
  </r>
  <r>
    <d v="2026-01-12T00:00:00"/>
    <x v="15"/>
    <n v="5"/>
    <n v="2026"/>
    <x v="54"/>
    <s v="Week 3"/>
    <s v="Week 3-2026"/>
  </r>
  <r>
    <d v="2026-01-12T00:00:00"/>
    <x v="25"/>
    <n v="4"/>
    <n v="2026"/>
    <x v="54"/>
    <s v="Week 3"/>
    <s v="Week 3-2026"/>
  </r>
  <r>
    <d v="2026-01-12T00:00:00"/>
    <x v="18"/>
    <n v="4"/>
    <n v="2026"/>
    <x v="54"/>
    <s v="Week 3"/>
    <s v="Week 3-2026"/>
  </r>
  <r>
    <d v="2026-01-12T00:00:00"/>
    <x v="20"/>
    <n v="2"/>
    <n v="2026"/>
    <x v="54"/>
    <s v="Week 3"/>
    <s v="Week 3-2026"/>
  </r>
  <r>
    <d v="2026-01-12T00:00:00"/>
    <x v="4"/>
    <n v="4"/>
    <n v="2026"/>
    <x v="54"/>
    <s v="Week 3"/>
    <s v="Week 3-2026"/>
  </r>
  <r>
    <d v="2026-01-12T00:00:00"/>
    <x v="2"/>
    <n v="2"/>
    <n v="2026"/>
    <x v="54"/>
    <s v="Week 3"/>
    <s v="Week 3-2026"/>
  </r>
  <r>
    <d v="2026-01-12T00:00:00"/>
    <x v="18"/>
    <n v="2"/>
    <n v="2026"/>
    <x v="54"/>
    <s v="Week 3"/>
    <s v="Week 3-2026"/>
  </r>
  <r>
    <d v="2026-01-12T00:00:00"/>
    <x v="19"/>
    <n v="2"/>
    <n v="2026"/>
    <x v="54"/>
    <s v="Week 3"/>
    <s v="Week 3-2026"/>
  </r>
  <r>
    <d v="2026-01-14T00:00:00"/>
    <x v="12"/>
    <n v="14"/>
    <n v="2026"/>
    <x v="54"/>
    <s v="Week 3"/>
    <s v="Week 3-2026"/>
  </r>
  <r>
    <d v="2026-01-14T00:00:00"/>
    <x v="3"/>
    <n v="10"/>
    <n v="2026"/>
    <x v="54"/>
    <s v="Week 3"/>
    <s v="Week 3-2026"/>
  </r>
  <r>
    <d v="2026-01-14T00:00:00"/>
    <x v="3"/>
    <n v="10"/>
    <n v="2026"/>
    <x v="54"/>
    <s v="Week 3"/>
    <s v="Week 3-2026"/>
  </r>
  <r>
    <d v="2026-01-14T00:00:00"/>
    <x v="11"/>
    <n v="8"/>
    <n v="2026"/>
    <x v="54"/>
    <s v="Week 3"/>
    <s v="Week 3-2026"/>
  </r>
  <r>
    <d v="2026-01-14T00:00:00"/>
    <x v="11"/>
    <n v="8"/>
    <n v="2026"/>
    <x v="54"/>
    <s v="Week 3"/>
    <s v="Week 3-2026"/>
  </r>
  <r>
    <d v="2026-01-14T00:00:00"/>
    <x v="12"/>
    <n v="8"/>
    <n v="2026"/>
    <x v="54"/>
    <s v="Week 3"/>
    <s v="Week 3-2026"/>
  </r>
  <r>
    <d v="2026-01-14T00:00:00"/>
    <x v="12"/>
    <n v="8"/>
    <n v="2026"/>
    <x v="54"/>
    <s v="Week 3"/>
    <s v="Week 3-2026"/>
  </r>
  <r>
    <d v="2026-01-14T00:00:00"/>
    <x v="12"/>
    <n v="8"/>
    <n v="2026"/>
    <x v="54"/>
    <s v="Week 3"/>
    <s v="Week 3-2026"/>
  </r>
  <r>
    <d v="2026-01-14T00:00:00"/>
    <x v="12"/>
    <n v="6"/>
    <n v="2026"/>
    <x v="54"/>
    <s v="Week 3"/>
    <s v="Week 3-2026"/>
  </r>
  <r>
    <d v="2026-01-14T00:00:00"/>
    <x v="3"/>
    <n v="4"/>
    <n v="2026"/>
    <x v="54"/>
    <s v="Week 3"/>
    <s v="Week 3-2026"/>
  </r>
  <r>
    <d v="2026-01-14T00:00:00"/>
    <x v="41"/>
    <n v="4"/>
    <n v="2026"/>
    <x v="54"/>
    <s v="Week 3"/>
    <s v="Week 3-2026"/>
  </r>
  <r>
    <d v="2026-01-14T00:00:00"/>
    <x v="40"/>
    <n v="4"/>
    <n v="2026"/>
    <x v="54"/>
    <s v="Week 3"/>
    <s v="Week 3-2026"/>
  </r>
  <r>
    <d v="2026-01-14T00:00:00"/>
    <x v="22"/>
    <n v="4"/>
    <n v="2026"/>
    <x v="54"/>
    <s v="Week 3"/>
    <s v="Week 3-2026"/>
  </r>
  <r>
    <d v="2026-01-14T00:00:00"/>
    <x v="19"/>
    <n v="4"/>
    <n v="2026"/>
    <x v="54"/>
    <s v="Week 3"/>
    <s v="Week 3-2026"/>
  </r>
  <r>
    <d v="2026-01-14T00:00:00"/>
    <x v="18"/>
    <n v="4"/>
    <n v="2026"/>
    <x v="54"/>
    <s v="Week 3"/>
    <s v="Week 3-2026"/>
  </r>
  <r>
    <d v="2026-01-14T00:00:00"/>
    <x v="19"/>
    <n v="3"/>
    <n v="2026"/>
    <x v="54"/>
    <s v="Week 3"/>
    <s v="Week 3-2026"/>
  </r>
  <r>
    <d v="2026-01-14T00:00:00"/>
    <x v="18"/>
    <n v="4"/>
    <n v="2026"/>
    <x v="54"/>
    <s v="Week 3"/>
    <s v="Week 3-2026"/>
  </r>
  <r>
    <d v="2026-01-14T00:00:00"/>
    <x v="18"/>
    <n v="3"/>
    <n v="2026"/>
    <x v="54"/>
    <s v="Week 3"/>
    <s v="Week 3-2026"/>
  </r>
  <r>
    <d v="2026-01-14T00:00:00"/>
    <x v="28"/>
    <n v="2"/>
    <n v="2026"/>
    <x v="54"/>
    <s v="Week 3"/>
    <s v="Week 3-2026"/>
  </r>
  <r>
    <d v="2026-01-14T00:00:00"/>
    <x v="19"/>
    <n v="1"/>
    <n v="2026"/>
    <x v="54"/>
    <s v="Week 3"/>
    <s v="Week 3-2026"/>
  </r>
  <r>
    <d v="2026-01-14T00:00:00"/>
    <x v="18"/>
    <n v="1"/>
    <n v="2026"/>
    <x v="54"/>
    <s v="Week 3"/>
    <s v="Week 3-2026"/>
  </r>
  <r>
    <d v="2026-01-15T00:00:00"/>
    <x v="12"/>
    <n v="26"/>
    <n v="2026"/>
    <x v="54"/>
    <s v="Week 3"/>
    <s v="Week 3-2026"/>
  </r>
  <r>
    <d v="2026-01-15T00:00:00"/>
    <x v="11"/>
    <n v="16"/>
    <n v="2026"/>
    <x v="54"/>
    <s v="Week 3"/>
    <s v="Week 3-2026"/>
  </r>
  <r>
    <d v="2026-01-15T00:00:00"/>
    <x v="10"/>
    <n v="8"/>
    <n v="2026"/>
    <x v="54"/>
    <s v="Week 3"/>
    <s v="Week 3-2026"/>
  </r>
  <r>
    <d v="2026-01-15T00:00:00"/>
    <x v="15"/>
    <n v="15"/>
    <n v="2026"/>
    <x v="54"/>
    <s v="Week 3"/>
    <s v="Week 3-2026"/>
  </r>
  <r>
    <d v="2026-01-15T00:00:00"/>
    <x v="12"/>
    <n v="8"/>
    <n v="2026"/>
    <x v="54"/>
    <s v="Week 3"/>
    <s v="Week 3-2026"/>
  </r>
  <r>
    <d v="2026-01-15T00:00:00"/>
    <x v="15"/>
    <n v="11"/>
    <n v="2026"/>
    <x v="54"/>
    <s v="Week 3"/>
    <s v="Week 3-2026"/>
  </r>
  <r>
    <d v="2026-01-15T00:00:00"/>
    <x v="19"/>
    <n v="10"/>
    <n v="2026"/>
    <x v="54"/>
    <s v="Week 3"/>
    <s v="Week 3-2026"/>
  </r>
  <r>
    <d v="2026-01-15T00:00:00"/>
    <x v="3"/>
    <n v="4"/>
    <n v="2026"/>
    <x v="54"/>
    <s v="Week 3"/>
    <s v="Week 3-2026"/>
  </r>
  <r>
    <d v="2026-01-15T00:00:00"/>
    <x v="15"/>
    <n v="6"/>
    <n v="2026"/>
    <x v="54"/>
    <s v="Week 3"/>
    <s v="Week 3-2026"/>
  </r>
  <r>
    <d v="2026-01-15T00:00:00"/>
    <x v="0"/>
    <n v="2"/>
    <n v="2026"/>
    <x v="54"/>
    <s v="Week 3"/>
    <s v="Week 3-2026"/>
  </r>
  <r>
    <d v="2026-01-15T00:00:00"/>
    <x v="12"/>
    <n v="4"/>
    <n v="2026"/>
    <x v="54"/>
    <s v="Week 3"/>
    <s v="Week 3-2026"/>
  </r>
  <r>
    <d v="2026-01-15T00:00:00"/>
    <x v="14"/>
    <n v="2"/>
    <n v="2026"/>
    <x v="54"/>
    <s v="Week 3"/>
    <s v="Week 3-2026"/>
  </r>
  <r>
    <d v="2026-01-15T00:00:00"/>
    <x v="26"/>
    <n v="4"/>
    <n v="2026"/>
    <x v="54"/>
    <s v="Week 3"/>
    <s v="Week 3-2026"/>
  </r>
  <r>
    <d v="2026-01-15T00:00:00"/>
    <x v="15"/>
    <n v="2"/>
    <n v="2026"/>
    <x v="54"/>
    <s v="Week 3"/>
    <s v="Week 3-2026"/>
  </r>
  <r>
    <d v="2026-01-15T00:00:00"/>
    <x v="18"/>
    <n v="2"/>
    <n v="2026"/>
    <x v="54"/>
    <s v="Week 3"/>
    <s v="Week 3-2026"/>
  </r>
  <r>
    <d v="2026-01-16T00:00:00"/>
    <x v="15"/>
    <n v="14"/>
    <n v="2026"/>
    <x v="54"/>
    <s v="Week 3"/>
    <s v="Week 3-2026"/>
  </r>
  <r>
    <d v="2026-01-16T00:00:00"/>
    <x v="30"/>
    <n v="2"/>
    <n v="2026"/>
    <x v="54"/>
    <s v="Week 3"/>
    <s v="Week 3-2026"/>
  </r>
  <r>
    <d v="2026-01-19T00:00:00"/>
    <x v="13"/>
    <n v="24"/>
    <n v="2026"/>
    <x v="55"/>
    <s v="Week 4"/>
    <s v="Week 4-2026"/>
  </r>
  <r>
    <d v="2026-01-19T00:00:00"/>
    <x v="12"/>
    <n v="34"/>
    <n v="2026"/>
    <x v="55"/>
    <s v="Week 4"/>
    <s v="Week 4-2026"/>
  </r>
  <r>
    <d v="2026-01-19T00:00:00"/>
    <x v="3"/>
    <n v="18"/>
    <n v="2026"/>
    <x v="55"/>
    <s v="Week 4"/>
    <s v="Week 4-2026"/>
  </r>
  <r>
    <d v="2026-01-19T00:00:00"/>
    <x v="5"/>
    <n v="8"/>
    <n v="2026"/>
    <x v="55"/>
    <s v="Week 4"/>
    <s v="Week 4-2026"/>
  </r>
  <r>
    <d v="2026-01-19T00:00:00"/>
    <x v="11"/>
    <n v="16"/>
    <n v="2026"/>
    <x v="55"/>
    <s v="Week 4"/>
    <s v="Week 4-2026"/>
  </r>
  <r>
    <d v="2026-01-19T00:00:00"/>
    <x v="1"/>
    <n v="24"/>
    <n v="2026"/>
    <x v="55"/>
    <s v="Week 4"/>
    <s v="Week 4-2026"/>
  </r>
  <r>
    <d v="2026-01-19T00:00:00"/>
    <x v="3"/>
    <n v="10"/>
    <n v="2026"/>
    <x v="55"/>
    <s v="Week 4"/>
    <s v="Week 4-2026"/>
  </r>
  <r>
    <d v="2026-01-19T00:00:00"/>
    <x v="3"/>
    <n v="10"/>
    <n v="2026"/>
    <x v="55"/>
    <s v="Week 4"/>
    <s v="Week 4-2026"/>
  </r>
  <r>
    <d v="2026-01-19T00:00:00"/>
    <x v="13"/>
    <n v="8"/>
    <n v="2026"/>
    <x v="55"/>
    <s v="Week 4"/>
    <s v="Week 4-2026"/>
  </r>
  <r>
    <d v="2026-01-19T00:00:00"/>
    <x v="7"/>
    <n v="6"/>
    <n v="2026"/>
    <x v="55"/>
    <s v="Week 4"/>
    <s v="Week 4-2026"/>
  </r>
  <r>
    <d v="2026-01-19T00:00:00"/>
    <x v="20"/>
    <n v="2"/>
    <n v="2026"/>
    <x v="55"/>
    <s v="Week 4"/>
    <s v="Week 4-2026"/>
  </r>
  <r>
    <d v="2026-01-19T00:00:00"/>
    <x v="26"/>
    <n v="16"/>
    <n v="2026"/>
    <x v="55"/>
    <s v="Week 4"/>
    <s v="Week 4-2026"/>
  </r>
  <r>
    <d v="2026-01-19T00:00:00"/>
    <x v="12"/>
    <n v="8"/>
    <n v="2026"/>
    <x v="55"/>
    <s v="Week 4"/>
    <s v="Week 4-2026"/>
  </r>
  <r>
    <d v="2026-01-19T00:00:00"/>
    <x v="12"/>
    <n v="8"/>
    <n v="2026"/>
    <x v="55"/>
    <s v="Week 4"/>
    <s v="Week 4-2026"/>
  </r>
  <r>
    <d v="2026-01-19T00:00:00"/>
    <x v="12"/>
    <n v="6"/>
    <n v="2026"/>
    <x v="55"/>
    <s v="Week 4"/>
    <s v="Week 4-2026"/>
  </r>
  <r>
    <d v="2026-01-19T00:00:00"/>
    <x v="12"/>
    <n v="6"/>
    <n v="2026"/>
    <x v="55"/>
    <s v="Week 4"/>
    <s v="Week 4-2026"/>
  </r>
  <r>
    <d v="2026-01-19T00:00:00"/>
    <x v="25"/>
    <n v="8"/>
    <n v="2026"/>
    <x v="55"/>
    <s v="Week 4"/>
    <s v="Week 4-2026"/>
  </r>
  <r>
    <d v="2026-01-19T00:00:00"/>
    <x v="22"/>
    <n v="8"/>
    <n v="2026"/>
    <x v="55"/>
    <s v="Week 4"/>
    <s v="Week 4-2026"/>
  </r>
  <r>
    <d v="2026-01-19T00:00:00"/>
    <x v="1"/>
    <n v="8"/>
    <n v="2026"/>
    <x v="55"/>
    <s v="Week 4"/>
    <s v="Week 4-2026"/>
  </r>
  <r>
    <d v="2026-01-19T00:00:00"/>
    <x v="2"/>
    <n v="6"/>
    <n v="2026"/>
    <x v="55"/>
    <s v="Week 4"/>
    <s v="Week 4-2026"/>
  </r>
  <r>
    <d v="2026-01-19T00:00:00"/>
    <x v="15"/>
    <n v="6"/>
    <n v="2026"/>
    <x v="55"/>
    <s v="Week 4"/>
    <s v="Week 4-2026"/>
  </r>
  <r>
    <d v="2026-01-19T00:00:00"/>
    <x v="15"/>
    <n v="6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2"/>
    <n v="4"/>
    <n v="2026"/>
    <x v="55"/>
    <s v="Week 4"/>
    <s v="Week 4-2026"/>
  </r>
  <r>
    <d v="2026-01-19T00:00:00"/>
    <x v="15"/>
    <n v="6"/>
    <n v="2026"/>
    <x v="55"/>
    <s v="Week 4"/>
    <s v="Week 4-2026"/>
  </r>
  <r>
    <d v="2026-01-19T00:00:00"/>
    <x v="3"/>
    <n v="4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17"/>
    <n v="2"/>
    <n v="2026"/>
    <x v="55"/>
    <s v="Week 4"/>
    <s v="Week 4-2026"/>
  </r>
  <r>
    <d v="2026-01-19T00:00:00"/>
    <x v="2"/>
    <n v="4"/>
    <n v="2026"/>
    <x v="55"/>
    <s v="Week 4"/>
    <s v="Week 4-2026"/>
  </r>
  <r>
    <d v="2026-01-19T00:00:00"/>
    <x v="15"/>
    <n v="4"/>
    <n v="2026"/>
    <x v="55"/>
    <s v="Week 4"/>
    <s v="Week 4-2026"/>
  </r>
  <r>
    <d v="2026-01-19T00:00:00"/>
    <x v="15"/>
    <n v="4"/>
    <n v="2026"/>
    <x v="55"/>
    <s v="Week 4"/>
    <s v="Week 4-2026"/>
  </r>
  <r>
    <d v="2026-01-19T00:00:00"/>
    <x v="15"/>
    <n v="4"/>
    <n v="2026"/>
    <x v="55"/>
    <s v="Week 4"/>
    <s v="Week 4-2026"/>
  </r>
  <r>
    <d v="2026-01-19T00:00:00"/>
    <x v="15"/>
    <n v="4"/>
    <n v="2026"/>
    <x v="55"/>
    <s v="Week 4"/>
    <s v="Week 4-2026"/>
  </r>
  <r>
    <d v="2026-01-19T00:00:00"/>
    <x v="15"/>
    <n v="5"/>
    <n v="2026"/>
    <x v="55"/>
    <s v="Week 4"/>
    <s v="Week 4-2026"/>
  </r>
  <r>
    <d v="2026-01-19T00:00:00"/>
    <x v="19"/>
    <n v="4"/>
    <n v="2026"/>
    <x v="55"/>
    <s v="Week 4"/>
    <s v="Week 4-2026"/>
  </r>
  <r>
    <d v="2026-01-19T00:00:00"/>
    <x v="19"/>
    <n v="4"/>
    <n v="2026"/>
    <x v="55"/>
    <s v="Week 4"/>
    <s v="Week 4-2026"/>
  </r>
  <r>
    <d v="2026-01-19T00:00:00"/>
    <x v="18"/>
    <n v="4"/>
    <n v="2026"/>
    <x v="55"/>
    <s v="Week 4"/>
    <s v="Week 4-2026"/>
  </r>
  <r>
    <d v="2026-01-19T00:00:00"/>
    <x v="19"/>
    <n v="3"/>
    <n v="2026"/>
    <x v="55"/>
    <s v="Week 4"/>
    <s v="Week 4-2026"/>
  </r>
  <r>
    <d v="2026-01-19T00:00:00"/>
    <x v="9"/>
    <n v="2"/>
    <n v="2026"/>
    <x v="55"/>
    <s v="Week 4"/>
    <s v="Week 4-2026"/>
  </r>
  <r>
    <d v="2026-01-19T00:00:00"/>
    <x v="18"/>
    <n v="3"/>
    <n v="2026"/>
    <x v="55"/>
    <s v="Week 4"/>
    <s v="Week 4-2026"/>
  </r>
  <r>
    <d v="2026-01-19T00:00:00"/>
    <x v="28"/>
    <n v="4"/>
    <n v="2026"/>
    <x v="55"/>
    <s v="Week 4"/>
    <s v="Week 4-2026"/>
  </r>
  <r>
    <d v="2026-01-19T00:00:00"/>
    <x v="19"/>
    <n v="2"/>
    <n v="2026"/>
    <x v="55"/>
    <s v="Week 4"/>
    <s v="Week 4-2026"/>
  </r>
  <r>
    <d v="2026-01-19T00:00:00"/>
    <x v="22"/>
    <n v="2"/>
    <n v="2026"/>
    <x v="55"/>
    <s v="Week 4"/>
    <s v="Week 4-2026"/>
  </r>
  <r>
    <d v="2026-01-19T00:00:00"/>
    <x v="15"/>
    <n v="2"/>
    <n v="2026"/>
    <x v="55"/>
    <s v="Week 4"/>
    <s v="Week 4-2026"/>
  </r>
  <r>
    <d v="2026-01-19T00:00:00"/>
    <x v="35"/>
    <n v="2"/>
    <n v="2026"/>
    <x v="55"/>
    <s v="Week 4"/>
    <s v="Week 4-2026"/>
  </r>
  <r>
    <d v="2026-01-19T00:00:00"/>
    <x v="35"/>
    <n v="2"/>
    <n v="2026"/>
    <x v="55"/>
    <s v="Week 4"/>
    <s v="Week 4-2026"/>
  </r>
  <r>
    <d v="2026-01-19T00:00:00"/>
    <x v="21"/>
    <n v="2"/>
    <n v="2026"/>
    <x v="55"/>
    <s v="Week 4"/>
    <s v="Week 4-2026"/>
  </r>
  <r>
    <d v="2026-01-19T00:00:00"/>
    <x v="19"/>
    <n v="1"/>
    <n v="2026"/>
    <x v="55"/>
    <s v="Week 4"/>
    <s v="Week 4-2026"/>
  </r>
  <r>
    <d v="2026-01-19T00:00:00"/>
    <x v="18"/>
    <n v="1"/>
    <n v="2026"/>
    <x v="55"/>
    <s v="Week 4"/>
    <s v="Week 4-2026"/>
  </r>
  <r>
    <d v="2026-01-21T00:00:00"/>
    <x v="12"/>
    <n v="37"/>
    <n v="2026"/>
    <x v="55"/>
    <s v="Week 4"/>
    <s v="Week 4-2026"/>
  </r>
  <r>
    <d v="2026-01-21T00:00:00"/>
    <x v="12"/>
    <n v="34"/>
    <n v="2026"/>
    <x v="55"/>
    <s v="Week 4"/>
    <s v="Week 4-2026"/>
  </r>
  <r>
    <d v="2026-01-21T00:00:00"/>
    <x v="10"/>
    <n v="12"/>
    <n v="2026"/>
    <x v="55"/>
    <s v="Week 4"/>
    <s v="Week 4-2026"/>
  </r>
  <r>
    <d v="2026-01-21T00:00:00"/>
    <x v="3"/>
    <n v="12"/>
    <n v="2026"/>
    <x v="55"/>
    <s v="Week 4"/>
    <s v="Week 4-2026"/>
  </r>
  <r>
    <d v="2026-01-21T00:00:00"/>
    <x v="3"/>
    <n v="12"/>
    <n v="2026"/>
    <x v="55"/>
    <s v="Week 4"/>
    <s v="Week 4-2026"/>
  </r>
  <r>
    <d v="2026-01-21T00:00:00"/>
    <x v="12"/>
    <n v="15"/>
    <n v="2026"/>
    <x v="55"/>
    <s v="Week 4"/>
    <s v="Week 4-2026"/>
  </r>
  <r>
    <d v="2026-01-21T00:00:00"/>
    <x v="14"/>
    <n v="10"/>
    <n v="2026"/>
    <x v="55"/>
    <s v="Week 4"/>
    <s v="Week 4-2026"/>
  </r>
  <r>
    <d v="2026-01-21T00:00:00"/>
    <x v="11"/>
    <n v="11"/>
    <n v="2026"/>
    <x v="55"/>
    <s v="Week 4"/>
    <s v="Week 4-2026"/>
  </r>
  <r>
    <d v="2026-01-21T00:00:00"/>
    <x v="11"/>
    <n v="10"/>
    <n v="2026"/>
    <x v="55"/>
    <s v="Week 4"/>
    <s v="Week 4-2026"/>
  </r>
  <r>
    <d v="2026-01-21T00:00:00"/>
    <x v="11"/>
    <n v="7"/>
    <n v="2026"/>
    <x v="55"/>
    <s v="Week 4"/>
    <s v="Week 4-2026"/>
  </r>
  <r>
    <d v="2026-01-21T00:00:00"/>
    <x v="10"/>
    <n v="4"/>
    <n v="2026"/>
    <x v="55"/>
    <s v="Week 4"/>
    <s v="Week 4-2026"/>
  </r>
  <r>
    <d v="2026-01-21T00:00:00"/>
    <x v="15"/>
    <n v="6"/>
    <n v="2026"/>
    <x v="55"/>
    <s v="Week 4"/>
    <s v="Week 4-2026"/>
  </r>
  <r>
    <d v="2026-01-21T00:00:00"/>
    <x v="6"/>
    <n v="2"/>
    <n v="2026"/>
    <x v="55"/>
    <s v="Week 4"/>
    <s v="Week 4-2026"/>
  </r>
  <r>
    <d v="2026-01-21T00:00:00"/>
    <x v="25"/>
    <n v="4"/>
    <n v="2026"/>
    <x v="55"/>
    <s v="Week 4"/>
    <s v="Week 4-2026"/>
  </r>
  <r>
    <d v="2026-01-21T00:00:00"/>
    <x v="17"/>
    <n v="2"/>
    <n v="2026"/>
    <x v="55"/>
    <s v="Week 4"/>
    <s v="Week 4-2026"/>
  </r>
  <r>
    <d v="2026-01-21T00:00:00"/>
    <x v="14"/>
    <n v="2"/>
    <n v="2026"/>
    <x v="55"/>
    <s v="Week 4"/>
    <s v="Week 4-2026"/>
  </r>
  <r>
    <d v="2026-01-21T00:00:00"/>
    <x v="4"/>
    <n v="4"/>
    <n v="2026"/>
    <x v="55"/>
    <s v="Week 4"/>
    <s v="Week 4-2026"/>
  </r>
  <r>
    <d v="2026-01-21T00:00:00"/>
    <x v="12"/>
    <n v="2"/>
    <n v="2026"/>
    <x v="55"/>
    <s v="Week 4"/>
    <s v="Week 4-2026"/>
  </r>
  <r>
    <d v="2026-01-21T00:00:00"/>
    <x v="40"/>
    <n v="2"/>
    <n v="2026"/>
    <x v="55"/>
    <s v="Week 4"/>
    <s v="Week 4-2026"/>
  </r>
  <r>
    <d v="2026-01-21T00:00:00"/>
    <x v="19"/>
    <n v="2"/>
    <n v="2026"/>
    <x v="55"/>
    <s v="Week 4"/>
    <s v="Week 4-2026"/>
  </r>
  <r>
    <d v="2026-01-21T00:00:00"/>
    <x v="35"/>
    <n v="2"/>
    <n v="2026"/>
    <x v="55"/>
    <s v="Week 4"/>
    <s v="Week 4-2026"/>
  </r>
  <r>
    <d v="2026-01-21T00:00:00"/>
    <x v="18"/>
    <n v="2"/>
    <n v="2026"/>
    <x v="55"/>
    <s v="Week 4"/>
    <s v="Week 4-2026"/>
  </r>
  <r>
    <d v="2026-01-21T00:00:00"/>
    <x v="21"/>
    <n v="2"/>
    <n v="2026"/>
    <x v="55"/>
    <s v="Week 4"/>
    <s v="Week 4-2026"/>
  </r>
  <r>
    <d v="2026-01-21T00:00:00"/>
    <x v="28"/>
    <n v="2"/>
    <n v="2026"/>
    <x v="55"/>
    <s v="Week 4"/>
    <s v="Week 4-2026"/>
  </r>
  <r>
    <d v="2026-01-21T00:00:00"/>
    <x v="32"/>
    <n v="2"/>
    <n v="2026"/>
    <x v="55"/>
    <s v="Week 4"/>
    <s v="Week 4-2026"/>
  </r>
  <r>
    <d v="2026-01-21T00:00:00"/>
    <x v="19"/>
    <n v="1"/>
    <n v="2026"/>
    <x v="55"/>
    <s v="Week 4"/>
    <s v="Week 4-2026"/>
  </r>
  <r>
    <d v="2026-01-22T00:00:00"/>
    <x v="19"/>
    <n v="2"/>
    <n v="2026"/>
    <x v="55"/>
    <s v="Week 4"/>
    <s v="Week 4-2026"/>
  </r>
  <r>
    <d v="2026-01-23T00:00:00"/>
    <x v="11"/>
    <n v="18"/>
    <n v="2026"/>
    <x v="55"/>
    <s v="Week 4"/>
    <s v="Week 4-2026"/>
  </r>
  <r>
    <d v="2026-01-23T00:00:00"/>
    <x v="12"/>
    <n v="16"/>
    <n v="2026"/>
    <x v="55"/>
    <s v="Week 4"/>
    <s v="Week 4-2026"/>
  </r>
  <r>
    <d v="2026-01-23T00:00:00"/>
    <x v="12"/>
    <n v="12"/>
    <n v="2026"/>
    <x v="55"/>
    <s v="Week 4"/>
    <s v="Week 4-2026"/>
  </r>
  <r>
    <d v="2026-01-23T00:00:00"/>
    <x v="12"/>
    <n v="14"/>
    <n v="2026"/>
    <x v="55"/>
    <s v="Week 4"/>
    <s v="Week 4-2026"/>
  </r>
  <r>
    <d v="2026-01-23T00:00:00"/>
    <x v="15"/>
    <n v="17"/>
    <n v="2026"/>
    <x v="55"/>
    <s v="Week 4"/>
    <s v="Week 4-2026"/>
  </r>
  <r>
    <d v="2026-01-23T00:00:00"/>
    <x v="3"/>
    <n v="7"/>
    <n v="2026"/>
    <x v="55"/>
    <s v="Week 4"/>
    <s v="Week 4-2026"/>
  </r>
  <r>
    <d v="2026-01-23T00:00:00"/>
    <x v="15"/>
    <n v="10"/>
    <n v="2026"/>
    <x v="55"/>
    <s v="Week 4"/>
    <s v="Week 4-2026"/>
  </r>
  <r>
    <d v="2026-01-23T00:00:00"/>
    <x v="3"/>
    <n v="5"/>
    <n v="2026"/>
    <x v="55"/>
    <s v="Week 4"/>
    <s v="Week 4-2026"/>
  </r>
  <r>
    <d v="2026-01-23T00:00:00"/>
    <x v="14"/>
    <n v="4"/>
    <n v="2026"/>
    <x v="55"/>
    <s v="Week 4"/>
    <s v="Week 4-2026"/>
  </r>
  <r>
    <d v="2026-01-23T00:00:00"/>
    <x v="12"/>
    <n v="4"/>
    <n v="2026"/>
    <x v="55"/>
    <s v="Week 4"/>
    <s v="Week 4-2026"/>
  </r>
  <r>
    <d v="2026-01-23T00:00:00"/>
    <x v="3"/>
    <n v="4"/>
    <n v="2026"/>
    <x v="55"/>
    <s v="Week 4"/>
    <s v="Week 4-2026"/>
  </r>
  <r>
    <d v="2026-01-23T00:00:00"/>
    <x v="3"/>
    <n v="2"/>
    <n v="2026"/>
    <x v="55"/>
    <s v="Week 4"/>
    <s v="Week 4-2026"/>
  </r>
  <r>
    <d v="2026-01-23T00:00:00"/>
    <x v="3"/>
    <n v="2"/>
    <n v="2026"/>
    <x v="55"/>
    <s v="Week 4"/>
    <s v="Week 4-2026"/>
  </r>
  <r>
    <d v="2026-01-23T00:00:00"/>
    <x v="25"/>
    <n v="4"/>
    <n v="2026"/>
    <x v="55"/>
    <s v="Week 4"/>
    <s v="Week 4-2026"/>
  </r>
  <r>
    <d v="2026-01-23T00:00:00"/>
    <x v="26"/>
    <n v="4"/>
    <n v="2026"/>
    <x v="55"/>
    <s v="Week 4"/>
    <s v="Week 4-2026"/>
  </r>
  <r>
    <d v="2026-01-23T00:00:00"/>
    <x v="27"/>
    <n v="2"/>
    <n v="2026"/>
    <x v="55"/>
    <s v="Week 4"/>
    <s v="Week 4-2026"/>
  </r>
  <r>
    <d v="2026-01-23T00:00:00"/>
    <x v="27"/>
    <n v="2"/>
    <n v="2026"/>
    <x v="55"/>
    <s v="Week 4"/>
    <s v="Week 4-2026"/>
  </r>
  <r>
    <d v="2026-01-23T00:00:00"/>
    <x v="18"/>
    <n v="2"/>
    <n v="2026"/>
    <x v="55"/>
    <s v="Week 4"/>
    <s v="Week 4-2026"/>
  </r>
  <r>
    <d v="2026-01-23T00:00:00"/>
    <x v="18"/>
    <n v="2"/>
    <n v="2026"/>
    <x v="55"/>
    <s v="Week 4"/>
    <s v="Week 4-2026"/>
  </r>
  <r>
    <d v="2026-01-23T00:00:00"/>
    <x v="19"/>
    <n v="1"/>
    <n v="2026"/>
    <x v="55"/>
    <s v="Week 4"/>
    <s v="Week 4-2026"/>
  </r>
  <r>
    <d v="2026-01-24T00:00:00"/>
    <x v="4"/>
    <n v="4"/>
    <n v="2026"/>
    <x v="55"/>
    <s v="Week 4"/>
    <s v="Week 4-2026"/>
  </r>
  <r>
    <d v="2026-01-24T00:00:00"/>
    <x v="15"/>
    <n v="2"/>
    <n v="2026"/>
    <x v="55"/>
    <s v="Week 4"/>
    <s v="Week 4-2026"/>
  </r>
  <r>
    <d v="2026-01-27T00:00:00"/>
    <x v="15"/>
    <n v="16"/>
    <n v="2026"/>
    <x v="56"/>
    <s v="Week 5"/>
    <s v="Week 5-2026"/>
  </r>
  <r>
    <d v="2026-01-27T00:00:00"/>
    <x v="5"/>
    <n v="2"/>
    <n v="2026"/>
    <x v="56"/>
    <s v="Week 5"/>
    <s v="Week 5-2026"/>
  </r>
  <r>
    <d v="2026-01-27T00:00:00"/>
    <x v="3"/>
    <n v="1"/>
    <n v="2026"/>
    <x v="56"/>
    <s v="Week 5"/>
    <s v="Week 5-2026"/>
  </r>
  <r>
    <d v="2026-01-27T00:00:00"/>
    <x v="3"/>
    <n v="1"/>
    <n v="2026"/>
    <x v="56"/>
    <s v="Week 5"/>
    <s v="Week 5-2026"/>
  </r>
  <r>
    <d v="2026-01-28T00:00:00"/>
    <x v="5"/>
    <n v="18"/>
    <n v="2026"/>
    <x v="56"/>
    <s v="Week 5"/>
    <s v="Week 5-2026"/>
  </r>
  <r>
    <d v="2026-01-28T00:00:00"/>
    <x v="13"/>
    <n v="16"/>
    <n v="2026"/>
    <x v="56"/>
    <s v="Week 5"/>
    <s v="Week 5-2026"/>
  </r>
  <r>
    <d v="2026-01-28T00:00:00"/>
    <x v="3"/>
    <n v="17"/>
    <n v="2026"/>
    <x v="56"/>
    <s v="Week 5"/>
    <s v="Week 5-2026"/>
  </r>
  <r>
    <d v="2026-01-28T00:00:00"/>
    <x v="13"/>
    <n v="12"/>
    <n v="2026"/>
    <x v="56"/>
    <s v="Week 5"/>
    <s v="Week 5-2026"/>
  </r>
  <r>
    <d v="2026-01-28T00:00:00"/>
    <x v="17"/>
    <n v="10"/>
    <n v="2026"/>
    <x v="56"/>
    <s v="Week 5"/>
    <s v="Week 5-2026"/>
  </r>
  <r>
    <d v="2026-01-28T00:00:00"/>
    <x v="13"/>
    <n v="9"/>
    <n v="2026"/>
    <x v="56"/>
    <s v="Week 5"/>
    <s v="Week 5-2026"/>
  </r>
  <r>
    <d v="2026-01-28T00:00:00"/>
    <x v="22"/>
    <n v="16"/>
    <n v="2026"/>
    <x v="56"/>
    <s v="Week 5"/>
    <s v="Week 5-2026"/>
  </r>
  <r>
    <d v="2026-01-28T00:00:00"/>
    <x v="13"/>
    <n v="7"/>
    <n v="2026"/>
    <x v="56"/>
    <s v="Week 5"/>
    <s v="Week 5-2026"/>
  </r>
  <r>
    <d v="2026-01-28T00:00:00"/>
    <x v="9"/>
    <n v="10"/>
    <n v="2026"/>
    <x v="56"/>
    <s v="Week 5"/>
    <s v="Week 5-2026"/>
  </r>
  <r>
    <d v="2026-01-28T00:00:00"/>
    <x v="12"/>
    <n v="12"/>
    <n v="2026"/>
    <x v="56"/>
    <s v="Week 5"/>
    <s v="Week 5-2026"/>
  </r>
  <r>
    <d v="2026-01-28T00:00:00"/>
    <x v="3"/>
    <n v="8"/>
    <n v="2026"/>
    <x v="56"/>
    <s v="Week 5"/>
    <s v="Week 5-2026"/>
  </r>
  <r>
    <d v="2026-01-28T00:00:00"/>
    <x v="17"/>
    <n v="6"/>
    <n v="2026"/>
    <x v="56"/>
    <s v="Week 5"/>
    <s v="Week 5-2026"/>
  </r>
  <r>
    <d v="2026-01-28T00:00:00"/>
    <x v="17"/>
    <n v="6"/>
    <n v="2026"/>
    <x v="56"/>
    <s v="Week 5"/>
    <s v="Week 5-2026"/>
  </r>
  <r>
    <d v="2026-01-28T00:00:00"/>
    <x v="11"/>
    <n v="8"/>
    <n v="2026"/>
    <x v="56"/>
    <s v="Week 5"/>
    <s v="Week 5-2026"/>
  </r>
  <r>
    <d v="2026-01-28T00:00:00"/>
    <x v="14"/>
    <n v="6"/>
    <n v="2026"/>
    <x v="56"/>
    <s v="Week 5"/>
    <s v="Week 5-2026"/>
  </r>
  <r>
    <d v="2026-01-28T00:00:00"/>
    <x v="20"/>
    <n v="8"/>
    <n v="2026"/>
    <x v="56"/>
    <s v="Week 5"/>
    <s v="Week 5-2026"/>
  </r>
  <r>
    <d v="2026-01-28T00:00:00"/>
    <x v="2"/>
    <n v="8"/>
    <n v="2026"/>
    <x v="56"/>
    <s v="Week 5"/>
    <s v="Week 5-2026"/>
  </r>
  <r>
    <d v="2026-01-28T00:00:00"/>
    <x v="6"/>
    <n v="4"/>
    <n v="2026"/>
    <x v="56"/>
    <s v="Week 5"/>
    <s v="Week 5-2026"/>
  </r>
  <r>
    <d v="2026-01-28T00:00:00"/>
    <x v="22"/>
    <n v="8"/>
    <n v="2026"/>
    <x v="56"/>
    <s v="Week 5"/>
    <s v="Week 5-2026"/>
  </r>
  <r>
    <d v="2026-01-28T00:00:00"/>
    <x v="17"/>
    <n v="4"/>
    <n v="2026"/>
    <x v="56"/>
    <s v="Week 5"/>
    <s v="Week 5-2026"/>
  </r>
  <r>
    <d v="2026-01-28T00:00:00"/>
    <x v="12"/>
    <n v="6"/>
    <n v="2026"/>
    <x v="56"/>
    <s v="Week 5"/>
    <s v="Week 5-2026"/>
  </r>
  <r>
    <d v="2026-01-28T00:00:00"/>
    <x v="1"/>
    <n v="8"/>
    <n v="2026"/>
    <x v="56"/>
    <s v="Week 5"/>
    <s v="Week 5-2026"/>
  </r>
  <r>
    <d v="2026-01-28T00:00:00"/>
    <x v="31"/>
    <n v="8"/>
    <n v="2026"/>
    <x v="56"/>
    <s v="Week 5"/>
    <s v="Week 5-2026"/>
  </r>
  <r>
    <d v="2026-01-28T00:00:00"/>
    <x v="19"/>
    <n v="8"/>
    <n v="2026"/>
    <x v="56"/>
    <s v="Week 5"/>
    <s v="Week 5-2026"/>
  </r>
  <r>
    <d v="2026-01-28T00:00:00"/>
    <x v="19"/>
    <n v="8"/>
    <n v="2026"/>
    <x v="56"/>
    <s v="Week 5"/>
    <s v="Week 5-2026"/>
  </r>
  <r>
    <d v="2026-01-28T00:00:00"/>
    <x v="3"/>
    <n v="4"/>
    <n v="2026"/>
    <x v="56"/>
    <s v="Week 5"/>
    <s v="Week 5-2026"/>
  </r>
  <r>
    <d v="2026-01-28T00:00:00"/>
    <x v="25"/>
    <n v="6"/>
    <n v="2026"/>
    <x v="56"/>
    <s v="Week 5"/>
    <s v="Week 5-2026"/>
  </r>
  <r>
    <d v="2026-01-28T00:00:00"/>
    <x v="33"/>
    <n v="8"/>
    <n v="2026"/>
    <x v="56"/>
    <s v="Week 5"/>
    <s v="Week 5-2026"/>
  </r>
  <r>
    <d v="2026-01-28T00:00:00"/>
    <x v="20"/>
    <n v="4"/>
    <n v="2026"/>
    <x v="56"/>
    <s v="Week 5"/>
    <s v="Week 5-2026"/>
  </r>
  <r>
    <d v="2026-01-28T00:00:00"/>
    <x v="26"/>
    <n v="6"/>
    <n v="2026"/>
    <x v="56"/>
    <s v="Week 5"/>
    <s v="Week 5-2026"/>
  </r>
  <r>
    <d v="2026-01-28T00:00:00"/>
    <x v="12"/>
    <n v="4"/>
    <n v="2026"/>
    <x v="56"/>
    <s v="Week 5"/>
    <s v="Week 5-2026"/>
  </r>
  <r>
    <d v="2026-01-28T00:00:00"/>
    <x v="12"/>
    <n v="4"/>
    <n v="2026"/>
    <x v="56"/>
    <s v="Week 5"/>
    <s v="Week 5-2026"/>
  </r>
  <r>
    <d v="2026-01-28T00:00:00"/>
    <x v="2"/>
    <n v="4"/>
    <n v="2026"/>
    <x v="56"/>
    <s v="Week 5"/>
    <s v="Week 5-2026"/>
  </r>
  <r>
    <d v="2026-01-28T00:00:00"/>
    <x v="4"/>
    <n v="6"/>
    <n v="2026"/>
    <x v="56"/>
    <s v="Week 5"/>
    <s v="Week 5-2026"/>
  </r>
  <r>
    <d v="2026-01-28T00:00:00"/>
    <x v="13"/>
    <n v="2"/>
    <n v="2026"/>
    <x v="56"/>
    <s v="Week 5"/>
    <s v="Week 5-2026"/>
  </r>
  <r>
    <d v="2026-01-28T00:00:00"/>
    <x v="17"/>
    <n v="2"/>
    <n v="2026"/>
    <x v="56"/>
    <s v="Week 5"/>
    <s v="Week 5-2026"/>
  </r>
  <r>
    <d v="2026-01-28T00:00:00"/>
    <x v="14"/>
    <n v="2"/>
    <n v="2026"/>
    <x v="56"/>
    <s v="Week 5"/>
    <s v="Week 5-2026"/>
  </r>
  <r>
    <d v="2026-01-28T00:00:00"/>
    <x v="15"/>
    <n v="4"/>
    <n v="2026"/>
    <x v="56"/>
    <s v="Week 5"/>
    <s v="Week 5-2026"/>
  </r>
  <r>
    <d v="2026-01-28T00:00:00"/>
    <x v="15"/>
    <n v="4"/>
    <n v="2026"/>
    <x v="56"/>
    <s v="Week 5"/>
    <s v="Week 5-2026"/>
  </r>
  <r>
    <d v="2026-01-28T00:00:00"/>
    <x v="3"/>
    <n v="2"/>
    <n v="2026"/>
    <x v="56"/>
    <s v="Week 5"/>
    <s v="Week 5-2026"/>
  </r>
  <r>
    <d v="2026-01-28T00:00:00"/>
    <x v="3"/>
    <n v="2"/>
    <n v="2026"/>
    <x v="56"/>
    <s v="Week 5"/>
    <s v="Week 5-2026"/>
  </r>
  <r>
    <d v="2026-01-28T00:00:00"/>
    <x v="35"/>
    <n v="4"/>
    <n v="2026"/>
    <x v="56"/>
    <s v="Week 5"/>
    <s v="Week 5-2026"/>
  </r>
  <r>
    <d v="2026-01-28T00:00:00"/>
    <x v="35"/>
    <n v="4"/>
    <n v="2026"/>
    <x v="56"/>
    <s v="Week 5"/>
    <s v="Week 5-2026"/>
  </r>
  <r>
    <d v="2026-01-28T00:00:00"/>
    <x v="4"/>
    <n v="4"/>
    <n v="2026"/>
    <x v="56"/>
    <s v="Week 5"/>
    <s v="Week 5-2026"/>
  </r>
  <r>
    <d v="2026-01-28T00:00:00"/>
    <x v="9"/>
    <n v="2"/>
    <n v="2026"/>
    <x v="56"/>
    <s v="Week 5"/>
    <s v="Week 5-2026"/>
  </r>
  <r>
    <d v="2026-01-28T00:00:00"/>
    <x v="30"/>
    <n v="4"/>
    <n v="2026"/>
    <x v="56"/>
    <s v="Week 5"/>
    <s v="Week 5-2026"/>
  </r>
  <r>
    <d v="2026-01-28T00:00:00"/>
    <x v="3"/>
    <n v="1"/>
    <n v="2026"/>
    <x v="56"/>
    <s v="Week 5"/>
    <s v="Week 5-2026"/>
  </r>
  <r>
    <d v="2026-01-28T00:00:00"/>
    <x v="4"/>
    <n v="2"/>
    <n v="2026"/>
    <x v="56"/>
    <s v="Week 5"/>
    <s v="Week 5-2026"/>
  </r>
  <r>
    <d v="2026-01-28T00:00:00"/>
    <x v="27"/>
    <n v="2"/>
    <n v="2026"/>
    <x v="56"/>
    <s v="Week 5"/>
    <s v="Week 5-2026"/>
  </r>
  <r>
    <d v="2026-01-28T00:00:00"/>
    <x v="27"/>
    <n v="2"/>
    <n v="2026"/>
    <x v="56"/>
    <s v="Week 5"/>
    <s v="Week 5-2026"/>
  </r>
  <r>
    <d v="2026-01-29T00:00:00"/>
    <x v="5"/>
    <n v="8"/>
    <n v="2026"/>
    <x v="56"/>
    <s v="Week 5"/>
    <s v="Week 5-2026"/>
  </r>
  <r>
    <d v="2026-01-29T00:00:00"/>
    <x v="9"/>
    <n v="9"/>
    <n v="2026"/>
    <x v="56"/>
    <s v="Week 5"/>
    <s v="Week 5-2026"/>
  </r>
  <r>
    <d v="2026-01-29T00:00:00"/>
    <x v="2"/>
    <n v="6"/>
    <n v="2026"/>
    <x v="56"/>
    <s v="Week 5"/>
    <s v="Week 5-2026"/>
  </r>
  <r>
    <d v="2026-01-29T00:00:00"/>
    <x v="12"/>
    <n v="4"/>
    <n v="2026"/>
    <x v="56"/>
    <s v="Week 5"/>
    <s v="Week 5-2026"/>
  </r>
  <r>
    <d v="2026-01-29T00:00:00"/>
    <x v="9"/>
    <n v="1"/>
    <n v="2026"/>
    <x v="56"/>
    <s v="Week 5"/>
    <s v="Week 5-2026"/>
  </r>
  <r>
    <d v="2026-01-30T00:00:00"/>
    <x v="12"/>
    <n v="48"/>
    <n v="2026"/>
    <x v="56"/>
    <s v="Week 5"/>
    <s v="Week 5-2026"/>
  </r>
  <r>
    <d v="2026-01-30T00:00:00"/>
    <x v="10"/>
    <n v="32"/>
    <n v="2026"/>
    <x v="56"/>
    <s v="Week 5"/>
    <s v="Week 5-2026"/>
  </r>
  <r>
    <d v="2026-01-30T00:00:00"/>
    <x v="12"/>
    <n v="22"/>
    <n v="2026"/>
    <x v="56"/>
    <s v="Week 5"/>
    <s v="Week 5-2026"/>
  </r>
  <r>
    <d v="2026-01-30T00:00:00"/>
    <x v="3"/>
    <n v="14"/>
    <n v="2026"/>
    <x v="56"/>
    <s v="Week 5"/>
    <s v="Week 5-2026"/>
  </r>
  <r>
    <d v="2026-01-30T00:00:00"/>
    <x v="15"/>
    <n v="12"/>
    <n v="2026"/>
    <x v="56"/>
    <s v="Week 5"/>
    <s v="Week 5-2026"/>
  </r>
  <r>
    <d v="2026-01-30T00:00:00"/>
    <x v="11"/>
    <n v="5"/>
    <n v="2026"/>
    <x v="56"/>
    <s v="Week 5"/>
    <s v="Week 5-2026"/>
  </r>
  <r>
    <d v="2026-01-30T00:00:00"/>
    <x v="11"/>
    <n v="3"/>
    <n v="2026"/>
    <x v="56"/>
    <s v="Week 5"/>
    <s v="Week 5-2026"/>
  </r>
  <r>
    <d v="2026-01-30T00:00:00"/>
    <x v="24"/>
    <n v="4"/>
    <n v="2026"/>
    <x v="56"/>
    <s v="Week 5"/>
    <s v="Week 5-2026"/>
  </r>
  <r>
    <d v="2026-01-31T00:00:00"/>
    <x v="12"/>
    <n v="49"/>
    <n v="2026"/>
    <x v="56"/>
    <s v="Week 5"/>
    <s v="Week 5-2026"/>
  </r>
  <r>
    <d v="2026-01-31T00:00:00"/>
    <x v="12"/>
    <n v="48"/>
    <n v="2026"/>
    <x v="56"/>
    <s v="Week 5"/>
    <s v="Week 5-2026"/>
  </r>
  <r>
    <d v="2026-01-31T00:00:00"/>
    <x v="11"/>
    <n v="26"/>
    <n v="2026"/>
    <x v="56"/>
    <s v="Week 5"/>
    <s v="Week 5-2026"/>
  </r>
  <r>
    <d v="2026-01-31T00:00:00"/>
    <x v="15"/>
    <n v="26"/>
    <n v="2026"/>
    <x v="56"/>
    <s v="Week 5"/>
    <s v="Week 5-2026"/>
  </r>
  <r>
    <d v="2026-01-31T00:00:00"/>
    <x v="12"/>
    <n v="12"/>
    <n v="2026"/>
    <x v="56"/>
    <s v="Week 5"/>
    <s v="Week 5-2026"/>
  </r>
  <r>
    <d v="2026-01-31T00:00:00"/>
    <x v="10"/>
    <n v="8"/>
    <n v="2026"/>
    <x v="56"/>
    <s v="Week 5"/>
    <s v="Week 5-2026"/>
  </r>
  <r>
    <d v="2026-01-31T00:00:00"/>
    <x v="12"/>
    <n v="8"/>
    <n v="2026"/>
    <x v="56"/>
    <s v="Week 5"/>
    <s v="Week 5-2026"/>
  </r>
  <r>
    <d v="2026-01-31T00:00:00"/>
    <x v="15"/>
    <n v="10"/>
    <n v="2026"/>
    <x v="56"/>
    <s v="Week 5"/>
    <s v="Week 5-2026"/>
  </r>
  <r>
    <d v="2026-01-31T00:00:00"/>
    <x v="2"/>
    <n v="10"/>
    <n v="2026"/>
    <x v="56"/>
    <s v="Week 5"/>
    <s v="Week 5-2026"/>
  </r>
  <r>
    <d v="2026-01-31T00:00:00"/>
    <x v="3"/>
    <n v="7"/>
    <n v="2026"/>
    <x v="56"/>
    <s v="Week 5"/>
    <s v="Week 5-2026"/>
  </r>
  <r>
    <d v="2026-01-31T00:00:00"/>
    <x v="10"/>
    <n v="6"/>
    <n v="2026"/>
    <x v="56"/>
    <s v="Week 5"/>
    <s v="Week 5-2026"/>
  </r>
  <r>
    <d v="2026-01-31T00:00:00"/>
    <x v="15"/>
    <n v="8"/>
    <n v="2026"/>
    <x v="56"/>
    <s v="Week 5"/>
    <s v="Week 5-2026"/>
  </r>
  <r>
    <d v="2026-01-31T00:00:00"/>
    <x v="15"/>
    <n v="8"/>
    <n v="2026"/>
    <x v="56"/>
    <s v="Week 5"/>
    <s v="Week 5-2026"/>
  </r>
  <r>
    <d v="2026-01-31T00:00:00"/>
    <x v="18"/>
    <n v="8"/>
    <n v="2026"/>
    <x v="56"/>
    <s v="Week 5"/>
    <s v="Week 5-2026"/>
  </r>
  <r>
    <d v="2026-01-31T00:00:00"/>
    <x v="19"/>
    <n v="8"/>
    <n v="2026"/>
    <x v="56"/>
    <s v="Week 5"/>
    <s v="Week 5-2026"/>
  </r>
  <r>
    <d v="2026-01-31T00:00:00"/>
    <x v="2"/>
    <n v="4"/>
    <n v="2026"/>
    <x v="56"/>
    <s v="Week 5"/>
    <s v="Week 5-2026"/>
  </r>
  <r>
    <d v="2026-01-31T00:00:00"/>
    <x v="1"/>
    <n v="6"/>
    <n v="2026"/>
    <x v="56"/>
    <s v="Week 5"/>
    <s v="Week 5-2026"/>
  </r>
  <r>
    <d v="2026-01-31T00:00:00"/>
    <x v="13"/>
    <n v="2"/>
    <n v="2026"/>
    <x v="56"/>
    <s v="Week 5"/>
    <s v="Week 5-2026"/>
  </r>
  <r>
    <d v="2026-01-31T00:00:00"/>
    <x v="25"/>
    <n v="4"/>
    <n v="2026"/>
    <x v="56"/>
    <s v="Week 5"/>
    <s v="Week 5-2026"/>
  </r>
  <r>
    <d v="2026-01-31T00:00:00"/>
    <x v="15"/>
    <n v="4"/>
    <n v="2026"/>
    <x v="56"/>
    <s v="Week 5"/>
    <s v="Week 5-2026"/>
  </r>
  <r>
    <d v="2026-01-31T00:00:00"/>
    <x v="10"/>
    <n v="2"/>
    <n v="2026"/>
    <x v="56"/>
    <s v="Week 5"/>
    <s v="Week 5-2026"/>
  </r>
  <r>
    <d v="2026-01-31T00:00:00"/>
    <x v="3"/>
    <n v="2"/>
    <n v="2026"/>
    <x v="56"/>
    <s v="Week 5"/>
    <s v="Week 5-2026"/>
  </r>
  <r>
    <d v="2026-01-31T00:00:00"/>
    <x v="4"/>
    <n v="4"/>
    <n v="2026"/>
    <x v="56"/>
    <s v="Week 5"/>
    <s v="Week 5-2026"/>
  </r>
  <r>
    <d v="2026-01-31T00:00:00"/>
    <x v="28"/>
    <n v="4"/>
    <n v="2026"/>
    <x v="56"/>
    <s v="Week 5"/>
    <s v="Week 5-2026"/>
  </r>
  <r>
    <d v="2026-01-31T00:00:00"/>
    <x v="21"/>
    <n v="2"/>
    <n v="2026"/>
    <x v="56"/>
    <s v="Week 5"/>
    <s v="Week 5-2026"/>
  </r>
  <r>
    <d v="2026-02-02T00:00:00"/>
    <x v="12"/>
    <n v="39"/>
    <n v="2026"/>
    <x v="57"/>
    <s v="Week 6"/>
    <s v="Week 6-2026"/>
  </r>
  <r>
    <d v="2026-02-02T00:00:00"/>
    <x v="4"/>
    <n v="14"/>
    <n v="2026"/>
    <x v="57"/>
    <s v="Week 6"/>
    <s v="Week 6-2026"/>
  </r>
  <r>
    <d v="2026-02-02T00:00:00"/>
    <x v="18"/>
    <n v="15"/>
    <n v="2026"/>
    <x v="57"/>
    <s v="Week 6"/>
    <s v="Week 6-2026"/>
  </r>
  <r>
    <d v="2026-02-02T00:00:00"/>
    <x v="19"/>
    <n v="10"/>
    <n v="2026"/>
    <x v="57"/>
    <s v="Week 6"/>
    <s v="Week 6-2026"/>
  </r>
  <r>
    <d v="2026-02-02T00:00:00"/>
    <x v="11"/>
    <n v="6"/>
    <n v="2026"/>
    <x v="57"/>
    <s v="Week 6"/>
    <s v="Week 6-2026"/>
  </r>
  <r>
    <d v="2026-02-02T00:00:00"/>
    <x v="12"/>
    <n v="4"/>
    <n v="2026"/>
    <x v="57"/>
    <s v="Week 6"/>
    <s v="Week 6-2026"/>
  </r>
  <r>
    <d v="2026-02-02T00:00:00"/>
    <x v="12"/>
    <n v="4"/>
    <n v="2026"/>
    <x v="57"/>
    <s v="Week 6"/>
    <s v="Week 6-2026"/>
  </r>
  <r>
    <d v="2026-02-02T00:00:00"/>
    <x v="15"/>
    <n v="6"/>
    <n v="2026"/>
    <x v="57"/>
    <s v="Week 6"/>
    <s v="Week 6-2026"/>
  </r>
  <r>
    <d v="2026-02-02T00:00:00"/>
    <x v="19"/>
    <n v="4"/>
    <n v="2026"/>
    <x v="57"/>
    <s v="Week 6"/>
    <s v="Week 6-2026"/>
  </r>
  <r>
    <d v="2026-02-02T00:00:00"/>
    <x v="19"/>
    <n v="4"/>
    <n v="2026"/>
    <x v="57"/>
    <s v="Week 6"/>
    <s v="Week 6-2026"/>
  </r>
  <r>
    <d v="2026-02-02T00:00:00"/>
    <x v="12"/>
    <n v="4"/>
    <n v="2026"/>
    <x v="57"/>
    <s v="Week 6"/>
    <s v="Week 6-2026"/>
  </r>
  <r>
    <d v="2026-02-02T00:00:00"/>
    <x v="15"/>
    <n v="5"/>
    <n v="2026"/>
    <x v="57"/>
    <s v="Week 6"/>
    <s v="Week 6-2026"/>
  </r>
  <r>
    <d v="2026-02-02T00:00:00"/>
    <x v="12"/>
    <n v="2"/>
    <n v="2026"/>
    <x v="57"/>
    <s v="Week 6"/>
    <s v="Week 6-2026"/>
  </r>
  <r>
    <d v="2026-02-02T00:00:00"/>
    <x v="4"/>
    <n v="5"/>
    <n v="2026"/>
    <x v="57"/>
    <s v="Week 6"/>
    <s v="Week 6-2026"/>
  </r>
  <r>
    <d v="2026-02-02T00:00:00"/>
    <x v="3"/>
    <n v="2"/>
    <n v="2026"/>
    <x v="57"/>
    <s v="Week 6"/>
    <s v="Week 6-2026"/>
  </r>
  <r>
    <d v="2026-02-02T00:00:00"/>
    <x v="3"/>
    <n v="2"/>
    <n v="2026"/>
    <x v="57"/>
    <s v="Week 6"/>
    <s v="Week 6-2026"/>
  </r>
  <r>
    <d v="2026-02-02T00:00:00"/>
    <x v="11"/>
    <n v="2"/>
    <n v="2026"/>
    <x v="57"/>
    <s v="Week 6"/>
    <s v="Week 6-2026"/>
  </r>
  <r>
    <d v="2026-02-02T00:00:00"/>
    <x v="15"/>
    <n v="2"/>
    <n v="2026"/>
    <x v="57"/>
    <s v="Week 6"/>
    <s v="Week 6-2026"/>
  </r>
  <r>
    <d v="2026-02-02T00:00:00"/>
    <x v="25"/>
    <n v="2"/>
    <n v="2026"/>
    <x v="57"/>
    <s v="Week 6"/>
    <s v="Week 6-2026"/>
  </r>
  <r>
    <d v="2026-02-02T00:00:00"/>
    <x v="15"/>
    <n v="2"/>
    <n v="2026"/>
    <x v="57"/>
    <s v="Week 6"/>
    <s v="Week 6-2026"/>
  </r>
  <r>
    <d v="2026-02-02T00:00:00"/>
    <x v="28"/>
    <n v="2"/>
    <n v="2026"/>
    <x v="57"/>
    <s v="Week 6"/>
    <s v="Week 6-2026"/>
  </r>
  <r>
    <d v="2026-02-02T00:00:00"/>
    <x v="15"/>
    <n v="1"/>
    <n v="2026"/>
    <x v="57"/>
    <s v="Week 6"/>
    <s v="Week 6-2026"/>
  </r>
  <r>
    <d v="2026-02-02T00:00:00"/>
    <x v="15"/>
    <n v="1"/>
    <n v="2026"/>
    <x v="57"/>
    <s v="Week 6"/>
    <s v="Week 6-2026"/>
  </r>
  <r>
    <d v="2026-02-03T00:00:00"/>
    <x v="10"/>
    <n v="24"/>
    <n v="2026"/>
    <x v="57"/>
    <s v="Week 6"/>
    <s v="Week 6-2026"/>
  </r>
  <r>
    <d v="2026-02-03T00:00:00"/>
    <x v="0"/>
    <n v="4"/>
    <n v="2026"/>
    <x v="57"/>
    <s v="Week 6"/>
    <s v="Week 6-2026"/>
  </r>
  <r>
    <d v="2026-02-03T00:00:00"/>
    <x v="10"/>
    <n v="4"/>
    <n v="2026"/>
    <x v="57"/>
    <s v="Week 6"/>
    <s v="Week 6-2026"/>
  </r>
  <r>
    <d v="2026-02-03T00:00:00"/>
    <x v="25"/>
    <n v="8"/>
    <n v="2026"/>
    <x v="57"/>
    <s v="Week 6"/>
    <s v="Week 6-2026"/>
  </r>
  <r>
    <d v="2026-02-03T00:00:00"/>
    <x v="14"/>
    <n v="1"/>
    <n v="2026"/>
    <x v="57"/>
    <s v="Week 6"/>
    <s v="Week 6-2026"/>
  </r>
  <r>
    <d v="2026-02-03T00:00:00"/>
    <x v="28"/>
    <n v="2"/>
    <n v="2026"/>
    <x v="57"/>
    <s v="Week 6"/>
    <s v="Week 6-2026"/>
  </r>
  <r>
    <d v="2026-02-04T00:00:00"/>
    <x v="12"/>
    <n v="8"/>
    <n v="2026"/>
    <x v="57"/>
    <s v="Week 6"/>
    <s v="Week 6-2026"/>
  </r>
  <r>
    <d v="2026-02-04T00:00:00"/>
    <x v="3"/>
    <n v="4"/>
    <n v="2026"/>
    <x v="57"/>
    <s v="Week 6"/>
    <s v="Week 6-2026"/>
  </r>
  <r>
    <d v="2026-02-04T00:00:00"/>
    <x v="28"/>
    <n v="4"/>
    <n v="2026"/>
    <x v="57"/>
    <s v="Week 6"/>
    <s v="Week 6-2026"/>
  </r>
  <r>
    <d v="2026-02-05T00:00:00"/>
    <x v="25"/>
    <n v="2"/>
    <n v="2026"/>
    <x v="57"/>
    <s v="Week 6"/>
    <s v="Week 6-2026"/>
  </r>
  <r>
    <d v="2026-02-06T00:00:00"/>
    <x v="12"/>
    <n v="16"/>
    <n v="2026"/>
    <x v="57"/>
    <s v="Week 6"/>
    <s v="Week 6-2026"/>
  </r>
  <r>
    <d v="2026-02-06T00:00:00"/>
    <x v="12"/>
    <n v="12"/>
    <n v="2026"/>
    <x v="57"/>
    <s v="Week 6"/>
    <s v="Week 6-2026"/>
  </r>
  <r>
    <d v="2026-02-06T00:00:00"/>
    <x v="12"/>
    <n v="12"/>
    <n v="2026"/>
    <x v="57"/>
    <s v="Week 6"/>
    <s v="Week 6-2026"/>
  </r>
  <r>
    <d v="2026-02-06T00:00:00"/>
    <x v="12"/>
    <n v="6"/>
    <n v="2026"/>
    <x v="57"/>
    <s v="Week 6"/>
    <s v="Week 6-2026"/>
  </r>
  <r>
    <d v="2026-02-06T00:00:00"/>
    <x v="15"/>
    <n v="6"/>
    <n v="2026"/>
    <x v="57"/>
    <s v="Week 6"/>
    <s v="Week 6-2026"/>
  </r>
  <r>
    <d v="2026-02-06T00:00:00"/>
    <x v="3"/>
    <n v="2"/>
    <n v="2026"/>
    <x v="57"/>
    <s v="Week 6"/>
    <s v="Week 6-2026"/>
  </r>
  <r>
    <d v="2026-02-06T00:00:00"/>
    <x v="11"/>
    <n v="2"/>
    <n v="2026"/>
    <x v="57"/>
    <s v="Week 6"/>
    <s v="Week 6-2026"/>
  </r>
  <r>
    <d v="2026-02-06T00:00:00"/>
    <x v="11"/>
    <n v="2"/>
    <n v="2026"/>
    <x v="57"/>
    <s v="Week 6"/>
    <s v="Week 6-2026"/>
  </r>
  <r>
    <d v="2026-02-06T00:00:00"/>
    <x v="30"/>
    <n v="3"/>
    <n v="2026"/>
    <x v="57"/>
    <s v="Week 6"/>
    <s v="Week 6-2026"/>
  </r>
  <r>
    <d v="2026-02-06T00:00:00"/>
    <x v="28"/>
    <n v="2"/>
    <n v="2026"/>
    <x v="57"/>
    <s v="Week 6"/>
    <s v="Week 6-2026"/>
  </r>
  <r>
    <d v="2026-02-06T00:00:00"/>
    <x v="27"/>
    <n v="1"/>
    <n v="2026"/>
    <x v="57"/>
    <s v="Week 6"/>
    <s v="Week 6-2026"/>
  </r>
  <r>
    <d v="2026-02-06T00:00:00"/>
    <x v="18"/>
    <n v="1"/>
    <n v="2026"/>
    <x v="57"/>
    <s v="Week 6"/>
    <s v="Week 6-2026"/>
  </r>
  <r>
    <d v="2026-02-06T00:00:00"/>
    <x v="30"/>
    <n v="1"/>
    <n v="2026"/>
    <x v="57"/>
    <s v="Week 6"/>
    <s v="Week 6-2026"/>
  </r>
  <r>
    <d v="2026-02-07T00:00:00"/>
    <x v="15"/>
    <n v="16"/>
    <n v="2026"/>
    <x v="57"/>
    <s v="Week 6"/>
    <s v="Week 6-2026"/>
  </r>
  <r>
    <d v="2026-02-07T00:00:00"/>
    <x v="13"/>
    <n v="6"/>
    <n v="2026"/>
    <x v="57"/>
    <s v="Week 6"/>
    <s v="Week 6-2026"/>
  </r>
  <r>
    <d v="2026-02-07T00:00:00"/>
    <x v="10"/>
    <n v="4"/>
    <n v="2026"/>
    <x v="57"/>
    <s v="Week 6"/>
    <s v="Week 6-2026"/>
  </r>
  <r>
    <d v="2026-02-07T00:00:00"/>
    <x v="3"/>
    <n v="4"/>
    <n v="2026"/>
    <x v="57"/>
    <s v="Week 6"/>
    <s v="Week 6-2026"/>
  </r>
  <r>
    <d v="2026-02-07T00:00:00"/>
    <x v="25"/>
    <n v="4"/>
    <n v="2026"/>
    <x v="57"/>
    <s v="Week 6"/>
    <s v="Week 6-2026"/>
  </r>
  <r>
    <d v="2026-02-07T00:00:00"/>
    <x v="13"/>
    <n v="2"/>
    <n v="2026"/>
    <x v="57"/>
    <s v="Week 6"/>
    <s v="Week 6-2026"/>
  </r>
  <r>
    <d v="2026-02-07T00:00:00"/>
    <x v="2"/>
    <n v="3"/>
    <n v="2026"/>
    <x v="57"/>
    <s v="Week 6"/>
    <s v="Week 6-2026"/>
  </r>
  <r>
    <d v="2026-02-07T00:00:00"/>
    <x v="3"/>
    <n v="2"/>
    <n v="2026"/>
    <x v="57"/>
    <s v="Week 6"/>
    <s v="Week 6-2026"/>
  </r>
  <r>
    <d v="2026-02-07T00:00:00"/>
    <x v="9"/>
    <n v="1"/>
    <n v="2026"/>
    <x v="57"/>
    <s v="Week 6"/>
    <s v="Week 6-2026"/>
  </r>
  <r>
    <d v="2026-02-09T00:00:00"/>
    <x v="12"/>
    <n v="29"/>
    <n v="2026"/>
    <x v="58"/>
    <s v="Week 7"/>
    <s v="Week 7-2026"/>
  </r>
  <r>
    <d v="2026-02-09T00:00:00"/>
    <x v="12"/>
    <n v="12"/>
    <n v="2026"/>
    <x v="58"/>
    <s v="Week 7"/>
    <s v="Week 7-2026"/>
  </r>
  <r>
    <d v="2026-02-09T00:00:00"/>
    <x v="15"/>
    <n v="22"/>
    <n v="2026"/>
    <x v="58"/>
    <s v="Week 7"/>
    <s v="Week 7-2026"/>
  </r>
  <r>
    <d v="2026-02-09T00:00:00"/>
    <x v="19"/>
    <n v="20"/>
    <n v="2026"/>
    <x v="58"/>
    <s v="Week 7"/>
    <s v="Week 7-2026"/>
  </r>
  <r>
    <d v="2026-02-09T00:00:00"/>
    <x v="15"/>
    <n v="16"/>
    <n v="2026"/>
    <x v="58"/>
    <s v="Week 7"/>
    <s v="Week 7-2026"/>
  </r>
  <r>
    <d v="2026-02-09T00:00:00"/>
    <x v="12"/>
    <n v="10"/>
    <n v="2026"/>
    <x v="58"/>
    <s v="Week 7"/>
    <s v="Week 7-2026"/>
  </r>
  <r>
    <d v="2026-02-09T00:00:00"/>
    <x v="11"/>
    <n v="6"/>
    <n v="2026"/>
    <x v="58"/>
    <s v="Week 7"/>
    <s v="Week 7-2026"/>
  </r>
  <r>
    <d v="2026-02-09T00:00:00"/>
    <x v="11"/>
    <n v="6"/>
    <n v="2026"/>
    <x v="58"/>
    <s v="Week 7"/>
    <s v="Week 7-2026"/>
  </r>
  <r>
    <d v="2026-02-09T00:00:00"/>
    <x v="3"/>
    <n v="5"/>
    <n v="2026"/>
    <x v="58"/>
    <s v="Week 7"/>
    <s v="Week 7-2026"/>
  </r>
  <r>
    <d v="2026-02-09T00:00:00"/>
    <x v="12"/>
    <n v="6"/>
    <n v="2026"/>
    <x v="58"/>
    <s v="Week 7"/>
    <s v="Week 7-2026"/>
  </r>
  <r>
    <d v="2026-02-09T00:00:00"/>
    <x v="12"/>
    <n v="4"/>
    <n v="2026"/>
    <x v="58"/>
    <s v="Week 7"/>
    <s v="Week 7-2026"/>
  </r>
  <r>
    <d v="2026-02-09T00:00:00"/>
    <x v="15"/>
    <n v="6"/>
    <n v="2026"/>
    <x v="58"/>
    <s v="Week 7"/>
    <s v="Week 7-2026"/>
  </r>
  <r>
    <d v="2026-02-09T00:00:00"/>
    <x v="3"/>
    <n v="2"/>
    <n v="2026"/>
    <x v="58"/>
    <s v="Week 7"/>
    <s v="Week 7-2026"/>
  </r>
  <r>
    <d v="2026-02-09T00:00:00"/>
    <x v="11"/>
    <n v="2"/>
    <n v="2026"/>
    <x v="58"/>
    <s v="Week 7"/>
    <s v="Week 7-2026"/>
  </r>
  <r>
    <d v="2026-02-09T00:00:00"/>
    <x v="14"/>
    <n v="2"/>
    <n v="2026"/>
    <x v="58"/>
    <s v="Week 7"/>
    <s v="Week 7-2026"/>
  </r>
  <r>
    <d v="2026-02-09T00:00:00"/>
    <x v="18"/>
    <n v="4"/>
    <n v="2026"/>
    <x v="58"/>
    <s v="Week 7"/>
    <s v="Week 7-2026"/>
  </r>
  <r>
    <d v="2026-02-09T00:00:00"/>
    <x v="26"/>
    <n v="4"/>
    <n v="2026"/>
    <x v="58"/>
    <s v="Week 7"/>
    <s v="Week 7-2026"/>
  </r>
  <r>
    <d v="2026-02-09T00:00:00"/>
    <x v="3"/>
    <n v="2"/>
    <n v="2026"/>
    <x v="58"/>
    <s v="Week 7"/>
    <s v="Week 7-2026"/>
  </r>
  <r>
    <d v="2026-02-09T00:00:00"/>
    <x v="4"/>
    <n v="4"/>
    <n v="2026"/>
    <x v="58"/>
    <s v="Week 7"/>
    <s v="Week 7-2026"/>
  </r>
  <r>
    <d v="2026-02-10T00:00:00"/>
    <x v="13"/>
    <n v="4"/>
    <n v="2026"/>
    <x v="58"/>
    <s v="Week 7"/>
    <s v="Week 7-2026"/>
  </r>
  <r>
    <d v="2026-02-10T00:00:00"/>
    <x v="17"/>
    <n v="4"/>
    <n v="2026"/>
    <x v="58"/>
    <s v="Week 7"/>
    <s v="Week 7-2026"/>
  </r>
  <r>
    <d v="2026-02-10T00:00:00"/>
    <x v="11"/>
    <n v="4"/>
    <n v="2026"/>
    <x v="58"/>
    <s v="Week 7"/>
    <s v="Week 7-2026"/>
  </r>
  <r>
    <d v="2026-02-10T00:00:00"/>
    <x v="19"/>
    <n v="6"/>
    <n v="2026"/>
    <x v="58"/>
    <s v="Week 7"/>
    <s v="Week 7-2026"/>
  </r>
  <r>
    <d v="2026-02-10T00:00:00"/>
    <x v="15"/>
    <n v="4"/>
    <n v="2026"/>
    <x v="58"/>
    <s v="Week 7"/>
    <s v="Week 7-2026"/>
  </r>
  <r>
    <d v="2026-02-10T00:00:00"/>
    <x v="3"/>
    <n v="2"/>
    <n v="2026"/>
    <x v="58"/>
    <s v="Week 7"/>
    <s v="Week 7-2026"/>
  </r>
  <r>
    <d v="2026-02-10T00:00:00"/>
    <x v="19"/>
    <n v="4"/>
    <n v="2026"/>
    <x v="58"/>
    <s v="Week 7"/>
    <s v="Week 7-2026"/>
  </r>
  <r>
    <d v="2026-02-10T00:00:00"/>
    <x v="11"/>
    <n v="2"/>
    <n v="2026"/>
    <x v="58"/>
    <s v="Week 7"/>
    <s v="Week 7-2026"/>
  </r>
  <r>
    <d v="2026-02-11T00:00:00"/>
    <x v="5"/>
    <n v="4"/>
    <n v="2026"/>
    <x v="58"/>
    <s v="Week 7"/>
    <s v="Week 7-2026"/>
  </r>
  <r>
    <d v="2026-02-11T00:00:00"/>
    <x v="13"/>
    <n v="4"/>
    <n v="2026"/>
    <x v="58"/>
    <s v="Week 7"/>
    <s v="Week 7-2026"/>
  </r>
  <r>
    <d v="2026-02-11T00:00:00"/>
    <x v="23"/>
    <n v="8"/>
    <n v="2026"/>
    <x v="58"/>
    <s v="Week 7"/>
    <s v="Week 7-2026"/>
  </r>
  <r>
    <d v="2026-02-11T00:00:00"/>
    <x v="25"/>
    <n v="4"/>
    <n v="2026"/>
    <x v="58"/>
    <s v="Week 7"/>
    <s v="Week 7-2026"/>
  </r>
  <r>
    <d v="2026-02-11T00:00:00"/>
    <x v="13"/>
    <n v="2"/>
    <n v="2026"/>
    <x v="58"/>
    <s v="Week 7"/>
    <s v="Week 7-2026"/>
  </r>
  <r>
    <d v="2026-02-11T00:00:00"/>
    <x v="2"/>
    <n v="3"/>
    <n v="2026"/>
    <x v="58"/>
    <s v="Week 7"/>
    <s v="Week 7-2026"/>
  </r>
  <r>
    <d v="2026-02-11T00:00:00"/>
    <x v="3"/>
    <n v="2"/>
    <n v="2026"/>
    <x v="58"/>
    <s v="Week 7"/>
    <s v="Week 7-2026"/>
  </r>
  <r>
    <d v="2026-02-11T00:00:00"/>
    <x v="9"/>
    <n v="1"/>
    <n v="2026"/>
    <x v="58"/>
    <s v="Week 7"/>
    <s v="Week 7-2026"/>
  </r>
  <r>
    <d v="2026-02-11T00:00:00"/>
    <x v="18"/>
    <n v="2"/>
    <n v="2026"/>
    <x v="58"/>
    <s v="Week 7"/>
    <s v="Week 7-2026"/>
  </r>
  <r>
    <d v="2026-02-12T00:00:00"/>
    <x v="12"/>
    <n v="8"/>
    <n v="2026"/>
    <x v="58"/>
    <s v="Week 7"/>
    <s v="Week 7-2026"/>
  </r>
  <r>
    <d v="2026-02-12T00:00:00"/>
    <x v="3"/>
    <n v="4"/>
    <n v="2026"/>
    <x v="58"/>
    <s v="Week 7"/>
    <s v="Week 7-2026"/>
  </r>
  <r>
    <d v="2026-02-12T00:00:00"/>
    <x v="32"/>
    <n v="5"/>
    <n v="2026"/>
    <x v="58"/>
    <s v="Week 7"/>
    <s v="Week 7-2026"/>
  </r>
  <r>
    <d v="2026-02-14T00:00:00"/>
    <x v="12"/>
    <n v="11"/>
    <n v="2026"/>
    <x v="58"/>
    <s v="Week 7"/>
    <s v="Week 7-2026"/>
  </r>
  <r>
    <d v="2026-02-14T00:00:00"/>
    <x v="27"/>
    <n v="16"/>
    <n v="2026"/>
    <x v="58"/>
    <s v="Week 7"/>
    <s v="Week 7-2026"/>
  </r>
  <r>
    <d v="2026-02-14T00:00:00"/>
    <x v="11"/>
    <n v="8"/>
    <n v="2026"/>
    <x v="58"/>
    <s v="Week 7"/>
    <s v="Week 7-2026"/>
  </r>
  <r>
    <d v="2026-02-14T00:00:00"/>
    <x v="17"/>
    <n v="4"/>
    <n v="2026"/>
    <x v="58"/>
    <s v="Week 7"/>
    <s v="Week 7-2026"/>
  </r>
  <r>
    <d v="2026-02-14T00:00:00"/>
    <x v="12"/>
    <n v="5"/>
    <n v="2026"/>
    <x v="58"/>
    <s v="Week 7"/>
    <s v="Week 7-2026"/>
  </r>
  <r>
    <d v="2026-02-16T00:00:00"/>
    <x v="10"/>
    <n v="13"/>
    <n v="2026"/>
    <x v="59"/>
    <s v="Week 8"/>
    <s v="Week 8-2026"/>
  </r>
  <r>
    <d v="2026-02-16T00:00:00"/>
    <x v="35"/>
    <n v="28"/>
    <n v="2026"/>
    <x v="59"/>
    <s v="Week 8"/>
    <s v="Week 8-2026"/>
  </r>
  <r>
    <d v="2026-02-16T00:00:00"/>
    <x v="13"/>
    <n v="10"/>
    <n v="2026"/>
    <x v="59"/>
    <s v="Week 8"/>
    <s v="Week 8-2026"/>
  </r>
  <r>
    <d v="2026-02-16T00:00:00"/>
    <x v="6"/>
    <n v="9"/>
    <n v="2026"/>
    <x v="59"/>
    <s v="Week 8"/>
    <s v="Week 8-2026"/>
  </r>
  <r>
    <d v="2026-02-16T00:00:00"/>
    <x v="0"/>
    <n v="6"/>
    <n v="2026"/>
    <x v="59"/>
    <s v="Week 8"/>
    <s v="Week 8-2026"/>
  </r>
  <r>
    <d v="2026-02-16T00:00:00"/>
    <x v="10"/>
    <n v="9"/>
    <n v="2026"/>
    <x v="59"/>
    <s v="Week 8"/>
    <s v="Week 8-2026"/>
  </r>
  <r>
    <d v="2026-02-16T00:00:00"/>
    <x v="6"/>
    <n v="7"/>
    <n v="2026"/>
    <x v="59"/>
    <s v="Week 8"/>
    <s v="Week 8-2026"/>
  </r>
  <r>
    <d v="2026-02-16T00:00:00"/>
    <x v="9"/>
    <n v="11"/>
    <n v="2026"/>
    <x v="59"/>
    <s v="Week 8"/>
    <s v="Week 8-2026"/>
  </r>
  <r>
    <d v="2026-02-16T00:00:00"/>
    <x v="14"/>
    <n v="6"/>
    <n v="2026"/>
    <x v="59"/>
    <s v="Week 8"/>
    <s v="Week 8-2026"/>
  </r>
  <r>
    <d v="2026-02-16T00:00:00"/>
    <x v="2"/>
    <n v="8"/>
    <n v="2026"/>
    <x v="59"/>
    <s v="Week 8"/>
    <s v="Week 8-2026"/>
  </r>
  <r>
    <d v="2026-02-16T00:00:00"/>
    <x v="2"/>
    <n v="8"/>
    <n v="2026"/>
    <x v="59"/>
    <s v="Week 8"/>
    <s v="Week 8-2026"/>
  </r>
  <r>
    <d v="2026-02-16T00:00:00"/>
    <x v="32"/>
    <n v="14"/>
    <n v="2026"/>
    <x v="59"/>
    <s v="Week 8"/>
    <s v="Week 8-2026"/>
  </r>
  <r>
    <d v="2026-02-16T00:00:00"/>
    <x v="21"/>
    <n v="12"/>
    <n v="2026"/>
    <x v="59"/>
    <s v="Week 8"/>
    <s v="Week 8-2026"/>
  </r>
  <r>
    <d v="2026-02-16T00:00:00"/>
    <x v="13"/>
    <n v="4"/>
    <n v="2026"/>
    <x v="59"/>
    <s v="Week 8"/>
    <s v="Week 8-2026"/>
  </r>
  <r>
    <d v="2026-02-16T00:00:00"/>
    <x v="3"/>
    <n v="4"/>
    <n v="2026"/>
    <x v="59"/>
    <s v="Week 8"/>
    <s v="Week 8-2026"/>
  </r>
  <r>
    <d v="2026-02-16T00:00:00"/>
    <x v="12"/>
    <n v="4"/>
    <n v="2026"/>
    <x v="59"/>
    <s v="Week 8"/>
    <s v="Week 8-2026"/>
  </r>
  <r>
    <d v="2026-02-16T00:00:00"/>
    <x v="30"/>
    <n v="8"/>
    <n v="2026"/>
    <x v="59"/>
    <s v="Week 8"/>
    <s v="Week 8-2026"/>
  </r>
  <r>
    <d v="2026-02-16T00:00:00"/>
    <x v="4"/>
    <n v="6"/>
    <n v="2026"/>
    <x v="59"/>
    <s v="Week 8"/>
    <s v="Week 8-2026"/>
  </r>
  <r>
    <d v="2026-02-16T00:00:00"/>
    <x v="11"/>
    <n v="3"/>
    <n v="2026"/>
    <x v="59"/>
    <s v="Week 8"/>
    <s v="Week 8-2026"/>
  </r>
  <r>
    <d v="2026-02-16T00:00:00"/>
    <x v="25"/>
    <n v="4"/>
    <n v="2026"/>
    <x v="59"/>
    <s v="Week 8"/>
    <s v="Week 8-2026"/>
  </r>
  <r>
    <d v="2026-02-16T00:00:00"/>
    <x v="28"/>
    <n v="6"/>
    <n v="2026"/>
    <x v="59"/>
    <s v="Week 8"/>
    <s v="Week 8-2026"/>
  </r>
  <r>
    <d v="2026-02-16T00:00:00"/>
    <x v="10"/>
    <n v="2"/>
    <n v="2026"/>
    <x v="59"/>
    <s v="Week 8"/>
    <s v="Week 8-2026"/>
  </r>
  <r>
    <d v="2026-02-16T00:00:00"/>
    <x v="22"/>
    <n v="4"/>
    <n v="2026"/>
    <x v="59"/>
    <s v="Week 8"/>
    <s v="Week 8-2026"/>
  </r>
  <r>
    <d v="2026-02-16T00:00:00"/>
    <x v="3"/>
    <n v="2"/>
    <n v="2026"/>
    <x v="59"/>
    <s v="Week 8"/>
    <s v="Week 8-2026"/>
  </r>
  <r>
    <d v="2026-02-16T00:00:00"/>
    <x v="32"/>
    <n v="4"/>
    <n v="2026"/>
    <x v="59"/>
    <s v="Week 8"/>
    <s v="Week 8-2026"/>
  </r>
  <r>
    <d v="2026-02-16T00:00:00"/>
    <x v="19"/>
    <n v="2"/>
    <n v="2026"/>
    <x v="59"/>
    <s v="Week 8"/>
    <s v="Week 8-2026"/>
  </r>
  <r>
    <d v="2026-02-16T00:00:00"/>
    <x v="19"/>
    <n v="2"/>
    <n v="2026"/>
    <x v="59"/>
    <s v="Week 8"/>
    <s v="Week 8-2026"/>
  </r>
  <r>
    <d v="2026-02-16T00:00:00"/>
    <x v="35"/>
    <n v="2"/>
    <n v="2026"/>
    <x v="59"/>
    <s v="Week 8"/>
    <s v="Week 8-2026"/>
  </r>
  <r>
    <d v="2026-02-16T00:00:00"/>
    <x v="9"/>
    <n v="1"/>
    <n v="2026"/>
    <x v="59"/>
    <s v="Week 8"/>
    <s v="Week 8-2026"/>
  </r>
  <r>
    <d v="2026-02-16T00:00:00"/>
    <x v="21"/>
    <n v="2"/>
    <n v="2026"/>
    <x v="59"/>
    <s v="Week 8"/>
    <s v="Week 8-2026"/>
  </r>
  <r>
    <d v="2026-02-16T00:00:00"/>
    <x v="30"/>
    <n v="2"/>
    <n v="2026"/>
    <x v="59"/>
    <s v="Week 8"/>
    <s v="Week 8-2026"/>
  </r>
  <r>
    <d v="2026-02-16T00:00:00"/>
    <x v="30"/>
    <n v="2"/>
    <n v="2026"/>
    <x v="59"/>
    <s v="Week 8"/>
    <s v="Week 8-2026"/>
  </r>
  <r>
    <d v="2026-02-16T00:00:00"/>
    <x v="30"/>
    <n v="2"/>
    <n v="2026"/>
    <x v="59"/>
    <s v="Week 8"/>
    <s v="Week 8-2026"/>
  </r>
  <r>
    <d v="2026-02-17T00:00:00"/>
    <x v="12"/>
    <n v="28"/>
    <n v="2026"/>
    <x v="59"/>
    <s v="Week 8"/>
    <s v="Week 8-2026"/>
  </r>
  <r>
    <d v="2026-02-17T00:00:00"/>
    <x v="3"/>
    <n v="12"/>
    <n v="2026"/>
    <x v="59"/>
    <s v="Week 8"/>
    <s v="Week 8-2026"/>
  </r>
  <r>
    <d v="2026-02-17T00:00:00"/>
    <x v="12"/>
    <n v="13"/>
    <n v="2026"/>
    <x v="59"/>
    <s v="Week 8"/>
    <s v="Week 8-2026"/>
  </r>
  <r>
    <d v="2026-02-17T00:00:00"/>
    <x v="12"/>
    <n v="13"/>
    <n v="2026"/>
    <x v="59"/>
    <s v="Week 8"/>
    <s v="Week 8-2026"/>
  </r>
  <r>
    <d v="2026-02-17T00:00:00"/>
    <x v="10"/>
    <n v="8"/>
    <n v="2026"/>
    <x v="59"/>
    <s v="Week 8"/>
    <s v="Week 8-2026"/>
  </r>
  <r>
    <d v="2026-02-17T00:00:00"/>
    <x v="11"/>
    <n v="8"/>
    <n v="2026"/>
    <x v="59"/>
    <s v="Week 8"/>
    <s v="Week 8-2026"/>
  </r>
  <r>
    <d v="2026-02-17T00:00:00"/>
    <x v="11"/>
    <n v="6"/>
    <n v="2026"/>
    <x v="59"/>
    <s v="Week 8"/>
    <s v="Week 8-2026"/>
  </r>
  <r>
    <d v="2026-02-17T00:00:00"/>
    <x v="25"/>
    <n v="8"/>
    <n v="2026"/>
    <x v="59"/>
    <s v="Week 8"/>
    <s v="Week 8-2026"/>
  </r>
  <r>
    <d v="2026-02-17T00:00:00"/>
    <x v="27"/>
    <n v="11"/>
    <n v="2026"/>
    <x v="59"/>
    <s v="Week 8"/>
    <s v="Week 8-2026"/>
  </r>
  <r>
    <d v="2026-02-17T00:00:00"/>
    <x v="15"/>
    <n v="8"/>
    <n v="2026"/>
    <x v="59"/>
    <s v="Week 8"/>
    <s v="Week 8-2026"/>
  </r>
  <r>
    <d v="2026-02-17T00:00:00"/>
    <x v="30"/>
    <n v="6"/>
    <n v="2026"/>
    <x v="59"/>
    <s v="Week 8"/>
    <s v="Week 8-2026"/>
  </r>
  <r>
    <d v="2026-02-17T00:00:00"/>
    <x v="19"/>
    <n v="4"/>
    <n v="2026"/>
    <x v="59"/>
    <s v="Week 8"/>
    <s v="Week 8-2026"/>
  </r>
  <r>
    <d v="2026-02-17T00:00:00"/>
    <x v="4"/>
    <n v="4"/>
    <n v="2026"/>
    <x v="59"/>
    <s v="Week 8"/>
    <s v="Week 8-2026"/>
  </r>
  <r>
    <d v="2026-02-17T00:00:00"/>
    <x v="4"/>
    <n v="2"/>
    <n v="2026"/>
    <x v="59"/>
    <s v="Week 8"/>
    <s v="Week 8-2026"/>
  </r>
  <r>
    <d v="2026-02-17T00:00:00"/>
    <x v="27"/>
    <n v="2"/>
    <n v="2026"/>
    <x v="59"/>
    <s v="Week 8"/>
    <s v="Week 8-2026"/>
  </r>
  <r>
    <d v="2026-02-17T00:00:00"/>
    <x v="28"/>
    <n v="2"/>
    <n v="2026"/>
    <x v="59"/>
    <s v="Week 8"/>
    <s v="Week 8-2026"/>
  </r>
  <r>
    <d v="2026-02-18T00:00:00"/>
    <x v="3"/>
    <n v="8"/>
    <n v="2026"/>
    <x v="59"/>
    <s v="Week 8"/>
    <s v="Week 8-2026"/>
  </r>
  <r>
    <d v="2026-02-18T00:00:00"/>
    <x v="11"/>
    <n v="8"/>
    <n v="2026"/>
    <x v="59"/>
    <s v="Week 8"/>
    <s v="Week 8-2026"/>
  </r>
  <r>
    <d v="2026-02-18T00:00:00"/>
    <x v="12"/>
    <n v="8"/>
    <n v="2026"/>
    <x v="59"/>
    <s v="Week 8"/>
    <s v="Week 8-2026"/>
  </r>
  <r>
    <d v="2026-02-18T00:00:00"/>
    <x v="15"/>
    <n v="4"/>
    <n v="2026"/>
    <x v="59"/>
    <s v="Week 8"/>
    <s v="Week 8-2026"/>
  </r>
  <r>
    <d v="2026-02-18T00:00:00"/>
    <x v="12"/>
    <n v="2"/>
    <n v="2026"/>
    <x v="59"/>
    <s v="Week 8"/>
    <s v="Week 8-2026"/>
  </r>
  <r>
    <d v="2026-02-19T00:00:00"/>
    <x v="11"/>
    <n v="10"/>
    <n v="2026"/>
    <x v="59"/>
    <s v="Week 8"/>
    <s v="Week 8-2026"/>
  </r>
  <r>
    <d v="2026-02-19T00:00:00"/>
    <x v="11"/>
    <n v="6"/>
    <n v="2026"/>
    <x v="59"/>
    <s v="Week 8"/>
    <s v="Week 8-2026"/>
  </r>
  <r>
    <d v="2026-02-20T00:00:00"/>
    <x v="11"/>
    <n v="8"/>
    <n v="2026"/>
    <x v="59"/>
    <s v="Week 8"/>
    <s v="Week 8-2026"/>
  </r>
  <r>
    <d v="2026-02-20T00:00:00"/>
    <x v="12"/>
    <n v="8"/>
    <n v="2026"/>
    <x v="59"/>
    <s v="Week 8"/>
    <s v="Week 8-2026"/>
  </r>
  <r>
    <d v="2026-02-20T00:00:00"/>
    <x v="18"/>
    <n v="12"/>
    <n v="2026"/>
    <x v="59"/>
    <s v="Week 8"/>
    <s v="Week 8-2026"/>
  </r>
  <r>
    <d v="2026-02-20T00:00:00"/>
    <x v="12"/>
    <n v="6"/>
    <n v="2026"/>
    <x v="59"/>
    <s v="Week 8"/>
    <s v="Week 8-2026"/>
  </r>
  <r>
    <d v="2026-02-20T00:00:00"/>
    <x v="12"/>
    <n v="4"/>
    <n v="2026"/>
    <x v="59"/>
    <s v="Week 8"/>
    <s v="Week 8-2026"/>
  </r>
  <r>
    <d v="2026-02-20T00:00:00"/>
    <x v="15"/>
    <n v="6"/>
    <n v="2026"/>
    <x v="59"/>
    <s v="Week 8"/>
    <s v="Week 8-2026"/>
  </r>
  <r>
    <d v="2026-02-20T00:00:00"/>
    <x v="15"/>
    <n v="6"/>
    <n v="2026"/>
    <x v="59"/>
    <s v="Week 8"/>
    <s v="Week 8-2026"/>
  </r>
  <r>
    <d v="2026-02-20T00:00:00"/>
    <x v="15"/>
    <n v="6"/>
    <n v="2026"/>
    <x v="59"/>
    <s v="Week 8"/>
    <s v="Week 8-2026"/>
  </r>
  <r>
    <d v="2026-02-20T00:00:00"/>
    <x v="15"/>
    <n v="6"/>
    <n v="2026"/>
    <x v="59"/>
    <s v="Week 8"/>
    <s v="Week 8-2026"/>
  </r>
  <r>
    <d v="2026-02-20T00:00:00"/>
    <x v="12"/>
    <n v="4"/>
    <n v="2026"/>
    <x v="59"/>
    <s v="Week 8"/>
    <s v="Week 8-2026"/>
  </r>
  <r>
    <d v="2026-02-20T00:00:00"/>
    <x v="12"/>
    <n v="4"/>
    <n v="2026"/>
    <x v="59"/>
    <s v="Week 8"/>
    <s v="Week 8-2026"/>
  </r>
  <r>
    <d v="2026-02-20T00:00:00"/>
    <x v="12"/>
    <n v="4"/>
    <n v="2026"/>
    <x v="59"/>
    <s v="Week 8"/>
    <s v="Week 8-2026"/>
  </r>
  <r>
    <d v="2026-02-20T00:00:00"/>
    <x v="12"/>
    <n v="4"/>
    <n v="2026"/>
    <x v="59"/>
    <s v="Week 8"/>
    <s v="Week 8-2026"/>
  </r>
  <r>
    <d v="2026-02-20T00:00:00"/>
    <x v="15"/>
    <n v="4"/>
    <n v="2026"/>
    <x v="59"/>
    <s v="Week 8"/>
    <s v="Week 8-2026"/>
  </r>
  <r>
    <d v="2026-02-20T00:00:00"/>
    <x v="3"/>
    <n v="2"/>
    <n v="2026"/>
    <x v="59"/>
    <s v="Week 8"/>
    <s v="Week 8-2026"/>
  </r>
  <r>
    <d v="2026-02-20T00:00:00"/>
    <x v="11"/>
    <n v="2"/>
    <n v="2026"/>
    <x v="59"/>
    <s v="Week 8"/>
    <s v="Week 8-2026"/>
  </r>
  <r>
    <d v="2026-02-20T00:00:00"/>
    <x v="15"/>
    <n v="4"/>
    <n v="2026"/>
    <x v="59"/>
    <s v="Week 8"/>
    <s v="Week 8-2026"/>
  </r>
  <r>
    <d v="2026-02-20T00:00:00"/>
    <x v="3"/>
    <n v="2"/>
    <n v="2026"/>
    <x v="59"/>
    <s v="Week 8"/>
    <s v="Week 8-2026"/>
  </r>
  <r>
    <d v="2026-02-20T00:00:00"/>
    <x v="3"/>
    <n v="2"/>
    <n v="2026"/>
    <x v="59"/>
    <s v="Week 8"/>
    <s v="Week 8-2026"/>
  </r>
  <r>
    <d v="2026-02-20T00:00:00"/>
    <x v="11"/>
    <n v="2"/>
    <n v="2026"/>
    <x v="59"/>
    <s v="Week 8"/>
    <s v="Week 8-2026"/>
  </r>
  <r>
    <d v="2026-02-20T00:00:00"/>
    <x v="11"/>
    <n v="2"/>
    <n v="2026"/>
    <x v="59"/>
    <s v="Week 8"/>
    <s v="Week 8-2026"/>
  </r>
  <r>
    <d v="2026-02-20T00:00:00"/>
    <x v="12"/>
    <n v="2"/>
    <n v="2026"/>
    <x v="59"/>
    <s v="Week 8"/>
    <s v="Week 8-2026"/>
  </r>
  <r>
    <d v="2026-02-20T00:00:00"/>
    <x v="32"/>
    <n v="2"/>
    <n v="2026"/>
    <x v="59"/>
    <s v="Week 8"/>
    <s v="Week 8-2026"/>
  </r>
  <r>
    <d v="2026-02-20T00:00:00"/>
    <x v="32"/>
    <n v="2"/>
    <n v="2026"/>
    <x v="59"/>
    <s v="Week 8"/>
    <s v="Week 8-2026"/>
  </r>
  <r>
    <d v="2026-02-21T00:00:00"/>
    <x v="10"/>
    <n v="25"/>
    <n v="2026"/>
    <x v="59"/>
    <s v="Week 8"/>
    <s v="Week 8-2026"/>
  </r>
  <r>
    <d v="2026-02-21T00:00:00"/>
    <x v="13"/>
    <n v="12"/>
    <n v="2026"/>
    <x v="59"/>
    <s v="Week 8"/>
    <s v="Week 8-2026"/>
  </r>
  <r>
    <d v="2026-02-21T00:00:00"/>
    <x v="3"/>
    <n v="16"/>
    <n v="2026"/>
    <x v="59"/>
    <s v="Week 8"/>
    <s v="Week 8-2026"/>
  </r>
  <r>
    <d v="2026-02-21T00:00:00"/>
    <x v="12"/>
    <n v="18"/>
    <n v="2026"/>
    <x v="59"/>
    <s v="Week 8"/>
    <s v="Week 8-2026"/>
  </r>
  <r>
    <d v="2026-02-21T00:00:00"/>
    <x v="13"/>
    <n v="10"/>
    <n v="2026"/>
    <x v="59"/>
    <s v="Week 8"/>
    <s v="Week 8-2026"/>
  </r>
  <r>
    <d v="2026-02-21T00:00:00"/>
    <x v="14"/>
    <n v="10"/>
    <n v="2026"/>
    <x v="59"/>
    <s v="Week 8"/>
    <s v="Week 8-2026"/>
  </r>
  <r>
    <d v="2026-02-21T00:00:00"/>
    <x v="3"/>
    <n v="8"/>
    <n v="2026"/>
    <x v="59"/>
    <s v="Week 8"/>
    <s v="Week 8-2026"/>
  </r>
  <r>
    <d v="2026-02-21T00:00:00"/>
    <x v="25"/>
    <n v="10"/>
    <n v="2026"/>
    <x v="59"/>
    <s v="Week 8"/>
    <s v="Week 8-2026"/>
  </r>
  <r>
    <d v="2026-02-21T00:00:00"/>
    <x v="14"/>
    <n v="4"/>
    <n v="2026"/>
    <x v="59"/>
    <s v="Week 8"/>
    <s v="Week 8-2026"/>
  </r>
  <r>
    <d v="2026-02-21T00:00:00"/>
    <x v="10"/>
    <n v="4"/>
    <n v="2026"/>
    <x v="59"/>
    <s v="Week 8"/>
    <s v="Week 8-2026"/>
  </r>
  <r>
    <d v="2026-02-21T00:00:00"/>
    <x v="11"/>
    <n v="4"/>
    <n v="2026"/>
    <x v="59"/>
    <s v="Week 8"/>
    <s v="Week 8-2026"/>
  </r>
  <r>
    <d v="2026-02-21T00:00:00"/>
    <x v="5"/>
    <n v="2"/>
    <n v="2026"/>
    <x v="59"/>
    <s v="Week 8"/>
    <s v="Week 8-2026"/>
  </r>
  <r>
    <d v="2026-02-21T00:00:00"/>
    <x v="15"/>
    <n v="2"/>
    <n v="2026"/>
    <x v="59"/>
    <s v="Week 8"/>
    <s v="Week 8-2026"/>
  </r>
  <r>
    <d v="2026-02-23T00:00:00"/>
    <x v="22"/>
    <n v="7"/>
    <n v="2026"/>
    <x v="60"/>
    <s v="Week 9"/>
    <s v="Week 9-2026"/>
  </r>
  <r>
    <d v="2026-02-23T00:00:00"/>
    <x v="22"/>
    <n v="3"/>
    <n v="2026"/>
    <x v="60"/>
    <s v="Week 9"/>
    <s v="Week 9-2026"/>
  </r>
  <r>
    <d v="2026-02-24T00:00:00"/>
    <x v="25"/>
    <n v="9"/>
    <n v="2026"/>
    <x v="60"/>
    <s v="Week 9"/>
    <s v="Week 9-2026"/>
  </r>
  <r>
    <d v="2026-02-24T00:00:00"/>
    <x v="13"/>
    <n v="4"/>
    <n v="2026"/>
    <x v="60"/>
    <s v="Week 9"/>
    <s v="Week 9-2026"/>
  </r>
  <r>
    <d v="2026-02-24T00:00:00"/>
    <x v="15"/>
    <n v="8"/>
    <n v="2026"/>
    <x v="60"/>
    <s v="Week 9"/>
    <s v="Week 9-2026"/>
  </r>
  <r>
    <d v="2026-02-24T00:00:00"/>
    <x v="2"/>
    <n v="6"/>
    <n v="2026"/>
    <x v="60"/>
    <s v="Week 9"/>
    <s v="Week 9-2026"/>
  </r>
  <r>
    <d v="2026-02-24T00:00:00"/>
    <x v="28"/>
    <n v="12"/>
    <n v="2026"/>
    <x v="60"/>
    <s v="Week 9"/>
    <s v="Week 9-2026"/>
  </r>
  <r>
    <d v="2026-02-24T00:00:00"/>
    <x v="3"/>
    <n v="4"/>
    <n v="2026"/>
    <x v="60"/>
    <s v="Week 9"/>
    <s v="Week 9-2026"/>
  </r>
  <r>
    <d v="2026-02-24T00:00:00"/>
    <x v="25"/>
    <n v="5"/>
    <n v="2026"/>
    <x v="60"/>
    <s v="Week 9"/>
    <s v="Week 9-2026"/>
  </r>
  <r>
    <d v="2026-02-24T00:00:00"/>
    <x v="32"/>
    <n v="8"/>
    <n v="2026"/>
    <x v="60"/>
    <s v="Week 9"/>
    <s v="Week 9-2026"/>
  </r>
  <r>
    <d v="2026-02-25T00:00:00"/>
    <x v="15"/>
    <n v="20"/>
    <n v="2026"/>
    <x v="60"/>
    <s v="Week 9"/>
    <s v="Week 9-2026"/>
  </r>
  <r>
    <d v="2026-02-25T00:00:00"/>
    <x v="12"/>
    <n v="12"/>
    <n v="2026"/>
    <x v="60"/>
    <s v="Week 9"/>
    <s v="Week 9-2026"/>
  </r>
  <r>
    <d v="2026-02-25T00:00:00"/>
    <x v="12"/>
    <n v="12"/>
    <n v="2026"/>
    <x v="60"/>
    <s v="Week 9"/>
    <s v="Week 9-2026"/>
  </r>
  <r>
    <d v="2026-02-25T00:00:00"/>
    <x v="3"/>
    <n v="8"/>
    <n v="2026"/>
    <x v="60"/>
    <s v="Week 9"/>
    <s v="Week 9-2026"/>
  </r>
  <r>
    <d v="2026-02-25T00:00:00"/>
    <x v="15"/>
    <n v="12"/>
    <n v="2026"/>
    <x v="60"/>
    <s v="Week 9"/>
    <s v="Week 9-2026"/>
  </r>
  <r>
    <d v="2026-02-25T00:00:00"/>
    <x v="10"/>
    <n v="5"/>
    <n v="2026"/>
    <x v="60"/>
    <s v="Week 9"/>
    <s v="Week 9-2026"/>
  </r>
  <r>
    <d v="2026-02-25T00:00:00"/>
    <x v="12"/>
    <n v="6"/>
    <n v="2026"/>
    <x v="60"/>
    <s v="Week 9"/>
    <s v="Week 9-2026"/>
  </r>
  <r>
    <d v="2026-02-25T00:00:00"/>
    <x v="14"/>
    <n v="4"/>
    <n v="2026"/>
    <x v="60"/>
    <s v="Week 9"/>
    <s v="Week 9-2026"/>
  </r>
  <r>
    <d v="2026-02-25T00:00:00"/>
    <x v="12"/>
    <n v="4"/>
    <n v="2026"/>
    <x v="60"/>
    <s v="Week 9"/>
    <s v="Week 9-2026"/>
  </r>
  <r>
    <d v="2026-02-25T00:00:00"/>
    <x v="12"/>
    <n v="4"/>
    <n v="2026"/>
    <x v="60"/>
    <s v="Week 9"/>
    <s v="Week 9-2026"/>
  </r>
  <r>
    <d v="2026-02-25T00:00:00"/>
    <x v="10"/>
    <n v="3"/>
    <n v="2026"/>
    <x v="60"/>
    <s v="Week 9"/>
    <s v="Week 9-2026"/>
  </r>
  <r>
    <d v="2026-02-25T00:00:00"/>
    <x v="2"/>
    <n v="4"/>
    <n v="2026"/>
    <x v="60"/>
    <s v="Week 9"/>
    <s v="Week 9-2026"/>
  </r>
  <r>
    <d v="2026-02-25T00:00:00"/>
    <x v="27"/>
    <n v="6"/>
    <n v="2026"/>
    <x v="60"/>
    <s v="Week 9"/>
    <s v="Week 9-2026"/>
  </r>
  <r>
    <d v="2026-02-25T00:00:00"/>
    <x v="27"/>
    <n v="6"/>
    <n v="2026"/>
    <x v="60"/>
    <s v="Week 9"/>
    <s v="Week 9-2026"/>
  </r>
  <r>
    <d v="2026-02-25T00:00:00"/>
    <x v="12"/>
    <n v="4"/>
    <n v="2026"/>
    <x v="60"/>
    <s v="Week 9"/>
    <s v="Week 9-2026"/>
  </r>
  <r>
    <d v="2026-02-25T00:00:00"/>
    <x v="15"/>
    <n v="4"/>
    <n v="2026"/>
    <x v="60"/>
    <s v="Week 9"/>
    <s v="Week 9-2026"/>
  </r>
  <r>
    <d v="2026-02-25T00:00:00"/>
    <x v="19"/>
    <n v="4"/>
    <n v="2026"/>
    <x v="60"/>
    <s v="Week 9"/>
    <s v="Week 9-2026"/>
  </r>
  <r>
    <d v="2026-02-25T00:00:00"/>
    <x v="3"/>
    <n v="2"/>
    <n v="2026"/>
    <x v="60"/>
    <s v="Week 9"/>
    <s v="Week 9-2026"/>
  </r>
  <r>
    <d v="2026-02-25T00:00:00"/>
    <x v="3"/>
    <n v="2"/>
    <n v="2026"/>
    <x v="60"/>
    <s v="Week 9"/>
    <s v="Week 9-2026"/>
  </r>
  <r>
    <d v="2026-02-25T00:00:00"/>
    <x v="3"/>
    <n v="2"/>
    <n v="2026"/>
    <x v="60"/>
    <s v="Week 9"/>
    <s v="Week 9-2026"/>
  </r>
  <r>
    <d v="2026-02-25T00:00:00"/>
    <x v="11"/>
    <n v="2"/>
    <n v="2026"/>
    <x v="60"/>
    <s v="Week 9"/>
    <s v="Week 9-2026"/>
  </r>
  <r>
    <d v="2026-02-25T00:00:00"/>
    <x v="11"/>
    <n v="2"/>
    <n v="2026"/>
    <x v="60"/>
    <s v="Week 9"/>
    <s v="Week 9-2026"/>
  </r>
  <r>
    <d v="2026-02-25T00:00:00"/>
    <x v="15"/>
    <n v="4"/>
    <n v="2026"/>
    <x v="60"/>
    <s v="Week 9"/>
    <s v="Week 9-2026"/>
  </r>
  <r>
    <d v="2026-02-25T00:00:00"/>
    <x v="18"/>
    <n v="4"/>
    <n v="2026"/>
    <x v="60"/>
    <s v="Week 9"/>
    <s v="Week 9-2026"/>
  </r>
  <r>
    <d v="2026-02-25T00:00:00"/>
    <x v="11"/>
    <n v="2"/>
    <n v="2026"/>
    <x v="60"/>
    <s v="Week 9"/>
    <s v="Week 9-2026"/>
  </r>
  <r>
    <d v="2026-02-25T00:00:00"/>
    <x v="35"/>
    <n v="2"/>
    <n v="2026"/>
    <x v="60"/>
    <s v="Week 9"/>
    <s v="Week 9-2026"/>
  </r>
  <r>
    <d v="2026-02-25T00:00:00"/>
    <x v="15"/>
    <n v="2"/>
    <n v="2026"/>
    <x v="60"/>
    <s v="Week 9"/>
    <s v="Week 9-2026"/>
  </r>
  <r>
    <d v="2026-02-26T00:00:00"/>
    <x v="3"/>
    <n v="28"/>
    <n v="2026"/>
    <x v="60"/>
    <s v="Week 9"/>
    <s v="Week 9-2026"/>
  </r>
  <r>
    <d v="2026-02-26T00:00:00"/>
    <x v="14"/>
    <n v="16"/>
    <n v="2026"/>
    <x v="60"/>
    <s v="Week 9"/>
    <s v="Week 9-2026"/>
  </r>
  <r>
    <d v="2026-02-26T00:00:00"/>
    <x v="14"/>
    <n v="16"/>
    <n v="2026"/>
    <x v="60"/>
    <s v="Week 9"/>
    <s v="Week 9-2026"/>
  </r>
  <r>
    <d v="2026-02-26T00:00:00"/>
    <x v="13"/>
    <n v="7"/>
    <n v="2026"/>
    <x v="60"/>
    <s v="Week 9"/>
    <s v="Week 9-2026"/>
  </r>
  <r>
    <d v="2026-02-26T00:00:00"/>
    <x v="3"/>
    <n v="8"/>
    <n v="2026"/>
    <x v="60"/>
    <s v="Week 9"/>
    <s v="Week 9-2026"/>
  </r>
  <r>
    <d v="2026-02-26T00:00:00"/>
    <x v="14"/>
    <n v="14"/>
    <n v="2026"/>
    <x v="60"/>
    <s v="Week 9"/>
    <s v="Week 9-2026"/>
  </r>
  <r>
    <d v="2026-02-26T00:00:00"/>
    <x v="14"/>
    <n v="12"/>
    <n v="2026"/>
    <x v="60"/>
    <s v="Week 9"/>
    <s v="Week 9-2026"/>
  </r>
  <r>
    <d v="2026-02-26T00:00:00"/>
    <x v="13"/>
    <n v="9"/>
    <n v="2026"/>
    <x v="60"/>
    <s v="Week 9"/>
    <s v="Week 9-2026"/>
  </r>
  <r>
    <d v="2026-02-26T00:00:00"/>
    <x v="12"/>
    <n v="14"/>
    <n v="2026"/>
    <x v="60"/>
    <s v="Week 9"/>
    <s v="Week 9-2026"/>
  </r>
  <r>
    <d v="2026-02-26T00:00:00"/>
    <x v="10"/>
    <n v="10"/>
    <n v="2026"/>
    <x v="60"/>
    <s v="Week 9"/>
    <s v="Week 9-2026"/>
  </r>
  <r>
    <d v="2026-02-26T00:00:00"/>
    <x v="10"/>
    <n v="8"/>
    <n v="2026"/>
    <x v="60"/>
    <s v="Week 9"/>
    <s v="Week 9-2026"/>
  </r>
  <r>
    <d v="2026-02-26T00:00:00"/>
    <x v="10"/>
    <n v="8"/>
    <n v="2026"/>
    <x v="60"/>
    <s v="Week 9"/>
    <s v="Week 9-2026"/>
  </r>
  <r>
    <d v="2026-02-26T00:00:00"/>
    <x v="11"/>
    <n v="10"/>
    <n v="2026"/>
    <x v="60"/>
    <s v="Week 9"/>
    <s v="Week 9-2026"/>
  </r>
  <r>
    <d v="2026-02-26T00:00:00"/>
    <x v="11"/>
    <n v="10"/>
    <n v="2026"/>
    <x v="60"/>
    <s v="Week 9"/>
    <s v="Week 9-2026"/>
  </r>
  <r>
    <d v="2026-02-26T00:00:00"/>
    <x v="3"/>
    <n v="8"/>
    <n v="2026"/>
    <x v="60"/>
    <s v="Week 9"/>
    <s v="Week 9-2026"/>
  </r>
  <r>
    <d v="2026-02-26T00:00:00"/>
    <x v="15"/>
    <n v="15"/>
    <n v="2026"/>
    <x v="60"/>
    <s v="Week 9"/>
    <s v="Week 9-2026"/>
  </r>
  <r>
    <d v="2026-02-26T00:00:00"/>
    <x v="3"/>
    <n v="7"/>
    <n v="2026"/>
    <x v="60"/>
    <s v="Week 9"/>
    <s v="Week 9-2026"/>
  </r>
  <r>
    <d v="2026-02-26T00:00:00"/>
    <x v="6"/>
    <n v="4"/>
    <n v="2026"/>
    <x v="60"/>
    <s v="Week 9"/>
    <s v="Week 9-2026"/>
  </r>
  <r>
    <d v="2026-02-26T00:00:00"/>
    <x v="6"/>
    <n v="4"/>
    <n v="2026"/>
    <x v="60"/>
    <s v="Week 9"/>
    <s v="Week 9-2026"/>
  </r>
  <r>
    <d v="2026-02-26T00:00:00"/>
    <x v="12"/>
    <n v="7"/>
    <n v="2026"/>
    <x v="60"/>
    <s v="Week 9"/>
    <s v="Week 9-2026"/>
  </r>
  <r>
    <d v="2026-02-26T00:00:00"/>
    <x v="12"/>
    <n v="7"/>
    <n v="2026"/>
    <x v="60"/>
    <s v="Week 9"/>
    <s v="Week 9-2026"/>
  </r>
  <r>
    <d v="2026-02-26T00:00:00"/>
    <x v="12"/>
    <n v="6"/>
    <n v="2026"/>
    <x v="60"/>
    <s v="Week 9"/>
    <s v="Week 9-2026"/>
  </r>
  <r>
    <d v="2026-02-26T00:00:00"/>
    <x v="2"/>
    <n v="6"/>
    <n v="2026"/>
    <x v="60"/>
    <s v="Week 9"/>
    <s v="Week 9-2026"/>
  </r>
  <r>
    <d v="2026-02-26T00:00:00"/>
    <x v="2"/>
    <n v="6"/>
    <n v="2026"/>
    <x v="60"/>
    <s v="Week 9"/>
    <s v="Week 9-2026"/>
  </r>
  <r>
    <d v="2026-02-26T00:00:00"/>
    <x v="10"/>
    <n v="4"/>
    <n v="2026"/>
    <x v="60"/>
    <s v="Week 9"/>
    <s v="Week 9-2026"/>
  </r>
  <r>
    <d v="2026-02-26T00:00:00"/>
    <x v="3"/>
    <n v="4"/>
    <n v="2026"/>
    <x v="60"/>
    <s v="Week 9"/>
    <s v="Week 9-2026"/>
  </r>
  <r>
    <d v="2026-02-26T00:00:00"/>
    <x v="25"/>
    <n v="5"/>
    <n v="2026"/>
    <x v="60"/>
    <s v="Week 9"/>
    <s v="Week 9-2026"/>
  </r>
  <r>
    <d v="2026-02-26T00:00:00"/>
    <x v="11"/>
    <n v="4"/>
    <n v="2026"/>
    <x v="60"/>
    <s v="Week 9"/>
    <s v="Week 9-2026"/>
  </r>
  <r>
    <d v="2026-02-26T00:00:00"/>
    <x v="11"/>
    <n v="4"/>
    <n v="2026"/>
    <x v="60"/>
    <s v="Week 9"/>
    <s v="Week 9-2026"/>
  </r>
  <r>
    <d v="2026-02-26T00:00:00"/>
    <x v="12"/>
    <n v="4"/>
    <n v="2026"/>
    <x v="60"/>
    <s v="Week 9"/>
    <s v="Week 9-2026"/>
  </r>
  <r>
    <d v="2026-02-26T00:00:00"/>
    <x v="12"/>
    <n v="4"/>
    <n v="2026"/>
    <x v="60"/>
    <s v="Week 9"/>
    <s v="Week 9-2026"/>
  </r>
  <r>
    <d v="2026-02-26T00:00:00"/>
    <x v="6"/>
    <n v="2"/>
    <n v="2026"/>
    <x v="60"/>
    <s v="Week 9"/>
    <s v="Week 9-2026"/>
  </r>
  <r>
    <d v="2026-02-26T00:00:00"/>
    <x v="18"/>
    <n v="6"/>
    <n v="2026"/>
    <x v="60"/>
    <s v="Week 9"/>
    <s v="Week 9-2026"/>
  </r>
  <r>
    <d v="2026-02-26T00:00:00"/>
    <x v="13"/>
    <n v="2"/>
    <n v="2026"/>
    <x v="60"/>
    <s v="Week 9"/>
    <s v="Week 9-2026"/>
  </r>
  <r>
    <d v="2026-02-26T00:00:00"/>
    <x v="15"/>
    <n v="2"/>
    <n v="2026"/>
    <x v="60"/>
    <s v="Week 9"/>
    <s v="Week 9-2026"/>
  </r>
  <r>
    <d v="2026-02-26T00:00:00"/>
    <x v="15"/>
    <n v="2"/>
    <n v="2026"/>
    <x v="60"/>
    <s v="Week 9"/>
    <s v="Week 9-2026"/>
  </r>
  <r>
    <d v="2026-02-26T00:00:00"/>
    <x v="3"/>
    <n v="1"/>
    <n v="2026"/>
    <x v="60"/>
    <s v="Week 9"/>
    <s v="Week 9-2026"/>
  </r>
  <r>
    <d v="2026-02-26T00:00:00"/>
    <x v="3"/>
    <n v="1"/>
    <n v="2026"/>
    <x v="60"/>
    <s v="Week 9"/>
    <s v="Week 9-2026"/>
  </r>
  <r>
    <d v="2026-02-26T00:00:00"/>
    <x v="3"/>
    <n v="1"/>
    <n v="2026"/>
    <x v="60"/>
    <s v="Week 9"/>
    <s v="Week 9-2026"/>
  </r>
  <r>
    <d v="2026-02-26T00:00:00"/>
    <x v="12"/>
    <n v="1"/>
    <n v="2026"/>
    <x v="60"/>
    <s v="Week 9"/>
    <s v="Week 9-2026"/>
  </r>
  <r>
    <d v="2026-02-26T00:00:00"/>
    <x v="27"/>
    <n v="2"/>
    <n v="2026"/>
    <x v="60"/>
    <s v="Week 9"/>
    <s v="Week 9-2026"/>
  </r>
  <r>
    <d v="2026-02-26T00:00:00"/>
    <x v="25"/>
    <n v="1"/>
    <n v="2026"/>
    <x v="60"/>
    <s v="Week 9"/>
    <s v="Week 9-2026"/>
  </r>
  <r>
    <d v="2026-02-26T00:00:00"/>
    <x v="25"/>
    <n v="1"/>
    <n v="2026"/>
    <x v="60"/>
    <s v="Week 9"/>
    <s v="Week 9-2026"/>
  </r>
  <r>
    <d v="2026-02-26T00:00:00"/>
    <x v="25"/>
    <n v="1"/>
    <n v="2026"/>
    <x v="60"/>
    <s v="Week 9"/>
    <s v="Week 9-2026"/>
  </r>
  <r>
    <d v="2026-02-26T00:00:00"/>
    <x v="15"/>
    <n v="1"/>
    <n v="2026"/>
    <x v="60"/>
    <s v="Week 9"/>
    <s v="Week 9-2026"/>
  </r>
  <r>
    <d v="2026-02-26T00:00:00"/>
    <x v="15"/>
    <n v="1"/>
    <n v="2026"/>
    <x v="60"/>
    <s v="Week 9"/>
    <s v="Week 9-2026"/>
  </r>
  <r>
    <d v="2026-02-26T00:00:00"/>
    <x v="19"/>
    <n v="1"/>
    <n v="2026"/>
    <x v="60"/>
    <s v="Week 9"/>
    <s v="Week 9-2026"/>
  </r>
  <r>
    <d v="2026-02-26T00:00:00"/>
    <x v="19"/>
    <n v="1"/>
    <n v="2026"/>
    <x v="60"/>
    <s v="Week 9"/>
    <s v="Week 9-2026"/>
  </r>
  <r>
    <d v="2026-02-26T00:00:00"/>
    <x v="11"/>
    <n v="3"/>
    <n v="2026"/>
    <x v="60"/>
    <s v="Week 9"/>
    <s v="Week 9-2026"/>
  </r>
  <r>
    <d v="2026-02-26T00:00:00"/>
    <x v="11"/>
    <n v="1"/>
    <n v="2026"/>
    <x v="60"/>
    <s v="Week 9"/>
    <s v="Week 9-2026"/>
  </r>
  <r>
    <d v="2026-02-27T00:00:00"/>
    <x v="12"/>
    <n v="4"/>
    <n v="2026"/>
    <x v="60"/>
    <s v="Week 9"/>
    <s v="Week 9-2026"/>
  </r>
  <r>
    <d v="2026-02-27T00:00:00"/>
    <x v="3"/>
    <n v="2"/>
    <n v="2026"/>
    <x v="60"/>
    <s v="Week 9"/>
    <s v="Week 9-2026"/>
  </r>
  <r>
    <d v="2026-02-28T00:00:00"/>
    <x v="3"/>
    <n v="16"/>
    <n v="2026"/>
    <x v="60"/>
    <s v="Week 9"/>
    <s v="Week 9-2026"/>
  </r>
  <r>
    <d v="2026-02-28T00:00:00"/>
    <x v="3"/>
    <n v="14"/>
    <n v="2026"/>
    <x v="60"/>
    <s v="Week 9"/>
    <s v="Week 9-2026"/>
  </r>
  <r>
    <d v="2026-02-28T00:00:00"/>
    <x v="12"/>
    <n v="12"/>
    <n v="2026"/>
    <x v="60"/>
    <s v="Week 9"/>
    <s v="Week 9-2026"/>
  </r>
  <r>
    <d v="2026-02-28T00:00:00"/>
    <x v="14"/>
    <n v="8"/>
    <n v="2026"/>
    <x v="60"/>
    <s v="Week 9"/>
    <s v="Week 9-2026"/>
  </r>
  <r>
    <d v="2026-02-28T00:00:00"/>
    <x v="11"/>
    <n v="8"/>
    <n v="2026"/>
    <x v="60"/>
    <s v="Week 9"/>
    <s v="Week 9-2026"/>
  </r>
  <r>
    <d v="2026-02-28T00:00:00"/>
    <x v="3"/>
    <n v="4"/>
    <n v="2026"/>
    <x v="60"/>
    <s v="Week 9"/>
    <s v="Week 9-2026"/>
  </r>
  <r>
    <d v="2026-02-28T00:00:00"/>
    <x v="18"/>
    <n v="8"/>
    <n v="2026"/>
    <x v="60"/>
    <s v="Week 9"/>
    <s v="Week 9-2026"/>
  </r>
  <r>
    <d v="2026-02-28T00:00:00"/>
    <x v="12"/>
    <n v="4"/>
    <n v="2026"/>
    <x v="60"/>
    <s v="Week 9"/>
    <s v="Week 9-2026"/>
  </r>
  <r>
    <d v="2026-02-28T00:00:00"/>
    <x v="25"/>
    <n v="4"/>
    <n v="2026"/>
    <x v="60"/>
    <s v="Week 9"/>
    <s v="Week 9-2026"/>
  </r>
  <r>
    <d v="2026-02-28T00:00:00"/>
    <x v="10"/>
    <n v="2"/>
    <n v="2026"/>
    <x v="60"/>
    <s v="Week 9"/>
    <s v="Week 9-2026"/>
  </r>
  <r>
    <d v="2026-03-02T00:00:00"/>
    <x v="2"/>
    <n v="10"/>
    <n v="2026"/>
    <x v="61"/>
    <s v="Week 10"/>
    <s v="Week 10-2026"/>
  </r>
  <r>
    <d v="2026-03-02T00:00:00"/>
    <x v="1"/>
    <n v="4"/>
    <n v="2026"/>
    <x v="61"/>
    <s v="Week 10"/>
    <s v="Week 10-2026"/>
  </r>
  <r>
    <d v="2026-03-02T00:00:00"/>
    <x v="19"/>
    <n v="4"/>
    <n v="2026"/>
    <x v="61"/>
    <s v="Week 10"/>
    <s v="Week 10-2026"/>
  </r>
  <r>
    <d v="2026-03-02T00:00:00"/>
    <x v="20"/>
    <n v="2"/>
    <n v="2026"/>
    <x v="61"/>
    <s v="Week 10"/>
    <s v="Week 10-2026"/>
  </r>
  <r>
    <d v="2026-03-02T00:00:00"/>
    <x v="2"/>
    <n v="2"/>
    <n v="2026"/>
    <x v="61"/>
    <s v="Week 10"/>
    <s v="Week 10-2026"/>
  </r>
  <r>
    <d v="2026-03-02T00:00:00"/>
    <x v="33"/>
    <n v="2"/>
    <n v="2026"/>
    <x v="61"/>
    <s v="Week 10"/>
    <s v="Week 10-2026"/>
  </r>
  <r>
    <d v="2026-03-02T00:00:00"/>
    <x v="15"/>
    <n v="1"/>
    <n v="2026"/>
    <x v="61"/>
    <s v="Week 10"/>
    <s v="Week 10-2026"/>
  </r>
  <r>
    <d v="2026-03-03T00:00:00"/>
    <x v="12"/>
    <n v="14"/>
    <n v="2026"/>
    <x v="61"/>
    <s v="Week 10"/>
    <s v="Week 10-2026"/>
  </r>
  <r>
    <d v="2026-03-03T00:00:00"/>
    <x v="12"/>
    <n v="13"/>
    <n v="2026"/>
    <x v="61"/>
    <s v="Week 10"/>
    <s v="Week 10-2026"/>
  </r>
  <r>
    <d v="2026-03-03T00:00:00"/>
    <x v="12"/>
    <n v="11"/>
    <n v="2026"/>
    <x v="61"/>
    <s v="Week 10"/>
    <s v="Week 10-2026"/>
  </r>
  <r>
    <d v="2026-03-03T00:00:00"/>
    <x v="12"/>
    <n v="7"/>
    <n v="2026"/>
    <x v="61"/>
    <s v="Week 10"/>
    <s v="Week 10-2026"/>
  </r>
  <r>
    <d v="2026-03-03T00:00:00"/>
    <x v="12"/>
    <n v="5"/>
    <n v="2026"/>
    <x v="61"/>
    <s v="Week 10"/>
    <s v="Week 10-2026"/>
  </r>
  <r>
    <d v="2026-03-03T00:00:00"/>
    <x v="27"/>
    <n v="4"/>
    <n v="2026"/>
    <x v="61"/>
    <s v="Week 10"/>
    <s v="Week 10-2026"/>
  </r>
  <r>
    <d v="2026-03-03T00:00:00"/>
    <x v="11"/>
    <n v="2"/>
    <n v="2026"/>
    <x v="61"/>
    <s v="Week 10"/>
    <s v="Week 10-2026"/>
  </r>
  <r>
    <d v="2026-03-03T00:00:00"/>
    <x v="12"/>
    <n v="2"/>
    <n v="2026"/>
    <x v="61"/>
    <s v="Week 10"/>
    <s v="Week 10-2026"/>
  </r>
  <r>
    <d v="2026-03-03T00:00:00"/>
    <x v="15"/>
    <n v="2"/>
    <n v="2026"/>
    <x v="61"/>
    <s v="Week 10"/>
    <s v="Week 10-2026"/>
  </r>
  <r>
    <d v="2026-03-03T00:00:00"/>
    <x v="28"/>
    <n v="2"/>
    <n v="2026"/>
    <x v="61"/>
    <s v="Week 10"/>
    <s v="Week 10-2026"/>
  </r>
  <r>
    <d v="2026-03-04T00:00:00"/>
    <x v="10"/>
    <n v="24"/>
    <n v="2026"/>
    <x v="61"/>
    <s v="Week 10"/>
    <s v="Week 10-2026"/>
  </r>
  <r>
    <d v="2026-03-04T00:00:00"/>
    <x v="12"/>
    <n v="22"/>
    <n v="2026"/>
    <x v="61"/>
    <s v="Week 10"/>
    <s v="Week 10-2026"/>
  </r>
  <r>
    <d v="2026-03-04T00:00:00"/>
    <x v="14"/>
    <n v="10"/>
    <n v="2026"/>
    <x v="61"/>
    <s v="Week 10"/>
    <s v="Week 10-2026"/>
  </r>
  <r>
    <d v="2026-03-04T00:00:00"/>
    <x v="11"/>
    <n v="12"/>
    <n v="2026"/>
    <x v="61"/>
    <s v="Week 10"/>
    <s v="Week 10-2026"/>
  </r>
  <r>
    <d v="2026-03-04T00:00:00"/>
    <x v="10"/>
    <n v="10"/>
    <n v="2026"/>
    <x v="61"/>
    <s v="Week 10"/>
    <s v="Week 10-2026"/>
  </r>
  <r>
    <d v="2026-03-04T00:00:00"/>
    <x v="15"/>
    <n v="12"/>
    <n v="2026"/>
    <x v="61"/>
    <s v="Week 10"/>
    <s v="Week 10-2026"/>
  </r>
  <r>
    <d v="2026-03-04T00:00:00"/>
    <x v="12"/>
    <n v="8"/>
    <n v="2026"/>
    <x v="61"/>
    <s v="Week 10"/>
    <s v="Week 10-2026"/>
  </r>
  <r>
    <d v="2026-03-04T00:00:00"/>
    <x v="12"/>
    <n v="8"/>
    <n v="2026"/>
    <x v="61"/>
    <s v="Week 10"/>
    <s v="Week 10-2026"/>
  </r>
  <r>
    <d v="2026-03-04T00:00:00"/>
    <x v="2"/>
    <n v="7"/>
    <n v="2026"/>
    <x v="61"/>
    <s v="Week 10"/>
    <s v="Week 10-2026"/>
  </r>
  <r>
    <d v="2026-03-04T00:00:00"/>
    <x v="27"/>
    <n v="12"/>
    <n v="2026"/>
    <x v="61"/>
    <s v="Week 10"/>
    <s v="Week 10-2026"/>
  </r>
  <r>
    <d v="2026-03-04T00:00:00"/>
    <x v="10"/>
    <n v="4"/>
    <n v="2026"/>
    <x v="61"/>
    <s v="Week 10"/>
    <s v="Week 10-2026"/>
  </r>
  <r>
    <d v="2026-03-04T00:00:00"/>
    <x v="3"/>
    <n v="4"/>
    <n v="2026"/>
    <x v="61"/>
    <s v="Week 10"/>
    <s v="Week 10-2026"/>
  </r>
  <r>
    <d v="2026-03-04T00:00:00"/>
    <x v="12"/>
    <n v="5"/>
    <n v="2026"/>
    <x v="61"/>
    <s v="Week 10"/>
    <s v="Week 10-2026"/>
  </r>
  <r>
    <d v="2026-03-04T00:00:00"/>
    <x v="27"/>
    <n v="8"/>
    <n v="2026"/>
    <x v="61"/>
    <s v="Week 10"/>
    <s v="Week 10-2026"/>
  </r>
  <r>
    <d v="2026-03-04T00:00:00"/>
    <x v="15"/>
    <n v="6"/>
    <n v="2026"/>
    <x v="61"/>
    <s v="Week 10"/>
    <s v="Week 10-2026"/>
  </r>
  <r>
    <d v="2026-03-04T00:00:00"/>
    <x v="27"/>
    <n v="6"/>
    <n v="2026"/>
    <x v="61"/>
    <s v="Week 10"/>
    <s v="Week 10-2026"/>
  </r>
  <r>
    <d v="2026-03-04T00:00:00"/>
    <x v="12"/>
    <n v="4"/>
    <n v="2026"/>
    <x v="61"/>
    <s v="Week 10"/>
    <s v="Week 10-2026"/>
  </r>
  <r>
    <d v="2026-03-04T00:00:00"/>
    <x v="12"/>
    <n v="4"/>
    <n v="2026"/>
    <x v="61"/>
    <s v="Week 10"/>
    <s v="Week 10-2026"/>
  </r>
  <r>
    <d v="2026-03-04T00:00:00"/>
    <x v="12"/>
    <n v="4"/>
    <n v="2026"/>
    <x v="61"/>
    <s v="Week 10"/>
    <s v="Week 10-2026"/>
  </r>
  <r>
    <d v="2026-03-04T00:00:00"/>
    <x v="12"/>
    <n v="4"/>
    <n v="2026"/>
    <x v="61"/>
    <s v="Week 10"/>
    <s v="Week 10-2026"/>
  </r>
  <r>
    <d v="2026-03-04T00:00:00"/>
    <x v="18"/>
    <n v="6"/>
    <n v="2026"/>
    <x v="61"/>
    <s v="Week 10"/>
    <s v="Week 10-2026"/>
  </r>
  <r>
    <d v="2026-03-04T00:00:00"/>
    <x v="17"/>
    <n v="2"/>
    <n v="2026"/>
    <x v="61"/>
    <s v="Week 10"/>
    <s v="Week 10-2026"/>
  </r>
  <r>
    <d v="2026-03-04T00:00:00"/>
    <x v="14"/>
    <n v="2"/>
    <n v="2026"/>
    <x v="61"/>
    <s v="Week 10"/>
    <s v="Week 10-2026"/>
  </r>
  <r>
    <d v="2026-03-04T00:00:00"/>
    <x v="17"/>
    <n v="2"/>
    <n v="2026"/>
    <x v="61"/>
    <s v="Week 10"/>
    <s v="Week 10-2026"/>
  </r>
  <r>
    <d v="2026-03-04T00:00:00"/>
    <x v="12"/>
    <n v="3"/>
    <n v="2026"/>
    <x v="61"/>
    <s v="Week 10"/>
    <s v="Week 10-2026"/>
  </r>
  <r>
    <d v="2026-03-04T00:00:00"/>
    <x v="12"/>
    <n v="3"/>
    <n v="2026"/>
    <x v="61"/>
    <s v="Week 10"/>
    <s v="Week 10-2026"/>
  </r>
  <r>
    <d v="2026-03-04T00:00:00"/>
    <x v="3"/>
    <n v="2"/>
    <n v="2026"/>
    <x v="61"/>
    <s v="Week 10"/>
    <s v="Week 10-2026"/>
  </r>
  <r>
    <d v="2026-03-04T00:00:00"/>
    <x v="3"/>
    <n v="2"/>
    <n v="2026"/>
    <x v="61"/>
    <s v="Week 10"/>
    <s v="Week 10-2026"/>
  </r>
  <r>
    <d v="2026-03-04T00:00:00"/>
    <x v="3"/>
    <n v="2"/>
    <n v="2026"/>
    <x v="61"/>
    <s v="Week 10"/>
    <s v="Week 10-2026"/>
  </r>
  <r>
    <d v="2026-03-04T00:00:00"/>
    <x v="12"/>
    <n v="2"/>
    <n v="2026"/>
    <x v="61"/>
    <s v="Week 10"/>
    <s v="Week 10-2026"/>
  </r>
  <r>
    <d v="2026-03-04T00:00:00"/>
    <x v="11"/>
    <n v="2"/>
    <n v="2026"/>
    <x v="61"/>
    <s v="Week 10"/>
    <s v="Week 10-2026"/>
  </r>
  <r>
    <d v="2026-03-04T00:00:00"/>
    <x v="11"/>
    <n v="2"/>
    <n v="2026"/>
    <x v="61"/>
    <s v="Week 10"/>
    <s v="Week 10-2026"/>
  </r>
  <r>
    <d v="2026-03-04T00:00:00"/>
    <x v="12"/>
    <n v="2"/>
    <n v="2026"/>
    <x v="61"/>
    <s v="Week 10"/>
    <s v="Week 10-2026"/>
  </r>
  <r>
    <d v="2026-03-04T00:00:00"/>
    <x v="12"/>
    <n v="2"/>
    <n v="2026"/>
    <x v="61"/>
    <s v="Week 10"/>
    <s v="Week 10-2026"/>
  </r>
  <r>
    <d v="2026-03-04T00:00:00"/>
    <x v="25"/>
    <n v="2"/>
    <n v="2026"/>
    <x v="61"/>
    <s v="Week 10"/>
    <s v="Week 10-2026"/>
  </r>
  <r>
    <d v="2026-03-04T00:00:00"/>
    <x v="12"/>
    <n v="1"/>
    <n v="2026"/>
    <x v="61"/>
    <s v="Week 10"/>
    <s v="Week 10-2026"/>
  </r>
  <r>
    <d v="2026-03-07T00:00:00"/>
    <x v="3"/>
    <n v="16"/>
    <n v="2026"/>
    <x v="61"/>
    <s v="Week 10"/>
    <s v="Week 10-2026"/>
  </r>
  <r>
    <d v="2026-03-07T00:00:00"/>
    <x v="14"/>
    <n v="8"/>
    <n v="2026"/>
    <x v="61"/>
    <s v="Week 10"/>
    <s v="Week 10-2026"/>
  </r>
  <r>
    <d v="2026-03-07T00:00:00"/>
    <x v="5"/>
    <n v="4"/>
    <n v="2026"/>
    <x v="61"/>
    <s v="Week 10"/>
    <s v="Week 10-2026"/>
  </r>
  <r>
    <d v="2026-03-07T00:00:00"/>
    <x v="27"/>
    <n v="10"/>
    <n v="2026"/>
    <x v="61"/>
    <s v="Week 10"/>
    <s v="Week 10-2026"/>
  </r>
  <r>
    <d v="2026-03-07T00:00:00"/>
    <x v="6"/>
    <n v="2"/>
    <n v="2026"/>
    <x v="61"/>
    <s v="Week 10"/>
    <s v="Week 10-2026"/>
  </r>
  <r>
    <d v="2026-03-07T00:00:00"/>
    <x v="25"/>
    <n v="4"/>
    <n v="2026"/>
    <x v="61"/>
    <s v="Week 10"/>
    <s v="Week 10-2026"/>
  </r>
  <r>
    <d v="2026-03-07T00:00:00"/>
    <x v="12"/>
    <n v="4"/>
    <n v="2026"/>
    <x v="61"/>
    <s v="Week 10"/>
    <s v="Week 10-2026"/>
  </r>
  <r>
    <d v="2026-03-07T00:00:00"/>
    <x v="3"/>
    <n v="2"/>
    <n v="2026"/>
    <x v="61"/>
    <s v="Week 10"/>
    <s v="Week 10-2026"/>
  </r>
  <r>
    <d v="2026-03-07T00:00:00"/>
    <x v="18"/>
    <n v="3"/>
    <n v="2026"/>
    <x v="61"/>
    <s v="Week 10"/>
    <s v="Week 10-2026"/>
  </r>
  <r>
    <d v="2026-03-07T00:00:00"/>
    <x v="15"/>
    <n v="2"/>
    <n v="2026"/>
    <x v="61"/>
    <s v="Week 10"/>
    <s v="Week 10-2026"/>
  </r>
  <r>
    <d v="2026-03-10T00:00:00"/>
    <x v="3"/>
    <n v="6"/>
    <n v="2026"/>
    <x v="62"/>
    <s v="Week 11"/>
    <s v="Week 11-2026"/>
  </r>
  <r>
    <d v="2026-03-11T00:00:00"/>
    <x v="10"/>
    <n v="21"/>
    <n v="2026"/>
    <x v="62"/>
    <s v="Week 11"/>
    <s v="Week 11-2026"/>
  </r>
  <r>
    <d v="2026-03-11T00:00:00"/>
    <x v="11"/>
    <n v="22"/>
    <n v="2026"/>
    <x v="62"/>
    <s v="Week 11"/>
    <s v="Week 11-2026"/>
  </r>
  <r>
    <d v="2026-03-11T00:00:00"/>
    <x v="12"/>
    <n v="24"/>
    <n v="2026"/>
    <x v="62"/>
    <s v="Week 11"/>
    <s v="Week 11-2026"/>
  </r>
  <r>
    <d v="2026-03-11T00:00:00"/>
    <x v="10"/>
    <n v="11"/>
    <n v="2026"/>
    <x v="62"/>
    <s v="Week 11"/>
    <s v="Week 11-2026"/>
  </r>
  <r>
    <d v="2026-03-11T00:00:00"/>
    <x v="15"/>
    <n v="21"/>
    <n v="2026"/>
    <x v="62"/>
    <s v="Week 11"/>
    <s v="Week 11-2026"/>
  </r>
  <r>
    <d v="2026-03-11T00:00:00"/>
    <x v="3"/>
    <n v="11"/>
    <n v="2026"/>
    <x v="62"/>
    <s v="Week 11"/>
    <s v="Week 11-2026"/>
  </r>
  <r>
    <d v="2026-03-11T00:00:00"/>
    <x v="3"/>
    <n v="10"/>
    <n v="2026"/>
    <x v="62"/>
    <s v="Week 11"/>
    <s v="Week 11-2026"/>
  </r>
  <r>
    <d v="2026-03-11T00:00:00"/>
    <x v="14"/>
    <n v="8"/>
    <n v="2026"/>
    <x v="62"/>
    <s v="Week 11"/>
    <s v="Week 11-2026"/>
  </r>
  <r>
    <d v="2026-03-11T00:00:00"/>
    <x v="11"/>
    <n v="10"/>
    <n v="2026"/>
    <x v="62"/>
    <s v="Week 11"/>
    <s v="Week 11-2026"/>
  </r>
  <r>
    <d v="2026-03-11T00:00:00"/>
    <x v="15"/>
    <n v="11"/>
    <n v="2026"/>
    <x v="62"/>
    <s v="Week 11"/>
    <s v="Week 11-2026"/>
  </r>
  <r>
    <d v="2026-03-11T00:00:00"/>
    <x v="3"/>
    <n v="6"/>
    <n v="2026"/>
    <x v="62"/>
    <s v="Week 11"/>
    <s v="Week 11-2026"/>
  </r>
  <r>
    <d v="2026-03-11T00:00:00"/>
    <x v="9"/>
    <n v="6"/>
    <n v="2026"/>
    <x v="62"/>
    <s v="Week 11"/>
    <s v="Week 11-2026"/>
  </r>
  <r>
    <d v="2026-03-11T00:00:00"/>
    <x v="12"/>
    <n v="6"/>
    <n v="2026"/>
    <x v="62"/>
    <s v="Week 11"/>
    <s v="Week 11-2026"/>
  </r>
  <r>
    <d v="2026-03-11T00:00:00"/>
    <x v="3"/>
    <n v="4"/>
    <n v="2026"/>
    <x v="62"/>
    <s v="Week 11"/>
    <s v="Week 11-2026"/>
  </r>
  <r>
    <d v="2026-03-11T00:00:00"/>
    <x v="3"/>
    <n v="4"/>
    <n v="2026"/>
    <x v="62"/>
    <s v="Week 11"/>
    <s v="Week 11-2026"/>
  </r>
  <r>
    <d v="2026-03-11T00:00:00"/>
    <x v="3"/>
    <n v="4"/>
    <n v="2026"/>
    <x v="62"/>
    <s v="Week 11"/>
    <s v="Week 11-2026"/>
  </r>
  <r>
    <d v="2026-03-11T00:00:00"/>
    <x v="4"/>
    <n v="8"/>
    <n v="2026"/>
    <x v="62"/>
    <s v="Week 11"/>
    <s v="Week 11-2026"/>
  </r>
  <r>
    <d v="2026-03-11T00:00:00"/>
    <x v="12"/>
    <n v="4"/>
    <n v="2026"/>
    <x v="62"/>
    <s v="Week 11"/>
    <s v="Week 11-2026"/>
  </r>
  <r>
    <d v="2026-03-11T00:00:00"/>
    <x v="2"/>
    <n v="2"/>
    <n v="2026"/>
    <x v="62"/>
    <s v="Week 11"/>
    <s v="Week 11-2026"/>
  </r>
  <r>
    <d v="2026-03-11T00:00:00"/>
    <x v="3"/>
    <n v="1"/>
    <n v="2026"/>
    <x v="62"/>
    <s v="Week 11"/>
    <s v="Week 11-2026"/>
  </r>
  <r>
    <d v="2026-03-11T00:00:00"/>
    <x v="4"/>
    <n v="2"/>
    <n v="2026"/>
    <x v="62"/>
    <s v="Week 11"/>
    <s v="Week 11-2026"/>
  </r>
  <r>
    <d v="2026-03-12T00:00:00"/>
    <x v="3"/>
    <n v="24"/>
    <n v="2026"/>
    <x v="62"/>
    <s v="Week 11"/>
    <s v="Week 11-2026"/>
  </r>
  <r>
    <d v="2026-03-12T00:00:00"/>
    <x v="11"/>
    <n v="18"/>
    <n v="2026"/>
    <x v="62"/>
    <s v="Week 11"/>
    <s v="Week 11-2026"/>
  </r>
  <r>
    <d v="2026-03-12T00:00:00"/>
    <x v="12"/>
    <n v="12"/>
    <n v="2026"/>
    <x v="62"/>
    <s v="Week 11"/>
    <s v="Week 11-2026"/>
  </r>
  <r>
    <d v="2026-03-12T00:00:00"/>
    <x v="14"/>
    <n v="6"/>
    <n v="2026"/>
    <x v="62"/>
    <s v="Week 11"/>
    <s v="Week 11-2026"/>
  </r>
  <r>
    <d v="2026-03-12T00:00:00"/>
    <x v="10"/>
    <n v="4"/>
    <n v="2026"/>
    <x v="62"/>
    <s v="Week 11"/>
    <s v="Week 11-2026"/>
  </r>
  <r>
    <d v="2026-03-12T00:00:00"/>
    <x v="11"/>
    <n v="4"/>
    <n v="2026"/>
    <x v="62"/>
    <s v="Week 11"/>
    <s v="Week 11-2026"/>
  </r>
  <r>
    <d v="2026-03-12T00:00:00"/>
    <x v="12"/>
    <n v="4"/>
    <n v="2026"/>
    <x v="62"/>
    <s v="Week 11"/>
    <s v="Week 11-2026"/>
  </r>
  <r>
    <d v="2026-03-12T00:00:00"/>
    <x v="17"/>
    <n v="2"/>
    <n v="2026"/>
    <x v="62"/>
    <s v="Week 11"/>
    <s v="Week 11-2026"/>
  </r>
  <r>
    <d v="2026-03-12T00:00:00"/>
    <x v="25"/>
    <n v="4"/>
    <n v="2026"/>
    <x v="62"/>
    <s v="Week 11"/>
    <s v="Week 11-2026"/>
  </r>
  <r>
    <d v="2026-03-12T00:00:00"/>
    <x v="14"/>
    <n v="2"/>
    <n v="2026"/>
    <x v="62"/>
    <s v="Week 11"/>
    <s v="Week 11-2026"/>
  </r>
  <r>
    <d v="2026-03-12T00:00:00"/>
    <x v="3"/>
    <n v="2"/>
    <n v="2026"/>
    <x v="62"/>
    <s v="Week 11"/>
    <s v="Week 11-2026"/>
  </r>
  <r>
    <d v="2026-03-13T00:00:00"/>
    <x v="17"/>
    <n v="8"/>
    <n v="2026"/>
    <x v="62"/>
    <s v="Week 11"/>
    <s v="Week 11-2026"/>
  </r>
  <r>
    <d v="2026-03-13T00:00:00"/>
    <x v="17"/>
    <n v="8"/>
    <n v="2026"/>
    <x v="62"/>
    <s v="Week 11"/>
    <s v="Week 11-2026"/>
  </r>
  <r>
    <d v="2026-03-13T00:00:00"/>
    <x v="10"/>
    <n v="8"/>
    <n v="2026"/>
    <x v="62"/>
    <s v="Week 11"/>
    <s v="Week 11-2026"/>
  </r>
  <r>
    <d v="2026-03-13T00:00:00"/>
    <x v="2"/>
    <n v="8"/>
    <n v="2026"/>
    <x v="62"/>
    <s v="Week 11"/>
    <s v="Week 11-2026"/>
  </r>
  <r>
    <d v="2026-03-13T00:00:00"/>
    <x v="2"/>
    <n v="8"/>
    <n v="2026"/>
    <x v="62"/>
    <s v="Week 11"/>
    <s v="Week 11-2026"/>
  </r>
  <r>
    <d v="2026-03-13T00:00:00"/>
    <x v="13"/>
    <n v="4"/>
    <n v="2026"/>
    <x v="62"/>
    <s v="Week 11"/>
    <s v="Week 11-2026"/>
  </r>
  <r>
    <d v="2026-03-13T00:00:00"/>
    <x v="13"/>
    <n v="4"/>
    <n v="2026"/>
    <x v="62"/>
    <s v="Week 11"/>
    <s v="Week 11-2026"/>
  </r>
  <r>
    <d v="2026-03-13T00:00:00"/>
    <x v="19"/>
    <n v="8"/>
    <n v="2026"/>
    <x v="62"/>
    <s v="Week 11"/>
    <s v="Week 11-2026"/>
  </r>
  <r>
    <d v="2026-03-13T00:00:00"/>
    <x v="3"/>
    <n v="4"/>
    <n v="2026"/>
    <x v="62"/>
    <s v="Week 11"/>
    <s v="Week 11-2026"/>
  </r>
  <r>
    <d v="2026-03-13T00:00:00"/>
    <x v="3"/>
    <n v="4"/>
    <n v="2026"/>
    <x v="62"/>
    <s v="Week 11"/>
    <s v="Week 11-2026"/>
  </r>
  <r>
    <d v="2026-03-13T00:00:00"/>
    <x v="25"/>
    <n v="6"/>
    <n v="2026"/>
    <x v="62"/>
    <s v="Week 11"/>
    <s v="Week 11-2026"/>
  </r>
  <r>
    <d v="2026-03-13T00:00:00"/>
    <x v="25"/>
    <n v="6"/>
    <n v="2026"/>
    <x v="62"/>
    <s v="Week 11"/>
    <s v="Week 11-2026"/>
  </r>
  <r>
    <d v="2026-03-13T00:00:00"/>
    <x v="25"/>
    <n v="6"/>
    <n v="2026"/>
    <x v="62"/>
    <s v="Week 11"/>
    <s v="Week 11-2026"/>
  </r>
  <r>
    <d v="2026-03-13T00:00:00"/>
    <x v="11"/>
    <n v="4"/>
    <n v="2026"/>
    <x v="62"/>
    <s v="Week 11"/>
    <s v="Week 11-2026"/>
  </r>
  <r>
    <d v="2026-03-13T00:00:00"/>
    <x v="11"/>
    <n v="4"/>
    <n v="2026"/>
    <x v="62"/>
    <s v="Week 11"/>
    <s v="Week 11-2026"/>
  </r>
  <r>
    <d v="2026-03-13T00:00:00"/>
    <x v="11"/>
    <n v="4"/>
    <n v="2026"/>
    <x v="62"/>
    <s v="Week 11"/>
    <s v="Week 11-2026"/>
  </r>
  <r>
    <d v="2026-03-13T00:00:00"/>
    <x v="20"/>
    <n v="4"/>
    <n v="2026"/>
    <x v="62"/>
    <s v="Week 11"/>
    <s v="Week 11-2026"/>
  </r>
  <r>
    <d v="2026-03-13T00:00:00"/>
    <x v="20"/>
    <n v="4"/>
    <n v="2026"/>
    <x v="62"/>
    <s v="Week 11"/>
    <s v="Week 11-2026"/>
  </r>
  <r>
    <d v="2026-03-13T00:00:00"/>
    <x v="19"/>
    <n v="6"/>
    <n v="2026"/>
    <x v="62"/>
    <s v="Week 11"/>
    <s v="Week 11-2026"/>
  </r>
  <r>
    <d v="2026-03-13T00:00:00"/>
    <x v="28"/>
    <n v="8"/>
    <n v="2026"/>
    <x v="62"/>
    <s v="Week 11"/>
    <s v="Week 11-2026"/>
  </r>
  <r>
    <d v="2026-03-13T00:00:00"/>
    <x v="25"/>
    <n v="4"/>
    <n v="2026"/>
    <x v="62"/>
    <s v="Week 11"/>
    <s v="Week 11-2026"/>
  </r>
  <r>
    <d v="2026-03-13T00:00:00"/>
    <x v="13"/>
    <n v="2"/>
    <n v="2026"/>
    <x v="62"/>
    <s v="Week 11"/>
    <s v="Week 11-2026"/>
  </r>
  <r>
    <d v="2026-03-13T00:00:00"/>
    <x v="13"/>
    <n v="2"/>
    <n v="2026"/>
    <x v="62"/>
    <s v="Week 11"/>
    <s v="Week 11-2026"/>
  </r>
  <r>
    <d v="2026-03-13T00:00:00"/>
    <x v="15"/>
    <n v="4"/>
    <n v="2026"/>
    <x v="62"/>
    <s v="Week 11"/>
    <s v="Week 11-2026"/>
  </r>
  <r>
    <d v="2026-03-13T00:00:00"/>
    <x v="18"/>
    <n v="4"/>
    <n v="2026"/>
    <x v="62"/>
    <s v="Week 11"/>
    <s v="Week 11-2026"/>
  </r>
  <r>
    <d v="2026-03-13T00:00:00"/>
    <x v="12"/>
    <n v="2"/>
    <n v="2026"/>
    <x v="62"/>
    <s v="Week 11"/>
    <s v="Week 11-2026"/>
  </r>
  <r>
    <d v="2026-03-13T00:00:00"/>
    <x v="28"/>
    <n v="4"/>
    <n v="2026"/>
    <x v="62"/>
    <s v="Week 11"/>
    <s v="Week 11-2026"/>
  </r>
  <r>
    <d v="2026-03-13T00:00:00"/>
    <x v="28"/>
    <n v="4"/>
    <n v="2026"/>
    <x v="62"/>
    <s v="Week 11"/>
    <s v="Week 11-2026"/>
  </r>
  <r>
    <d v="2026-03-13T00:00:00"/>
    <x v="26"/>
    <n v="2"/>
    <n v="2026"/>
    <x v="62"/>
    <s v="Week 11"/>
    <s v="Week 11-2026"/>
  </r>
  <r>
    <d v="2026-03-13T00:00:00"/>
    <x v="19"/>
    <n v="2"/>
    <n v="2026"/>
    <x v="62"/>
    <s v="Week 11"/>
    <s v="Week 11-2026"/>
  </r>
  <r>
    <d v="2026-03-13T00:00:00"/>
    <x v="27"/>
    <n v="2"/>
    <n v="2026"/>
    <x v="62"/>
    <s v="Week 11"/>
    <s v="Week 11-2026"/>
  </r>
  <r>
    <d v="2026-03-13T00:00:00"/>
    <x v="18"/>
    <n v="2"/>
    <n v="2026"/>
    <x v="62"/>
    <s v="Week 11"/>
    <s v="Week 11-2026"/>
  </r>
  <r>
    <d v="2026-03-13T00:00:00"/>
    <x v="18"/>
    <n v="2"/>
    <n v="2026"/>
    <x v="62"/>
    <s v="Week 11"/>
    <s v="Week 11-2026"/>
  </r>
  <r>
    <d v="2026-03-13T00:00:00"/>
    <x v="18"/>
    <n v="2"/>
    <n v="2026"/>
    <x v="62"/>
    <s v="Week 11"/>
    <s v="Week 11-2026"/>
  </r>
  <r>
    <d v="2026-03-13T00:00:00"/>
    <x v="30"/>
    <n v="2"/>
    <n v="2026"/>
    <x v="62"/>
    <s v="Week 11"/>
    <s v="Week 11-2026"/>
  </r>
  <r>
    <d v="2026-03-14T00:00:00"/>
    <x v="14"/>
    <n v="16"/>
    <n v="2026"/>
    <x v="62"/>
    <s v="Week 11"/>
    <s v="Week 11-2026"/>
  </r>
  <r>
    <d v="2026-03-14T00:00:00"/>
    <x v="14"/>
    <n v="16"/>
    <n v="2026"/>
    <x v="62"/>
    <s v="Week 11"/>
    <s v="Week 11-2026"/>
  </r>
  <r>
    <d v="2026-03-14T00:00:00"/>
    <x v="3"/>
    <n v="8"/>
    <n v="2026"/>
    <x v="62"/>
    <s v="Week 11"/>
    <s v="Week 11-2026"/>
  </r>
  <r>
    <d v="2026-03-14T00:00:00"/>
    <x v="14"/>
    <n v="12"/>
    <n v="2026"/>
    <x v="62"/>
    <s v="Week 11"/>
    <s v="Week 11-2026"/>
  </r>
  <r>
    <d v="2026-03-14T00:00:00"/>
    <x v="13"/>
    <n v="9"/>
    <n v="2026"/>
    <x v="62"/>
    <s v="Week 11"/>
    <s v="Week 11-2026"/>
  </r>
  <r>
    <d v="2026-03-14T00:00:00"/>
    <x v="12"/>
    <n v="12"/>
    <n v="2026"/>
    <x v="62"/>
    <s v="Week 11"/>
    <s v="Week 11-2026"/>
  </r>
  <r>
    <d v="2026-03-14T00:00:00"/>
    <x v="14"/>
    <n v="8"/>
    <n v="2026"/>
    <x v="62"/>
    <s v="Week 11"/>
    <s v="Week 11-2026"/>
  </r>
  <r>
    <d v="2026-03-14T00:00:00"/>
    <x v="3"/>
    <n v="8"/>
    <n v="2026"/>
    <x v="62"/>
    <s v="Week 11"/>
    <s v="Week 11-2026"/>
  </r>
  <r>
    <d v="2026-03-14T00:00:00"/>
    <x v="6"/>
    <n v="4"/>
    <n v="2026"/>
    <x v="62"/>
    <s v="Week 11"/>
    <s v="Week 11-2026"/>
  </r>
  <r>
    <d v="2026-03-14T00:00:00"/>
    <x v="6"/>
    <n v="4"/>
    <n v="2026"/>
    <x v="62"/>
    <s v="Week 11"/>
    <s v="Week 11-2026"/>
  </r>
  <r>
    <d v="2026-03-14T00:00:00"/>
    <x v="12"/>
    <n v="6"/>
    <n v="2026"/>
    <x v="62"/>
    <s v="Week 11"/>
    <s v="Week 11-2026"/>
  </r>
  <r>
    <d v="2026-03-14T00:00:00"/>
    <x v="15"/>
    <n v="8"/>
    <n v="2026"/>
    <x v="62"/>
    <s v="Week 11"/>
    <s v="Week 11-2026"/>
  </r>
  <r>
    <d v="2026-03-14T00:00:00"/>
    <x v="15"/>
    <n v="8"/>
    <n v="2026"/>
    <x v="62"/>
    <s v="Week 11"/>
    <s v="Week 11-2026"/>
  </r>
  <r>
    <d v="2026-03-14T00:00:00"/>
    <x v="15"/>
    <n v="8"/>
    <n v="2026"/>
    <x v="62"/>
    <s v="Week 11"/>
    <s v="Week 11-2026"/>
  </r>
  <r>
    <d v="2026-03-14T00:00:00"/>
    <x v="3"/>
    <n v="4"/>
    <n v="2026"/>
    <x v="62"/>
    <s v="Week 11"/>
    <s v="Week 11-2026"/>
  </r>
  <r>
    <d v="2026-03-14T00:00:00"/>
    <x v="12"/>
    <n v="4"/>
    <n v="2026"/>
    <x v="62"/>
    <s v="Week 11"/>
    <s v="Week 11-2026"/>
  </r>
  <r>
    <d v="2026-03-14T00:00:00"/>
    <x v="12"/>
    <n v="4"/>
    <n v="2026"/>
    <x v="62"/>
    <s v="Week 11"/>
    <s v="Week 11-2026"/>
  </r>
  <r>
    <d v="2026-03-14T00:00:00"/>
    <x v="12"/>
    <n v="4"/>
    <n v="2026"/>
    <x v="62"/>
    <s v="Week 11"/>
    <s v="Week 11-2026"/>
  </r>
  <r>
    <d v="2026-03-14T00:00:00"/>
    <x v="12"/>
    <n v="4"/>
    <n v="2026"/>
    <x v="62"/>
    <s v="Week 11"/>
    <s v="Week 11-2026"/>
  </r>
  <r>
    <d v="2026-03-14T00:00:00"/>
    <x v="6"/>
    <n v="2"/>
    <n v="2026"/>
    <x v="62"/>
    <s v="Week 11"/>
    <s v="Week 11-2026"/>
  </r>
  <r>
    <d v="2026-03-14T00:00:00"/>
    <x v="6"/>
    <n v="2"/>
    <n v="2026"/>
    <x v="62"/>
    <s v="Week 11"/>
    <s v="Week 11-2026"/>
  </r>
  <r>
    <d v="2026-03-14T00:00:00"/>
    <x v="17"/>
    <n v="2"/>
    <n v="2026"/>
    <x v="62"/>
    <s v="Week 11"/>
    <s v="Week 11-2026"/>
  </r>
  <r>
    <d v="2026-03-14T00:00:00"/>
    <x v="17"/>
    <n v="2"/>
    <n v="2026"/>
    <x v="62"/>
    <s v="Week 11"/>
    <s v="Week 11-2026"/>
  </r>
  <r>
    <d v="2026-03-14T00:00:00"/>
    <x v="11"/>
    <n v="3"/>
    <n v="2026"/>
    <x v="62"/>
    <s v="Week 11"/>
    <s v="Week 11-2026"/>
  </r>
  <r>
    <d v="2026-03-14T00:00:00"/>
    <x v="18"/>
    <n v="6"/>
    <n v="2026"/>
    <x v="62"/>
    <s v="Week 11"/>
    <s v="Week 11-2026"/>
  </r>
  <r>
    <d v="2026-03-14T00:00:00"/>
    <x v="15"/>
    <n v="4"/>
    <n v="2026"/>
    <x v="62"/>
    <s v="Week 11"/>
    <s v="Week 11-2026"/>
  </r>
  <r>
    <d v="2026-03-14T00:00:00"/>
    <x v="3"/>
    <n v="2"/>
    <n v="2026"/>
    <x v="62"/>
    <s v="Week 11"/>
    <s v="Week 11-2026"/>
  </r>
  <r>
    <d v="2026-03-14T00:00:00"/>
    <x v="3"/>
    <n v="2"/>
    <n v="2026"/>
    <x v="62"/>
    <s v="Week 11"/>
    <s v="Week 11-2026"/>
  </r>
  <r>
    <d v="2026-03-14T00:00:00"/>
    <x v="3"/>
    <n v="2"/>
    <n v="2026"/>
    <x v="62"/>
    <s v="Week 11"/>
    <s v="Week 11-2026"/>
  </r>
  <r>
    <d v="2026-03-14T00:00:00"/>
    <x v="3"/>
    <n v="2"/>
    <n v="2026"/>
    <x v="62"/>
    <s v="Week 11"/>
    <s v="Week 11-2026"/>
  </r>
  <r>
    <d v="2026-03-14T00:00:00"/>
    <x v="19"/>
    <n v="4"/>
    <n v="2026"/>
    <x v="62"/>
    <s v="Week 11"/>
    <s v="Week 11-2026"/>
  </r>
  <r>
    <d v="2026-03-14T00:00:00"/>
    <x v="15"/>
    <n v="3"/>
    <n v="2026"/>
    <x v="62"/>
    <s v="Week 11"/>
    <s v="Week 11-2026"/>
  </r>
  <r>
    <d v="2026-03-14T00:00:00"/>
    <x v="27"/>
    <n v="4"/>
    <n v="2026"/>
    <x v="62"/>
    <s v="Week 11"/>
    <s v="Week 11-2026"/>
  </r>
  <r>
    <d v="2026-03-14T00:00:00"/>
    <x v="9"/>
    <n v="2"/>
    <n v="2026"/>
    <x v="62"/>
    <s v="Week 11"/>
    <s v="Week 11-2026"/>
  </r>
  <r>
    <d v="2026-03-14T00:00:00"/>
    <x v="30"/>
    <n v="4"/>
    <n v="2026"/>
    <x v="62"/>
    <s v="Week 11"/>
    <s v="Week 11-2026"/>
  </r>
  <r>
    <d v="2026-03-14T00:00:00"/>
    <x v="28"/>
    <n v="2"/>
    <n v="2026"/>
    <x v="62"/>
    <s v="Week 11"/>
    <s v="Week 11-2026"/>
  </r>
  <r>
    <d v="2026-03-16T00:00:00"/>
    <x v="15"/>
    <n v="12"/>
    <n v="2026"/>
    <x v="63"/>
    <s v="Week 12"/>
    <s v="Week 12-2026"/>
  </r>
  <r>
    <d v="2026-03-16T00:00:00"/>
    <x v="12"/>
    <n v="6"/>
    <n v="2026"/>
    <x v="63"/>
    <s v="Week 12"/>
    <s v="Week 12-2026"/>
  </r>
  <r>
    <d v="2026-03-16T00:00:00"/>
    <x v="19"/>
    <n v="3"/>
    <n v="2026"/>
    <x v="63"/>
    <s v="Week 12"/>
    <s v="Week 12-2026"/>
  </r>
  <r>
    <d v="2026-03-16T00:00:00"/>
    <x v="32"/>
    <n v="4"/>
    <n v="2026"/>
    <x v="63"/>
    <s v="Week 12"/>
    <s v="Week 12-2026"/>
  </r>
  <r>
    <d v="2026-03-16T00:00:00"/>
    <x v="18"/>
    <n v="3"/>
    <n v="2026"/>
    <x v="63"/>
    <s v="Week 12"/>
    <s v="Week 12-2026"/>
  </r>
  <r>
    <d v="2026-03-16T00:00:00"/>
    <x v="28"/>
    <n v="3"/>
    <n v="2026"/>
    <x v="63"/>
    <s v="Week 12"/>
    <s v="Week 12-2026"/>
  </r>
  <r>
    <d v="2026-03-16T00:00:00"/>
    <x v="33"/>
    <n v="2"/>
    <n v="2026"/>
    <x v="63"/>
    <s v="Week 12"/>
    <s v="Week 12-2026"/>
  </r>
  <r>
    <d v="2026-03-16T00:00:00"/>
    <x v="27"/>
    <n v="2"/>
    <n v="2026"/>
    <x v="63"/>
    <s v="Week 12"/>
    <s v="Week 12-2026"/>
  </r>
  <r>
    <d v="2026-03-16T00:00:00"/>
    <x v="18"/>
    <n v="2"/>
    <n v="2026"/>
    <x v="63"/>
    <s v="Week 12"/>
    <s v="Week 12-2026"/>
  </r>
  <r>
    <d v="2026-03-16T00:00:00"/>
    <x v="21"/>
    <n v="2"/>
    <n v="2026"/>
    <x v="63"/>
    <s v="Week 12"/>
    <s v="Week 12-2026"/>
  </r>
  <r>
    <d v="2026-03-16T00:00:00"/>
    <x v="30"/>
    <n v="2"/>
    <n v="2026"/>
    <x v="63"/>
    <s v="Week 12"/>
    <s v="Week 12-2026"/>
  </r>
  <r>
    <d v="2026-03-16T00:00:00"/>
    <x v="4"/>
    <n v="1"/>
    <n v="2026"/>
    <x v="63"/>
    <s v="Week 12"/>
    <s v="Week 12-2026"/>
  </r>
  <r>
    <d v="2026-03-16T00:00:00"/>
    <x v="27"/>
    <n v="1"/>
    <n v="2026"/>
    <x v="63"/>
    <s v="Week 12"/>
    <s v="Week 12-2026"/>
  </r>
  <r>
    <d v="2026-03-16T00:00:00"/>
    <x v="18"/>
    <n v="1"/>
    <n v="2026"/>
    <x v="63"/>
    <s v="Week 12"/>
    <s v="Week 12-2026"/>
  </r>
  <r>
    <d v="2026-03-16T00:00:00"/>
    <x v="28"/>
    <n v="1"/>
    <n v="2026"/>
    <x v="63"/>
    <s v="Week 12"/>
    <s v="Week 12-2026"/>
  </r>
  <r>
    <d v="2026-03-17T00:00:00"/>
    <x v="17"/>
    <n v="15"/>
    <n v="2026"/>
    <x v="63"/>
    <s v="Week 12"/>
    <s v="Week 12-2026"/>
  </r>
  <r>
    <d v="2026-03-17T00:00:00"/>
    <x v="3"/>
    <n v="10"/>
    <n v="2026"/>
    <x v="63"/>
    <s v="Week 12"/>
    <s v="Week 12-2026"/>
  </r>
  <r>
    <d v="2026-03-17T00:00:00"/>
    <x v="11"/>
    <n v="8"/>
    <n v="2026"/>
    <x v="63"/>
    <s v="Week 12"/>
    <s v="Week 12-2026"/>
  </r>
  <r>
    <d v="2026-03-17T00:00:00"/>
    <x v="9"/>
    <n v="8"/>
    <n v="2026"/>
    <x v="63"/>
    <s v="Week 12"/>
    <s v="Week 12-2026"/>
  </r>
  <r>
    <d v="2026-03-17T00:00:00"/>
    <x v="31"/>
    <n v="8"/>
    <n v="2026"/>
    <x v="63"/>
    <s v="Week 12"/>
    <s v="Week 12-2026"/>
  </r>
  <r>
    <d v="2026-03-17T00:00:00"/>
    <x v="14"/>
    <n v="4"/>
    <n v="2026"/>
    <x v="63"/>
    <s v="Week 12"/>
    <s v="Week 12-2026"/>
  </r>
  <r>
    <d v="2026-03-17T00:00:00"/>
    <x v="10"/>
    <n v="3"/>
    <n v="2026"/>
    <x v="63"/>
    <s v="Week 12"/>
    <s v="Week 12-2026"/>
  </r>
  <r>
    <d v="2026-03-17T00:00:00"/>
    <x v="20"/>
    <n v="4"/>
    <n v="2026"/>
    <x v="63"/>
    <s v="Week 12"/>
    <s v="Week 12-2026"/>
  </r>
  <r>
    <d v="2026-03-17T00:00:00"/>
    <x v="12"/>
    <n v="4"/>
    <n v="2026"/>
    <x v="63"/>
    <s v="Week 12"/>
    <s v="Week 12-2026"/>
  </r>
  <r>
    <d v="2026-03-17T00:00:00"/>
    <x v="25"/>
    <n v="4"/>
    <n v="2026"/>
    <x v="63"/>
    <s v="Week 12"/>
    <s v="Week 12-2026"/>
  </r>
  <r>
    <d v="2026-03-17T00:00:00"/>
    <x v="14"/>
    <n v="2"/>
    <n v="2026"/>
    <x v="63"/>
    <s v="Week 12"/>
    <s v="Week 12-2026"/>
  </r>
  <r>
    <d v="2026-03-17T00:00:00"/>
    <x v="10"/>
    <n v="1"/>
    <n v="2026"/>
    <x v="63"/>
    <s v="Week 12"/>
    <s v="Week 12-2026"/>
  </r>
  <r>
    <d v="2026-03-18T00:00:00"/>
    <x v="3"/>
    <n v="29"/>
    <n v="2026"/>
    <x v="63"/>
    <s v="Week 12"/>
    <s v="Week 12-2026"/>
  </r>
  <r>
    <d v="2026-03-18T00:00:00"/>
    <x v="14"/>
    <n v="20"/>
    <n v="2026"/>
    <x v="63"/>
    <s v="Week 12"/>
    <s v="Week 12-2026"/>
  </r>
  <r>
    <d v="2026-03-18T00:00:00"/>
    <x v="3"/>
    <n v="15"/>
    <n v="2026"/>
    <x v="63"/>
    <s v="Week 12"/>
    <s v="Week 12-2026"/>
  </r>
  <r>
    <d v="2026-03-18T00:00:00"/>
    <x v="11"/>
    <n v="16"/>
    <n v="2026"/>
    <x v="63"/>
    <s v="Week 12"/>
    <s v="Week 12-2026"/>
  </r>
  <r>
    <d v="2026-03-18T00:00:00"/>
    <x v="17"/>
    <n v="10"/>
    <n v="2026"/>
    <x v="63"/>
    <s v="Week 12"/>
    <s v="Week 12-2026"/>
  </r>
  <r>
    <d v="2026-03-18T00:00:00"/>
    <x v="10"/>
    <n v="4"/>
    <n v="2026"/>
    <x v="63"/>
    <s v="Week 12"/>
    <s v="Week 12-2026"/>
  </r>
  <r>
    <d v="2026-03-18T00:00:00"/>
    <x v="32"/>
    <n v="3"/>
    <n v="2026"/>
    <x v="63"/>
    <s v="Week 12"/>
    <s v="Week 12-2026"/>
  </r>
  <r>
    <d v="2026-03-18T00:00:00"/>
    <x v="28"/>
    <n v="1"/>
    <n v="2026"/>
    <x v="63"/>
    <s v="Week 12"/>
    <s v="Week 12-2026"/>
  </r>
  <r>
    <d v="2026-03-20T00:00:00"/>
    <x v="5"/>
    <n v="16"/>
    <n v="2026"/>
    <x v="63"/>
    <s v="Week 12"/>
    <s v="Week 12-2026"/>
  </r>
  <r>
    <d v="2026-03-20T00:00:00"/>
    <x v="5"/>
    <n v="14"/>
    <n v="2026"/>
    <x v="63"/>
    <s v="Week 12"/>
    <s v="Week 12-2026"/>
  </r>
  <r>
    <d v="2026-03-20T00:00:00"/>
    <x v="3"/>
    <n v="20"/>
    <n v="2026"/>
    <x v="63"/>
    <s v="Week 12"/>
    <s v="Week 12-2026"/>
  </r>
  <r>
    <d v="2026-03-20T00:00:00"/>
    <x v="3"/>
    <n v="16"/>
    <n v="2026"/>
    <x v="63"/>
    <s v="Week 12"/>
    <s v="Week 12-2026"/>
  </r>
  <r>
    <d v="2026-03-20T00:00:00"/>
    <x v="17"/>
    <n v="11"/>
    <n v="2026"/>
    <x v="63"/>
    <s v="Week 12"/>
    <s v="Week 12-2026"/>
  </r>
  <r>
    <d v="2026-03-20T00:00:00"/>
    <x v="11"/>
    <n v="16"/>
    <n v="2026"/>
    <x v="63"/>
    <s v="Week 12"/>
    <s v="Week 12-2026"/>
  </r>
  <r>
    <d v="2026-03-20T00:00:00"/>
    <x v="12"/>
    <n v="16"/>
    <n v="2026"/>
    <x v="63"/>
    <s v="Week 12"/>
    <s v="Week 12-2026"/>
  </r>
  <r>
    <d v="2026-03-20T00:00:00"/>
    <x v="11"/>
    <n v="12"/>
    <n v="2026"/>
    <x v="63"/>
    <s v="Week 12"/>
    <s v="Week 12-2026"/>
  </r>
  <r>
    <d v="2026-03-20T00:00:00"/>
    <x v="4"/>
    <n v="16"/>
    <n v="2026"/>
    <x v="63"/>
    <s v="Week 12"/>
    <s v="Week 12-2026"/>
  </r>
  <r>
    <d v="2026-03-20T00:00:00"/>
    <x v="12"/>
    <n v="12"/>
    <n v="2026"/>
    <x v="63"/>
    <s v="Week 12"/>
    <s v="Week 12-2026"/>
  </r>
  <r>
    <d v="2026-03-20T00:00:00"/>
    <x v="17"/>
    <n v="8"/>
    <n v="2026"/>
    <x v="63"/>
    <s v="Week 12"/>
    <s v="Week 12-2026"/>
  </r>
  <r>
    <d v="2026-03-20T00:00:00"/>
    <x v="28"/>
    <n v="25"/>
    <n v="2026"/>
    <x v="63"/>
    <s v="Week 12"/>
    <s v="Week 12-2026"/>
  </r>
  <r>
    <d v="2026-03-20T00:00:00"/>
    <x v="14"/>
    <n v="4"/>
    <n v="2026"/>
    <x v="63"/>
    <s v="Week 12"/>
    <s v="Week 12-2026"/>
  </r>
  <r>
    <d v="2026-03-20T00:00:00"/>
    <x v="5"/>
    <n v="4"/>
    <n v="2026"/>
    <x v="63"/>
    <s v="Week 12"/>
    <s v="Week 12-2026"/>
  </r>
  <r>
    <d v="2026-03-20T00:00:00"/>
    <x v="5"/>
    <n v="4"/>
    <n v="2026"/>
    <x v="63"/>
    <s v="Week 12"/>
    <s v="Week 12-2026"/>
  </r>
  <r>
    <d v="2026-03-20T00:00:00"/>
    <x v="40"/>
    <n v="6"/>
    <n v="2026"/>
    <x v="63"/>
    <s v="Week 12"/>
    <s v="Week 12-2026"/>
  </r>
  <r>
    <d v="2026-03-20T00:00:00"/>
    <x v="32"/>
    <n v="10"/>
    <n v="2026"/>
    <x v="63"/>
    <s v="Week 12"/>
    <s v="Week 12-2026"/>
  </r>
  <r>
    <d v="2026-03-20T00:00:00"/>
    <x v="30"/>
    <n v="9"/>
    <n v="2026"/>
    <x v="63"/>
    <s v="Week 12"/>
    <s v="Week 12-2026"/>
  </r>
  <r>
    <d v="2026-03-20T00:00:00"/>
    <x v="15"/>
    <n v="3"/>
    <n v="2026"/>
    <x v="63"/>
    <s v="Week 12"/>
    <s v="Week 12-2026"/>
  </r>
  <r>
    <d v="2026-03-20T00:00:00"/>
    <x v="19"/>
    <n v="4"/>
    <n v="2026"/>
    <x v="63"/>
    <s v="Week 12"/>
    <s v="Week 12-2026"/>
  </r>
  <r>
    <d v="2026-03-20T00:00:00"/>
    <x v="17"/>
    <n v="1"/>
    <n v="2026"/>
    <x v="63"/>
    <s v="Week 12"/>
    <s v="Week 12-2026"/>
  </r>
  <r>
    <d v="2026-03-20T00:00:00"/>
    <x v="18"/>
    <n v="3"/>
    <n v="2026"/>
    <x v="63"/>
    <s v="Week 12"/>
    <s v="Week 12-2026"/>
  </r>
  <r>
    <d v="2026-03-20T00:00:00"/>
    <x v="19"/>
    <n v="2"/>
    <n v="2026"/>
    <x v="63"/>
    <s v="Week 12"/>
    <s v="Week 12-2026"/>
  </r>
  <r>
    <d v="2026-03-20T00:00:00"/>
    <x v="15"/>
    <n v="2"/>
    <n v="2026"/>
    <x v="63"/>
    <s v="Week 12"/>
    <s v="Week 12-2026"/>
  </r>
  <r>
    <d v="2026-03-20T00:00:00"/>
    <x v="19"/>
    <n v="1"/>
    <n v="2026"/>
    <x v="63"/>
    <s v="Week 12"/>
    <s v="Week 12-2026"/>
  </r>
  <r>
    <d v="2026-03-20T00:00:00"/>
    <x v="21"/>
    <n v="1"/>
    <n v="2026"/>
    <x v="63"/>
    <s v="Week 12"/>
    <s v="Week 12-2026"/>
  </r>
  <r>
    <d v="2026-03-21T00:00:00"/>
    <x v="11"/>
    <n v="22"/>
    <n v="2026"/>
    <x v="63"/>
    <s v="Week 12"/>
    <s v="Week 12-2026"/>
  </r>
  <r>
    <d v="2026-03-21T00:00:00"/>
    <x v="12"/>
    <n v="23"/>
    <n v="2026"/>
    <x v="63"/>
    <s v="Week 12"/>
    <s v="Week 12-2026"/>
  </r>
  <r>
    <d v="2026-03-21T00:00:00"/>
    <x v="10"/>
    <n v="8"/>
    <n v="2026"/>
    <x v="63"/>
    <s v="Week 12"/>
    <s v="Week 12-2026"/>
  </r>
  <r>
    <d v="2026-03-21T00:00:00"/>
    <x v="3"/>
    <n v="8"/>
    <n v="2026"/>
    <x v="63"/>
    <s v="Week 12"/>
    <s v="Week 12-2026"/>
  </r>
  <r>
    <d v="2026-03-21T00:00:00"/>
    <x v="2"/>
    <n v="4"/>
    <n v="2026"/>
    <x v="63"/>
    <s v="Week 12"/>
    <s v="Week 12-2026"/>
  </r>
  <r>
    <d v="2026-03-21T00:00:00"/>
    <x v="15"/>
    <n v="5"/>
    <n v="2026"/>
    <x v="63"/>
    <s v="Week 12"/>
    <s v="Week 12-2026"/>
  </r>
  <r>
    <d v="2026-03-21T00:00:00"/>
    <x v="25"/>
    <n v="4"/>
    <n v="2026"/>
    <x v="63"/>
    <s v="Week 12"/>
    <s v="Week 12-2026"/>
  </r>
  <r>
    <d v="2026-03-21T00:00:00"/>
    <x v="17"/>
    <n v="2"/>
    <n v="2026"/>
    <x v="63"/>
    <s v="Week 12"/>
    <s v="Week 12-2026"/>
  </r>
  <r>
    <d v="2026-03-21T00:00:00"/>
    <x v="14"/>
    <n v="2"/>
    <n v="2026"/>
    <x v="63"/>
    <s v="Week 12"/>
    <s v="Week 12-2026"/>
  </r>
  <r>
    <d v="2026-03-21T00:00:00"/>
    <x v="27"/>
    <n v="2"/>
    <n v="2026"/>
    <x v="63"/>
    <s v="Week 12"/>
    <s v="Week 12-2026"/>
  </r>
  <r>
    <d v="2026-03-23T00:00:00"/>
    <x v="42"/>
    <n v="16"/>
    <n v="2026"/>
    <x v="64"/>
    <s v="Week 13"/>
    <s v="Week 13-2026"/>
  </r>
  <r>
    <d v="2026-03-23T00:00:00"/>
    <x v="12"/>
    <n v="23"/>
    <n v="2026"/>
    <x v="64"/>
    <s v="Week 13"/>
    <s v="Week 13-2026"/>
  </r>
  <r>
    <d v="2026-03-23T00:00:00"/>
    <x v="12"/>
    <n v="16"/>
    <n v="2026"/>
    <x v="64"/>
    <s v="Week 13"/>
    <s v="Week 13-2026"/>
  </r>
  <r>
    <d v="2026-03-23T00:00:00"/>
    <x v="3"/>
    <n v="12"/>
    <n v="2026"/>
    <x v="64"/>
    <s v="Week 13"/>
    <s v="Week 13-2026"/>
  </r>
  <r>
    <d v="2026-03-23T00:00:00"/>
    <x v="12"/>
    <n v="12"/>
    <n v="2026"/>
    <x v="64"/>
    <s v="Week 13"/>
    <s v="Week 13-2026"/>
  </r>
  <r>
    <d v="2026-03-23T00:00:00"/>
    <x v="3"/>
    <n v="10"/>
    <n v="2026"/>
    <x v="64"/>
    <s v="Week 13"/>
    <s v="Week 13-2026"/>
  </r>
  <r>
    <d v="2026-03-23T00:00:00"/>
    <x v="11"/>
    <n v="8"/>
    <n v="2026"/>
    <x v="64"/>
    <s v="Week 13"/>
    <s v="Week 13-2026"/>
  </r>
  <r>
    <d v="2026-03-23T00:00:00"/>
    <x v="11"/>
    <n v="8"/>
    <n v="2026"/>
    <x v="64"/>
    <s v="Week 13"/>
    <s v="Week 13-2026"/>
  </r>
  <r>
    <d v="2026-03-23T00:00:00"/>
    <x v="12"/>
    <n v="10"/>
    <n v="2026"/>
    <x v="64"/>
    <s v="Week 13"/>
    <s v="Week 13-2026"/>
  </r>
  <r>
    <d v="2026-03-23T00:00:00"/>
    <x v="17"/>
    <n v="4"/>
    <n v="2026"/>
    <x v="64"/>
    <s v="Week 13"/>
    <s v="Week 13-2026"/>
  </r>
  <r>
    <d v="2026-03-23T00:00:00"/>
    <x v="38"/>
    <n v="6"/>
    <n v="2026"/>
    <x v="64"/>
    <s v="Week 13"/>
    <s v="Week 13-2026"/>
  </r>
  <r>
    <d v="2026-03-23T00:00:00"/>
    <x v="15"/>
    <n v="8"/>
    <n v="2026"/>
    <x v="64"/>
    <s v="Week 13"/>
    <s v="Week 13-2026"/>
  </r>
  <r>
    <d v="2026-03-23T00:00:00"/>
    <x v="32"/>
    <n v="16"/>
    <n v="2026"/>
    <x v="64"/>
    <s v="Week 13"/>
    <s v="Week 13-2026"/>
  </r>
  <r>
    <d v="2026-03-23T00:00:00"/>
    <x v="15"/>
    <n v="6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3"/>
    <n v="4"/>
    <n v="2026"/>
    <x v="64"/>
    <s v="Week 13"/>
    <s v="Week 13-2026"/>
  </r>
  <r>
    <d v="2026-03-23T00:00:00"/>
    <x v="11"/>
    <n v="4"/>
    <n v="2026"/>
    <x v="64"/>
    <s v="Week 13"/>
    <s v="Week 13-2026"/>
  </r>
  <r>
    <d v="2026-03-23T00:00:00"/>
    <x v="9"/>
    <n v="4"/>
    <n v="2026"/>
    <x v="64"/>
    <s v="Week 13"/>
    <s v="Week 13-2026"/>
  </r>
  <r>
    <d v="2026-03-23T00:00:00"/>
    <x v="18"/>
    <n v="8"/>
    <n v="2026"/>
    <x v="64"/>
    <s v="Week 13"/>
    <s v="Week 13-2026"/>
  </r>
  <r>
    <d v="2026-03-23T00:00:00"/>
    <x v="17"/>
    <n v="2"/>
    <n v="2026"/>
    <x v="64"/>
    <s v="Week 13"/>
    <s v="Week 13-2026"/>
  </r>
  <r>
    <d v="2026-03-23T00:00:00"/>
    <x v="17"/>
    <n v="2"/>
    <n v="2026"/>
    <x v="64"/>
    <s v="Week 13"/>
    <s v="Week 13-2026"/>
  </r>
  <r>
    <d v="2026-03-23T00:00:00"/>
    <x v="12"/>
    <n v="4"/>
    <n v="2026"/>
    <x v="64"/>
    <s v="Week 13"/>
    <s v="Week 13-2026"/>
  </r>
  <r>
    <d v="2026-03-23T00:00:00"/>
    <x v="15"/>
    <n v="4"/>
    <n v="2026"/>
    <x v="64"/>
    <s v="Week 13"/>
    <s v="Week 13-2026"/>
  </r>
  <r>
    <d v="2026-03-23T00:00:00"/>
    <x v="3"/>
    <n v="2"/>
    <n v="2026"/>
    <x v="64"/>
    <s v="Week 13"/>
    <s v="Week 13-2026"/>
  </r>
  <r>
    <d v="2026-03-23T00:00:00"/>
    <x v="3"/>
    <n v="2"/>
    <n v="2026"/>
    <x v="64"/>
    <s v="Week 13"/>
    <s v="Week 13-2026"/>
  </r>
  <r>
    <d v="2026-03-23T00:00:00"/>
    <x v="3"/>
    <n v="2"/>
    <n v="2026"/>
    <x v="64"/>
    <s v="Week 13"/>
    <s v="Week 13-2026"/>
  </r>
  <r>
    <d v="2026-03-23T00:00:00"/>
    <x v="3"/>
    <n v="2"/>
    <n v="2026"/>
    <x v="64"/>
    <s v="Week 13"/>
    <s v="Week 13-2026"/>
  </r>
  <r>
    <d v="2026-03-23T00:00:00"/>
    <x v="3"/>
    <n v="2"/>
    <n v="2026"/>
    <x v="64"/>
    <s v="Week 13"/>
    <s v="Week 13-2026"/>
  </r>
  <r>
    <d v="2026-03-23T00:00:00"/>
    <x v="49"/>
    <n v="2"/>
    <n v="2026"/>
    <x v="64"/>
    <s v="Week 13"/>
    <s v="Week 13-2026"/>
  </r>
  <r>
    <d v="2026-03-23T00:00:00"/>
    <x v="27"/>
    <n v="4"/>
    <n v="2026"/>
    <x v="64"/>
    <s v="Week 13"/>
    <s v="Week 13-2026"/>
  </r>
  <r>
    <d v="2026-03-23T00:00:00"/>
    <x v="27"/>
    <n v="4"/>
    <n v="2026"/>
    <x v="64"/>
    <s v="Week 13"/>
    <s v="Week 13-2026"/>
  </r>
  <r>
    <d v="2026-03-23T00:00:00"/>
    <x v="27"/>
    <n v="4"/>
    <n v="2026"/>
    <x v="64"/>
    <s v="Week 13"/>
    <s v="Week 13-2026"/>
  </r>
  <r>
    <d v="2026-03-23T00:00:00"/>
    <x v="20"/>
    <n v="2"/>
    <n v="2026"/>
    <x v="64"/>
    <s v="Week 13"/>
    <s v="Week 13-2026"/>
  </r>
  <r>
    <d v="2026-03-23T00:00:00"/>
    <x v="9"/>
    <n v="2"/>
    <n v="2026"/>
    <x v="64"/>
    <s v="Week 13"/>
    <s v="Week 13-2026"/>
  </r>
  <r>
    <d v="2026-03-23T00:00:00"/>
    <x v="21"/>
    <n v="4"/>
    <n v="2026"/>
    <x v="64"/>
    <s v="Week 13"/>
    <s v="Week 13-2026"/>
  </r>
  <r>
    <d v="2026-03-23T00:00:00"/>
    <x v="1"/>
    <n v="2"/>
    <n v="2026"/>
    <x v="64"/>
    <s v="Week 13"/>
    <s v="Week 13-2026"/>
  </r>
  <r>
    <d v="2026-03-23T00:00:00"/>
    <x v="15"/>
    <n v="2"/>
    <n v="2026"/>
    <x v="64"/>
    <s v="Week 13"/>
    <s v="Week 13-2026"/>
  </r>
  <r>
    <d v="2026-03-23T00:00:00"/>
    <x v="15"/>
    <n v="2"/>
    <n v="2026"/>
    <x v="64"/>
    <s v="Week 13"/>
    <s v="Week 13-2026"/>
  </r>
  <r>
    <d v="2026-03-23T00:00:00"/>
    <x v="15"/>
    <n v="2"/>
    <n v="2026"/>
    <x v="64"/>
    <s v="Week 13"/>
    <s v="Week 13-2026"/>
  </r>
  <r>
    <d v="2026-03-23T00:00:00"/>
    <x v="19"/>
    <n v="2"/>
    <n v="2026"/>
    <x v="64"/>
    <s v="Week 13"/>
    <s v="Week 13-2026"/>
  </r>
  <r>
    <d v="2026-03-23T00:00:00"/>
    <x v="12"/>
    <n v="1"/>
    <n v="2026"/>
    <x v="64"/>
    <s v="Week 13"/>
    <s v="Week 13-2026"/>
  </r>
  <r>
    <d v="2026-03-26T00:00:00"/>
    <x v="14"/>
    <n v="26"/>
    <n v="2026"/>
    <x v="64"/>
    <s v="Week 13"/>
    <s v="Week 13-2026"/>
  </r>
  <r>
    <d v="2026-03-26T00:00:00"/>
    <x v="17"/>
    <n v="15"/>
    <n v="2026"/>
    <x v="64"/>
    <s v="Week 13"/>
    <s v="Week 13-2026"/>
  </r>
  <r>
    <d v="2026-03-26T00:00:00"/>
    <x v="14"/>
    <n v="14"/>
    <n v="2026"/>
    <x v="64"/>
    <s v="Week 13"/>
    <s v="Week 13-2026"/>
  </r>
  <r>
    <d v="2026-03-26T00:00:00"/>
    <x v="12"/>
    <n v="16"/>
    <n v="2026"/>
    <x v="64"/>
    <s v="Week 13"/>
    <s v="Week 13-2026"/>
  </r>
  <r>
    <d v="2026-03-26T00:00:00"/>
    <x v="13"/>
    <n v="8"/>
    <n v="2026"/>
    <x v="64"/>
    <s v="Week 13"/>
    <s v="Week 13-2026"/>
  </r>
  <r>
    <d v="2026-03-26T00:00:00"/>
    <x v="10"/>
    <n v="8"/>
    <n v="2026"/>
    <x v="64"/>
    <s v="Week 13"/>
    <s v="Week 13-2026"/>
  </r>
  <r>
    <d v="2026-03-26T00:00:00"/>
    <x v="11"/>
    <n v="8"/>
    <n v="2026"/>
    <x v="64"/>
    <s v="Week 13"/>
    <s v="Week 13-2026"/>
  </r>
  <r>
    <d v="2026-03-26T00:00:00"/>
    <x v="3"/>
    <n v="6"/>
    <n v="2026"/>
    <x v="64"/>
    <s v="Week 13"/>
    <s v="Week 13-2026"/>
  </r>
  <r>
    <d v="2026-03-26T00:00:00"/>
    <x v="12"/>
    <n v="4"/>
    <n v="2026"/>
    <x v="64"/>
    <s v="Week 13"/>
    <s v="Week 13-2026"/>
  </r>
  <r>
    <d v="2026-03-26T00:00:00"/>
    <x v="17"/>
    <n v="1"/>
    <n v="2026"/>
    <x v="64"/>
    <s v="Week 13"/>
    <s v="Week 13-2026"/>
  </r>
  <r>
    <d v="2026-03-28T00:00:00"/>
    <x v="5"/>
    <n v="12"/>
    <n v="2026"/>
    <x v="64"/>
    <s v="Week 13"/>
    <s v="Week 13-2026"/>
  </r>
  <r>
    <d v="2026-03-28T00:00:00"/>
    <x v="12"/>
    <n v="8"/>
    <n v="2026"/>
    <x v="64"/>
    <s v="Week 13"/>
    <s v="Week 13-2026"/>
  </r>
  <r>
    <d v="2026-03-28T00:00:00"/>
    <x v="15"/>
    <n v="1"/>
    <n v="2026"/>
    <x v="64"/>
    <s v="Week 13"/>
    <s v="Week 13-2026"/>
  </r>
  <r>
    <d v="2026-03-30T00:00:00"/>
    <x v="12"/>
    <n v="7"/>
    <n v="2026"/>
    <x v="65"/>
    <s v="Week 14"/>
    <s v="Week 14-2026"/>
  </r>
  <r>
    <d v="2026-03-30T00:00:00"/>
    <x v="3"/>
    <n v="4"/>
    <n v="2026"/>
    <x v="65"/>
    <s v="Week 14"/>
    <s v="Week 14-2026"/>
  </r>
  <r>
    <d v="2026-03-30T00:00:00"/>
    <x v="32"/>
    <n v="10"/>
    <n v="2026"/>
    <x v="65"/>
    <s v="Week 14"/>
    <s v="Week 14-2026"/>
  </r>
  <r>
    <d v="2026-03-30T00:00:00"/>
    <x v="12"/>
    <n v="4"/>
    <n v="2026"/>
    <x v="65"/>
    <s v="Week 14"/>
    <s v="Week 14-2026"/>
  </r>
  <r>
    <d v="2026-03-30T00:00:00"/>
    <x v="30"/>
    <n v="8"/>
    <n v="2026"/>
    <x v="65"/>
    <s v="Week 14"/>
    <s v="Week 14-2026"/>
  </r>
  <r>
    <d v="2026-03-30T00:00:00"/>
    <x v="17"/>
    <n v="2"/>
    <n v="2026"/>
    <x v="65"/>
    <s v="Week 14"/>
    <s v="Week 14-2026"/>
  </r>
  <r>
    <d v="2026-03-30T00:00:00"/>
    <x v="28"/>
    <n v="6"/>
    <n v="2026"/>
    <x v="65"/>
    <s v="Week 14"/>
    <s v="Week 14-2026"/>
  </r>
  <r>
    <d v="2026-03-30T00:00:00"/>
    <x v="3"/>
    <n v="2"/>
    <n v="2026"/>
    <x v="65"/>
    <s v="Week 14"/>
    <s v="Week 14-2026"/>
  </r>
  <r>
    <d v="2026-03-30T00:00:00"/>
    <x v="12"/>
    <n v="1"/>
    <n v="2026"/>
    <x v="65"/>
    <s v="Week 14"/>
    <s v="Week 14-2026"/>
  </r>
  <r>
    <d v="2026-03-31T00:00:00"/>
    <x v="12"/>
    <n v="16"/>
    <n v="2026"/>
    <x v="65"/>
    <s v="Week 14"/>
    <s v="Week 14-2026"/>
  </r>
  <r>
    <d v="2026-03-31T00:00:00"/>
    <x v="42"/>
    <n v="8"/>
    <n v="2026"/>
    <x v="65"/>
    <s v="Week 14"/>
    <s v="Week 14-2026"/>
  </r>
  <r>
    <d v="2026-03-31T00:00:00"/>
    <x v="13"/>
    <n v="6"/>
    <n v="2026"/>
    <x v="65"/>
    <s v="Week 14"/>
    <s v="Week 14-2026"/>
  </r>
  <r>
    <d v="2026-03-31T00:00:00"/>
    <x v="27"/>
    <n v="10"/>
    <n v="2026"/>
    <x v="65"/>
    <s v="Week 14"/>
    <s v="Week 14-2026"/>
  </r>
  <r>
    <d v="2026-03-31T00:00:00"/>
    <x v="39"/>
    <n v="4"/>
    <n v="2026"/>
    <x v="65"/>
    <s v="Week 14"/>
    <s v="Week 14-2026"/>
  </r>
  <r>
    <d v="2026-03-31T00:00:00"/>
    <x v="25"/>
    <n v="4"/>
    <n v="2026"/>
    <x v="65"/>
    <s v="Week 14"/>
    <s v="Week 14-2026"/>
  </r>
  <r>
    <d v="2026-03-31T00:00:00"/>
    <x v="27"/>
    <n v="4"/>
    <n v="2026"/>
    <x v="65"/>
    <s v="Week 14"/>
    <s v="Week 14-2026"/>
  </r>
  <r>
    <d v="2026-03-31T00:00:00"/>
    <x v="27"/>
    <n v="2"/>
    <n v="2026"/>
    <x v="65"/>
    <s v="Week 14"/>
    <s v="Week 14-2026"/>
  </r>
  <r>
    <d v="2026-04-03T00:00:00"/>
    <x v="12"/>
    <n v="22"/>
    <n v="2026"/>
    <x v="65"/>
    <s v="Week 14"/>
    <s v="Week 14-2026"/>
  </r>
  <r>
    <d v="2026-04-03T00:00:00"/>
    <x v="11"/>
    <n v="12"/>
    <n v="2026"/>
    <x v="65"/>
    <s v="Week 14"/>
    <s v="Week 14-2026"/>
  </r>
  <r>
    <d v="2026-04-03T00:00:00"/>
    <x v="10"/>
    <n v="8"/>
    <n v="2026"/>
    <x v="65"/>
    <s v="Week 14"/>
    <s v="Week 14-2026"/>
  </r>
  <r>
    <d v="2026-04-03T00:00:00"/>
    <x v="12"/>
    <n v="12"/>
    <n v="2026"/>
    <x v="65"/>
    <s v="Week 14"/>
    <s v="Week 14-2026"/>
  </r>
  <r>
    <d v="2026-04-03T00:00:00"/>
    <x v="3"/>
    <n v="8"/>
    <n v="2026"/>
    <x v="65"/>
    <s v="Week 14"/>
    <s v="Week 14-2026"/>
  </r>
  <r>
    <d v="2026-04-03T00:00:00"/>
    <x v="12"/>
    <n v="8"/>
    <n v="2026"/>
    <x v="65"/>
    <s v="Week 14"/>
    <s v="Week 14-2026"/>
  </r>
  <r>
    <d v="2026-04-03T00:00:00"/>
    <x v="13"/>
    <n v="4"/>
    <n v="2026"/>
    <x v="65"/>
    <s v="Week 14"/>
    <s v="Week 14-2026"/>
  </r>
  <r>
    <d v="2026-04-03T00:00:00"/>
    <x v="3"/>
    <n v="4"/>
    <n v="2026"/>
    <x v="65"/>
    <s v="Week 14"/>
    <s v="Week 14-2026"/>
  </r>
  <r>
    <d v="2026-04-03T00:00:00"/>
    <x v="3"/>
    <n v="4"/>
    <n v="2026"/>
    <x v="65"/>
    <s v="Week 14"/>
    <s v="Week 14-2026"/>
  </r>
  <r>
    <d v="2026-04-03T00:00:00"/>
    <x v="30"/>
    <n v="8"/>
    <n v="2026"/>
    <x v="65"/>
    <s v="Week 14"/>
    <s v="Week 14-2026"/>
  </r>
  <r>
    <d v="2026-04-03T00:00:00"/>
    <x v="15"/>
    <n v="4"/>
    <n v="2026"/>
    <x v="65"/>
    <s v="Week 14"/>
    <s v="Week 14-2026"/>
  </r>
  <r>
    <d v="2026-04-03T00:00:00"/>
    <x v="15"/>
    <n v="4"/>
    <n v="2026"/>
    <x v="65"/>
    <s v="Week 14"/>
    <s v="Week 14-2026"/>
  </r>
  <r>
    <d v="2026-04-03T00:00:00"/>
    <x v="12"/>
    <n v="2"/>
    <n v="2026"/>
    <x v="65"/>
    <s v="Week 14"/>
    <s v="Week 14-2026"/>
  </r>
  <r>
    <d v="2026-04-03T00:00:00"/>
    <x v="27"/>
    <n v="4"/>
    <n v="2026"/>
    <x v="65"/>
    <s v="Week 14"/>
    <s v="Week 14-2026"/>
  </r>
  <r>
    <d v="2026-04-06T00:00:00"/>
    <x v="12"/>
    <n v="28"/>
    <n v="2026"/>
    <x v="66"/>
    <s v="Week 15"/>
    <s v="Week 15-2026"/>
  </r>
  <r>
    <d v="2026-04-06T00:00:00"/>
    <x v="14"/>
    <n v="16"/>
    <n v="2026"/>
    <x v="66"/>
    <s v="Week 15"/>
    <s v="Week 15-2026"/>
  </r>
  <r>
    <d v="2026-04-06T00:00:00"/>
    <x v="12"/>
    <n v="20"/>
    <n v="2026"/>
    <x v="66"/>
    <s v="Week 15"/>
    <s v="Week 15-2026"/>
  </r>
  <r>
    <d v="2026-04-06T00:00:00"/>
    <x v="15"/>
    <n v="20"/>
    <n v="2026"/>
    <x v="66"/>
    <s v="Week 15"/>
    <s v="Week 15-2026"/>
  </r>
  <r>
    <d v="2026-04-06T00:00:00"/>
    <x v="12"/>
    <n v="12"/>
    <n v="2026"/>
    <x v="66"/>
    <s v="Week 15"/>
    <s v="Week 15-2026"/>
  </r>
  <r>
    <d v="2026-04-06T00:00:00"/>
    <x v="10"/>
    <n v="8"/>
    <n v="2026"/>
    <x v="66"/>
    <s v="Week 15"/>
    <s v="Week 15-2026"/>
  </r>
  <r>
    <d v="2026-04-06T00:00:00"/>
    <x v="12"/>
    <n v="8"/>
    <n v="2026"/>
    <x v="66"/>
    <s v="Week 15"/>
    <s v="Week 15-2026"/>
  </r>
  <r>
    <d v="2026-04-06T00:00:00"/>
    <x v="11"/>
    <n v="6"/>
    <n v="2026"/>
    <x v="66"/>
    <s v="Week 15"/>
    <s v="Week 15-2026"/>
  </r>
  <r>
    <d v="2026-04-06T00:00:00"/>
    <x v="11"/>
    <n v="6"/>
    <n v="2026"/>
    <x v="66"/>
    <s v="Week 15"/>
    <s v="Week 15-2026"/>
  </r>
  <r>
    <d v="2026-04-06T00:00:00"/>
    <x v="3"/>
    <n v="4"/>
    <n v="2026"/>
    <x v="66"/>
    <s v="Week 15"/>
    <s v="Week 15-2026"/>
  </r>
  <r>
    <d v="2026-04-06T00:00:00"/>
    <x v="11"/>
    <n v="4"/>
    <n v="2026"/>
    <x v="66"/>
    <s v="Week 15"/>
    <s v="Week 15-2026"/>
  </r>
  <r>
    <d v="2026-04-06T00:00:00"/>
    <x v="15"/>
    <n v="6"/>
    <n v="2026"/>
    <x v="66"/>
    <s v="Week 15"/>
    <s v="Week 15-2026"/>
  </r>
  <r>
    <d v="2026-04-06T00:00:00"/>
    <x v="25"/>
    <n v="4"/>
    <n v="2026"/>
    <x v="66"/>
    <s v="Week 15"/>
    <s v="Week 15-2026"/>
  </r>
  <r>
    <d v="2026-04-06T00:00:00"/>
    <x v="31"/>
    <n v="4"/>
    <n v="2026"/>
    <x v="66"/>
    <s v="Week 15"/>
    <s v="Week 15-2026"/>
  </r>
  <r>
    <d v="2026-04-06T00:00:00"/>
    <x v="15"/>
    <n v="4"/>
    <n v="2026"/>
    <x v="66"/>
    <s v="Week 15"/>
    <s v="Week 15-2026"/>
  </r>
  <r>
    <d v="2026-04-06T00:00:00"/>
    <x v="19"/>
    <n v="4"/>
    <n v="2026"/>
    <x v="66"/>
    <s v="Week 15"/>
    <s v="Week 15-2026"/>
  </r>
  <r>
    <d v="2026-04-06T00:00:00"/>
    <x v="3"/>
    <n v="2"/>
    <n v="2026"/>
    <x v="66"/>
    <s v="Week 15"/>
    <s v="Week 15-2026"/>
  </r>
  <r>
    <d v="2026-04-06T00:00:00"/>
    <x v="4"/>
    <n v="4"/>
    <n v="2026"/>
    <x v="66"/>
    <s v="Week 15"/>
    <s v="Week 15-2026"/>
  </r>
  <r>
    <d v="2026-04-06T00:00:00"/>
    <x v="15"/>
    <n v="3"/>
    <n v="2026"/>
    <x v="66"/>
    <s v="Week 15"/>
    <s v="Week 15-2026"/>
  </r>
  <r>
    <d v="2026-04-06T00:00:00"/>
    <x v="19"/>
    <n v="2"/>
    <n v="2026"/>
    <x v="66"/>
    <s v="Week 15"/>
    <s v="Week 15-2026"/>
  </r>
  <r>
    <d v="2026-04-06T00:00:00"/>
    <x v="19"/>
    <n v="2"/>
    <n v="2026"/>
    <x v="66"/>
    <s v="Week 15"/>
    <s v="Week 15-2026"/>
  </r>
  <r>
    <d v="2026-04-06T00:00:00"/>
    <x v="3"/>
    <n v="1"/>
    <n v="2026"/>
    <x v="66"/>
    <s v="Week 15"/>
    <s v="Week 15-2026"/>
  </r>
  <r>
    <d v="2026-04-10T00:00:00"/>
    <x v="11"/>
    <n v="22"/>
    <n v="2026"/>
    <x v="66"/>
    <s v="Week 15"/>
    <s v="Week 15-2026"/>
  </r>
  <r>
    <d v="2026-04-10T00:00:00"/>
    <x v="12"/>
    <n v="24"/>
    <n v="2026"/>
    <x v="66"/>
    <s v="Week 15"/>
    <s v="Week 15-2026"/>
  </r>
  <r>
    <d v="2026-04-10T00:00:00"/>
    <x v="3"/>
    <n v="14"/>
    <n v="2026"/>
    <x v="66"/>
    <s v="Week 15"/>
    <s v="Week 15-2026"/>
  </r>
  <r>
    <d v="2026-04-10T00:00:00"/>
    <x v="10"/>
    <n v="8"/>
    <n v="2026"/>
    <x v="66"/>
    <s v="Week 15"/>
    <s v="Week 15-2026"/>
  </r>
  <r>
    <d v="2026-04-10T00:00:00"/>
    <x v="15"/>
    <n v="6"/>
    <n v="2026"/>
    <x v="66"/>
    <s v="Week 15"/>
    <s v="Week 15-2026"/>
  </r>
  <r>
    <d v="2026-04-10T00:00:00"/>
    <x v="12"/>
    <n v="4"/>
    <n v="2026"/>
    <x v="66"/>
    <s v="Week 15"/>
    <s v="Week 15-2026"/>
  </r>
  <r>
    <d v="2026-04-10T00:00:00"/>
    <x v="14"/>
    <n v="2"/>
    <n v="2026"/>
    <x v="66"/>
    <s v="Week 15"/>
    <s v="Week 15-2026"/>
  </r>
  <r>
    <d v="2026-04-10T00:00:00"/>
    <x v="25"/>
    <n v="2"/>
    <n v="2026"/>
    <x v="66"/>
    <s v="Week 15"/>
    <s v="Week 15-2026"/>
  </r>
  <r>
    <d v="2026-04-13T00:00:00"/>
    <x v="12"/>
    <n v="12"/>
    <n v="2026"/>
    <x v="67"/>
    <s v="Week 16"/>
    <s v="Week 16-2026"/>
  </r>
  <r>
    <d v="2026-04-13T00:00:00"/>
    <x v="12"/>
    <n v="8"/>
    <n v="2026"/>
    <x v="67"/>
    <s v="Week 16"/>
    <s v="Week 16-2026"/>
  </r>
  <r>
    <d v="2026-04-13T00:00:00"/>
    <x v="12"/>
    <n v="7"/>
    <n v="2026"/>
    <x v="67"/>
    <s v="Week 16"/>
    <s v="Week 16-2026"/>
  </r>
  <r>
    <d v="2026-04-13T00:00:00"/>
    <x v="11"/>
    <n v="6"/>
    <n v="2026"/>
    <x v="67"/>
    <s v="Week 16"/>
    <s v="Week 16-2026"/>
  </r>
  <r>
    <d v="2026-04-13T00:00:00"/>
    <x v="25"/>
    <n v="8"/>
    <n v="2026"/>
    <x v="67"/>
    <s v="Week 16"/>
    <s v="Week 16-2026"/>
  </r>
  <r>
    <d v="2026-04-13T00:00:00"/>
    <x v="12"/>
    <n v="6"/>
    <n v="2026"/>
    <x v="67"/>
    <s v="Week 16"/>
    <s v="Week 16-2026"/>
  </r>
  <r>
    <d v="2026-04-13T00:00:00"/>
    <x v="14"/>
    <n v="4"/>
    <n v="2026"/>
    <x v="67"/>
    <s v="Week 16"/>
    <s v="Week 16-2026"/>
  </r>
  <r>
    <d v="2026-04-13T00:00:00"/>
    <x v="15"/>
    <n v="8"/>
    <n v="2026"/>
    <x v="67"/>
    <s v="Week 16"/>
    <s v="Week 16-2026"/>
  </r>
  <r>
    <d v="2026-04-13T00:00:00"/>
    <x v="32"/>
    <n v="12"/>
    <n v="2026"/>
    <x v="67"/>
    <s v="Week 16"/>
    <s v="Week 16-2026"/>
  </r>
  <r>
    <d v="2026-04-13T00:00:00"/>
    <x v="3"/>
    <n v="4"/>
    <n v="2026"/>
    <x v="67"/>
    <s v="Week 16"/>
    <s v="Week 16-2026"/>
  </r>
  <r>
    <d v="2026-04-13T00:00:00"/>
    <x v="3"/>
    <n v="4"/>
    <n v="2026"/>
    <x v="67"/>
    <s v="Week 16"/>
    <s v="Week 16-2026"/>
  </r>
  <r>
    <d v="2026-04-13T00:00:00"/>
    <x v="11"/>
    <n v="4"/>
    <n v="2026"/>
    <x v="67"/>
    <s v="Week 16"/>
    <s v="Week 16-2026"/>
  </r>
  <r>
    <d v="2026-04-13T00:00:00"/>
    <x v="48"/>
    <n v="2"/>
    <n v="2026"/>
    <x v="67"/>
    <s v="Week 16"/>
    <s v="Week 16-2026"/>
  </r>
  <r>
    <d v="2026-04-13T00:00:00"/>
    <x v="12"/>
    <n v="3"/>
    <n v="2026"/>
    <x v="67"/>
    <s v="Week 16"/>
    <s v="Week 16-2026"/>
  </r>
  <r>
    <d v="2026-04-13T00:00:00"/>
    <x v="9"/>
    <n v="2"/>
    <n v="2026"/>
    <x v="67"/>
    <s v="Week 16"/>
    <s v="Week 16-2026"/>
  </r>
  <r>
    <d v="2026-04-13T00:00:00"/>
    <x v="19"/>
    <n v="2"/>
    <n v="2026"/>
    <x v="67"/>
    <s v="Week 16"/>
    <s v="Week 16-2026"/>
  </r>
  <r>
    <d v="2026-04-13T00:00:00"/>
    <x v="30"/>
    <n v="2"/>
    <n v="2026"/>
    <x v="67"/>
    <s v="Week 16"/>
    <s v="Week 16-2026"/>
  </r>
  <r>
    <d v="2026-04-14T00:00:00"/>
    <x v="0"/>
    <n v="8"/>
    <n v="2026"/>
    <x v="67"/>
    <s v="Week 16"/>
    <s v="Week 16-2026"/>
  </r>
  <r>
    <d v="2026-04-14T00:00:00"/>
    <x v="5"/>
    <n v="8"/>
    <n v="2026"/>
    <x v="67"/>
    <s v="Week 16"/>
    <s v="Week 16-2026"/>
  </r>
  <r>
    <d v="2026-04-14T00:00:00"/>
    <x v="11"/>
    <n v="12"/>
    <n v="2026"/>
    <x v="67"/>
    <s v="Week 16"/>
    <s v="Week 16-2026"/>
  </r>
  <r>
    <d v="2026-04-14T00:00:00"/>
    <x v="11"/>
    <n v="8"/>
    <n v="2026"/>
    <x v="67"/>
    <s v="Week 16"/>
    <s v="Week 16-2026"/>
  </r>
  <r>
    <d v="2026-04-14T00:00:00"/>
    <x v="13"/>
    <n v="4"/>
    <n v="2026"/>
    <x v="67"/>
    <s v="Week 16"/>
    <s v="Week 16-2026"/>
  </r>
  <r>
    <d v="2026-04-14T00:00:00"/>
    <x v="13"/>
    <n v="4"/>
    <n v="2026"/>
    <x v="67"/>
    <s v="Week 16"/>
    <s v="Week 16-2026"/>
  </r>
  <r>
    <d v="2026-04-14T00:00:00"/>
    <x v="47"/>
    <n v="1"/>
    <n v="2026"/>
    <x v="67"/>
    <s v="Week 16"/>
    <s v="Week 16-2026"/>
  </r>
  <r>
    <d v="2026-04-14T00:00:00"/>
    <x v="47"/>
    <n v="1"/>
    <n v="2026"/>
    <x v="67"/>
    <s v="Week 16"/>
    <s v="Week 16-2026"/>
  </r>
  <r>
    <d v="2026-04-14T00:00:00"/>
    <x v="11"/>
    <n v="5"/>
    <n v="2026"/>
    <x v="67"/>
    <s v="Week 16"/>
    <s v="Week 16-2026"/>
  </r>
  <r>
    <d v="2026-04-14T00:00:00"/>
    <x v="3"/>
    <n v="4"/>
    <n v="2026"/>
    <x v="67"/>
    <s v="Week 16"/>
    <s v="Week 16-2026"/>
  </r>
  <r>
    <d v="2026-04-14T00:00:00"/>
    <x v="3"/>
    <n v="4"/>
    <n v="2026"/>
    <x v="67"/>
    <s v="Week 16"/>
    <s v="Week 16-2026"/>
  </r>
  <r>
    <d v="2026-04-14T00:00:00"/>
    <x v="13"/>
    <n v="2"/>
    <n v="2026"/>
    <x v="67"/>
    <s v="Week 16"/>
    <s v="Week 16-2026"/>
  </r>
  <r>
    <d v="2026-04-14T00:00:00"/>
    <x v="17"/>
    <n v="2"/>
    <n v="2026"/>
    <x v="67"/>
    <s v="Week 16"/>
    <s v="Week 16-2026"/>
  </r>
  <r>
    <d v="2026-04-14T00:00:00"/>
    <x v="3"/>
    <n v="2"/>
    <n v="2026"/>
    <x v="67"/>
    <s v="Week 16"/>
    <s v="Week 16-2026"/>
  </r>
  <r>
    <d v="2026-04-14T00:00:00"/>
    <x v="27"/>
    <n v="2"/>
    <n v="2026"/>
    <x v="67"/>
    <s v="Week 16"/>
    <s v="Week 16-2026"/>
  </r>
  <r>
    <d v="2026-04-15T00:00:00"/>
    <x v="11"/>
    <n v="24"/>
    <n v="2026"/>
    <x v="67"/>
    <s v="Week 16"/>
    <s v="Week 16-2026"/>
  </r>
  <r>
    <d v="2026-04-15T00:00:00"/>
    <x v="13"/>
    <n v="7"/>
    <n v="2026"/>
    <x v="67"/>
    <s v="Week 16"/>
    <s v="Week 16-2026"/>
  </r>
  <r>
    <d v="2026-04-15T00:00:00"/>
    <x v="13"/>
    <n v="4"/>
    <n v="2026"/>
    <x v="67"/>
    <s v="Week 16"/>
    <s v="Week 16-2026"/>
  </r>
  <r>
    <d v="2026-04-15T00:00:00"/>
    <x v="22"/>
    <n v="8"/>
    <n v="2026"/>
    <x v="67"/>
    <s v="Week 16"/>
    <s v="Week 16-2026"/>
  </r>
  <r>
    <d v="2026-04-15T00:00:00"/>
    <x v="3"/>
    <n v="4"/>
    <n v="2026"/>
    <x v="67"/>
    <s v="Week 16"/>
    <s v="Week 16-2026"/>
  </r>
  <r>
    <d v="2026-04-15T00:00:00"/>
    <x v="17"/>
    <n v="2"/>
    <n v="2026"/>
    <x v="67"/>
    <s v="Week 16"/>
    <s v="Week 16-2026"/>
  </r>
  <r>
    <d v="2026-04-15T00:00:00"/>
    <x v="2"/>
    <n v="2"/>
    <n v="2026"/>
    <x v="67"/>
    <s v="Week 16"/>
    <s v="Week 16-2026"/>
  </r>
  <r>
    <d v="2026-04-16T00:00:00"/>
    <x v="12"/>
    <n v="16"/>
    <n v="2026"/>
    <x v="67"/>
    <s v="Week 16"/>
    <s v="Week 16-2026"/>
  </r>
  <r>
    <d v="2026-04-16T00:00:00"/>
    <x v="11"/>
    <n v="14"/>
    <n v="2026"/>
    <x v="67"/>
    <s v="Week 16"/>
    <s v="Week 16-2026"/>
  </r>
  <r>
    <d v="2026-04-16T00:00:00"/>
    <x v="15"/>
    <n v="12"/>
    <n v="2026"/>
    <x v="67"/>
    <s v="Week 16"/>
    <s v="Week 16-2026"/>
  </r>
  <r>
    <d v="2026-04-16T00:00:00"/>
    <x v="25"/>
    <n v="8"/>
    <n v="2026"/>
    <x v="67"/>
    <s v="Week 16"/>
    <s v="Week 16-2026"/>
  </r>
  <r>
    <d v="2026-04-16T00:00:00"/>
    <x v="10"/>
    <n v="4"/>
    <n v="2026"/>
    <x v="67"/>
    <s v="Week 16"/>
    <s v="Week 16-2026"/>
  </r>
  <r>
    <d v="2026-04-16T00:00:00"/>
    <x v="30"/>
    <n v="7"/>
    <n v="2026"/>
    <x v="67"/>
    <s v="Week 16"/>
    <s v="Week 16-2026"/>
  </r>
  <r>
    <d v="2026-04-16T00:00:00"/>
    <x v="4"/>
    <n v="4"/>
    <n v="2026"/>
    <x v="67"/>
    <s v="Week 16"/>
    <s v="Week 16-2026"/>
  </r>
  <r>
    <d v="2026-04-16T00:00:00"/>
    <x v="28"/>
    <n v="2"/>
    <n v="2026"/>
    <x v="67"/>
    <s v="Week 16"/>
    <s v="Week 16-2026"/>
  </r>
  <r>
    <d v="2026-04-17T00:00:00"/>
    <x v="12"/>
    <n v="34"/>
    <n v="2026"/>
    <x v="67"/>
    <s v="Week 16"/>
    <s v="Week 16-2026"/>
  </r>
  <r>
    <d v="2026-04-17T00:00:00"/>
    <x v="11"/>
    <n v="26"/>
    <n v="2026"/>
    <x v="67"/>
    <s v="Week 16"/>
    <s v="Week 16-2026"/>
  </r>
  <r>
    <d v="2026-04-17T00:00:00"/>
    <x v="3"/>
    <n v="22"/>
    <n v="2026"/>
    <x v="67"/>
    <s v="Week 16"/>
    <s v="Week 16-2026"/>
  </r>
  <r>
    <d v="2026-04-17T00:00:00"/>
    <x v="11"/>
    <n v="16"/>
    <n v="2026"/>
    <x v="67"/>
    <s v="Week 16"/>
    <s v="Week 16-2026"/>
  </r>
  <r>
    <d v="2026-04-17T00:00:00"/>
    <x v="15"/>
    <n v="18"/>
    <n v="2026"/>
    <x v="67"/>
    <s v="Week 16"/>
    <s v="Week 16-2026"/>
  </r>
  <r>
    <d v="2026-04-17T00:00:00"/>
    <x v="13"/>
    <n v="8"/>
    <n v="2026"/>
    <x v="67"/>
    <s v="Week 16"/>
    <s v="Week 16-2026"/>
  </r>
  <r>
    <d v="2026-04-17T00:00:00"/>
    <x v="11"/>
    <n v="8"/>
    <n v="2026"/>
    <x v="67"/>
    <s v="Week 16"/>
    <s v="Week 16-2026"/>
  </r>
  <r>
    <d v="2026-04-17T00:00:00"/>
    <x v="10"/>
    <n v="4"/>
    <n v="2026"/>
    <x v="67"/>
    <s v="Week 16"/>
    <s v="Week 16-2026"/>
  </r>
  <r>
    <d v="2026-04-17T00:00:00"/>
    <x v="11"/>
    <n v="4"/>
    <n v="2026"/>
    <x v="67"/>
    <s v="Week 16"/>
    <s v="Week 16-2026"/>
  </r>
  <r>
    <d v="2026-04-17T00:00:00"/>
    <x v="3"/>
    <n v="4"/>
    <n v="2026"/>
    <x v="67"/>
    <s v="Week 16"/>
    <s v="Week 16-2026"/>
  </r>
  <r>
    <d v="2026-04-17T00:00:00"/>
    <x v="3"/>
    <n v="4"/>
    <n v="2026"/>
    <x v="67"/>
    <s v="Week 16"/>
    <s v="Week 16-2026"/>
  </r>
  <r>
    <d v="2026-04-17T00:00:00"/>
    <x v="25"/>
    <n v="6"/>
    <n v="2026"/>
    <x v="67"/>
    <s v="Week 16"/>
    <s v="Week 16-2026"/>
  </r>
  <r>
    <d v="2026-04-17T00:00:00"/>
    <x v="5"/>
    <n v="2"/>
    <n v="2026"/>
    <x v="67"/>
    <s v="Week 16"/>
    <s v="Week 16-2026"/>
  </r>
  <r>
    <d v="2026-04-17T00:00:00"/>
    <x v="14"/>
    <n v="2"/>
    <n v="2026"/>
    <x v="67"/>
    <s v="Week 16"/>
    <s v="Week 16-2026"/>
  </r>
  <r>
    <d v="2026-04-17T00:00:00"/>
    <x v="15"/>
    <n v="4"/>
    <n v="2026"/>
    <x v="67"/>
    <s v="Week 16"/>
    <s v="Week 16-2026"/>
  </r>
  <r>
    <d v="2026-04-17T00:00:00"/>
    <x v="3"/>
    <n v="2"/>
    <n v="2026"/>
    <x v="67"/>
    <s v="Week 16"/>
    <s v="Week 16-2026"/>
  </r>
  <r>
    <d v="2026-04-17T00:00:00"/>
    <x v="18"/>
    <n v="4"/>
    <n v="2026"/>
    <x v="67"/>
    <s v="Week 16"/>
    <s v="Week 16-2026"/>
  </r>
  <r>
    <d v="2026-04-17T00:00:00"/>
    <x v="30"/>
    <n v="4"/>
    <n v="2026"/>
    <x v="67"/>
    <s v="Week 16"/>
    <s v="Week 16-2026"/>
  </r>
  <r>
    <d v="2026-04-17T00:00:00"/>
    <x v="27"/>
    <n v="3"/>
    <n v="2026"/>
    <x v="67"/>
    <s v="Week 16"/>
    <s v="Week 16-2026"/>
  </r>
  <r>
    <d v="2026-04-17T00:00:00"/>
    <x v="28"/>
    <n v="2"/>
    <n v="2026"/>
    <x v="67"/>
    <s v="Week 16"/>
    <s v="Week 16-2026"/>
  </r>
  <r>
    <d v="2026-04-17T00:00:00"/>
    <x v="30"/>
    <n v="2"/>
    <n v="2026"/>
    <x v="67"/>
    <s v="Week 16"/>
    <s v="Week 16-2026"/>
  </r>
  <r>
    <d v="2026-04-17T00:00:00"/>
    <x v="21"/>
    <n v="1"/>
    <n v="2026"/>
    <x v="67"/>
    <s v="Week 16"/>
    <s v="Week 16-2026"/>
  </r>
  <r>
    <d v="2026-04-20T00:00:00"/>
    <x v="12"/>
    <n v="20"/>
    <n v="2026"/>
    <x v="68"/>
    <s v="Week 17"/>
    <s v="Week 17-2026"/>
  </r>
  <r>
    <d v="2026-04-20T00:00:00"/>
    <x v="15"/>
    <n v="8"/>
    <n v="2026"/>
    <x v="68"/>
    <s v="Week 17"/>
    <s v="Week 17-2026"/>
  </r>
  <r>
    <d v="2026-04-20T00:00:00"/>
    <x v="18"/>
    <n v="8"/>
    <n v="2026"/>
    <x v="68"/>
    <s v="Week 17"/>
    <s v="Week 17-2026"/>
  </r>
  <r>
    <d v="2026-04-20T00:00:00"/>
    <x v="15"/>
    <n v="6"/>
    <n v="2026"/>
    <x v="68"/>
    <s v="Week 17"/>
    <s v="Week 17-2026"/>
  </r>
  <r>
    <d v="2026-04-20T00:00:00"/>
    <x v="27"/>
    <n v="4"/>
    <n v="2026"/>
    <x v="68"/>
    <s v="Week 17"/>
    <s v="Week 17-2026"/>
  </r>
  <r>
    <d v="2026-04-21T00:00:00"/>
    <x v="13"/>
    <n v="11"/>
    <n v="2026"/>
    <x v="68"/>
    <s v="Week 17"/>
    <s v="Week 17-2026"/>
  </r>
  <r>
    <d v="2026-04-21T00:00:00"/>
    <x v="13"/>
    <n v="5"/>
    <n v="2026"/>
    <x v="68"/>
    <s v="Week 17"/>
    <s v="Week 17-2026"/>
  </r>
  <r>
    <d v="2026-04-21T00:00:00"/>
    <x v="11"/>
    <n v="6"/>
    <n v="2026"/>
    <x v="68"/>
    <s v="Week 17"/>
    <s v="Week 17-2026"/>
  </r>
  <r>
    <d v="2026-04-21T00:00:00"/>
    <x v="3"/>
    <n v="4"/>
    <n v="2026"/>
    <x v="68"/>
    <s v="Week 17"/>
    <s v="Week 17-2026"/>
  </r>
  <r>
    <d v="2026-04-21T00:00:00"/>
    <x v="5"/>
    <n v="2"/>
    <n v="2026"/>
    <x v="68"/>
    <s v="Week 17"/>
    <s v="Week 17-2026"/>
  </r>
  <r>
    <d v="2026-04-21T00:00:00"/>
    <x v="15"/>
    <n v="5"/>
    <n v="2026"/>
    <x v="68"/>
    <s v="Week 17"/>
    <s v="Week 17-2026"/>
  </r>
  <r>
    <d v="2026-04-21T00:00:00"/>
    <x v="27"/>
    <n v="4"/>
    <n v="2026"/>
    <x v="68"/>
    <s v="Week 17"/>
    <s v="Week 17-2026"/>
  </r>
  <r>
    <d v="2026-04-21T00:00:00"/>
    <x v="15"/>
    <n v="3"/>
    <n v="2026"/>
    <x v="68"/>
    <s v="Week 17"/>
    <s v="Week 17-2026"/>
  </r>
  <r>
    <d v="2026-04-21T00:00:00"/>
    <x v="20"/>
    <n v="2"/>
    <n v="2026"/>
    <x v="68"/>
    <s v="Week 17"/>
    <s v="Week 17-2026"/>
  </r>
  <r>
    <d v="2026-04-21T00:00:00"/>
    <x v="2"/>
    <n v="2"/>
    <n v="2026"/>
    <x v="68"/>
    <s v="Week 17"/>
    <s v="Week 17-2026"/>
  </r>
  <r>
    <d v="2026-04-21T00:00:00"/>
    <x v="1"/>
    <n v="2"/>
    <n v="2026"/>
    <x v="68"/>
    <s v="Week 17"/>
    <s v="Week 17-2026"/>
  </r>
  <r>
    <d v="2026-04-23T00:00:00"/>
    <x v="10"/>
    <n v="14"/>
    <n v="2026"/>
    <x v="68"/>
    <s v="Week 17"/>
    <s v="Week 17-2026"/>
  </r>
  <r>
    <d v="2026-04-23T00:00:00"/>
    <x v="13"/>
    <n v="8"/>
    <n v="2026"/>
    <x v="68"/>
    <s v="Week 17"/>
    <s v="Week 17-2026"/>
  </r>
  <r>
    <d v="2026-04-23T00:00:00"/>
    <x v="11"/>
    <n v="8"/>
    <n v="2026"/>
    <x v="68"/>
    <s v="Week 17"/>
    <s v="Week 17-2026"/>
  </r>
  <r>
    <d v="2026-04-23T00:00:00"/>
    <x v="11"/>
    <n v="6"/>
    <n v="2026"/>
    <x v="68"/>
    <s v="Week 17"/>
    <s v="Week 17-2026"/>
  </r>
  <r>
    <d v="2026-04-23T00:00:00"/>
    <x v="25"/>
    <n v="4"/>
    <n v="2026"/>
    <x v="68"/>
    <s v="Week 17"/>
    <s v="Week 17-2026"/>
  </r>
  <r>
    <d v="2026-04-23T00:00:00"/>
    <x v="14"/>
    <n v="2"/>
    <n v="2026"/>
    <x v="68"/>
    <s v="Week 17"/>
    <s v="Week 17-2026"/>
  </r>
  <r>
    <d v="2026-04-23T00:00:00"/>
    <x v="10"/>
    <n v="2"/>
    <n v="2026"/>
    <x v="68"/>
    <s v="Week 17"/>
    <s v="Week 17-2026"/>
  </r>
  <r>
    <d v="2026-04-27T00:00:00"/>
    <x v="11"/>
    <n v="38"/>
    <n v="2026"/>
    <x v="69"/>
    <s v="Week 18"/>
    <s v="Week 18-2026"/>
  </r>
  <r>
    <d v="2026-04-27T00:00:00"/>
    <x v="10"/>
    <n v="24"/>
    <n v="2026"/>
    <x v="69"/>
    <s v="Week 18"/>
    <s v="Week 18-2026"/>
  </r>
  <r>
    <d v="2026-04-27T00:00:00"/>
    <x v="11"/>
    <n v="28"/>
    <n v="2026"/>
    <x v="69"/>
    <s v="Week 18"/>
    <s v="Week 18-2026"/>
  </r>
  <r>
    <d v="2026-04-27T00:00:00"/>
    <x v="14"/>
    <n v="18"/>
    <n v="2026"/>
    <x v="69"/>
    <s v="Week 18"/>
    <s v="Week 18-2026"/>
  </r>
  <r>
    <d v="2026-04-27T00:00:00"/>
    <x v="12"/>
    <n v="24"/>
    <n v="2026"/>
    <x v="69"/>
    <s v="Week 18"/>
    <s v="Week 18-2026"/>
  </r>
  <r>
    <d v="2026-04-27T00:00:00"/>
    <x v="12"/>
    <n v="20"/>
    <n v="2026"/>
    <x v="69"/>
    <s v="Week 18"/>
    <s v="Week 18-2026"/>
  </r>
  <r>
    <d v="2026-04-27T00:00:00"/>
    <x v="10"/>
    <n v="12"/>
    <n v="2026"/>
    <x v="69"/>
    <s v="Week 18"/>
    <s v="Week 18-2026"/>
  </r>
  <r>
    <d v="2026-04-27T00:00:00"/>
    <x v="15"/>
    <n v="22"/>
    <n v="2026"/>
    <x v="69"/>
    <s v="Week 18"/>
    <s v="Week 18-2026"/>
  </r>
  <r>
    <d v="2026-04-27T00:00:00"/>
    <x v="3"/>
    <n v="12"/>
    <n v="2026"/>
    <x v="69"/>
    <s v="Week 18"/>
    <s v="Week 18-2026"/>
  </r>
  <r>
    <d v="2026-04-27T00:00:00"/>
    <x v="17"/>
    <n v="8"/>
    <n v="2026"/>
    <x v="69"/>
    <s v="Week 18"/>
    <s v="Week 18-2026"/>
  </r>
  <r>
    <d v="2026-04-27T00:00:00"/>
    <x v="25"/>
    <n v="8"/>
    <n v="2026"/>
    <x v="69"/>
    <s v="Week 18"/>
    <s v="Week 18-2026"/>
  </r>
  <r>
    <d v="2026-04-27T00:00:00"/>
    <x v="3"/>
    <n v="8"/>
    <n v="2026"/>
    <x v="69"/>
    <s v="Week 18"/>
    <s v="Week 18-2026"/>
  </r>
  <r>
    <d v="2026-04-27T00:00:00"/>
    <x v="14"/>
    <n v="4"/>
    <n v="2026"/>
    <x v="69"/>
    <s v="Week 18"/>
    <s v="Week 18-2026"/>
  </r>
  <r>
    <d v="2026-04-27T00:00:00"/>
    <x v="5"/>
    <n v="4"/>
    <n v="2026"/>
    <x v="69"/>
    <s v="Week 18"/>
    <s v="Week 18-2026"/>
  </r>
  <r>
    <d v="2026-04-27T00:00:00"/>
    <x v="13"/>
    <n v="4"/>
    <n v="2026"/>
    <x v="69"/>
    <s v="Week 18"/>
    <s v="Week 18-2026"/>
  </r>
  <r>
    <d v="2026-04-27T00:00:00"/>
    <x v="15"/>
    <n v="8"/>
    <n v="2026"/>
    <x v="69"/>
    <s v="Week 18"/>
    <s v="Week 18-2026"/>
  </r>
  <r>
    <d v="2026-04-27T00:00:00"/>
    <x v="19"/>
    <n v="8"/>
    <n v="2026"/>
    <x v="69"/>
    <s v="Week 18"/>
    <s v="Week 18-2026"/>
  </r>
  <r>
    <d v="2026-04-27T00:00:00"/>
    <x v="3"/>
    <n v="4"/>
    <n v="2026"/>
    <x v="69"/>
    <s v="Week 18"/>
    <s v="Week 18-2026"/>
  </r>
  <r>
    <d v="2026-04-27T00:00:00"/>
    <x v="15"/>
    <n v="6"/>
    <n v="2026"/>
    <x v="69"/>
    <s v="Week 18"/>
    <s v="Week 18-2026"/>
  </r>
  <r>
    <d v="2026-04-27T00:00:00"/>
    <x v="6"/>
    <n v="2"/>
    <n v="2026"/>
    <x v="69"/>
    <s v="Week 18"/>
    <s v="Week 18-2026"/>
  </r>
  <r>
    <d v="2026-04-27T00:00:00"/>
    <x v="13"/>
    <n v="2"/>
    <n v="2026"/>
    <x v="69"/>
    <s v="Week 18"/>
    <s v="Week 18-2026"/>
  </r>
  <r>
    <d v="2026-04-27T00:00:00"/>
    <x v="17"/>
    <n v="2"/>
    <n v="2026"/>
    <x v="69"/>
    <s v="Week 18"/>
    <s v="Week 18-2026"/>
  </r>
  <r>
    <d v="2026-04-27T00:00:00"/>
    <x v="17"/>
    <n v="2"/>
    <n v="2026"/>
    <x v="69"/>
    <s v="Week 18"/>
    <s v="Week 18-2026"/>
  </r>
  <r>
    <d v="2026-04-27T00:00:00"/>
    <x v="4"/>
    <n v="4"/>
    <n v="2026"/>
    <x v="69"/>
    <s v="Week 18"/>
    <s v="Week 18-2026"/>
  </r>
  <r>
    <d v="2026-04-27T00:00:00"/>
    <x v="2"/>
    <n v="2"/>
    <n v="2026"/>
    <x v="69"/>
    <s v="Week 18"/>
    <s v="Week 18-2026"/>
  </r>
  <r>
    <d v="2026-04-27T00:00:00"/>
    <x v="15"/>
    <n v="2"/>
    <n v="2026"/>
    <x v="69"/>
    <s v="Week 18"/>
    <s v="Week 18-2026"/>
  </r>
  <r>
    <d v="2026-04-27T00:00:00"/>
    <x v="19"/>
    <n v="2"/>
    <n v="2026"/>
    <x v="69"/>
    <s v="Week 18"/>
    <s v="Week 18-2026"/>
  </r>
  <r>
    <d v="2026-04-28T00:00:00"/>
    <x v="12"/>
    <n v="24"/>
    <n v="2026"/>
    <x v="69"/>
    <s v="Week 18"/>
    <s v="Week 18-2026"/>
  </r>
  <r>
    <d v="2026-04-28T00:00:00"/>
    <x v="10"/>
    <n v="16"/>
    <n v="2026"/>
    <x v="69"/>
    <s v="Week 18"/>
    <s v="Week 18-2026"/>
  </r>
  <r>
    <d v="2026-04-28T00:00:00"/>
    <x v="15"/>
    <n v="16"/>
    <n v="2026"/>
    <x v="69"/>
    <s v="Week 18"/>
    <s v="Week 18-2026"/>
  </r>
  <r>
    <d v="2026-04-28T00:00:00"/>
    <x v="3"/>
    <n v="4"/>
    <n v="2026"/>
    <x v="69"/>
    <s v="Week 18"/>
    <s v="Week 18-2026"/>
  </r>
  <r>
    <d v="2026-04-29T00:00:00"/>
    <x v="10"/>
    <n v="6"/>
    <n v="2026"/>
    <x v="69"/>
    <s v="Week 18"/>
    <s v="Week 18-2026"/>
  </r>
  <r>
    <d v="2026-04-29T00:00:00"/>
    <x v="12"/>
    <n v="8"/>
    <n v="2026"/>
    <x v="69"/>
    <s v="Week 18"/>
    <s v="Week 18-2026"/>
  </r>
  <r>
    <d v="2026-04-29T00:00:00"/>
    <x v="15"/>
    <n v="7"/>
    <n v="2026"/>
    <x v="69"/>
    <s v="Week 18"/>
    <s v="Week 18-2026"/>
  </r>
  <r>
    <d v="2026-04-29T00:00:00"/>
    <x v="15"/>
    <n v="4"/>
    <n v="2026"/>
    <x v="69"/>
    <s v="Week 18"/>
    <s v="Week 18-2026"/>
  </r>
  <r>
    <d v="2026-04-29T00:00:00"/>
    <x v="10"/>
    <n v="2"/>
    <n v="2026"/>
    <x v="69"/>
    <s v="Week 18"/>
    <s v="Week 18-2026"/>
  </r>
  <r>
    <d v="2026-04-29T00:00:00"/>
    <x v="18"/>
    <n v="4"/>
    <n v="2026"/>
    <x v="69"/>
    <s v="Week 18"/>
    <s v="Week 18-2026"/>
  </r>
  <r>
    <d v="2026-04-29T00:00:00"/>
    <x v="15"/>
    <n v="2"/>
    <n v="2026"/>
    <x v="69"/>
    <s v="Week 18"/>
    <s v="Week 18-2026"/>
  </r>
  <r>
    <d v="2026-04-29T00:00:00"/>
    <x v="19"/>
    <n v="2"/>
    <n v="2026"/>
    <x v="69"/>
    <s v="Week 18"/>
    <s v="Week 18-2026"/>
  </r>
  <r>
    <d v="2026-04-29T00:00:00"/>
    <x v="27"/>
    <n v="2"/>
    <n v="2026"/>
    <x v="69"/>
    <s v="Week 18"/>
    <s v="Week 18-2026"/>
  </r>
  <r>
    <d v="2026-04-29T00:00:00"/>
    <x v="21"/>
    <n v="2"/>
    <n v="2026"/>
    <x v="69"/>
    <s v="Week 18"/>
    <s v="Week 18-2026"/>
  </r>
  <r>
    <d v="2026-04-29T00:00:00"/>
    <x v="28"/>
    <n v="2"/>
    <n v="2026"/>
    <x v="69"/>
    <s v="Week 18"/>
    <s v="Week 18-2026"/>
  </r>
  <r>
    <d v="2026-04-29T00:00:00"/>
    <x v="30"/>
    <n v="2"/>
    <n v="2026"/>
    <x v="69"/>
    <s v="Week 18"/>
    <s v="Week 18-2026"/>
  </r>
  <r>
    <d v="2026-04-29T00:00:00"/>
    <x v="19"/>
    <n v="1"/>
    <n v="2026"/>
    <x v="69"/>
    <s v="Week 18"/>
    <s v="Week 18-2026"/>
  </r>
  <r>
    <d v="2026-04-29T00:00:00"/>
    <x v="32"/>
    <n v="1"/>
    <n v="2026"/>
    <x v="69"/>
    <s v="Week 18"/>
    <s v="Week 18-2026"/>
  </r>
  <r>
    <d v="2026-04-30T00:00:00"/>
    <x v="10"/>
    <n v="20"/>
    <n v="2026"/>
    <x v="69"/>
    <s v="Week 18"/>
    <s v="Week 18-2026"/>
  </r>
  <r>
    <d v="2026-04-30T00:00:00"/>
    <x v="15"/>
    <n v="4"/>
    <n v="2026"/>
    <x v="69"/>
    <s v="Week 18"/>
    <s v="Week 18-2026"/>
  </r>
  <r>
    <d v="2026-04-30T00:00:00"/>
    <x v="28"/>
    <n v="4"/>
    <n v="2026"/>
    <x v="69"/>
    <s v="Week 18"/>
    <s v="Week 18-2026"/>
  </r>
  <r>
    <d v="2026-04-30T00:00:00"/>
    <x v="30"/>
    <n v="4"/>
    <n v="2026"/>
    <x v="69"/>
    <s v="Week 18"/>
    <s v="Week 18-2026"/>
  </r>
  <r>
    <d v="2026-04-30T00:00:00"/>
    <x v="13"/>
    <n v="1"/>
    <n v="2026"/>
    <x v="69"/>
    <s v="Week 18"/>
    <s v="Week 18-2026"/>
  </r>
  <r>
    <d v="2026-04-30T00:00:00"/>
    <x v="27"/>
    <n v="2"/>
    <n v="2026"/>
    <x v="69"/>
    <s v="Week 18"/>
    <s v="Week 18-2026"/>
  </r>
  <r>
    <d v="2026-05-02T00:00:00"/>
    <x v="12"/>
    <n v="28"/>
    <n v="2026"/>
    <x v="69"/>
    <s v="Week 18"/>
    <s v="Week 18-2026"/>
  </r>
  <r>
    <d v="2026-05-02T00:00:00"/>
    <x v="14"/>
    <n v="16"/>
    <n v="2026"/>
    <x v="69"/>
    <s v="Week 18"/>
    <s v="Week 18-2026"/>
  </r>
  <r>
    <d v="2026-05-02T00:00:00"/>
    <x v="11"/>
    <n v="16"/>
    <n v="2026"/>
    <x v="69"/>
    <s v="Week 18"/>
    <s v="Week 18-2026"/>
  </r>
  <r>
    <d v="2026-05-02T00:00:00"/>
    <x v="10"/>
    <n v="12"/>
    <n v="2026"/>
    <x v="69"/>
    <s v="Week 18"/>
    <s v="Week 18-2026"/>
  </r>
  <r>
    <d v="2026-05-02T00:00:00"/>
    <x v="14"/>
    <n v="8"/>
    <n v="2026"/>
    <x v="69"/>
    <s v="Week 18"/>
    <s v="Week 18-2026"/>
  </r>
  <r>
    <d v="2026-05-02T00:00:00"/>
    <x v="3"/>
    <n v="8"/>
    <n v="2026"/>
    <x v="69"/>
    <s v="Week 18"/>
    <s v="Week 18-2026"/>
  </r>
  <r>
    <d v="2026-05-02T00:00:00"/>
    <x v="3"/>
    <n v="8"/>
    <n v="2026"/>
    <x v="69"/>
    <s v="Week 18"/>
    <s v="Week 18-2026"/>
  </r>
  <r>
    <d v="2026-05-02T00:00:00"/>
    <x v="25"/>
    <n v="12"/>
    <n v="2026"/>
    <x v="69"/>
    <s v="Week 18"/>
    <s v="Week 18-2026"/>
  </r>
  <r>
    <d v="2026-05-02T00:00:00"/>
    <x v="25"/>
    <n v="6"/>
    <n v="2026"/>
    <x v="69"/>
    <s v="Week 18"/>
    <s v="Week 18-2026"/>
  </r>
  <r>
    <d v="2026-05-02T00:00:00"/>
    <x v="19"/>
    <n v="7"/>
    <n v="2026"/>
    <x v="69"/>
    <s v="Week 18"/>
    <s v="Week 18-2026"/>
  </r>
  <r>
    <d v="2026-05-02T00:00:00"/>
    <x v="25"/>
    <n v="4"/>
    <n v="2026"/>
    <x v="69"/>
    <s v="Week 18"/>
    <s v="Week 18-2026"/>
  </r>
  <r>
    <d v="2026-05-02T00:00:00"/>
    <x v="14"/>
    <n v="2"/>
    <n v="2026"/>
    <x v="69"/>
    <s v="Week 18"/>
    <s v="Week 18-2026"/>
  </r>
  <r>
    <d v="2026-05-02T00:00:00"/>
    <x v="19"/>
    <n v="1"/>
    <n v="2026"/>
    <x v="69"/>
    <s v="Week 18"/>
    <s v="Week 18-2026"/>
  </r>
  <r>
    <d v="2026-05-02T00:00:00"/>
    <x v="21"/>
    <n v="1"/>
    <n v="2026"/>
    <x v="69"/>
    <s v="Week 18"/>
    <s v="Week 18-2026"/>
  </r>
  <r>
    <d v="2026-05-04T00:00:00"/>
    <x v="3"/>
    <n v="4"/>
    <n v="2026"/>
    <x v="70"/>
    <s v="Week 19"/>
    <s v="Week 19-2026"/>
  </r>
  <r>
    <d v="2026-05-04T00:00:00"/>
    <x v="5"/>
    <n v="2"/>
    <n v="2026"/>
    <x v="70"/>
    <s v="Week 19"/>
    <s v="Week 19-2026"/>
  </r>
  <r>
    <d v="2026-05-04T00:00:00"/>
    <x v="25"/>
    <n v="4"/>
    <n v="2026"/>
    <x v="70"/>
    <s v="Week 19"/>
    <s v="Week 19-2026"/>
  </r>
  <r>
    <d v="2026-05-06T00:00:00"/>
    <x v="11"/>
    <n v="16"/>
    <n v="2026"/>
    <x v="70"/>
    <s v="Week 19"/>
    <s v="Week 19-2026"/>
  </r>
  <r>
    <d v="2026-05-06T00:00:00"/>
    <x v="0"/>
    <n v="4"/>
    <n v="2026"/>
    <x v="70"/>
    <s v="Week 19"/>
    <s v="Week 19-2026"/>
  </r>
  <r>
    <d v="2026-05-06T00:00:00"/>
    <x v="10"/>
    <n v="4"/>
    <n v="2026"/>
    <x v="70"/>
    <s v="Week 19"/>
    <s v="Week 19-2026"/>
  </r>
  <r>
    <d v="2026-05-06T00:00:00"/>
    <x v="12"/>
    <n v="4"/>
    <n v="2026"/>
    <x v="70"/>
    <s v="Week 19"/>
    <s v="Week 19-2026"/>
  </r>
  <r>
    <d v="2026-05-06T00:00:00"/>
    <x v="15"/>
    <n v="5"/>
    <n v="2026"/>
    <x v="70"/>
    <s v="Week 19"/>
    <s v="Week 19-2026"/>
  </r>
  <r>
    <d v="2026-05-06T00:00:00"/>
    <x v="40"/>
    <n v="4"/>
    <n v="2026"/>
    <x v="70"/>
    <s v="Week 19"/>
    <s v="Week 19-2026"/>
  </r>
  <r>
    <d v="2026-05-06T00:00:00"/>
    <x v="20"/>
    <n v="4"/>
    <n v="2026"/>
    <x v="70"/>
    <s v="Week 19"/>
    <s v="Week 19-2026"/>
  </r>
  <r>
    <d v="2026-05-06T00:00:00"/>
    <x v="7"/>
    <n v="2"/>
    <n v="2026"/>
    <x v="70"/>
    <s v="Week 19"/>
    <s v="Week 19-2026"/>
  </r>
  <r>
    <d v="2026-05-06T00:00:00"/>
    <x v="17"/>
    <n v="2"/>
    <n v="2026"/>
    <x v="70"/>
    <s v="Week 19"/>
    <s v="Week 19-2026"/>
  </r>
  <r>
    <d v="2026-05-06T00:00:00"/>
    <x v="6"/>
    <n v="2"/>
    <n v="2026"/>
    <x v="70"/>
    <s v="Week 19"/>
    <s v="Week 19-2026"/>
  </r>
  <r>
    <d v="2026-05-06T00:00:00"/>
    <x v="14"/>
    <n v="2"/>
    <n v="2026"/>
    <x v="70"/>
    <s v="Week 19"/>
    <s v="Week 19-2026"/>
  </r>
  <r>
    <d v="2026-05-06T00:00:00"/>
    <x v="18"/>
    <n v="6"/>
    <n v="2026"/>
    <x v="70"/>
    <s v="Week 19"/>
    <s v="Week 19-2026"/>
  </r>
  <r>
    <d v="2026-05-06T00:00:00"/>
    <x v="32"/>
    <n v="6"/>
    <n v="2026"/>
    <x v="70"/>
    <s v="Week 19"/>
    <s v="Week 19-2026"/>
  </r>
  <r>
    <d v="2026-05-06T00:00:00"/>
    <x v="9"/>
    <n v="2"/>
    <n v="2026"/>
    <x v="70"/>
    <s v="Week 19"/>
    <s v="Week 19-2026"/>
  </r>
  <r>
    <d v="2026-05-06T00:00:00"/>
    <x v="25"/>
    <n v="2"/>
    <n v="2026"/>
    <x v="70"/>
    <s v="Week 19"/>
    <s v="Week 19-2026"/>
  </r>
  <r>
    <d v="2026-05-06T00:00:00"/>
    <x v="25"/>
    <n v="2"/>
    <n v="2026"/>
    <x v="70"/>
    <s v="Week 19"/>
    <s v="Week 19-2026"/>
  </r>
  <r>
    <d v="2026-05-06T00:00:00"/>
    <x v="1"/>
    <n v="2"/>
    <n v="2026"/>
    <x v="70"/>
    <s v="Week 19"/>
    <s v="Week 19-2026"/>
  </r>
  <r>
    <d v="2026-05-06T00:00:00"/>
    <x v="28"/>
    <n v="3"/>
    <n v="2026"/>
    <x v="70"/>
    <s v="Week 19"/>
    <s v="Week 19-2026"/>
  </r>
  <r>
    <d v="2026-05-06T00:00:00"/>
    <x v="11"/>
    <n v="1"/>
    <n v="2026"/>
    <x v="70"/>
    <s v="Week 19"/>
    <s v="Week 19-2026"/>
  </r>
  <r>
    <d v="2026-05-06T00:00:00"/>
    <x v="30"/>
    <n v="1"/>
    <n v="2026"/>
    <x v="70"/>
    <s v="Week 19"/>
    <s v="Week 19-2026"/>
  </r>
  <r>
    <d v="2026-05-07T00:00:00"/>
    <x v="12"/>
    <n v="50"/>
    <n v="2026"/>
    <x v="70"/>
    <s v="Week 19"/>
    <s v="Week 19-2026"/>
  </r>
  <r>
    <d v="2026-05-07T00:00:00"/>
    <x v="11"/>
    <n v="32"/>
    <n v="2026"/>
    <x v="70"/>
    <s v="Week 19"/>
    <s v="Week 19-2026"/>
  </r>
  <r>
    <d v="2026-05-07T00:00:00"/>
    <x v="3"/>
    <n v="18"/>
    <n v="2026"/>
    <x v="70"/>
    <s v="Week 19"/>
    <s v="Week 19-2026"/>
  </r>
  <r>
    <d v="2026-05-07T00:00:00"/>
    <x v="27"/>
    <n v="23"/>
    <n v="2026"/>
    <x v="70"/>
    <s v="Week 19"/>
    <s v="Week 19-2026"/>
  </r>
  <r>
    <d v="2026-05-07T00:00:00"/>
    <x v="15"/>
    <n v="12"/>
    <n v="2026"/>
    <x v="70"/>
    <s v="Week 19"/>
    <s v="Week 19-2026"/>
  </r>
  <r>
    <d v="2026-05-07T00:00:00"/>
    <x v="12"/>
    <n v="8"/>
    <n v="2026"/>
    <x v="70"/>
    <s v="Week 19"/>
    <s v="Week 19-2026"/>
  </r>
  <r>
    <d v="2026-05-07T00:00:00"/>
    <x v="11"/>
    <n v="6"/>
    <n v="2026"/>
    <x v="70"/>
    <s v="Week 19"/>
    <s v="Week 19-2026"/>
  </r>
  <r>
    <d v="2026-05-07T00:00:00"/>
    <x v="15"/>
    <n v="8"/>
    <n v="2026"/>
    <x v="70"/>
    <s v="Week 19"/>
    <s v="Week 19-2026"/>
  </r>
  <r>
    <d v="2026-05-07T00:00:00"/>
    <x v="18"/>
    <n v="10"/>
    <n v="2026"/>
    <x v="70"/>
    <s v="Week 19"/>
    <s v="Week 19-2026"/>
  </r>
  <r>
    <d v="2026-05-07T00:00:00"/>
    <x v="25"/>
    <n v="4"/>
    <n v="2026"/>
    <x v="70"/>
    <s v="Week 19"/>
    <s v="Week 19-2026"/>
  </r>
  <r>
    <d v="2026-05-07T00:00:00"/>
    <x v="17"/>
    <n v="2"/>
    <n v="2026"/>
    <x v="70"/>
    <s v="Week 19"/>
    <s v="Week 19-2026"/>
  </r>
  <r>
    <d v="2026-05-07T00:00:00"/>
    <x v="14"/>
    <n v="2"/>
    <n v="2026"/>
    <x v="70"/>
    <s v="Week 19"/>
    <s v="Week 19-2026"/>
  </r>
  <r>
    <d v="2026-05-07T00:00:00"/>
    <x v="27"/>
    <n v="2"/>
    <n v="2026"/>
    <x v="70"/>
    <s v="Week 19"/>
    <s v="Week 19-2026"/>
  </r>
  <r>
    <d v="2026-05-08T00:00:00"/>
    <x v="32"/>
    <n v="4"/>
    <n v="2026"/>
    <x v="70"/>
    <s v="Week 19"/>
    <s v="Week 19-2026"/>
  </r>
  <r>
    <d v="2026-05-08T00:00:00"/>
    <x v="30"/>
    <n v="2"/>
    <n v="2026"/>
    <x v="70"/>
    <s v="Week 19"/>
    <s v="Week 19-2026"/>
  </r>
  <r>
    <d v="2026-05-11T00:00:00"/>
    <x v="11"/>
    <n v="44"/>
    <n v="2026"/>
    <x v="71"/>
    <s v="Week 20"/>
    <s v="Week 20-2026"/>
  </r>
  <r>
    <d v="2026-05-11T00:00:00"/>
    <x v="14"/>
    <n v="24"/>
    <n v="2026"/>
    <x v="71"/>
    <s v="Week 20"/>
    <s v="Week 20-2026"/>
  </r>
  <r>
    <d v="2026-05-11T00:00:00"/>
    <x v="6"/>
    <n v="16"/>
    <n v="2026"/>
    <x v="71"/>
    <s v="Week 20"/>
    <s v="Week 20-2026"/>
  </r>
  <r>
    <d v="2026-05-11T00:00:00"/>
    <x v="41"/>
    <n v="22"/>
    <n v="2026"/>
    <x v="71"/>
    <s v="Week 20"/>
    <s v="Week 20-2026"/>
  </r>
  <r>
    <d v="2026-05-11T00:00:00"/>
    <x v="14"/>
    <n v="16"/>
    <n v="2026"/>
    <x v="71"/>
    <s v="Week 20"/>
    <s v="Week 20-2026"/>
  </r>
  <r>
    <d v="2026-05-11T00:00:00"/>
    <x v="5"/>
    <n v="10"/>
    <n v="2026"/>
    <x v="71"/>
    <s v="Week 20"/>
    <s v="Week 20-2026"/>
  </r>
  <r>
    <d v="2026-05-11T00:00:00"/>
    <x v="12"/>
    <n v="20"/>
    <n v="2026"/>
    <x v="71"/>
    <s v="Week 20"/>
    <s v="Week 20-2026"/>
  </r>
  <r>
    <d v="2026-05-11T00:00:00"/>
    <x v="3"/>
    <n v="13"/>
    <n v="2026"/>
    <x v="71"/>
    <s v="Week 20"/>
    <s v="Week 20-2026"/>
  </r>
  <r>
    <d v="2026-05-11T00:00:00"/>
    <x v="11"/>
    <n v="14"/>
    <n v="2026"/>
    <x v="71"/>
    <s v="Week 20"/>
    <s v="Week 20-2026"/>
  </r>
  <r>
    <d v="2026-05-11T00:00:00"/>
    <x v="12"/>
    <n v="14"/>
    <n v="2026"/>
    <x v="71"/>
    <s v="Week 20"/>
    <s v="Week 20-2026"/>
  </r>
  <r>
    <d v="2026-05-11T00:00:00"/>
    <x v="17"/>
    <n v="8"/>
    <n v="2026"/>
    <x v="71"/>
    <s v="Week 20"/>
    <s v="Week 20-2026"/>
  </r>
  <r>
    <d v="2026-05-11T00:00:00"/>
    <x v="10"/>
    <n v="8"/>
    <n v="2026"/>
    <x v="71"/>
    <s v="Week 20"/>
    <s v="Week 20-2026"/>
  </r>
  <r>
    <d v="2026-05-11T00:00:00"/>
    <x v="3"/>
    <n v="8"/>
    <n v="2026"/>
    <x v="71"/>
    <s v="Week 20"/>
    <s v="Week 20-2026"/>
  </r>
  <r>
    <d v="2026-05-11T00:00:00"/>
    <x v="20"/>
    <n v="8"/>
    <n v="2026"/>
    <x v="71"/>
    <s v="Week 20"/>
    <s v="Week 20-2026"/>
  </r>
  <r>
    <d v="2026-05-11T00:00:00"/>
    <x v="2"/>
    <n v="8"/>
    <n v="2026"/>
    <x v="71"/>
    <s v="Week 20"/>
    <s v="Week 20-2026"/>
  </r>
  <r>
    <d v="2026-05-11T00:00:00"/>
    <x v="2"/>
    <n v="8"/>
    <n v="2026"/>
    <x v="71"/>
    <s v="Week 20"/>
    <s v="Week 20-2026"/>
  </r>
  <r>
    <d v="2026-05-11T00:00:00"/>
    <x v="25"/>
    <n v="8"/>
    <n v="2026"/>
    <x v="71"/>
    <s v="Week 20"/>
    <s v="Week 20-2026"/>
  </r>
  <r>
    <d v="2026-05-11T00:00:00"/>
    <x v="15"/>
    <n v="6"/>
    <n v="2026"/>
    <x v="71"/>
    <s v="Week 20"/>
    <s v="Week 20-2026"/>
  </r>
  <r>
    <d v="2026-05-11T00:00:00"/>
    <x v="13"/>
    <n v="2"/>
    <n v="2026"/>
    <x v="71"/>
    <s v="Week 20"/>
    <s v="Week 20-2026"/>
  </r>
  <r>
    <d v="2026-05-11T00:00:00"/>
    <x v="17"/>
    <n v="2"/>
    <n v="2026"/>
    <x v="71"/>
    <s v="Week 20"/>
    <s v="Week 20-2026"/>
  </r>
  <r>
    <d v="2026-05-11T00:00:00"/>
    <x v="9"/>
    <n v="2"/>
    <n v="2026"/>
    <x v="71"/>
    <s v="Week 20"/>
    <s v="Week 20-2026"/>
  </r>
  <r>
    <d v="2026-05-11T00:00:00"/>
    <x v="10"/>
    <n v="1"/>
    <n v="2026"/>
    <x v="71"/>
    <s v="Week 20"/>
    <s v="Week 20-2026"/>
  </r>
  <r>
    <d v="2026-05-11T00:00:00"/>
    <x v="19"/>
    <n v="2"/>
    <n v="2026"/>
    <x v="71"/>
    <s v="Week 20"/>
    <s v="Week 20-2026"/>
  </r>
  <r>
    <d v="2026-05-12T00:00:00"/>
    <x v="11"/>
    <n v="22"/>
    <n v="2026"/>
    <x v="71"/>
    <s v="Week 20"/>
    <s v="Week 20-2026"/>
  </r>
  <r>
    <d v="2026-05-12T00:00:00"/>
    <x v="11"/>
    <n v="16"/>
    <n v="2026"/>
    <x v="71"/>
    <s v="Week 20"/>
    <s v="Week 20-2026"/>
  </r>
  <r>
    <d v="2026-05-12T00:00:00"/>
    <x v="26"/>
    <n v="24"/>
    <n v="2026"/>
    <x v="71"/>
    <s v="Week 20"/>
    <s v="Week 20-2026"/>
  </r>
  <r>
    <d v="2026-05-12T00:00:00"/>
    <x v="3"/>
    <n v="12"/>
    <n v="2026"/>
    <x v="71"/>
    <s v="Week 20"/>
    <s v="Week 20-2026"/>
  </r>
  <r>
    <d v="2026-05-12T00:00:00"/>
    <x v="1"/>
    <n v="12"/>
    <n v="2026"/>
    <x v="71"/>
    <s v="Week 20"/>
    <s v="Week 20-2026"/>
  </r>
  <r>
    <d v="2026-05-12T00:00:00"/>
    <x v="19"/>
    <n v="12"/>
    <n v="2026"/>
    <x v="71"/>
    <s v="Week 20"/>
    <s v="Week 20-2026"/>
  </r>
  <r>
    <d v="2026-05-12T00:00:00"/>
    <x v="1"/>
    <n v="8"/>
    <n v="2026"/>
    <x v="71"/>
    <s v="Week 20"/>
    <s v="Week 20-2026"/>
  </r>
  <r>
    <d v="2026-05-12T00:00:00"/>
    <x v="26"/>
    <n v="8"/>
    <n v="2026"/>
    <x v="71"/>
    <s v="Week 20"/>
    <s v="Week 20-2026"/>
  </r>
  <r>
    <d v="2026-05-12T00:00:00"/>
    <x v="25"/>
    <n v="4"/>
    <n v="2026"/>
    <x v="71"/>
    <s v="Week 20"/>
    <s v="Week 20-2026"/>
  </r>
  <r>
    <d v="2026-05-12T00:00:00"/>
    <x v="25"/>
    <n v="4"/>
    <n v="2026"/>
    <x v="71"/>
    <s v="Week 20"/>
    <s v="Week 20-2026"/>
  </r>
  <r>
    <d v="2026-05-12T00:00:00"/>
    <x v="13"/>
    <n v="2"/>
    <n v="2026"/>
    <x v="71"/>
    <s v="Week 20"/>
    <s v="Week 20-2026"/>
  </r>
  <r>
    <d v="2026-05-12T00:00:00"/>
    <x v="3"/>
    <n v="2"/>
    <n v="2026"/>
    <x v="71"/>
    <s v="Week 20"/>
    <s v="Week 20-2026"/>
  </r>
  <r>
    <d v="2026-05-14T00:00:00"/>
    <x v="17"/>
    <n v="16"/>
    <n v="2026"/>
    <x v="71"/>
    <s v="Week 20"/>
    <s v="Week 20-2026"/>
  </r>
  <r>
    <d v="2026-05-14T00:00:00"/>
    <x v="15"/>
    <n v="18"/>
    <n v="2026"/>
    <x v="71"/>
    <s v="Week 20"/>
    <s v="Week 20-2026"/>
  </r>
  <r>
    <d v="2026-05-14T00:00:00"/>
    <x v="12"/>
    <n v="8"/>
    <n v="2026"/>
    <x v="71"/>
    <s v="Week 20"/>
    <s v="Week 20-2026"/>
  </r>
  <r>
    <d v="2026-05-14T00:00:00"/>
    <x v="4"/>
    <n v="4"/>
    <n v="2026"/>
    <x v="71"/>
    <s v="Week 20"/>
    <s v="Week 20-2026"/>
  </r>
  <r>
    <d v="2026-05-14T00:00:00"/>
    <x v="41"/>
    <n v="1"/>
    <n v="2026"/>
    <x v="71"/>
    <s v="Week 20"/>
    <s v="Week 20-2026"/>
  </r>
  <r>
    <d v="2026-05-14T00:00:00"/>
    <x v="21"/>
    <n v="2"/>
    <n v="2026"/>
    <x v="71"/>
    <s v="Week 20"/>
    <s v="Week 20-2026"/>
  </r>
  <r>
    <d v="2026-05-15T00:00:00"/>
    <x v="13"/>
    <n v="17"/>
    <n v="2026"/>
    <x v="71"/>
    <s v="Week 20"/>
    <s v="Week 20-2026"/>
  </r>
  <r>
    <d v="2026-05-15T00:00:00"/>
    <x v="2"/>
    <n v="28"/>
    <n v="2026"/>
    <x v="71"/>
    <s v="Week 20"/>
    <s v="Week 20-2026"/>
  </r>
  <r>
    <d v="2026-05-15T00:00:00"/>
    <x v="3"/>
    <n v="17"/>
    <n v="2026"/>
    <x v="71"/>
    <s v="Week 20"/>
    <s v="Week 20-2026"/>
  </r>
  <r>
    <d v="2026-05-15T00:00:00"/>
    <x v="3"/>
    <n v="16"/>
    <n v="2026"/>
    <x v="71"/>
    <s v="Week 20"/>
    <s v="Week 20-2026"/>
  </r>
  <r>
    <d v="2026-05-15T00:00:00"/>
    <x v="9"/>
    <n v="9"/>
    <n v="2026"/>
    <x v="71"/>
    <s v="Week 20"/>
    <s v="Week 20-2026"/>
  </r>
  <r>
    <d v="2026-05-15T00:00:00"/>
    <x v="6"/>
    <n v="3"/>
    <n v="2026"/>
    <x v="71"/>
    <s v="Week 20"/>
    <s v="Week 20-2026"/>
  </r>
  <r>
    <d v="2026-05-15T00:00:00"/>
    <x v="12"/>
    <n v="5"/>
    <n v="2026"/>
    <x v="71"/>
    <s v="Week 20"/>
    <s v="Week 20-2026"/>
  </r>
  <r>
    <d v="2026-05-15T00:00:00"/>
    <x v="28"/>
    <n v="10"/>
    <n v="2026"/>
    <x v="71"/>
    <s v="Week 20"/>
    <s v="Week 20-2026"/>
  </r>
  <r>
    <d v="2026-05-15T00:00:00"/>
    <x v="13"/>
    <n v="2"/>
    <n v="2026"/>
    <x v="71"/>
    <s v="Week 20"/>
    <s v="Week 20-2026"/>
  </r>
  <r>
    <d v="2026-05-15T00:00:00"/>
    <x v="17"/>
    <n v="2"/>
    <n v="2026"/>
    <x v="71"/>
    <s v="Week 20"/>
    <s v="Week 20-2026"/>
  </r>
  <r>
    <d v="2026-05-15T00:00:00"/>
    <x v="1"/>
    <n v="2"/>
    <n v="2026"/>
    <x v="71"/>
    <s v="Week 20"/>
    <s v="Week 20-2026"/>
  </r>
  <r>
    <d v="2026-05-15T00:00:00"/>
    <x v="9"/>
    <n v="1"/>
    <n v="2026"/>
    <x v="71"/>
    <s v="Week 20"/>
    <s v="Week 20-2026"/>
  </r>
  <r>
    <d v="2026-05-15T00:00:00"/>
    <x v="28"/>
    <n v="2"/>
    <n v="2026"/>
    <x v="71"/>
    <s v="Week 20"/>
    <s v="Week 20-2026"/>
  </r>
  <r>
    <d v="2026-05-16T00:00:00"/>
    <x v="13"/>
    <n v="16"/>
    <n v="2026"/>
    <x v="71"/>
    <s v="Week 20"/>
    <s v="Week 20-2026"/>
  </r>
  <r>
    <d v="2026-05-16T00:00:00"/>
    <x v="13"/>
    <n v="12"/>
    <n v="2026"/>
    <x v="71"/>
    <s v="Week 20"/>
    <s v="Week 20-2026"/>
  </r>
  <r>
    <d v="2026-05-16T00:00:00"/>
    <x v="0"/>
    <n v="6"/>
    <n v="2026"/>
    <x v="71"/>
    <s v="Week 20"/>
    <s v="Week 20-2026"/>
  </r>
  <r>
    <d v="2026-05-16T00:00:00"/>
    <x v="5"/>
    <n v="6"/>
    <n v="2026"/>
    <x v="71"/>
    <s v="Week 20"/>
    <s v="Week 20-2026"/>
  </r>
  <r>
    <d v="2026-05-16T00:00:00"/>
    <x v="13"/>
    <n v="4"/>
    <n v="2026"/>
    <x v="71"/>
    <s v="Week 20"/>
    <s v="Week 20-2026"/>
  </r>
  <r>
    <d v="2026-05-16T00:00:00"/>
    <x v="19"/>
    <n v="1"/>
    <n v="2026"/>
    <x v="71"/>
    <s v="Week 20"/>
    <s v="Week 20-2026"/>
  </r>
  <r>
    <d v="2026-05-18T00:00:00"/>
    <x v="11"/>
    <n v="20"/>
    <n v="2026"/>
    <x v="72"/>
    <s v="Week 21"/>
    <s v="Week 21-2026"/>
  </r>
  <r>
    <d v="2026-05-18T00:00:00"/>
    <x v="12"/>
    <n v="11"/>
    <n v="2026"/>
    <x v="72"/>
    <s v="Week 21"/>
    <s v="Week 21-2026"/>
  </r>
  <r>
    <d v="2026-05-18T00:00:00"/>
    <x v="15"/>
    <n v="14"/>
    <n v="2026"/>
    <x v="72"/>
    <s v="Week 21"/>
    <s v="Week 21-2026"/>
  </r>
  <r>
    <d v="2026-05-18T00:00:00"/>
    <x v="14"/>
    <n v="4"/>
    <n v="2026"/>
    <x v="72"/>
    <s v="Week 21"/>
    <s v="Week 21-2026"/>
  </r>
  <r>
    <d v="2026-05-18T00:00:00"/>
    <x v="19"/>
    <n v="8"/>
    <n v="2026"/>
    <x v="72"/>
    <s v="Week 21"/>
    <s v="Week 21-2026"/>
  </r>
  <r>
    <d v="2026-05-18T00:00:00"/>
    <x v="25"/>
    <n v="6"/>
    <n v="2026"/>
    <x v="72"/>
    <s v="Week 21"/>
    <s v="Week 21-2026"/>
  </r>
  <r>
    <d v="2026-05-18T00:00:00"/>
    <x v="17"/>
    <n v="2"/>
    <n v="2026"/>
    <x v="72"/>
    <s v="Week 21"/>
    <s v="Week 21-2026"/>
  </r>
  <r>
    <d v="2026-05-18T00:00:00"/>
    <x v="15"/>
    <n v="4"/>
    <n v="2026"/>
    <x v="72"/>
    <s v="Week 21"/>
    <s v="Week 21-2026"/>
  </r>
  <r>
    <d v="2026-05-18T00:00:00"/>
    <x v="10"/>
    <n v="2"/>
    <n v="2026"/>
    <x v="72"/>
    <s v="Week 21"/>
    <s v="Week 21-2026"/>
  </r>
  <r>
    <d v="2026-05-19T00:00:00"/>
    <x v="11"/>
    <n v="30"/>
    <n v="2026"/>
    <x v="72"/>
    <s v="Week 21"/>
    <s v="Week 21-2026"/>
  </r>
  <r>
    <d v="2026-05-19T00:00:00"/>
    <x v="14"/>
    <n v="20"/>
    <n v="2026"/>
    <x v="72"/>
    <s v="Week 21"/>
    <s v="Week 21-2026"/>
  </r>
  <r>
    <d v="2026-05-19T00:00:00"/>
    <x v="17"/>
    <n v="8"/>
    <n v="2026"/>
    <x v="72"/>
    <s v="Week 21"/>
    <s v="Week 21-2026"/>
  </r>
  <r>
    <d v="2026-05-19T00:00:00"/>
    <x v="11"/>
    <n v="10"/>
    <n v="2026"/>
    <x v="72"/>
    <s v="Week 21"/>
    <s v="Week 21-2026"/>
  </r>
  <r>
    <d v="2026-05-19T00:00:00"/>
    <x v="10"/>
    <n v="8"/>
    <n v="2026"/>
    <x v="72"/>
    <s v="Week 21"/>
    <s v="Week 21-2026"/>
  </r>
  <r>
    <d v="2026-05-19T00:00:00"/>
    <x v="6"/>
    <n v="6"/>
    <n v="2026"/>
    <x v="72"/>
    <s v="Week 21"/>
    <s v="Week 21-2026"/>
  </r>
  <r>
    <d v="2026-05-19T00:00:00"/>
    <x v="10"/>
    <n v="6"/>
    <n v="2026"/>
    <x v="72"/>
    <s v="Week 21"/>
    <s v="Week 21-2026"/>
  </r>
  <r>
    <d v="2026-05-19T00:00:00"/>
    <x v="15"/>
    <n v="10"/>
    <n v="2026"/>
    <x v="72"/>
    <s v="Week 21"/>
    <s v="Week 21-2026"/>
  </r>
  <r>
    <d v="2026-05-19T00:00:00"/>
    <x v="2"/>
    <n v="7"/>
    <n v="2026"/>
    <x v="72"/>
    <s v="Week 21"/>
    <s v="Week 21-2026"/>
  </r>
  <r>
    <d v="2026-05-19T00:00:00"/>
    <x v="15"/>
    <n v="8"/>
    <n v="2026"/>
    <x v="72"/>
    <s v="Week 21"/>
    <s v="Week 21-2026"/>
  </r>
  <r>
    <d v="2026-05-19T00:00:00"/>
    <x v="19"/>
    <n v="8"/>
    <n v="2026"/>
    <x v="72"/>
    <s v="Week 21"/>
    <s v="Week 21-2026"/>
  </r>
  <r>
    <d v="2026-05-19T00:00:00"/>
    <x v="6"/>
    <n v="2"/>
    <n v="2026"/>
    <x v="72"/>
    <s v="Week 21"/>
    <s v="Week 21-2026"/>
  </r>
  <r>
    <d v="2026-05-19T00:00:00"/>
    <x v="25"/>
    <n v="4"/>
    <n v="2026"/>
    <x v="72"/>
    <s v="Week 21"/>
    <s v="Week 21-2026"/>
  </r>
  <r>
    <d v="2026-05-19T00:00:00"/>
    <x v="17"/>
    <n v="2"/>
    <n v="2026"/>
    <x v="72"/>
    <s v="Week 21"/>
    <s v="Week 21-2026"/>
  </r>
  <r>
    <d v="2026-05-19T00:00:00"/>
    <x v="15"/>
    <n v="4"/>
    <n v="2026"/>
    <x v="72"/>
    <s v="Week 21"/>
    <s v="Week 21-2026"/>
  </r>
  <r>
    <d v="2026-05-19T00:00:00"/>
    <x v="11"/>
    <n v="2"/>
    <n v="2026"/>
    <x v="72"/>
    <s v="Week 21"/>
    <s v="Week 21-2026"/>
  </r>
  <r>
    <d v="2026-05-19T00:00:00"/>
    <x v="25"/>
    <n v="2"/>
    <n v="2026"/>
    <x v="72"/>
    <s v="Week 21"/>
    <s v="Week 21-2026"/>
  </r>
  <r>
    <d v="2026-05-22T00:00:00"/>
    <x v="14"/>
    <n v="18"/>
    <n v="2026"/>
    <x v="72"/>
    <s v="Week 21"/>
    <s v="Week 21-2026"/>
  </r>
  <r>
    <d v="2026-05-22T00:00:00"/>
    <x v="11"/>
    <n v="14"/>
    <n v="2026"/>
    <x v="72"/>
    <s v="Week 21"/>
    <s v="Week 21-2026"/>
  </r>
  <r>
    <d v="2026-05-22T00:00:00"/>
    <x v="19"/>
    <n v="10"/>
    <n v="2026"/>
    <x v="72"/>
    <s v="Week 21"/>
    <s v="Week 21-2026"/>
  </r>
  <r>
    <d v="2026-05-22T00:00:00"/>
    <x v="15"/>
    <n v="4"/>
    <n v="2026"/>
    <x v="72"/>
    <s v="Week 21"/>
    <s v="Week 21-2026"/>
  </r>
  <r>
    <d v="2026-05-22T00:00:00"/>
    <x v="30"/>
    <n v="4"/>
    <n v="2026"/>
    <x v="72"/>
    <s v="Week 21"/>
    <s v="Week 21-2026"/>
  </r>
  <r>
    <d v="2026-05-22T00:00:00"/>
    <x v="15"/>
    <n v="2"/>
    <n v="2026"/>
    <x v="72"/>
    <s v="Week 21"/>
    <s v="Week 21-2026"/>
  </r>
  <r>
    <d v="2026-05-22T00:00:00"/>
    <x v="19"/>
    <n v="1"/>
    <n v="2026"/>
    <x v="72"/>
    <s v="Week 21"/>
    <s v="Week 21-2026"/>
  </r>
  <r>
    <d v="2026-05-25T00:00:00"/>
    <x v="15"/>
    <n v="8"/>
    <n v="2026"/>
    <x v="73"/>
    <s v="Week 22"/>
    <s v="Week 22-2026"/>
  </r>
  <r>
    <d v="2026-05-25T00:00:00"/>
    <x v="25"/>
    <n v="4"/>
    <n v="2026"/>
    <x v="73"/>
    <s v="Week 22"/>
    <s v="Week 22-2026"/>
  </r>
  <r>
    <d v="2026-05-26T00:00:00"/>
    <x v="11"/>
    <n v="49"/>
    <n v="2026"/>
    <x v="73"/>
    <s v="Week 22"/>
    <s v="Week 22-2026"/>
  </r>
  <r>
    <d v="2026-05-26T00:00:00"/>
    <x v="14"/>
    <n v="30"/>
    <n v="2026"/>
    <x v="73"/>
    <s v="Week 22"/>
    <s v="Week 22-2026"/>
  </r>
  <r>
    <d v="2026-05-26T00:00:00"/>
    <x v="20"/>
    <n v="36"/>
    <n v="2026"/>
    <x v="73"/>
    <s v="Week 22"/>
    <s v="Week 22-2026"/>
  </r>
  <r>
    <d v="2026-05-26T00:00:00"/>
    <x v="15"/>
    <n v="30"/>
    <n v="2026"/>
    <x v="73"/>
    <s v="Week 22"/>
    <s v="Week 22-2026"/>
  </r>
  <r>
    <d v="2026-05-26T00:00:00"/>
    <x v="1"/>
    <n v="24"/>
    <n v="2026"/>
    <x v="73"/>
    <s v="Week 22"/>
    <s v="Week 22-2026"/>
  </r>
  <r>
    <d v="2026-05-26T00:00:00"/>
    <x v="10"/>
    <n v="12"/>
    <n v="2026"/>
    <x v="73"/>
    <s v="Week 22"/>
    <s v="Week 22-2026"/>
  </r>
  <r>
    <d v="2026-05-26T00:00:00"/>
    <x v="10"/>
    <n v="12"/>
    <n v="2026"/>
    <x v="73"/>
    <s v="Week 22"/>
    <s v="Week 22-2026"/>
  </r>
  <r>
    <d v="2026-05-26T00:00:00"/>
    <x v="11"/>
    <n v="14"/>
    <n v="2026"/>
    <x v="73"/>
    <s v="Week 22"/>
    <s v="Week 22-2026"/>
  </r>
  <r>
    <d v="2026-05-26T00:00:00"/>
    <x v="6"/>
    <n v="7"/>
    <n v="2026"/>
    <x v="73"/>
    <s v="Week 22"/>
    <s v="Week 22-2026"/>
  </r>
  <r>
    <d v="2026-05-26T00:00:00"/>
    <x v="2"/>
    <n v="12"/>
    <n v="2026"/>
    <x v="73"/>
    <s v="Week 22"/>
    <s v="Week 22-2026"/>
  </r>
  <r>
    <d v="2026-05-26T00:00:00"/>
    <x v="17"/>
    <n v="6"/>
    <n v="2026"/>
    <x v="73"/>
    <s v="Week 22"/>
    <s v="Week 22-2026"/>
  </r>
  <r>
    <d v="2026-05-26T00:00:00"/>
    <x v="13"/>
    <n v="5"/>
    <n v="2026"/>
    <x v="73"/>
    <s v="Week 22"/>
    <s v="Week 22-2026"/>
  </r>
  <r>
    <d v="2026-05-26T00:00:00"/>
    <x v="11"/>
    <n v="7"/>
    <n v="2026"/>
    <x v="73"/>
    <s v="Week 22"/>
    <s v="Week 22-2026"/>
  </r>
  <r>
    <d v="2026-05-26T00:00:00"/>
    <x v="11"/>
    <n v="8"/>
    <n v="2026"/>
    <x v="73"/>
    <s v="Week 22"/>
    <s v="Week 22-2026"/>
  </r>
  <r>
    <d v="2026-05-26T00:00:00"/>
    <x v="4"/>
    <n v="10"/>
    <n v="2026"/>
    <x v="73"/>
    <s v="Week 22"/>
    <s v="Week 22-2026"/>
  </r>
  <r>
    <d v="2026-05-26T00:00:00"/>
    <x v="15"/>
    <n v="6"/>
    <n v="2026"/>
    <x v="73"/>
    <s v="Week 22"/>
    <s v="Week 22-2026"/>
  </r>
  <r>
    <d v="2026-05-26T00:00:00"/>
    <x v="13"/>
    <n v="2"/>
    <n v="2026"/>
    <x v="73"/>
    <s v="Week 22"/>
    <s v="Week 22-2026"/>
  </r>
  <r>
    <d v="2026-05-26T00:00:00"/>
    <x v="11"/>
    <n v="1"/>
    <n v="2026"/>
    <x v="73"/>
    <s v="Week 22"/>
    <s v="Week 22-2026"/>
  </r>
  <r>
    <d v="2026-05-26T00:00:00"/>
    <x v="9"/>
    <n v="1"/>
    <n v="2026"/>
    <x v="73"/>
    <s v="Week 22"/>
    <s v="Week 22-2026"/>
  </r>
  <r>
    <d v="2026-05-27T00:00:00"/>
    <x v="4"/>
    <n v="4"/>
    <n v="2026"/>
    <x v="73"/>
    <s v="Week 22"/>
    <s v="Week 22-2026"/>
  </r>
  <r>
    <d v="2026-05-27T00:00:00"/>
    <x v="35"/>
    <n v="1"/>
    <n v="2026"/>
    <x v="73"/>
    <s v="Week 22"/>
    <s v="Week 22-2026"/>
  </r>
  <r>
    <d v="2026-05-28T00:00:00"/>
    <x v="5"/>
    <n v="12"/>
    <n v="2026"/>
    <x v="73"/>
    <s v="Week 22"/>
    <s v="Week 22-2026"/>
  </r>
  <r>
    <d v="2026-05-28T00:00:00"/>
    <x v="14"/>
    <n v="12"/>
    <n v="2026"/>
    <x v="73"/>
    <s v="Week 22"/>
    <s v="Week 22-2026"/>
  </r>
  <r>
    <d v="2026-05-28T00:00:00"/>
    <x v="2"/>
    <n v="5"/>
    <n v="2026"/>
    <x v="73"/>
    <s v="Week 22"/>
    <s v="Week 22-2026"/>
  </r>
  <r>
    <d v="2026-05-28T00:00:00"/>
    <x v="2"/>
    <n v="4"/>
    <n v="2026"/>
    <x v="73"/>
    <s v="Week 22"/>
    <s v="Week 22-2026"/>
  </r>
  <r>
    <d v="2026-05-28T00:00:00"/>
    <x v="5"/>
    <n v="1"/>
    <n v="2026"/>
    <x v="73"/>
    <s v="Week 22"/>
    <s v="Week 22-2026"/>
  </r>
  <r>
    <d v="2026-05-29T00:00:00"/>
    <x v="10"/>
    <n v="11"/>
    <n v="2026"/>
    <x v="73"/>
    <s v="Week 22"/>
    <s v="Week 22-2026"/>
  </r>
  <r>
    <d v="2026-05-29T00:00:00"/>
    <x v="14"/>
    <n v="8"/>
    <n v="2026"/>
    <x v="73"/>
    <s v="Week 22"/>
    <s v="Week 22-2026"/>
  </r>
  <r>
    <d v="2026-05-29T00:00:00"/>
    <x v="14"/>
    <n v="3"/>
    <n v="2026"/>
    <x v="73"/>
    <s v="Week 22"/>
    <s v="Week 22-2026"/>
  </r>
  <r>
    <d v="2026-05-29T00:00:00"/>
    <x v="14"/>
    <n v="3"/>
    <n v="2026"/>
    <x v="73"/>
    <s v="Week 22"/>
    <s v="Week 22-2026"/>
  </r>
  <r>
    <d v="2026-05-29T00:00:00"/>
    <x v="14"/>
    <n v="3"/>
    <n v="2026"/>
    <x v="73"/>
    <s v="Week 22"/>
    <s v="Week 22-2026"/>
  </r>
  <r>
    <d v="2026-05-29T00:00:00"/>
    <x v="2"/>
    <n v="2"/>
    <n v="2026"/>
    <x v="73"/>
    <s v="Week 22"/>
    <s v="Week 22-2026"/>
  </r>
  <r>
    <d v="2026-05-30T00:00:00"/>
    <x v="10"/>
    <n v="11"/>
    <n v="2026"/>
    <x v="73"/>
    <s v="Week 22"/>
    <s v="Week 22-2026"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  <r>
    <m/>
    <x v="50"/>
    <m/>
    <m/>
    <x v="7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7">
  <r>
    <d v="2025-01-02T00:00:00"/>
    <x v="0"/>
    <n v="4"/>
    <n v="2025"/>
    <s v="2025-1"/>
    <s v="Week 1"/>
    <x v="0"/>
  </r>
  <r>
    <d v="2025-01-02T00:00:00"/>
    <x v="1"/>
    <n v="6"/>
    <n v="2025"/>
    <s v="2025-1"/>
    <s v="Week 1"/>
    <x v="0"/>
  </r>
  <r>
    <d v="2025-01-02T00:00:00"/>
    <x v="2"/>
    <n v="2"/>
    <n v="2025"/>
    <s v="2025-1"/>
    <s v="Week 1"/>
    <x v="0"/>
  </r>
  <r>
    <d v="2025-01-02T00:00:00"/>
    <x v="3"/>
    <n v="1"/>
    <n v="2025"/>
    <s v="2025-1"/>
    <s v="Week 1"/>
    <x v="0"/>
  </r>
  <r>
    <d v="2025-01-02T00:00:00"/>
    <x v="4"/>
    <n v="2"/>
    <n v="2025"/>
    <s v="2025-1"/>
    <s v="Week 1"/>
    <x v="0"/>
  </r>
  <r>
    <d v="2025-01-05T00:00:00"/>
    <x v="5"/>
    <n v="10"/>
    <n v="2025"/>
    <s v="2025-1"/>
    <s v="Week 2"/>
    <x v="1"/>
  </r>
  <r>
    <d v="2025-01-05T00:00:00"/>
    <x v="0"/>
    <n v="4"/>
    <n v="2025"/>
    <s v="2025-1"/>
    <s v="Week 2"/>
    <x v="1"/>
  </r>
  <r>
    <d v="2025-01-05T00:00:00"/>
    <x v="6"/>
    <n v="3"/>
    <n v="2025"/>
    <s v="2025-1"/>
    <s v="Week 2"/>
    <x v="1"/>
  </r>
  <r>
    <d v="2025-01-05T00:00:00"/>
    <x v="6"/>
    <n v="3"/>
    <n v="2025"/>
    <s v="2025-1"/>
    <s v="Week 2"/>
    <x v="1"/>
  </r>
  <r>
    <d v="2025-01-05T00:00:00"/>
    <x v="1"/>
    <n v="6"/>
    <n v="2025"/>
    <s v="2025-1"/>
    <s v="Week 2"/>
    <x v="1"/>
  </r>
  <r>
    <d v="2025-01-05T00:00:00"/>
    <x v="2"/>
    <n v="4"/>
    <n v="2025"/>
    <s v="2025-1"/>
    <s v="Week 2"/>
    <x v="1"/>
  </r>
  <r>
    <d v="2025-01-05T00:00:00"/>
    <x v="6"/>
    <n v="2"/>
    <n v="2025"/>
    <s v="2025-1"/>
    <s v="Week 2"/>
    <x v="1"/>
  </r>
  <r>
    <d v="2025-01-05T00:00:00"/>
    <x v="5"/>
    <n v="1"/>
    <n v="2025"/>
    <s v="2025-1"/>
    <s v="Week 2"/>
    <x v="1"/>
  </r>
  <r>
    <d v="2025-01-05T00:00:00"/>
    <x v="7"/>
    <n v="1"/>
    <n v="2025"/>
    <s v="2025-1"/>
    <s v="Week 2"/>
    <x v="1"/>
  </r>
  <r>
    <d v="2025-01-05T00:00:00"/>
    <x v="7"/>
    <n v="1"/>
    <n v="2025"/>
    <s v="2025-1"/>
    <s v="Week 2"/>
    <x v="1"/>
  </r>
  <r>
    <d v="2025-01-05T00:00:00"/>
    <x v="8"/>
    <n v="2"/>
    <n v="2025"/>
    <s v="2025-1"/>
    <s v="Week 2"/>
    <x v="1"/>
  </r>
  <r>
    <d v="2025-01-05T00:00:00"/>
    <x v="3"/>
    <n v="1"/>
    <n v="2025"/>
    <s v="2025-1"/>
    <s v="Week 2"/>
    <x v="1"/>
  </r>
  <r>
    <d v="2025-01-05T00:00:00"/>
    <x v="4"/>
    <n v="2"/>
    <n v="2025"/>
    <s v="2025-1"/>
    <s v="Week 2"/>
    <x v="1"/>
  </r>
  <r>
    <d v="2025-01-05T00:00:00"/>
    <x v="9"/>
    <n v="1"/>
    <n v="2025"/>
    <s v="2025-1"/>
    <s v="Week 2"/>
    <x v="1"/>
  </r>
  <r>
    <d v="2025-01-06T00:00:00"/>
    <x v="10"/>
    <n v="16"/>
    <n v="2025"/>
    <s v="2025-2"/>
    <s v="Week 2"/>
    <x v="1"/>
  </r>
  <r>
    <d v="2025-01-06T00:00:00"/>
    <x v="11"/>
    <n v="19"/>
    <n v="2025"/>
    <s v="2025-2"/>
    <s v="Week 2"/>
    <x v="1"/>
  </r>
  <r>
    <d v="2025-01-06T00:00:00"/>
    <x v="12"/>
    <n v="16"/>
    <n v="2025"/>
    <s v="2025-2"/>
    <s v="Week 2"/>
    <x v="1"/>
  </r>
  <r>
    <d v="2025-01-06T00:00:00"/>
    <x v="13"/>
    <n v="8"/>
    <n v="2025"/>
    <s v="2025-2"/>
    <s v="Week 2"/>
    <x v="1"/>
  </r>
  <r>
    <d v="2025-01-06T00:00:00"/>
    <x v="11"/>
    <n v="11"/>
    <n v="2025"/>
    <s v="2025-2"/>
    <s v="Week 2"/>
    <x v="1"/>
  </r>
  <r>
    <d v="2025-01-06T00:00:00"/>
    <x v="3"/>
    <n v="8"/>
    <n v="2025"/>
    <s v="2025-2"/>
    <s v="Week 2"/>
    <x v="1"/>
  </r>
  <r>
    <d v="2025-01-06T00:00:00"/>
    <x v="10"/>
    <n v="6"/>
    <n v="2025"/>
    <s v="2025-2"/>
    <s v="Week 2"/>
    <x v="1"/>
  </r>
  <r>
    <d v="2025-01-06T00:00:00"/>
    <x v="14"/>
    <n v="4"/>
    <n v="2025"/>
    <s v="2025-2"/>
    <s v="Week 2"/>
    <x v="1"/>
  </r>
  <r>
    <d v="2025-01-06T00:00:00"/>
    <x v="14"/>
    <n v="4"/>
    <n v="2025"/>
    <s v="2025-2"/>
    <s v="Week 2"/>
    <x v="1"/>
  </r>
  <r>
    <d v="2025-01-06T00:00:00"/>
    <x v="15"/>
    <n v="8"/>
    <n v="2025"/>
    <s v="2025-2"/>
    <s v="Week 2"/>
    <x v="1"/>
  </r>
  <r>
    <d v="2025-01-06T00:00:00"/>
    <x v="16"/>
    <n v="2"/>
    <n v="2025"/>
    <s v="2025-2"/>
    <s v="Week 2"/>
    <x v="1"/>
  </r>
  <r>
    <d v="2025-01-06T00:00:00"/>
    <x v="1"/>
    <n v="6"/>
    <n v="2025"/>
    <s v="2025-2"/>
    <s v="Week 2"/>
    <x v="1"/>
  </r>
  <r>
    <d v="2025-01-06T00:00:00"/>
    <x v="3"/>
    <n v="3"/>
    <n v="2025"/>
    <s v="2025-2"/>
    <s v="Week 2"/>
    <x v="1"/>
  </r>
  <r>
    <d v="2025-01-06T00:00:00"/>
    <x v="17"/>
    <n v="2"/>
    <n v="2025"/>
    <s v="2025-2"/>
    <s v="Week 2"/>
    <x v="1"/>
  </r>
  <r>
    <d v="2025-01-06T00:00:00"/>
    <x v="18"/>
    <n v="5"/>
    <n v="2025"/>
    <s v="2025-2"/>
    <s v="Week 2"/>
    <x v="1"/>
  </r>
  <r>
    <d v="2025-01-06T00:00:00"/>
    <x v="19"/>
    <n v="4"/>
    <n v="2025"/>
    <s v="2025-2"/>
    <s v="Week 2"/>
    <x v="1"/>
  </r>
  <r>
    <d v="2025-01-06T00:00:00"/>
    <x v="4"/>
    <n v="4"/>
    <n v="2025"/>
    <s v="2025-2"/>
    <s v="Week 2"/>
    <x v="1"/>
  </r>
  <r>
    <d v="2025-01-06T00:00:00"/>
    <x v="11"/>
    <n v="2"/>
    <n v="2025"/>
    <s v="2025-2"/>
    <s v="Week 2"/>
    <x v="1"/>
  </r>
  <r>
    <d v="2025-01-06T00:00:00"/>
    <x v="20"/>
    <n v="2"/>
    <n v="2025"/>
    <s v="2025-2"/>
    <s v="Week 2"/>
    <x v="1"/>
  </r>
  <r>
    <d v="2025-01-06T00:00:00"/>
    <x v="21"/>
    <n v="4"/>
    <n v="2025"/>
    <s v="2025-2"/>
    <s v="Week 2"/>
    <x v="1"/>
  </r>
  <r>
    <d v="2025-01-06T00:00:00"/>
    <x v="3"/>
    <n v="1"/>
    <n v="2025"/>
    <s v="2025-2"/>
    <s v="Week 2"/>
    <x v="1"/>
  </r>
  <r>
    <d v="2025-01-06T00:00:00"/>
    <x v="22"/>
    <n v="1"/>
    <n v="2025"/>
    <s v="2025-2"/>
    <s v="Week 2"/>
    <x v="1"/>
  </r>
  <r>
    <d v="2025-01-08T00:00:00"/>
    <x v="17"/>
    <n v="2"/>
    <n v="2025"/>
    <s v="2025-2"/>
    <s v="Week 2"/>
    <x v="1"/>
  </r>
  <r>
    <d v="2025-01-09T00:00:00"/>
    <x v="12"/>
    <n v="27"/>
    <n v="2025"/>
    <s v="2025-2"/>
    <s v="Week 2"/>
    <x v="1"/>
  </r>
  <r>
    <d v="2025-01-09T00:00:00"/>
    <x v="14"/>
    <n v="16"/>
    <n v="2025"/>
    <s v="2025-2"/>
    <s v="Week 2"/>
    <x v="1"/>
  </r>
  <r>
    <d v="2025-01-09T00:00:00"/>
    <x v="10"/>
    <n v="16"/>
    <n v="2025"/>
    <s v="2025-2"/>
    <s v="Week 2"/>
    <x v="1"/>
  </r>
  <r>
    <d v="2025-01-09T00:00:00"/>
    <x v="10"/>
    <n v="16"/>
    <n v="2025"/>
    <s v="2025-2"/>
    <s v="Week 2"/>
    <x v="1"/>
  </r>
  <r>
    <d v="2025-01-09T00:00:00"/>
    <x v="12"/>
    <n v="15"/>
    <n v="2025"/>
    <s v="2025-2"/>
    <s v="Week 2"/>
    <x v="1"/>
  </r>
  <r>
    <d v="2025-01-09T00:00:00"/>
    <x v="13"/>
    <n v="8"/>
    <n v="2025"/>
    <s v="2025-2"/>
    <s v="Week 2"/>
    <x v="1"/>
  </r>
  <r>
    <d v="2025-01-09T00:00:00"/>
    <x v="13"/>
    <n v="8"/>
    <n v="2025"/>
    <s v="2025-2"/>
    <s v="Week 2"/>
    <x v="1"/>
  </r>
  <r>
    <d v="2025-01-09T00:00:00"/>
    <x v="12"/>
    <n v="12"/>
    <n v="2025"/>
    <s v="2025-2"/>
    <s v="Week 2"/>
    <x v="1"/>
  </r>
  <r>
    <d v="2025-01-09T00:00:00"/>
    <x v="12"/>
    <n v="12"/>
    <n v="2025"/>
    <s v="2025-2"/>
    <s v="Week 2"/>
    <x v="1"/>
  </r>
  <r>
    <d v="2025-01-09T00:00:00"/>
    <x v="14"/>
    <n v="8"/>
    <n v="2025"/>
    <s v="2025-2"/>
    <s v="Week 2"/>
    <x v="1"/>
  </r>
  <r>
    <d v="2025-01-09T00:00:00"/>
    <x v="3"/>
    <n v="9"/>
    <n v="2025"/>
    <s v="2025-2"/>
    <s v="Week 2"/>
    <x v="1"/>
  </r>
  <r>
    <d v="2025-01-09T00:00:00"/>
    <x v="15"/>
    <n v="16"/>
    <n v="2025"/>
    <s v="2025-2"/>
    <s v="Week 2"/>
    <x v="1"/>
  </r>
  <r>
    <d v="2025-01-09T00:00:00"/>
    <x v="10"/>
    <n v="8"/>
    <n v="2025"/>
    <s v="2025-2"/>
    <s v="Week 2"/>
    <x v="1"/>
  </r>
  <r>
    <d v="2025-01-09T00:00:00"/>
    <x v="11"/>
    <n v="8"/>
    <n v="2025"/>
    <s v="2025-2"/>
    <s v="Week 2"/>
    <x v="1"/>
  </r>
  <r>
    <d v="2025-01-09T00:00:00"/>
    <x v="11"/>
    <n v="8"/>
    <n v="2025"/>
    <s v="2025-2"/>
    <s v="Week 2"/>
    <x v="1"/>
  </r>
  <r>
    <d v="2025-01-09T00:00:00"/>
    <x v="3"/>
    <n v="7"/>
    <n v="2025"/>
    <s v="2025-2"/>
    <s v="Week 2"/>
    <x v="1"/>
  </r>
  <r>
    <d v="2025-01-09T00:00:00"/>
    <x v="5"/>
    <n v="4"/>
    <n v="2025"/>
    <s v="2025-2"/>
    <s v="Week 2"/>
    <x v="1"/>
  </r>
  <r>
    <d v="2025-01-09T00:00:00"/>
    <x v="12"/>
    <n v="8"/>
    <n v="2025"/>
    <s v="2025-2"/>
    <s v="Week 2"/>
    <x v="1"/>
  </r>
  <r>
    <d v="2025-01-09T00:00:00"/>
    <x v="15"/>
    <n v="11"/>
    <n v="2025"/>
    <s v="2025-2"/>
    <s v="Week 2"/>
    <x v="1"/>
  </r>
  <r>
    <d v="2025-01-09T00:00:00"/>
    <x v="17"/>
    <n v="5"/>
    <n v="2025"/>
    <s v="2025-2"/>
    <s v="Week 2"/>
    <x v="1"/>
  </r>
  <r>
    <d v="2025-01-09T00:00:00"/>
    <x v="3"/>
    <n v="6"/>
    <n v="2025"/>
    <s v="2025-2"/>
    <s v="Week 2"/>
    <x v="1"/>
  </r>
  <r>
    <d v="2025-01-09T00:00:00"/>
    <x v="13"/>
    <n v="4"/>
    <n v="2025"/>
    <s v="2025-2"/>
    <s v="Week 2"/>
    <x v="1"/>
  </r>
  <r>
    <d v="2025-01-09T00:00:00"/>
    <x v="14"/>
    <n v="4"/>
    <n v="2025"/>
    <s v="2025-2"/>
    <s v="Week 2"/>
    <x v="1"/>
  </r>
  <r>
    <d v="2025-01-09T00:00:00"/>
    <x v="14"/>
    <n v="4"/>
    <n v="2025"/>
    <s v="2025-2"/>
    <s v="Week 2"/>
    <x v="1"/>
  </r>
  <r>
    <d v="2025-01-09T00:00:00"/>
    <x v="14"/>
    <n v="4"/>
    <n v="2025"/>
    <s v="2025-2"/>
    <s v="Week 2"/>
    <x v="1"/>
  </r>
  <r>
    <d v="2025-01-09T00:00:00"/>
    <x v="19"/>
    <n v="8"/>
    <n v="2025"/>
    <s v="2025-2"/>
    <s v="Week 2"/>
    <x v="1"/>
  </r>
  <r>
    <d v="2025-01-09T00:00:00"/>
    <x v="3"/>
    <n v="4"/>
    <n v="2025"/>
    <s v="2025-2"/>
    <s v="Week 2"/>
    <x v="1"/>
  </r>
  <r>
    <d v="2025-01-09T00:00:00"/>
    <x v="15"/>
    <n v="7"/>
    <n v="2025"/>
    <s v="2025-2"/>
    <s v="Week 2"/>
    <x v="1"/>
  </r>
  <r>
    <d v="2025-01-09T00:00:00"/>
    <x v="12"/>
    <n v="5"/>
    <n v="2025"/>
    <s v="2025-2"/>
    <s v="Week 2"/>
    <x v="1"/>
  </r>
  <r>
    <d v="2025-01-09T00:00:00"/>
    <x v="12"/>
    <n v="4"/>
    <n v="2025"/>
    <s v="2025-2"/>
    <s v="Week 2"/>
    <x v="1"/>
  </r>
  <r>
    <d v="2025-01-09T00:00:00"/>
    <x v="2"/>
    <n v="4"/>
    <n v="2025"/>
    <s v="2025-2"/>
    <s v="Week 2"/>
    <x v="1"/>
  </r>
  <r>
    <d v="2025-01-09T00:00:00"/>
    <x v="4"/>
    <n v="6"/>
    <n v="2025"/>
    <s v="2025-2"/>
    <s v="Week 2"/>
    <x v="1"/>
  </r>
  <r>
    <d v="2025-01-09T00:00:00"/>
    <x v="19"/>
    <n v="4"/>
    <n v="2025"/>
    <s v="2025-2"/>
    <s v="Week 2"/>
    <x v="1"/>
  </r>
  <r>
    <d v="2025-01-09T00:00:00"/>
    <x v="14"/>
    <n v="1"/>
    <n v="2025"/>
    <s v="2025-2"/>
    <s v="Week 2"/>
    <x v="1"/>
  </r>
  <r>
    <d v="2025-01-09T00:00:00"/>
    <x v="14"/>
    <n v="1"/>
    <n v="2025"/>
    <s v="2025-2"/>
    <s v="Week 2"/>
    <x v="1"/>
  </r>
  <r>
    <d v="2025-01-09T00:00:00"/>
    <x v="23"/>
    <n v="2"/>
    <n v="2025"/>
    <s v="2025-2"/>
    <s v="Week 2"/>
    <x v="1"/>
  </r>
  <r>
    <d v="2025-01-09T00:00:00"/>
    <x v="24"/>
    <n v="2"/>
    <n v="2025"/>
    <s v="2025-2"/>
    <s v="Week 2"/>
    <x v="1"/>
  </r>
  <r>
    <d v="2025-01-10T00:00:00"/>
    <x v="5"/>
    <n v="6"/>
    <n v="2025"/>
    <s v="2025-2"/>
    <s v="Week 2"/>
    <x v="1"/>
  </r>
  <r>
    <d v="2025-01-10T00:00:00"/>
    <x v="5"/>
    <n v="5"/>
    <n v="2025"/>
    <s v="2025-2"/>
    <s v="Week 2"/>
    <x v="1"/>
  </r>
  <r>
    <d v="2025-01-10T00:00:00"/>
    <x v="3"/>
    <n v="7"/>
    <n v="2025"/>
    <s v="2025-2"/>
    <s v="Week 2"/>
    <x v="1"/>
  </r>
  <r>
    <d v="2025-01-10T00:00:00"/>
    <x v="6"/>
    <n v="5"/>
    <n v="2025"/>
    <s v="2025-2"/>
    <s v="Week 2"/>
    <x v="1"/>
  </r>
  <r>
    <d v="2025-01-10T00:00:00"/>
    <x v="6"/>
    <n v="3"/>
    <n v="2025"/>
    <s v="2025-2"/>
    <s v="Week 2"/>
    <x v="1"/>
  </r>
  <r>
    <d v="2025-01-10T00:00:00"/>
    <x v="7"/>
    <n v="2"/>
    <n v="2025"/>
    <s v="2025-2"/>
    <s v="Week 2"/>
    <x v="1"/>
  </r>
  <r>
    <d v="2025-01-10T00:00:00"/>
    <x v="8"/>
    <n v="2"/>
    <n v="2025"/>
    <s v="2025-2"/>
    <s v="Week 2"/>
    <x v="1"/>
  </r>
  <r>
    <d v="2025-01-12T00:00:00"/>
    <x v="11"/>
    <n v="18"/>
    <n v="2025"/>
    <s v="2025-2"/>
    <s v="Week 3"/>
    <x v="2"/>
  </r>
  <r>
    <d v="2025-01-12T00:00:00"/>
    <x v="12"/>
    <n v="20"/>
    <n v="2025"/>
    <s v="2025-2"/>
    <s v="Week 3"/>
    <x v="2"/>
  </r>
  <r>
    <d v="2025-01-12T00:00:00"/>
    <x v="19"/>
    <n v="16"/>
    <n v="2025"/>
    <s v="2025-2"/>
    <s v="Week 3"/>
    <x v="2"/>
  </r>
  <r>
    <d v="2025-01-12T00:00:00"/>
    <x v="3"/>
    <n v="8"/>
    <n v="2025"/>
    <s v="2025-2"/>
    <s v="Week 3"/>
    <x v="2"/>
  </r>
  <r>
    <d v="2025-01-12T00:00:00"/>
    <x v="25"/>
    <n v="12"/>
    <n v="2025"/>
    <s v="2025-2"/>
    <s v="Week 3"/>
    <x v="2"/>
  </r>
  <r>
    <d v="2025-01-12T00:00:00"/>
    <x v="15"/>
    <n v="12"/>
    <n v="2025"/>
    <s v="2025-2"/>
    <s v="Week 3"/>
    <x v="2"/>
  </r>
  <r>
    <d v="2025-01-12T00:00:00"/>
    <x v="5"/>
    <n v="4"/>
    <n v="2025"/>
    <s v="2025-2"/>
    <s v="Week 3"/>
    <x v="2"/>
  </r>
  <r>
    <d v="2025-01-12T00:00:00"/>
    <x v="3"/>
    <n v="4"/>
    <n v="2025"/>
    <s v="2025-2"/>
    <s v="Week 3"/>
    <x v="2"/>
  </r>
  <r>
    <d v="2025-01-12T00:00:00"/>
    <x v="13"/>
    <n v="2"/>
    <n v="2025"/>
    <s v="2025-2"/>
    <s v="Week 3"/>
    <x v="2"/>
  </r>
  <r>
    <d v="2025-01-12T00:00:00"/>
    <x v="12"/>
    <n v="3"/>
    <n v="2025"/>
    <s v="2025-2"/>
    <s v="Week 3"/>
    <x v="2"/>
  </r>
  <r>
    <d v="2025-01-12T00:00:00"/>
    <x v="9"/>
    <n v="2"/>
    <n v="2025"/>
    <s v="2025-2"/>
    <s v="Week 3"/>
    <x v="2"/>
  </r>
  <r>
    <d v="2025-01-12T00:00:00"/>
    <x v="2"/>
    <n v="2"/>
    <n v="2025"/>
    <s v="2025-2"/>
    <s v="Week 3"/>
    <x v="2"/>
  </r>
  <r>
    <d v="2025-01-12T00:00:00"/>
    <x v="9"/>
    <n v="1"/>
    <n v="2025"/>
    <s v="2025-2"/>
    <s v="Week 3"/>
    <x v="2"/>
  </r>
  <r>
    <d v="2025-01-13T00:00:00"/>
    <x v="13"/>
    <n v="8"/>
    <n v="2025"/>
    <s v="2025-3"/>
    <s v="Week 3"/>
    <x v="2"/>
  </r>
  <r>
    <d v="2025-01-13T00:00:00"/>
    <x v="12"/>
    <n v="7"/>
    <n v="2025"/>
    <s v="2025-3"/>
    <s v="Week 3"/>
    <x v="2"/>
  </r>
  <r>
    <d v="2025-01-13T00:00:00"/>
    <x v="11"/>
    <n v="5"/>
    <n v="2025"/>
    <s v="2025-3"/>
    <s v="Week 3"/>
    <x v="2"/>
  </r>
  <r>
    <d v="2025-01-13T00:00:00"/>
    <x v="15"/>
    <n v="8"/>
    <n v="2025"/>
    <s v="2025-3"/>
    <s v="Week 3"/>
    <x v="2"/>
  </r>
  <r>
    <d v="2025-01-13T00:00:00"/>
    <x v="19"/>
    <n v="6"/>
    <n v="2025"/>
    <s v="2025-3"/>
    <s v="Week 3"/>
    <x v="2"/>
  </r>
  <r>
    <d v="2025-01-13T00:00:00"/>
    <x v="26"/>
    <n v="8"/>
    <n v="2025"/>
    <s v="2025-3"/>
    <s v="Week 3"/>
    <x v="2"/>
  </r>
  <r>
    <d v="2025-01-13T00:00:00"/>
    <x v="18"/>
    <n v="6"/>
    <n v="2025"/>
    <s v="2025-3"/>
    <s v="Week 3"/>
    <x v="2"/>
  </r>
  <r>
    <d v="2025-01-13T00:00:00"/>
    <x v="3"/>
    <n v="2"/>
    <n v="2025"/>
    <s v="2025-3"/>
    <s v="Week 3"/>
    <x v="2"/>
  </r>
  <r>
    <d v="2025-01-13T00:00:00"/>
    <x v="25"/>
    <n v="3"/>
    <n v="2025"/>
    <s v="2025-3"/>
    <s v="Week 3"/>
    <x v="2"/>
  </r>
  <r>
    <d v="2025-01-13T00:00:00"/>
    <x v="16"/>
    <n v="1"/>
    <n v="2025"/>
    <s v="2025-3"/>
    <s v="Week 3"/>
    <x v="2"/>
  </r>
  <r>
    <d v="2025-01-13T00:00:00"/>
    <x v="15"/>
    <n v="2"/>
    <n v="2025"/>
    <s v="2025-3"/>
    <s v="Week 3"/>
    <x v="2"/>
  </r>
  <r>
    <d v="2025-01-13T00:00:00"/>
    <x v="25"/>
    <n v="2"/>
    <n v="2025"/>
    <s v="2025-3"/>
    <s v="Week 3"/>
    <x v="2"/>
  </r>
  <r>
    <d v="2025-01-13T00:00:00"/>
    <x v="27"/>
    <n v="2"/>
    <n v="2025"/>
    <s v="2025-3"/>
    <s v="Week 3"/>
    <x v="2"/>
  </r>
  <r>
    <d v="2025-01-13T00:00:00"/>
    <x v="20"/>
    <n v="1"/>
    <n v="2025"/>
    <s v="2025-3"/>
    <s v="Week 3"/>
    <x v="2"/>
  </r>
  <r>
    <d v="2025-01-13T00:00:00"/>
    <x v="20"/>
    <n v="1"/>
    <n v="2025"/>
    <s v="2025-3"/>
    <s v="Week 3"/>
    <x v="2"/>
  </r>
  <r>
    <d v="2025-01-13T00:00:00"/>
    <x v="18"/>
    <n v="2"/>
    <n v="2025"/>
    <s v="2025-3"/>
    <s v="Week 3"/>
    <x v="2"/>
  </r>
  <r>
    <d v="2025-01-13T00:00:00"/>
    <x v="28"/>
    <n v="2"/>
    <n v="2025"/>
    <s v="2025-3"/>
    <s v="Week 3"/>
    <x v="2"/>
  </r>
  <r>
    <d v="2025-01-13T00:00:00"/>
    <x v="12"/>
    <n v="1"/>
    <n v="2025"/>
    <s v="2025-3"/>
    <s v="Week 3"/>
    <x v="2"/>
  </r>
  <r>
    <d v="2025-01-15T00:00:00"/>
    <x v="9"/>
    <n v="4"/>
    <n v="2025"/>
    <s v="2025-3"/>
    <s v="Week 3"/>
    <x v="2"/>
  </r>
  <r>
    <d v="2025-01-16T00:00:00"/>
    <x v="12"/>
    <n v="67"/>
    <n v="2025"/>
    <s v="2025-3"/>
    <s v="Week 3"/>
    <x v="2"/>
  </r>
  <r>
    <d v="2025-01-16T00:00:00"/>
    <x v="10"/>
    <n v="16"/>
    <n v="2025"/>
    <s v="2025-3"/>
    <s v="Week 3"/>
    <x v="2"/>
  </r>
  <r>
    <d v="2025-01-16T00:00:00"/>
    <x v="17"/>
    <n v="14"/>
    <n v="2025"/>
    <s v="2025-3"/>
    <s v="Week 3"/>
    <x v="2"/>
  </r>
  <r>
    <d v="2025-01-16T00:00:00"/>
    <x v="3"/>
    <n v="15"/>
    <n v="2025"/>
    <s v="2025-3"/>
    <s v="Week 3"/>
    <x v="2"/>
  </r>
  <r>
    <d v="2025-01-16T00:00:00"/>
    <x v="15"/>
    <n v="20"/>
    <n v="2025"/>
    <s v="2025-3"/>
    <s v="Week 3"/>
    <x v="2"/>
  </r>
  <r>
    <d v="2025-01-16T00:00:00"/>
    <x v="11"/>
    <n v="12"/>
    <n v="2025"/>
    <s v="2025-3"/>
    <s v="Week 3"/>
    <x v="2"/>
  </r>
  <r>
    <d v="2025-01-16T00:00:00"/>
    <x v="15"/>
    <n v="18"/>
    <n v="2025"/>
    <s v="2025-3"/>
    <s v="Week 3"/>
    <x v="2"/>
  </r>
  <r>
    <d v="2025-01-16T00:00:00"/>
    <x v="13"/>
    <n v="8"/>
    <n v="2025"/>
    <s v="2025-3"/>
    <s v="Week 3"/>
    <x v="2"/>
  </r>
  <r>
    <d v="2025-01-16T00:00:00"/>
    <x v="3"/>
    <n v="8"/>
    <n v="2025"/>
    <s v="2025-3"/>
    <s v="Week 3"/>
    <x v="2"/>
  </r>
  <r>
    <d v="2025-01-16T00:00:00"/>
    <x v="5"/>
    <n v="4"/>
    <n v="2025"/>
    <s v="2025-3"/>
    <s v="Week 3"/>
    <x v="2"/>
  </r>
  <r>
    <d v="2025-01-16T00:00:00"/>
    <x v="13"/>
    <n v="4"/>
    <n v="2025"/>
    <s v="2025-3"/>
    <s v="Week 3"/>
    <x v="2"/>
  </r>
  <r>
    <d v="2025-01-16T00:00:00"/>
    <x v="14"/>
    <n v="4"/>
    <n v="2025"/>
    <s v="2025-3"/>
    <s v="Week 3"/>
    <x v="2"/>
  </r>
  <r>
    <d v="2025-01-16T00:00:00"/>
    <x v="26"/>
    <n v="10"/>
    <n v="2025"/>
    <s v="2025-3"/>
    <s v="Week 3"/>
    <x v="2"/>
  </r>
  <r>
    <d v="2025-01-16T00:00:00"/>
    <x v="12"/>
    <n v="5"/>
    <n v="2025"/>
    <s v="2025-3"/>
    <s v="Week 3"/>
    <x v="2"/>
  </r>
  <r>
    <d v="2025-01-16T00:00:00"/>
    <x v="3"/>
    <n v="3"/>
    <n v="2025"/>
    <s v="2025-3"/>
    <s v="Week 3"/>
    <x v="2"/>
  </r>
  <r>
    <d v="2025-01-21T00:00:00"/>
    <x v="3"/>
    <n v="13"/>
    <n v="2025"/>
    <s v="2025-4"/>
    <s v="Week 4"/>
    <x v="3"/>
  </r>
  <r>
    <d v="2025-01-21T00:00:00"/>
    <x v="3"/>
    <n v="9"/>
    <n v="2025"/>
    <s v="2025-4"/>
    <s v="Week 4"/>
    <x v="3"/>
  </r>
  <r>
    <d v="2025-01-21T00:00:00"/>
    <x v="14"/>
    <n v="6"/>
    <n v="2025"/>
    <s v="2025-4"/>
    <s v="Week 4"/>
    <x v="3"/>
  </r>
  <r>
    <d v="2025-01-21T00:00:00"/>
    <x v="12"/>
    <n v="7"/>
    <n v="2025"/>
    <s v="2025-4"/>
    <s v="Week 4"/>
    <x v="3"/>
  </r>
  <r>
    <d v="2025-01-21T00:00:00"/>
    <x v="15"/>
    <n v="6"/>
    <n v="2025"/>
    <s v="2025-4"/>
    <s v="Week 4"/>
    <x v="3"/>
  </r>
  <r>
    <d v="2025-01-21T00:00:00"/>
    <x v="22"/>
    <n v="4"/>
    <n v="2025"/>
    <s v="2025-4"/>
    <s v="Week 4"/>
    <x v="3"/>
  </r>
  <r>
    <d v="2025-01-21T00:00:00"/>
    <x v="11"/>
    <n v="2"/>
    <n v="2025"/>
    <s v="2025-4"/>
    <s v="Week 4"/>
    <x v="3"/>
  </r>
  <r>
    <d v="2025-01-21T00:00:00"/>
    <x v="21"/>
    <n v="4"/>
    <n v="2025"/>
    <s v="2025-4"/>
    <s v="Week 4"/>
    <x v="3"/>
  </r>
  <r>
    <d v="2025-01-22T00:00:00"/>
    <x v="3"/>
    <n v="20"/>
    <n v="2025"/>
    <s v="2025-4"/>
    <s v="Week 4"/>
    <x v="3"/>
  </r>
  <r>
    <d v="2025-01-22T00:00:00"/>
    <x v="10"/>
    <n v="18"/>
    <n v="2025"/>
    <s v="2025-4"/>
    <s v="Week 4"/>
    <x v="3"/>
  </r>
  <r>
    <d v="2025-01-22T00:00:00"/>
    <x v="14"/>
    <n v="16"/>
    <n v="2025"/>
    <s v="2025-4"/>
    <s v="Week 4"/>
    <x v="3"/>
  </r>
  <r>
    <d v="2025-01-22T00:00:00"/>
    <x v="5"/>
    <n v="10"/>
    <n v="2025"/>
    <s v="2025-4"/>
    <s v="Week 4"/>
    <x v="3"/>
  </r>
  <r>
    <d v="2025-01-22T00:00:00"/>
    <x v="12"/>
    <n v="17"/>
    <n v="2025"/>
    <s v="2025-4"/>
    <s v="Week 4"/>
    <x v="3"/>
  </r>
  <r>
    <d v="2025-01-22T00:00:00"/>
    <x v="13"/>
    <n v="10"/>
    <n v="2025"/>
    <s v="2025-4"/>
    <s v="Week 4"/>
    <x v="3"/>
  </r>
  <r>
    <d v="2025-01-22T00:00:00"/>
    <x v="2"/>
    <n v="16"/>
    <n v="2025"/>
    <s v="2025-4"/>
    <s v="Week 4"/>
    <x v="3"/>
  </r>
  <r>
    <d v="2025-01-22T00:00:00"/>
    <x v="17"/>
    <n v="8"/>
    <n v="2025"/>
    <s v="2025-4"/>
    <s v="Week 4"/>
    <x v="3"/>
  </r>
  <r>
    <d v="2025-01-22T00:00:00"/>
    <x v="9"/>
    <n v="9"/>
    <n v="2025"/>
    <s v="2025-4"/>
    <s v="Week 4"/>
    <x v="3"/>
  </r>
  <r>
    <d v="2025-01-22T00:00:00"/>
    <x v="6"/>
    <n v="6"/>
    <n v="2025"/>
    <s v="2025-4"/>
    <s v="Week 4"/>
    <x v="3"/>
  </r>
  <r>
    <d v="2025-01-22T00:00:00"/>
    <x v="11"/>
    <n v="9"/>
    <n v="2025"/>
    <s v="2025-4"/>
    <s v="Week 4"/>
    <x v="3"/>
  </r>
  <r>
    <d v="2025-01-22T00:00:00"/>
    <x v="13"/>
    <n v="4"/>
    <n v="2025"/>
    <s v="2025-4"/>
    <s v="Week 4"/>
    <x v="3"/>
  </r>
  <r>
    <d v="2025-01-22T00:00:00"/>
    <x v="19"/>
    <n v="8"/>
    <n v="2025"/>
    <s v="2025-4"/>
    <s v="Week 4"/>
    <x v="3"/>
  </r>
  <r>
    <d v="2025-01-22T00:00:00"/>
    <x v="17"/>
    <n v="3"/>
    <n v="2025"/>
    <s v="2025-4"/>
    <s v="Week 4"/>
    <x v="3"/>
  </r>
  <r>
    <d v="2025-01-22T00:00:00"/>
    <x v="5"/>
    <n v="2"/>
    <n v="2025"/>
    <s v="2025-4"/>
    <s v="Week 4"/>
    <x v="3"/>
  </r>
  <r>
    <d v="2025-01-22T00:00:00"/>
    <x v="13"/>
    <n v="2"/>
    <n v="2025"/>
    <s v="2025-4"/>
    <s v="Week 4"/>
    <x v="3"/>
  </r>
  <r>
    <d v="2025-01-22T00:00:00"/>
    <x v="2"/>
    <n v="2"/>
    <n v="2025"/>
    <s v="2025-4"/>
    <s v="Week 4"/>
    <x v="3"/>
  </r>
  <r>
    <d v="2025-01-22T00:00:00"/>
    <x v="6"/>
    <n v="1"/>
    <n v="2025"/>
    <s v="2025-4"/>
    <s v="Week 4"/>
    <x v="3"/>
  </r>
  <r>
    <d v="2025-01-22T00:00:00"/>
    <x v="15"/>
    <n v="2"/>
    <n v="2025"/>
    <s v="2025-4"/>
    <s v="Week 4"/>
    <x v="3"/>
  </r>
  <r>
    <d v="2025-01-24T00:00:00"/>
    <x v="11"/>
    <n v="22"/>
    <n v="2025"/>
    <s v="2025-4"/>
    <s v="Week 4"/>
    <x v="3"/>
  </r>
  <r>
    <d v="2025-01-24T00:00:00"/>
    <x v="10"/>
    <n v="16"/>
    <n v="2025"/>
    <s v="2025-4"/>
    <s v="Week 4"/>
    <x v="3"/>
  </r>
  <r>
    <d v="2025-01-24T00:00:00"/>
    <x v="12"/>
    <n v="22"/>
    <n v="2025"/>
    <s v="2025-4"/>
    <s v="Week 4"/>
    <x v="3"/>
  </r>
  <r>
    <d v="2025-01-24T00:00:00"/>
    <x v="3"/>
    <n v="9"/>
    <n v="2025"/>
    <s v="2025-4"/>
    <s v="Week 4"/>
    <x v="3"/>
  </r>
  <r>
    <d v="2025-01-24T00:00:00"/>
    <x v="15"/>
    <n v="16"/>
    <n v="2025"/>
    <s v="2025-4"/>
    <s v="Week 4"/>
    <x v="3"/>
  </r>
  <r>
    <d v="2025-01-24T00:00:00"/>
    <x v="2"/>
    <n v="8"/>
    <n v="2025"/>
    <s v="2025-4"/>
    <s v="Week 4"/>
    <x v="3"/>
  </r>
  <r>
    <d v="2025-01-24T00:00:00"/>
    <x v="17"/>
    <n v="4"/>
    <n v="2025"/>
    <s v="2025-4"/>
    <s v="Week 4"/>
    <x v="3"/>
  </r>
  <r>
    <d v="2025-01-24T00:00:00"/>
    <x v="14"/>
    <n v="4"/>
    <n v="2025"/>
    <s v="2025-4"/>
    <s v="Week 4"/>
    <x v="3"/>
  </r>
  <r>
    <d v="2025-01-24T00:00:00"/>
    <x v="14"/>
    <n v="4"/>
    <n v="2025"/>
    <s v="2025-4"/>
    <s v="Week 4"/>
    <x v="3"/>
  </r>
  <r>
    <d v="2025-01-24T00:00:00"/>
    <x v="11"/>
    <n v="4"/>
    <n v="2025"/>
    <s v="2025-4"/>
    <s v="Week 4"/>
    <x v="3"/>
  </r>
  <r>
    <d v="2025-01-24T00:00:00"/>
    <x v="15"/>
    <n v="4"/>
    <n v="2025"/>
    <s v="2025-4"/>
    <s v="Week 4"/>
    <x v="3"/>
  </r>
  <r>
    <d v="2025-01-24T00:00:00"/>
    <x v="19"/>
    <n v="4"/>
    <n v="2025"/>
    <s v="2025-4"/>
    <s v="Week 4"/>
    <x v="3"/>
  </r>
  <r>
    <d v="2025-01-24T00:00:00"/>
    <x v="3"/>
    <n v="2"/>
    <n v="2025"/>
    <s v="2025-4"/>
    <s v="Week 4"/>
    <x v="3"/>
  </r>
  <r>
    <d v="2025-01-24T00:00:00"/>
    <x v="17"/>
    <n v="1"/>
    <n v="2025"/>
    <s v="2025-4"/>
    <s v="Week 4"/>
    <x v="3"/>
  </r>
  <r>
    <d v="2025-01-24T00:00:00"/>
    <x v="17"/>
    <n v="1"/>
    <n v="2025"/>
    <s v="2025-4"/>
    <s v="Week 4"/>
    <x v="3"/>
  </r>
  <r>
    <d v="2025-01-24T00:00:00"/>
    <x v="11"/>
    <n v="1"/>
    <n v="2025"/>
    <s v="2025-4"/>
    <s v="Week 4"/>
    <x v="3"/>
  </r>
  <r>
    <d v="2025-01-25T00:00:00"/>
    <x v="17"/>
    <n v="4"/>
    <n v="2025"/>
    <s v="2025-4"/>
    <s v="Week 4"/>
    <x v="3"/>
  </r>
  <r>
    <d v="2025-01-25T00:00:00"/>
    <x v="6"/>
    <n v="2"/>
    <n v="2025"/>
    <s v="2025-4"/>
    <s v="Week 4"/>
    <x v="3"/>
  </r>
  <r>
    <d v="2025-01-27T00:00:00"/>
    <x v="16"/>
    <n v="8"/>
    <n v="2025"/>
    <s v="2025-5"/>
    <s v="Week 5"/>
    <x v="4"/>
  </r>
  <r>
    <d v="2025-01-27T00:00:00"/>
    <x v="10"/>
    <n v="16"/>
    <n v="2025"/>
    <s v="2025-5"/>
    <s v="Week 5"/>
    <x v="4"/>
  </r>
  <r>
    <d v="2025-01-27T00:00:00"/>
    <x v="3"/>
    <n v="13"/>
    <n v="2025"/>
    <s v="2025-5"/>
    <s v="Week 5"/>
    <x v="4"/>
  </r>
  <r>
    <d v="2025-01-27T00:00:00"/>
    <x v="5"/>
    <n v="8"/>
    <n v="2025"/>
    <s v="2025-5"/>
    <s v="Week 5"/>
    <x v="4"/>
  </r>
  <r>
    <d v="2025-01-27T00:00:00"/>
    <x v="17"/>
    <n v="10"/>
    <n v="2025"/>
    <s v="2025-5"/>
    <s v="Week 5"/>
    <x v="4"/>
  </r>
  <r>
    <d v="2025-01-27T00:00:00"/>
    <x v="3"/>
    <n v="8"/>
    <n v="2025"/>
    <s v="2025-5"/>
    <s v="Week 5"/>
    <x v="4"/>
  </r>
  <r>
    <d v="2025-01-27T00:00:00"/>
    <x v="14"/>
    <n v="6"/>
    <n v="2025"/>
    <s v="2025-5"/>
    <s v="Week 5"/>
    <x v="4"/>
  </r>
  <r>
    <d v="2025-01-27T00:00:00"/>
    <x v="17"/>
    <n v="6"/>
    <n v="2025"/>
    <s v="2025-5"/>
    <s v="Week 5"/>
    <x v="4"/>
  </r>
  <r>
    <d v="2025-01-27T00:00:00"/>
    <x v="10"/>
    <n v="4"/>
    <n v="2025"/>
    <s v="2025-5"/>
    <s v="Week 5"/>
    <x v="4"/>
  </r>
  <r>
    <d v="2025-01-27T00:00:00"/>
    <x v="29"/>
    <n v="1"/>
    <n v="2025"/>
    <s v="2025-5"/>
    <s v="Week 5"/>
    <x v="4"/>
  </r>
  <r>
    <d v="2025-01-27T00:00:00"/>
    <x v="11"/>
    <n v="4"/>
    <n v="2025"/>
    <s v="2025-5"/>
    <s v="Week 5"/>
    <x v="4"/>
  </r>
  <r>
    <d v="2025-01-27T00:00:00"/>
    <x v="14"/>
    <n v="2"/>
    <n v="2025"/>
    <s v="2025-5"/>
    <s v="Week 5"/>
    <x v="4"/>
  </r>
  <r>
    <d v="2025-01-27T00:00:00"/>
    <x v="4"/>
    <n v="7"/>
    <n v="2025"/>
    <s v="2025-5"/>
    <s v="Week 5"/>
    <x v="4"/>
  </r>
  <r>
    <d v="2025-01-27T00:00:00"/>
    <x v="3"/>
    <n v="3"/>
    <n v="2025"/>
    <s v="2025-5"/>
    <s v="Week 5"/>
    <x v="4"/>
  </r>
  <r>
    <d v="2025-01-27T00:00:00"/>
    <x v="3"/>
    <n v="2"/>
    <n v="2025"/>
    <s v="2025-5"/>
    <s v="Week 5"/>
    <x v="4"/>
  </r>
  <r>
    <d v="2025-01-27T00:00:00"/>
    <x v="6"/>
    <n v="2"/>
    <n v="2025"/>
    <s v="2025-5"/>
    <s v="Week 5"/>
    <x v="4"/>
  </r>
  <r>
    <d v="2025-01-27T00:00:00"/>
    <x v="13"/>
    <n v="2"/>
    <n v="2025"/>
    <s v="2025-5"/>
    <s v="Week 5"/>
    <x v="4"/>
  </r>
  <r>
    <d v="2025-01-27T00:00:00"/>
    <x v="28"/>
    <n v="6"/>
    <n v="2025"/>
    <s v="2025-5"/>
    <s v="Week 5"/>
    <x v="4"/>
  </r>
  <r>
    <d v="2025-01-27T00:00:00"/>
    <x v="2"/>
    <n v="1"/>
    <n v="2025"/>
    <s v="2025-5"/>
    <s v="Week 5"/>
    <x v="4"/>
  </r>
  <r>
    <d v="2025-01-27T00:00:00"/>
    <x v="11"/>
    <n v="1"/>
    <n v="2025"/>
    <s v="2025-5"/>
    <s v="Week 5"/>
    <x v="4"/>
  </r>
  <r>
    <d v="2025-01-27T00:00:00"/>
    <x v="11"/>
    <n v="1"/>
    <n v="2025"/>
    <s v="2025-5"/>
    <s v="Week 5"/>
    <x v="4"/>
  </r>
  <r>
    <d v="2025-01-29T00:00:00"/>
    <x v="10"/>
    <n v="10"/>
    <n v="2025"/>
    <s v="2025-5"/>
    <s v="Week 5"/>
    <x v="4"/>
  </r>
  <r>
    <d v="2025-01-29T00:00:00"/>
    <x v="13"/>
    <n v="8"/>
    <n v="2025"/>
    <s v="2025-5"/>
    <s v="Week 5"/>
    <x v="4"/>
  </r>
  <r>
    <d v="2025-01-29T00:00:00"/>
    <x v="14"/>
    <n v="6"/>
    <n v="2025"/>
    <s v="2025-5"/>
    <s v="Week 5"/>
    <x v="4"/>
  </r>
  <r>
    <d v="2025-01-29T00:00:00"/>
    <x v="11"/>
    <n v="7"/>
    <n v="2025"/>
    <s v="2025-5"/>
    <s v="Week 5"/>
    <x v="4"/>
  </r>
  <r>
    <d v="2025-01-29T00:00:00"/>
    <x v="11"/>
    <n v="4"/>
    <n v="2025"/>
    <s v="2025-5"/>
    <s v="Week 5"/>
    <x v="4"/>
  </r>
  <r>
    <d v="2025-01-29T00:00:00"/>
    <x v="14"/>
    <n v="2"/>
    <n v="2025"/>
    <s v="2025-5"/>
    <s v="Week 5"/>
    <x v="4"/>
  </r>
  <r>
    <d v="2025-01-29T00:00:00"/>
    <x v="10"/>
    <n v="2"/>
    <n v="2025"/>
    <s v="2025-5"/>
    <s v="Week 5"/>
    <x v="4"/>
  </r>
  <r>
    <d v="2025-01-29T00:00:00"/>
    <x v="25"/>
    <n v="2"/>
    <n v="2025"/>
    <s v="2025-5"/>
    <s v="Week 5"/>
    <x v="4"/>
  </r>
  <r>
    <d v="2025-01-29T00:00:00"/>
    <x v="11"/>
    <n v="1"/>
    <n v="2025"/>
    <s v="2025-5"/>
    <s v="Week 5"/>
    <x v="4"/>
  </r>
  <r>
    <d v="2025-01-29T00:00:00"/>
    <x v="30"/>
    <n v="1"/>
    <n v="2025"/>
    <s v="2025-5"/>
    <s v="Week 5"/>
    <x v="4"/>
  </r>
  <r>
    <d v="2025-01-30T00:00:00"/>
    <x v="28"/>
    <n v="87"/>
    <n v="2025"/>
    <s v="2025-5"/>
    <s v="Week 5"/>
    <x v="4"/>
  </r>
  <r>
    <d v="2025-01-30T00:00:00"/>
    <x v="10"/>
    <n v="16"/>
    <n v="2025"/>
    <s v="2025-5"/>
    <s v="Week 5"/>
    <x v="4"/>
  </r>
  <r>
    <d v="2025-01-30T00:00:00"/>
    <x v="31"/>
    <n v="24"/>
    <n v="2025"/>
    <s v="2025-5"/>
    <s v="Week 5"/>
    <x v="4"/>
  </r>
  <r>
    <d v="2025-01-30T00:00:00"/>
    <x v="7"/>
    <n v="8"/>
    <n v="2025"/>
    <s v="2025-5"/>
    <s v="Week 5"/>
    <x v="4"/>
  </r>
  <r>
    <d v="2025-01-30T00:00:00"/>
    <x v="12"/>
    <n v="10"/>
    <n v="2025"/>
    <s v="2025-5"/>
    <s v="Week 5"/>
    <x v="4"/>
  </r>
  <r>
    <d v="2025-01-30T00:00:00"/>
    <x v="11"/>
    <n v="8"/>
    <n v="2025"/>
    <s v="2025-5"/>
    <s v="Week 5"/>
    <x v="4"/>
  </r>
  <r>
    <d v="2025-01-30T00:00:00"/>
    <x v="3"/>
    <n v="6"/>
    <n v="2025"/>
    <s v="2025-5"/>
    <s v="Week 5"/>
    <x v="4"/>
  </r>
  <r>
    <d v="2025-01-30T00:00:00"/>
    <x v="28"/>
    <n v="13"/>
    <n v="2025"/>
    <s v="2025-5"/>
    <s v="Week 5"/>
    <x v="4"/>
  </r>
  <r>
    <d v="2025-01-30T00:00:00"/>
    <x v="15"/>
    <n v="4"/>
    <n v="2025"/>
    <s v="2025-5"/>
    <s v="Week 5"/>
    <x v="4"/>
  </r>
  <r>
    <d v="2025-01-31T00:00:00"/>
    <x v="14"/>
    <n v="16"/>
    <n v="2025"/>
    <s v="2025-5"/>
    <s v="Week 5"/>
    <x v="4"/>
  </r>
  <r>
    <d v="2025-01-31T00:00:00"/>
    <x v="6"/>
    <n v="4"/>
    <n v="2025"/>
    <s v="2025-5"/>
    <s v="Week 5"/>
    <x v="4"/>
  </r>
  <r>
    <d v="2025-02-03T00:00:00"/>
    <x v="15"/>
    <n v="12"/>
    <n v="2025"/>
    <s v="2025-6"/>
    <s v="Week 6"/>
    <x v="5"/>
  </r>
  <r>
    <d v="2025-02-03T00:00:00"/>
    <x v="9"/>
    <n v="6"/>
    <n v="2025"/>
    <s v="2025-6"/>
    <s v="Week 6"/>
    <x v="5"/>
  </r>
  <r>
    <d v="2025-02-03T00:00:00"/>
    <x v="22"/>
    <n v="8"/>
    <n v="2025"/>
    <s v="2025-6"/>
    <s v="Week 6"/>
    <x v="5"/>
  </r>
  <r>
    <d v="2025-02-03T00:00:00"/>
    <x v="3"/>
    <n v="4"/>
    <n v="2025"/>
    <s v="2025-6"/>
    <s v="Week 6"/>
    <x v="5"/>
  </r>
  <r>
    <d v="2025-02-03T00:00:00"/>
    <x v="11"/>
    <n v="4"/>
    <n v="2025"/>
    <s v="2025-6"/>
    <s v="Week 6"/>
    <x v="5"/>
  </r>
  <r>
    <d v="2025-02-03T00:00:00"/>
    <x v="12"/>
    <n v="2"/>
    <n v="2025"/>
    <s v="2025-6"/>
    <s v="Week 6"/>
    <x v="5"/>
  </r>
  <r>
    <d v="2025-02-03T00:00:00"/>
    <x v="25"/>
    <n v="2"/>
    <n v="2025"/>
    <s v="2025-6"/>
    <s v="Week 6"/>
    <x v="5"/>
  </r>
  <r>
    <d v="2025-02-04T00:00:00"/>
    <x v="3"/>
    <n v="18"/>
    <n v="2025"/>
    <s v="2025-6"/>
    <s v="Week 6"/>
    <x v="5"/>
  </r>
  <r>
    <d v="2025-02-04T00:00:00"/>
    <x v="5"/>
    <n v="10"/>
    <n v="2025"/>
    <s v="2025-6"/>
    <s v="Week 6"/>
    <x v="5"/>
  </r>
  <r>
    <d v="2025-02-04T00:00:00"/>
    <x v="12"/>
    <n v="20"/>
    <n v="2025"/>
    <s v="2025-6"/>
    <s v="Week 6"/>
    <x v="5"/>
  </r>
  <r>
    <d v="2025-02-04T00:00:00"/>
    <x v="15"/>
    <n v="14"/>
    <n v="2025"/>
    <s v="2025-6"/>
    <s v="Week 6"/>
    <x v="5"/>
  </r>
  <r>
    <d v="2025-02-04T00:00:00"/>
    <x v="13"/>
    <n v="4"/>
    <n v="2025"/>
    <s v="2025-6"/>
    <s v="Week 6"/>
    <x v="5"/>
  </r>
  <r>
    <d v="2025-02-04T00:00:00"/>
    <x v="16"/>
    <n v="2"/>
    <n v="2025"/>
    <s v="2025-6"/>
    <s v="Week 6"/>
    <x v="5"/>
  </r>
  <r>
    <d v="2025-02-04T00:00:00"/>
    <x v="11"/>
    <n v="4"/>
    <n v="2025"/>
    <s v="2025-6"/>
    <s v="Week 6"/>
    <x v="5"/>
  </r>
  <r>
    <d v="2025-02-04T00:00:00"/>
    <x v="0"/>
    <n v="2"/>
    <n v="2025"/>
    <s v="2025-6"/>
    <s v="Week 6"/>
    <x v="5"/>
  </r>
  <r>
    <d v="2025-02-04T00:00:00"/>
    <x v="10"/>
    <n v="3"/>
    <n v="2025"/>
    <s v="2025-6"/>
    <s v="Week 6"/>
    <x v="5"/>
  </r>
  <r>
    <d v="2025-02-04T00:00:00"/>
    <x v="14"/>
    <n v="2"/>
    <n v="2025"/>
    <s v="2025-6"/>
    <s v="Week 6"/>
    <x v="5"/>
  </r>
  <r>
    <d v="2025-02-04T00:00:00"/>
    <x v="9"/>
    <n v="2"/>
    <n v="2025"/>
    <s v="2025-6"/>
    <s v="Week 6"/>
    <x v="5"/>
  </r>
  <r>
    <d v="2025-02-04T00:00:00"/>
    <x v="25"/>
    <n v="1"/>
    <n v="2025"/>
    <s v="2025-6"/>
    <s v="Week 6"/>
    <x v="5"/>
  </r>
  <r>
    <d v="2025-02-05T00:00:00"/>
    <x v="5"/>
    <n v="8"/>
    <n v="2025"/>
    <s v="2025-6"/>
    <s v="Week 6"/>
    <x v="5"/>
  </r>
  <r>
    <d v="2025-02-05T00:00:00"/>
    <x v="11"/>
    <n v="8"/>
    <n v="2025"/>
    <s v="2025-6"/>
    <s v="Week 6"/>
    <x v="5"/>
  </r>
  <r>
    <d v="2025-02-05T00:00:00"/>
    <x v="5"/>
    <n v="4"/>
    <n v="2025"/>
    <s v="2025-6"/>
    <s v="Week 6"/>
    <x v="5"/>
  </r>
  <r>
    <d v="2025-02-05T00:00:00"/>
    <x v="30"/>
    <n v="8"/>
    <n v="2025"/>
    <s v="2025-6"/>
    <s v="Week 6"/>
    <x v="5"/>
  </r>
  <r>
    <d v="2025-02-05T00:00:00"/>
    <x v="28"/>
    <n v="4"/>
    <n v="2025"/>
    <s v="2025-6"/>
    <s v="Week 6"/>
    <x v="5"/>
  </r>
  <r>
    <d v="2025-02-05T00:00:00"/>
    <x v="32"/>
    <n v="2"/>
    <n v="2025"/>
    <s v="2025-6"/>
    <s v="Week 6"/>
    <x v="5"/>
  </r>
  <r>
    <d v="2025-02-07T00:00:00"/>
    <x v="25"/>
    <n v="12"/>
    <n v="2025"/>
    <s v="2025-6"/>
    <s v="Week 6"/>
    <x v="5"/>
  </r>
  <r>
    <d v="2025-02-07T00:00:00"/>
    <x v="10"/>
    <n v="8"/>
    <n v="2025"/>
    <s v="2025-6"/>
    <s v="Week 6"/>
    <x v="5"/>
  </r>
  <r>
    <d v="2025-02-07T00:00:00"/>
    <x v="11"/>
    <n v="8"/>
    <n v="2025"/>
    <s v="2025-6"/>
    <s v="Week 6"/>
    <x v="5"/>
  </r>
  <r>
    <d v="2025-02-07T00:00:00"/>
    <x v="3"/>
    <n v="8"/>
    <n v="2025"/>
    <s v="2025-6"/>
    <s v="Week 6"/>
    <x v="5"/>
  </r>
  <r>
    <d v="2025-02-07T00:00:00"/>
    <x v="12"/>
    <n v="10"/>
    <n v="2025"/>
    <s v="2025-6"/>
    <s v="Week 6"/>
    <x v="5"/>
  </r>
  <r>
    <d v="2025-02-07T00:00:00"/>
    <x v="15"/>
    <n v="12"/>
    <n v="2025"/>
    <s v="2025-6"/>
    <s v="Week 6"/>
    <x v="5"/>
  </r>
  <r>
    <d v="2025-02-07T00:00:00"/>
    <x v="12"/>
    <n v="8"/>
    <n v="2025"/>
    <s v="2025-6"/>
    <s v="Week 6"/>
    <x v="5"/>
  </r>
  <r>
    <d v="2025-02-07T00:00:00"/>
    <x v="3"/>
    <n v="6"/>
    <n v="2025"/>
    <s v="2025-6"/>
    <s v="Week 6"/>
    <x v="5"/>
  </r>
  <r>
    <d v="2025-02-07T00:00:00"/>
    <x v="27"/>
    <n v="10"/>
    <n v="2025"/>
    <s v="2025-6"/>
    <s v="Week 6"/>
    <x v="5"/>
  </r>
  <r>
    <d v="2025-02-07T00:00:00"/>
    <x v="3"/>
    <n v="4"/>
    <n v="2025"/>
    <s v="2025-6"/>
    <s v="Week 6"/>
    <x v="5"/>
  </r>
  <r>
    <d v="2025-02-07T00:00:00"/>
    <x v="15"/>
    <n v="6"/>
    <n v="2025"/>
    <s v="2025-6"/>
    <s v="Week 6"/>
    <x v="5"/>
  </r>
  <r>
    <d v="2025-02-07T00:00:00"/>
    <x v="2"/>
    <n v="4"/>
    <n v="2025"/>
    <s v="2025-6"/>
    <s v="Week 6"/>
    <x v="5"/>
  </r>
  <r>
    <d v="2025-02-07T00:00:00"/>
    <x v="11"/>
    <n v="3"/>
    <n v="2025"/>
    <s v="2025-6"/>
    <s v="Week 6"/>
    <x v="5"/>
  </r>
  <r>
    <d v="2025-02-07T00:00:00"/>
    <x v="3"/>
    <n v="2"/>
    <n v="2025"/>
    <s v="2025-6"/>
    <s v="Week 6"/>
    <x v="5"/>
  </r>
  <r>
    <d v="2025-02-07T00:00:00"/>
    <x v="15"/>
    <n v="1"/>
    <n v="2025"/>
    <s v="2025-6"/>
    <s v="Week 6"/>
    <x v="5"/>
  </r>
  <r>
    <d v="2025-02-07T00:00:00"/>
    <x v="4"/>
    <n v="1"/>
    <n v="2025"/>
    <s v="2025-6"/>
    <s v="Week 6"/>
    <x v="5"/>
  </r>
  <r>
    <d v="2025-02-08T00:00:00"/>
    <x v="2"/>
    <n v="40"/>
    <n v="2025"/>
    <s v="2025-6"/>
    <s v="Week 6"/>
    <x v="5"/>
  </r>
  <r>
    <d v="2025-02-08T00:00:00"/>
    <x v="12"/>
    <n v="29"/>
    <n v="2025"/>
    <s v="2025-6"/>
    <s v="Week 6"/>
    <x v="5"/>
  </r>
  <r>
    <d v="2025-02-08T00:00:00"/>
    <x v="19"/>
    <n v="40"/>
    <n v="2025"/>
    <s v="2025-6"/>
    <s v="Week 6"/>
    <x v="5"/>
  </r>
  <r>
    <d v="2025-02-08T00:00:00"/>
    <x v="25"/>
    <n v="21"/>
    <n v="2025"/>
    <s v="2025-6"/>
    <s v="Week 6"/>
    <x v="5"/>
  </r>
  <r>
    <d v="2025-02-08T00:00:00"/>
    <x v="25"/>
    <n v="14"/>
    <n v="2025"/>
    <s v="2025-6"/>
    <s v="Week 6"/>
    <x v="5"/>
  </r>
  <r>
    <d v="2025-02-08T00:00:00"/>
    <x v="12"/>
    <n v="9"/>
    <n v="2025"/>
    <s v="2025-6"/>
    <s v="Week 6"/>
    <x v="5"/>
  </r>
  <r>
    <d v="2025-02-08T00:00:00"/>
    <x v="25"/>
    <n v="5"/>
    <n v="2025"/>
    <s v="2025-6"/>
    <s v="Week 6"/>
    <x v="5"/>
  </r>
  <r>
    <d v="2025-02-08T00:00:00"/>
    <x v="12"/>
    <n v="2"/>
    <n v="2025"/>
    <s v="2025-6"/>
    <s v="Week 6"/>
    <x v="5"/>
  </r>
  <r>
    <d v="2025-02-09T00:00:00"/>
    <x v="11"/>
    <n v="12"/>
    <n v="2025"/>
    <s v="2025-6"/>
    <s v="Week 7"/>
    <x v="6"/>
  </r>
  <r>
    <d v="2025-02-09T00:00:00"/>
    <x v="15"/>
    <n v="19"/>
    <n v="2025"/>
    <s v="2025-6"/>
    <s v="Week 7"/>
    <x v="6"/>
  </r>
  <r>
    <d v="2025-02-09T00:00:00"/>
    <x v="10"/>
    <n v="8"/>
    <n v="2025"/>
    <s v="2025-6"/>
    <s v="Week 7"/>
    <x v="6"/>
  </r>
  <r>
    <d v="2025-02-09T00:00:00"/>
    <x v="25"/>
    <n v="6"/>
    <n v="2025"/>
    <s v="2025-6"/>
    <s v="Week 7"/>
    <x v="6"/>
  </r>
  <r>
    <d v="2025-02-09T00:00:00"/>
    <x v="12"/>
    <n v="4"/>
    <n v="2025"/>
    <s v="2025-6"/>
    <s v="Week 7"/>
    <x v="6"/>
  </r>
  <r>
    <d v="2025-02-09T00:00:00"/>
    <x v="15"/>
    <n v="4"/>
    <n v="2025"/>
    <s v="2025-6"/>
    <s v="Week 7"/>
    <x v="6"/>
  </r>
  <r>
    <d v="2025-02-09T00:00:00"/>
    <x v="11"/>
    <n v="2"/>
    <n v="2025"/>
    <s v="2025-6"/>
    <s v="Week 7"/>
    <x v="6"/>
  </r>
  <r>
    <d v="2025-02-09T00:00:00"/>
    <x v="27"/>
    <n v="2"/>
    <n v="2025"/>
    <s v="2025-6"/>
    <s v="Week 7"/>
    <x v="6"/>
  </r>
  <r>
    <d v="2025-02-09T00:00:00"/>
    <x v="18"/>
    <n v="2"/>
    <n v="2025"/>
    <s v="2025-6"/>
    <s v="Week 7"/>
    <x v="6"/>
  </r>
  <r>
    <d v="2025-02-09T00:00:00"/>
    <x v="28"/>
    <n v="2"/>
    <n v="2025"/>
    <s v="2025-6"/>
    <s v="Week 7"/>
    <x v="6"/>
  </r>
  <r>
    <d v="2025-02-09T00:00:00"/>
    <x v="25"/>
    <n v="1"/>
    <n v="2025"/>
    <s v="2025-6"/>
    <s v="Week 7"/>
    <x v="6"/>
  </r>
  <r>
    <d v="2025-02-09T00:00:00"/>
    <x v="15"/>
    <n v="1"/>
    <n v="2025"/>
    <s v="2025-6"/>
    <s v="Week 7"/>
    <x v="6"/>
  </r>
  <r>
    <d v="2025-02-10T00:00:00"/>
    <x v="18"/>
    <n v="16"/>
    <n v="2025"/>
    <s v="2025-7"/>
    <s v="Week 7"/>
    <x v="6"/>
  </r>
  <r>
    <d v="2025-02-11T00:00:00"/>
    <x v="25"/>
    <n v="8"/>
    <n v="2025"/>
    <s v="2025-7"/>
    <s v="Week 7"/>
    <x v="6"/>
  </r>
  <r>
    <d v="2025-02-11T00:00:00"/>
    <x v="30"/>
    <n v="9"/>
    <n v="2025"/>
    <s v="2025-7"/>
    <s v="Week 7"/>
    <x v="6"/>
  </r>
  <r>
    <d v="2025-02-11T00:00:00"/>
    <x v="12"/>
    <n v="4"/>
    <n v="2025"/>
    <s v="2025-7"/>
    <s v="Week 7"/>
    <x v="6"/>
  </r>
  <r>
    <d v="2025-02-11T00:00:00"/>
    <x v="27"/>
    <n v="5"/>
    <n v="2025"/>
    <s v="2025-7"/>
    <s v="Week 7"/>
    <x v="6"/>
  </r>
  <r>
    <d v="2025-02-11T00:00:00"/>
    <x v="21"/>
    <n v="5"/>
    <n v="2025"/>
    <s v="2025-7"/>
    <s v="Week 7"/>
    <x v="6"/>
  </r>
  <r>
    <d v="2025-02-11T00:00:00"/>
    <x v="15"/>
    <n v="2"/>
    <n v="2025"/>
    <s v="2025-7"/>
    <s v="Week 7"/>
    <x v="6"/>
  </r>
  <r>
    <d v="2025-02-13T00:00:00"/>
    <x v="13"/>
    <n v="8"/>
    <n v="2025"/>
    <s v="2025-7"/>
    <s v="Week 7"/>
    <x v="6"/>
  </r>
  <r>
    <d v="2025-02-13T00:00:00"/>
    <x v="10"/>
    <n v="8"/>
    <n v="2025"/>
    <s v="2025-7"/>
    <s v="Week 7"/>
    <x v="6"/>
  </r>
  <r>
    <d v="2025-02-15T00:00:00"/>
    <x v="11"/>
    <n v="30"/>
    <n v="2025"/>
    <s v="2025-7"/>
    <s v="Week 7"/>
    <x v="6"/>
  </r>
  <r>
    <d v="2025-02-15T00:00:00"/>
    <x v="14"/>
    <n v="22"/>
    <n v="2025"/>
    <s v="2025-7"/>
    <s v="Week 7"/>
    <x v="6"/>
  </r>
  <r>
    <d v="2025-02-15T00:00:00"/>
    <x v="15"/>
    <n v="23"/>
    <n v="2025"/>
    <s v="2025-7"/>
    <s v="Week 7"/>
    <x v="6"/>
  </r>
  <r>
    <d v="2025-02-15T00:00:00"/>
    <x v="14"/>
    <n v="8"/>
    <n v="2025"/>
    <s v="2025-7"/>
    <s v="Week 7"/>
    <x v="6"/>
  </r>
  <r>
    <d v="2025-02-15T00:00:00"/>
    <x v="15"/>
    <n v="7"/>
    <n v="2025"/>
    <s v="2025-7"/>
    <s v="Week 7"/>
    <x v="6"/>
  </r>
  <r>
    <d v="2025-02-15T00:00:00"/>
    <x v="30"/>
    <n v="4"/>
    <n v="2025"/>
    <s v="2025-7"/>
    <s v="Week 7"/>
    <x v="6"/>
  </r>
  <r>
    <d v="2025-02-16T00:00:00"/>
    <x v="3"/>
    <n v="4"/>
    <n v="2025"/>
    <s v="2025-7"/>
    <s v="Week 8"/>
    <x v="7"/>
  </r>
  <r>
    <d v="2025-02-16T00:00:00"/>
    <x v="14"/>
    <n v="2"/>
    <n v="2025"/>
    <s v="2025-7"/>
    <s v="Week 8"/>
    <x v="7"/>
  </r>
  <r>
    <d v="2025-02-18T00:00:00"/>
    <x v="12"/>
    <n v="27"/>
    <n v="2025"/>
    <s v="2025-8"/>
    <s v="Week 8"/>
    <x v="7"/>
  </r>
  <r>
    <d v="2025-02-18T00:00:00"/>
    <x v="2"/>
    <n v="22"/>
    <n v="2025"/>
    <s v="2025-8"/>
    <s v="Week 8"/>
    <x v="7"/>
  </r>
  <r>
    <d v="2025-02-18T00:00:00"/>
    <x v="3"/>
    <n v="15"/>
    <n v="2025"/>
    <s v="2025-8"/>
    <s v="Week 8"/>
    <x v="7"/>
  </r>
  <r>
    <d v="2025-02-18T00:00:00"/>
    <x v="3"/>
    <n v="13"/>
    <n v="2025"/>
    <s v="2025-8"/>
    <s v="Week 8"/>
    <x v="7"/>
  </r>
  <r>
    <d v="2025-02-18T00:00:00"/>
    <x v="27"/>
    <n v="24"/>
    <n v="2025"/>
    <s v="2025-8"/>
    <s v="Week 8"/>
    <x v="7"/>
  </r>
  <r>
    <d v="2025-02-18T00:00:00"/>
    <x v="17"/>
    <n v="7"/>
    <n v="2025"/>
    <s v="2025-8"/>
    <s v="Week 8"/>
    <x v="7"/>
  </r>
  <r>
    <d v="2025-02-18T00:00:00"/>
    <x v="15"/>
    <n v="14"/>
    <n v="2025"/>
    <s v="2025-8"/>
    <s v="Week 8"/>
    <x v="7"/>
  </r>
  <r>
    <d v="2025-02-18T00:00:00"/>
    <x v="14"/>
    <n v="6"/>
    <n v="2025"/>
    <s v="2025-8"/>
    <s v="Week 8"/>
    <x v="7"/>
  </r>
  <r>
    <d v="2025-02-18T00:00:00"/>
    <x v="12"/>
    <n v="8"/>
    <n v="2025"/>
    <s v="2025-8"/>
    <s v="Week 8"/>
    <x v="7"/>
  </r>
  <r>
    <d v="2025-02-18T00:00:00"/>
    <x v="17"/>
    <n v="5"/>
    <n v="2025"/>
    <s v="2025-8"/>
    <s v="Week 8"/>
    <x v="7"/>
  </r>
  <r>
    <d v="2025-02-18T00:00:00"/>
    <x v="11"/>
    <n v="6"/>
    <n v="2025"/>
    <s v="2025-8"/>
    <s v="Week 8"/>
    <x v="7"/>
  </r>
  <r>
    <d v="2025-02-18T00:00:00"/>
    <x v="3"/>
    <n v="5"/>
    <n v="2025"/>
    <s v="2025-8"/>
    <s v="Week 8"/>
    <x v="7"/>
  </r>
  <r>
    <d v="2025-02-18T00:00:00"/>
    <x v="11"/>
    <n v="2"/>
    <n v="2025"/>
    <s v="2025-8"/>
    <s v="Week 8"/>
    <x v="7"/>
  </r>
  <r>
    <d v="2025-02-18T00:00:00"/>
    <x v="5"/>
    <n v="1"/>
    <n v="2025"/>
    <s v="2025-8"/>
    <s v="Week 8"/>
    <x v="7"/>
  </r>
  <r>
    <d v="2025-02-18T00:00:00"/>
    <x v="19"/>
    <n v="2"/>
    <n v="2025"/>
    <s v="2025-8"/>
    <s v="Week 8"/>
    <x v="7"/>
  </r>
  <r>
    <d v="2025-02-18T00:00:00"/>
    <x v="19"/>
    <n v="2"/>
    <n v="2025"/>
    <s v="2025-8"/>
    <s v="Week 8"/>
    <x v="7"/>
  </r>
  <r>
    <d v="2025-02-19T00:00:00"/>
    <x v="3"/>
    <n v="4"/>
    <n v="2025"/>
    <s v="2025-8"/>
    <s v="Week 8"/>
    <x v="7"/>
  </r>
  <r>
    <d v="2025-02-19T00:00:00"/>
    <x v="11"/>
    <n v="4"/>
    <n v="2025"/>
    <s v="2025-8"/>
    <s v="Week 8"/>
    <x v="7"/>
  </r>
  <r>
    <d v="2025-02-20T00:00:00"/>
    <x v="17"/>
    <n v="24"/>
    <n v="2025"/>
    <s v="2025-8"/>
    <s v="Week 8"/>
    <x v="7"/>
  </r>
  <r>
    <d v="2025-02-20T00:00:00"/>
    <x v="3"/>
    <n v="17"/>
    <n v="2025"/>
    <s v="2025-8"/>
    <s v="Week 8"/>
    <x v="7"/>
  </r>
  <r>
    <d v="2025-02-20T00:00:00"/>
    <x v="14"/>
    <n v="14"/>
    <n v="2025"/>
    <s v="2025-8"/>
    <s v="Week 8"/>
    <x v="7"/>
  </r>
  <r>
    <d v="2025-02-20T00:00:00"/>
    <x v="11"/>
    <n v="12"/>
    <n v="2025"/>
    <s v="2025-8"/>
    <s v="Week 8"/>
    <x v="7"/>
  </r>
  <r>
    <d v="2025-02-20T00:00:00"/>
    <x v="19"/>
    <n v="20"/>
    <n v="2025"/>
    <s v="2025-8"/>
    <s v="Week 8"/>
    <x v="7"/>
  </r>
  <r>
    <d v="2025-02-20T00:00:00"/>
    <x v="12"/>
    <n v="13"/>
    <n v="2025"/>
    <s v="2025-8"/>
    <s v="Week 8"/>
    <x v="7"/>
  </r>
  <r>
    <d v="2025-02-20T00:00:00"/>
    <x v="17"/>
    <n v="8"/>
    <n v="2025"/>
    <s v="2025-8"/>
    <s v="Week 8"/>
    <x v="7"/>
  </r>
  <r>
    <d v="2025-02-20T00:00:00"/>
    <x v="25"/>
    <n v="14"/>
    <n v="2025"/>
    <s v="2025-8"/>
    <s v="Week 8"/>
    <x v="7"/>
  </r>
  <r>
    <d v="2025-02-20T00:00:00"/>
    <x v="0"/>
    <n v="4"/>
    <n v="2025"/>
    <s v="2025-8"/>
    <s v="Week 8"/>
    <x v="7"/>
  </r>
  <r>
    <d v="2025-02-20T00:00:00"/>
    <x v="31"/>
    <n v="10"/>
    <n v="2025"/>
    <s v="2025-8"/>
    <s v="Week 8"/>
    <x v="7"/>
  </r>
  <r>
    <d v="2025-02-20T00:00:00"/>
    <x v="25"/>
    <n v="8"/>
    <n v="2025"/>
    <s v="2025-8"/>
    <s v="Week 8"/>
    <x v="7"/>
  </r>
  <r>
    <d v="2025-02-20T00:00:00"/>
    <x v="9"/>
    <n v="6"/>
    <n v="2025"/>
    <s v="2025-8"/>
    <s v="Week 8"/>
    <x v="7"/>
  </r>
  <r>
    <d v="2025-02-20T00:00:00"/>
    <x v="2"/>
    <n v="7"/>
    <n v="2025"/>
    <s v="2025-8"/>
    <s v="Week 8"/>
    <x v="7"/>
  </r>
  <r>
    <d v="2025-02-20T00:00:00"/>
    <x v="3"/>
    <n v="5"/>
    <n v="2025"/>
    <s v="2025-8"/>
    <s v="Week 8"/>
    <x v="7"/>
  </r>
  <r>
    <d v="2025-02-20T00:00:00"/>
    <x v="5"/>
    <n v="3"/>
    <n v="2025"/>
    <s v="2025-8"/>
    <s v="Week 8"/>
    <x v="7"/>
  </r>
  <r>
    <d v="2025-02-20T00:00:00"/>
    <x v="10"/>
    <n v="4"/>
    <n v="2025"/>
    <s v="2025-8"/>
    <s v="Week 8"/>
    <x v="7"/>
  </r>
  <r>
    <d v="2025-02-20T00:00:00"/>
    <x v="7"/>
    <n v="3"/>
    <n v="2025"/>
    <s v="2025-8"/>
    <s v="Week 8"/>
    <x v="7"/>
  </r>
  <r>
    <d v="2025-02-20T00:00:00"/>
    <x v="2"/>
    <n v="4"/>
    <n v="2025"/>
    <s v="2025-8"/>
    <s v="Week 8"/>
    <x v="7"/>
  </r>
  <r>
    <d v="2025-02-20T00:00:00"/>
    <x v="9"/>
    <n v="3"/>
    <n v="2025"/>
    <s v="2025-8"/>
    <s v="Week 8"/>
    <x v="7"/>
  </r>
  <r>
    <d v="2025-02-20T00:00:00"/>
    <x v="14"/>
    <n v="2"/>
    <n v="2025"/>
    <s v="2025-8"/>
    <s v="Week 8"/>
    <x v="7"/>
  </r>
  <r>
    <d v="2025-02-20T00:00:00"/>
    <x v="15"/>
    <n v="4"/>
    <n v="2025"/>
    <s v="2025-8"/>
    <s v="Week 8"/>
    <x v="7"/>
  </r>
  <r>
    <d v="2025-02-20T00:00:00"/>
    <x v="10"/>
    <n v="2"/>
    <n v="2025"/>
    <s v="2025-8"/>
    <s v="Week 8"/>
    <x v="7"/>
  </r>
  <r>
    <d v="2025-02-20T00:00:00"/>
    <x v="5"/>
    <n v="1"/>
    <n v="2025"/>
    <s v="2025-8"/>
    <s v="Week 8"/>
    <x v="7"/>
  </r>
  <r>
    <d v="2025-02-20T00:00:00"/>
    <x v="7"/>
    <n v="1"/>
    <n v="2025"/>
    <s v="2025-8"/>
    <s v="Week 8"/>
    <x v="7"/>
  </r>
  <r>
    <d v="2025-02-20T00:00:00"/>
    <x v="18"/>
    <n v="2"/>
    <n v="2025"/>
    <s v="2025-8"/>
    <s v="Week 8"/>
    <x v="7"/>
  </r>
  <r>
    <d v="2025-02-20T00:00:00"/>
    <x v="12"/>
    <n v="1"/>
    <n v="2025"/>
    <s v="2025-8"/>
    <s v="Week 8"/>
    <x v="7"/>
  </r>
  <r>
    <d v="2025-02-22T00:00:00"/>
    <x v="18"/>
    <n v="8"/>
    <n v="2025"/>
    <s v="2025-8"/>
    <s v="Week 8"/>
    <x v="7"/>
  </r>
  <r>
    <d v="2025-02-22T00:00:00"/>
    <x v="28"/>
    <n v="4"/>
    <n v="2025"/>
    <s v="2025-8"/>
    <s v="Week 8"/>
    <x v="7"/>
  </r>
  <r>
    <d v="2025-02-22T00:00:00"/>
    <x v="31"/>
    <n v="2"/>
    <n v="2025"/>
    <s v="2025-8"/>
    <s v="Week 8"/>
    <x v="7"/>
  </r>
  <r>
    <d v="2025-02-22T00:00:00"/>
    <x v="27"/>
    <n v="2"/>
    <n v="2025"/>
    <s v="2025-8"/>
    <s v="Week 8"/>
    <x v="7"/>
  </r>
  <r>
    <d v="2025-02-22T00:00:00"/>
    <x v="30"/>
    <n v="2"/>
    <n v="2025"/>
    <s v="2025-8"/>
    <s v="Week 8"/>
    <x v="7"/>
  </r>
  <r>
    <d v="2025-02-24T00:00:00"/>
    <x v="14"/>
    <n v="16"/>
    <n v="2025"/>
    <s v="2025-9"/>
    <s v="Week 9"/>
    <x v="8"/>
  </r>
  <r>
    <d v="2025-02-24T00:00:00"/>
    <x v="13"/>
    <n v="4"/>
    <n v="2025"/>
    <s v="2025-9"/>
    <s v="Week 9"/>
    <x v="8"/>
  </r>
  <r>
    <d v="2025-02-24T00:00:00"/>
    <x v="15"/>
    <n v="8"/>
    <n v="2025"/>
    <s v="2025-9"/>
    <s v="Week 9"/>
    <x v="8"/>
  </r>
  <r>
    <d v="2025-02-24T00:00:00"/>
    <x v="3"/>
    <n v="4"/>
    <n v="2025"/>
    <s v="2025-9"/>
    <s v="Week 9"/>
    <x v="8"/>
  </r>
  <r>
    <d v="2025-02-24T00:00:00"/>
    <x v="3"/>
    <n v="4"/>
    <n v="2025"/>
    <s v="2025-9"/>
    <s v="Week 9"/>
    <x v="8"/>
  </r>
  <r>
    <d v="2025-02-24T00:00:00"/>
    <x v="11"/>
    <n v="2"/>
    <n v="2025"/>
    <s v="2025-9"/>
    <s v="Week 9"/>
    <x v="8"/>
  </r>
  <r>
    <d v="2025-02-24T00:00:00"/>
    <x v="19"/>
    <n v="2"/>
    <n v="2025"/>
    <s v="2025-9"/>
    <s v="Week 9"/>
    <x v="8"/>
  </r>
  <r>
    <d v="2025-02-25T00:00:00"/>
    <x v="4"/>
    <n v="35"/>
    <n v="2025"/>
    <s v="2025-9"/>
    <s v="Week 9"/>
    <x v="8"/>
  </r>
  <r>
    <d v="2025-02-25T00:00:00"/>
    <x v="30"/>
    <n v="20"/>
    <n v="2025"/>
    <s v="2025-9"/>
    <s v="Week 9"/>
    <x v="8"/>
  </r>
  <r>
    <d v="2025-02-25T00:00:00"/>
    <x v="4"/>
    <n v="13"/>
    <n v="2025"/>
    <s v="2025-9"/>
    <s v="Week 9"/>
    <x v="8"/>
  </r>
  <r>
    <d v="2025-02-25T00:00:00"/>
    <x v="12"/>
    <n v="7"/>
    <n v="2025"/>
    <s v="2025-9"/>
    <s v="Week 9"/>
    <x v="8"/>
  </r>
  <r>
    <d v="2025-02-25T00:00:00"/>
    <x v="12"/>
    <n v="6"/>
    <n v="2025"/>
    <s v="2025-9"/>
    <s v="Week 9"/>
    <x v="8"/>
  </r>
  <r>
    <d v="2025-02-25T00:00:00"/>
    <x v="15"/>
    <n v="8"/>
    <n v="2025"/>
    <s v="2025-9"/>
    <s v="Week 9"/>
    <x v="8"/>
  </r>
  <r>
    <d v="2025-02-25T00:00:00"/>
    <x v="10"/>
    <n v="4"/>
    <n v="2025"/>
    <s v="2025-9"/>
    <s v="Week 9"/>
    <x v="8"/>
  </r>
  <r>
    <d v="2025-02-25T00:00:00"/>
    <x v="3"/>
    <n v="4"/>
    <n v="2025"/>
    <s v="2025-9"/>
    <s v="Week 9"/>
    <x v="8"/>
  </r>
  <r>
    <d v="2025-02-25T00:00:00"/>
    <x v="33"/>
    <n v="8"/>
    <n v="2025"/>
    <s v="2025-9"/>
    <s v="Week 9"/>
    <x v="8"/>
  </r>
  <r>
    <d v="2025-02-25T00:00:00"/>
    <x v="2"/>
    <n v="4"/>
    <n v="2025"/>
    <s v="2025-9"/>
    <s v="Week 9"/>
    <x v="8"/>
  </r>
  <r>
    <d v="2025-02-25T00:00:00"/>
    <x v="27"/>
    <n v="6"/>
    <n v="2025"/>
    <s v="2025-9"/>
    <s v="Week 9"/>
    <x v="8"/>
  </r>
  <r>
    <d v="2025-02-25T00:00:00"/>
    <x v="27"/>
    <n v="6"/>
    <n v="2025"/>
    <s v="2025-9"/>
    <s v="Week 9"/>
    <x v="8"/>
  </r>
  <r>
    <d v="2025-02-25T00:00:00"/>
    <x v="28"/>
    <n v="7"/>
    <n v="2025"/>
    <s v="2025-9"/>
    <s v="Week 9"/>
    <x v="8"/>
  </r>
  <r>
    <d v="2025-02-25T00:00:00"/>
    <x v="28"/>
    <n v="4"/>
    <n v="2025"/>
    <s v="2025-9"/>
    <s v="Week 9"/>
    <x v="8"/>
  </r>
  <r>
    <d v="2025-02-25T00:00:00"/>
    <x v="21"/>
    <n v="2"/>
    <n v="2025"/>
    <s v="2025-9"/>
    <s v="Week 9"/>
    <x v="8"/>
  </r>
  <r>
    <d v="2025-02-25T00:00:00"/>
    <x v="24"/>
    <n v="2"/>
    <n v="2025"/>
    <s v="2025-9"/>
    <s v="Week 9"/>
    <x v="8"/>
  </r>
  <r>
    <d v="2025-02-25T00:00:00"/>
    <x v="2"/>
    <n v="1"/>
    <n v="2025"/>
    <s v="2025-9"/>
    <s v="Week 9"/>
    <x v="8"/>
  </r>
  <r>
    <d v="2025-02-26T00:00:00"/>
    <x v="13"/>
    <n v="8"/>
    <n v="2025"/>
    <s v="2025-9"/>
    <s v="Week 9"/>
    <x v="8"/>
  </r>
  <r>
    <d v="2025-02-26T00:00:00"/>
    <x v="11"/>
    <n v="8"/>
    <n v="2025"/>
    <s v="2025-9"/>
    <s v="Week 9"/>
    <x v="8"/>
  </r>
  <r>
    <d v="2025-03-01T00:00:00"/>
    <x v="3"/>
    <n v="14"/>
    <n v="2025"/>
    <s v="2025-9"/>
    <s v="Week 9"/>
    <x v="8"/>
  </r>
  <r>
    <d v="2025-03-01T00:00:00"/>
    <x v="13"/>
    <n v="8"/>
    <n v="2025"/>
    <s v="2025-9"/>
    <s v="Week 9"/>
    <x v="8"/>
  </r>
  <r>
    <d v="2025-03-01T00:00:00"/>
    <x v="11"/>
    <n v="10"/>
    <n v="2025"/>
    <s v="2025-9"/>
    <s v="Week 9"/>
    <x v="8"/>
  </r>
  <r>
    <d v="2025-03-01T00:00:00"/>
    <x v="11"/>
    <n v="8"/>
    <n v="2025"/>
    <s v="2025-9"/>
    <s v="Week 9"/>
    <x v="8"/>
  </r>
  <r>
    <d v="2025-03-01T00:00:00"/>
    <x v="12"/>
    <n v="8"/>
    <n v="2025"/>
    <s v="2025-9"/>
    <s v="Week 9"/>
    <x v="8"/>
  </r>
  <r>
    <d v="2025-03-01T00:00:00"/>
    <x v="12"/>
    <n v="8"/>
    <n v="2025"/>
    <s v="2025-9"/>
    <s v="Week 9"/>
    <x v="8"/>
  </r>
  <r>
    <d v="2025-03-01T00:00:00"/>
    <x v="12"/>
    <n v="8"/>
    <n v="2025"/>
    <s v="2025-9"/>
    <s v="Week 9"/>
    <x v="8"/>
  </r>
  <r>
    <d v="2025-03-01T00:00:00"/>
    <x v="11"/>
    <n v="6"/>
    <n v="2025"/>
    <s v="2025-9"/>
    <s v="Week 9"/>
    <x v="8"/>
  </r>
  <r>
    <d v="2025-03-01T00:00:00"/>
    <x v="25"/>
    <n v="8"/>
    <n v="2025"/>
    <s v="2025-9"/>
    <s v="Week 9"/>
    <x v="8"/>
  </r>
  <r>
    <d v="2025-03-01T00:00:00"/>
    <x v="12"/>
    <n v="6"/>
    <n v="2025"/>
    <s v="2025-9"/>
    <s v="Week 9"/>
    <x v="8"/>
  </r>
  <r>
    <d v="2025-03-01T00:00:00"/>
    <x v="34"/>
    <n v="6"/>
    <n v="2025"/>
    <s v="2025-9"/>
    <s v="Week 9"/>
    <x v="8"/>
  </r>
  <r>
    <d v="2025-03-01T00:00:00"/>
    <x v="15"/>
    <n v="8"/>
    <n v="2025"/>
    <s v="2025-9"/>
    <s v="Week 9"/>
    <x v="8"/>
  </r>
  <r>
    <d v="2025-03-01T00:00:00"/>
    <x v="15"/>
    <n v="8"/>
    <n v="2025"/>
    <s v="2025-9"/>
    <s v="Week 9"/>
    <x v="8"/>
  </r>
  <r>
    <d v="2025-03-01T00:00:00"/>
    <x v="20"/>
    <n v="4"/>
    <n v="2025"/>
    <s v="2025-9"/>
    <s v="Week 9"/>
    <x v="8"/>
  </r>
  <r>
    <d v="2025-03-01T00:00:00"/>
    <x v="2"/>
    <n v="4"/>
    <n v="2025"/>
    <s v="2025-9"/>
    <s v="Week 9"/>
    <x v="8"/>
  </r>
  <r>
    <d v="2025-03-01T00:00:00"/>
    <x v="6"/>
    <n v="2"/>
    <n v="2025"/>
    <s v="2025-9"/>
    <s v="Week 9"/>
    <x v="8"/>
  </r>
  <r>
    <d v="2025-03-01T00:00:00"/>
    <x v="14"/>
    <n v="2"/>
    <n v="2025"/>
    <s v="2025-9"/>
    <s v="Week 9"/>
    <x v="8"/>
  </r>
  <r>
    <d v="2025-03-01T00:00:00"/>
    <x v="26"/>
    <n v="4"/>
    <n v="2025"/>
    <s v="2025-9"/>
    <s v="Week 9"/>
    <x v="8"/>
  </r>
  <r>
    <d v="2025-03-04T00:00:00"/>
    <x v="11"/>
    <n v="8"/>
    <n v="2025"/>
    <s v="2025-10"/>
    <s v="Week 10"/>
    <x v="9"/>
  </r>
  <r>
    <d v="2025-03-04T00:00:00"/>
    <x v="12"/>
    <n v="4"/>
    <n v="2025"/>
    <s v="2025-10"/>
    <s v="Week 10"/>
    <x v="9"/>
  </r>
  <r>
    <d v="2025-03-04T00:00:00"/>
    <x v="3"/>
    <n v="2"/>
    <n v="2025"/>
    <s v="2025-10"/>
    <s v="Week 10"/>
    <x v="9"/>
  </r>
  <r>
    <d v="2025-03-05T00:00:00"/>
    <x v="14"/>
    <n v="2"/>
    <n v="2025"/>
    <s v="2025-10"/>
    <s v="Week 10"/>
    <x v="9"/>
  </r>
  <r>
    <d v="2025-03-06T00:00:00"/>
    <x v="11"/>
    <n v="50"/>
    <n v="2025"/>
    <s v="2025-10"/>
    <s v="Week 10"/>
    <x v="9"/>
  </r>
  <r>
    <d v="2025-03-06T00:00:00"/>
    <x v="12"/>
    <n v="50"/>
    <n v="2025"/>
    <s v="2025-10"/>
    <s v="Week 10"/>
    <x v="9"/>
  </r>
  <r>
    <d v="2025-03-06T00:00:00"/>
    <x v="3"/>
    <n v="36"/>
    <n v="2025"/>
    <s v="2025-10"/>
    <s v="Week 10"/>
    <x v="9"/>
  </r>
  <r>
    <d v="2025-03-06T00:00:00"/>
    <x v="10"/>
    <n v="27"/>
    <n v="2025"/>
    <s v="2025-10"/>
    <s v="Week 10"/>
    <x v="9"/>
  </r>
  <r>
    <d v="2025-03-06T00:00:00"/>
    <x v="10"/>
    <n v="23"/>
    <n v="2025"/>
    <s v="2025-10"/>
    <s v="Week 10"/>
    <x v="9"/>
  </r>
  <r>
    <d v="2025-03-06T00:00:00"/>
    <x v="14"/>
    <n v="20"/>
    <n v="2025"/>
    <s v="2025-10"/>
    <s v="Week 10"/>
    <x v="9"/>
  </r>
  <r>
    <d v="2025-03-06T00:00:00"/>
    <x v="10"/>
    <n v="16"/>
    <n v="2025"/>
    <s v="2025-10"/>
    <s v="Week 10"/>
    <x v="9"/>
  </r>
  <r>
    <d v="2025-03-06T00:00:00"/>
    <x v="3"/>
    <n v="10"/>
    <n v="2025"/>
    <s v="2025-10"/>
    <s v="Week 10"/>
    <x v="9"/>
  </r>
  <r>
    <d v="2025-03-06T00:00:00"/>
    <x v="15"/>
    <n v="13"/>
    <n v="2025"/>
    <s v="2025-10"/>
    <s v="Week 10"/>
    <x v="9"/>
  </r>
  <r>
    <d v="2025-03-06T00:00:00"/>
    <x v="27"/>
    <n v="14"/>
    <n v="2025"/>
    <s v="2025-10"/>
    <s v="Week 10"/>
    <x v="9"/>
  </r>
  <r>
    <d v="2025-03-06T00:00:00"/>
    <x v="3"/>
    <n v="4"/>
    <n v="2025"/>
    <s v="2025-10"/>
    <s v="Week 10"/>
    <x v="9"/>
  </r>
  <r>
    <d v="2025-03-06T00:00:00"/>
    <x v="15"/>
    <n v="7"/>
    <n v="2025"/>
    <s v="2025-10"/>
    <s v="Week 10"/>
    <x v="9"/>
  </r>
  <r>
    <d v="2025-03-06T00:00:00"/>
    <x v="27"/>
    <n v="6"/>
    <n v="2025"/>
    <s v="2025-10"/>
    <s v="Week 10"/>
    <x v="9"/>
  </r>
  <r>
    <d v="2025-03-07T00:00:00"/>
    <x v="6"/>
    <n v="2"/>
    <n v="2025"/>
    <s v="2025-10"/>
    <s v="Week 10"/>
    <x v="9"/>
  </r>
  <r>
    <d v="2025-03-08T00:00:00"/>
    <x v="12"/>
    <n v="26"/>
    <n v="2025"/>
    <s v="2025-10"/>
    <s v="Week 10"/>
    <x v="9"/>
  </r>
  <r>
    <d v="2025-03-08T00:00:00"/>
    <x v="11"/>
    <n v="6"/>
    <n v="2025"/>
    <s v="2025-10"/>
    <s v="Week 10"/>
    <x v="9"/>
  </r>
  <r>
    <d v="2025-03-08T00:00:00"/>
    <x v="15"/>
    <n v="8"/>
    <n v="2025"/>
    <s v="2025-10"/>
    <s v="Week 10"/>
    <x v="9"/>
  </r>
  <r>
    <d v="2025-03-08T00:00:00"/>
    <x v="3"/>
    <n v="2"/>
    <n v="2025"/>
    <s v="2025-10"/>
    <s v="Week 10"/>
    <x v="9"/>
  </r>
  <r>
    <d v="2025-03-08T00:00:00"/>
    <x v="12"/>
    <n v="2"/>
    <n v="2025"/>
    <s v="2025-10"/>
    <s v="Week 10"/>
    <x v="9"/>
  </r>
  <r>
    <d v="2025-03-08T00:00:00"/>
    <x v="4"/>
    <n v="1"/>
    <n v="2025"/>
    <s v="2025-10"/>
    <s v="Week 10"/>
    <x v="9"/>
  </r>
  <r>
    <d v="2025-03-09T00:00:00"/>
    <x v="15"/>
    <n v="8"/>
    <n v="2025"/>
    <s v="2025-10"/>
    <s v="Week 11"/>
    <x v="10"/>
  </r>
  <r>
    <d v="2025-03-09T00:00:00"/>
    <x v="12"/>
    <n v="4"/>
    <n v="2025"/>
    <s v="2025-10"/>
    <s v="Week 11"/>
    <x v="10"/>
  </r>
  <r>
    <d v="2025-03-09T00:00:00"/>
    <x v="25"/>
    <n v="4"/>
    <n v="2025"/>
    <s v="2025-10"/>
    <s v="Week 11"/>
    <x v="10"/>
  </r>
  <r>
    <d v="2025-03-09T00:00:00"/>
    <x v="11"/>
    <n v="2"/>
    <n v="2025"/>
    <s v="2025-10"/>
    <s v="Week 11"/>
    <x v="10"/>
  </r>
  <r>
    <d v="2025-03-11T00:00:00"/>
    <x v="3"/>
    <n v="8"/>
    <n v="2025"/>
    <s v="2025-11"/>
    <s v="Week 11"/>
    <x v="10"/>
  </r>
  <r>
    <d v="2025-03-11T00:00:00"/>
    <x v="7"/>
    <n v="2"/>
    <n v="2025"/>
    <s v="2025-11"/>
    <s v="Week 11"/>
    <x v="10"/>
  </r>
  <r>
    <d v="2025-03-11T00:00:00"/>
    <x v="7"/>
    <n v="2"/>
    <n v="2025"/>
    <s v="2025-11"/>
    <s v="Week 11"/>
    <x v="10"/>
  </r>
  <r>
    <d v="2025-03-12T00:00:00"/>
    <x v="15"/>
    <n v="4"/>
    <n v="2025"/>
    <s v="2025-11"/>
    <s v="Week 11"/>
    <x v="10"/>
  </r>
  <r>
    <d v="2025-03-12T00:00:00"/>
    <x v="12"/>
    <n v="2"/>
    <n v="2025"/>
    <s v="2025-11"/>
    <s v="Week 11"/>
    <x v="10"/>
  </r>
  <r>
    <d v="2025-03-12T00:00:00"/>
    <x v="4"/>
    <n v="2"/>
    <n v="2025"/>
    <s v="2025-11"/>
    <s v="Week 11"/>
    <x v="10"/>
  </r>
  <r>
    <d v="2025-03-12T00:00:00"/>
    <x v="11"/>
    <n v="1"/>
    <n v="2025"/>
    <s v="2025-11"/>
    <s v="Week 11"/>
    <x v="10"/>
  </r>
  <r>
    <d v="2025-03-13T00:00:00"/>
    <x v="13"/>
    <n v="8"/>
    <n v="2025"/>
    <s v="2025-11"/>
    <s v="Week 11"/>
    <x v="10"/>
  </r>
  <r>
    <d v="2025-03-13T00:00:00"/>
    <x v="10"/>
    <n v="8"/>
    <n v="2025"/>
    <s v="2025-11"/>
    <s v="Week 11"/>
    <x v="10"/>
  </r>
  <r>
    <d v="2025-03-13T00:00:00"/>
    <x v="11"/>
    <n v="8"/>
    <n v="2025"/>
    <s v="2025-11"/>
    <s v="Week 11"/>
    <x v="10"/>
  </r>
  <r>
    <d v="2025-03-13T00:00:00"/>
    <x v="11"/>
    <n v="8"/>
    <n v="2025"/>
    <s v="2025-11"/>
    <s v="Week 11"/>
    <x v="10"/>
  </r>
  <r>
    <d v="2025-03-13T00:00:00"/>
    <x v="13"/>
    <n v="6"/>
    <n v="2025"/>
    <s v="2025-11"/>
    <s v="Week 11"/>
    <x v="10"/>
  </r>
  <r>
    <d v="2025-03-13T00:00:00"/>
    <x v="6"/>
    <n v="4"/>
    <n v="2025"/>
    <s v="2025-11"/>
    <s v="Week 11"/>
    <x v="10"/>
  </r>
  <r>
    <d v="2025-03-13T00:00:00"/>
    <x v="14"/>
    <n v="2"/>
    <n v="2025"/>
    <s v="2025-11"/>
    <s v="Week 11"/>
    <x v="10"/>
  </r>
  <r>
    <d v="2025-03-13T00:00:00"/>
    <x v="14"/>
    <n v="2"/>
    <n v="2025"/>
    <s v="2025-11"/>
    <s v="Week 11"/>
    <x v="10"/>
  </r>
  <r>
    <d v="2025-03-14T00:00:00"/>
    <x v="12"/>
    <n v="10"/>
    <n v="2025"/>
    <s v="2025-11"/>
    <s v="Week 11"/>
    <x v="10"/>
  </r>
  <r>
    <d v="2025-03-15T00:00:00"/>
    <x v="11"/>
    <n v="22"/>
    <n v="2025"/>
    <s v="2025-11"/>
    <s v="Week 11"/>
    <x v="10"/>
  </r>
  <r>
    <d v="2025-03-15T00:00:00"/>
    <x v="3"/>
    <n v="12"/>
    <n v="2025"/>
    <s v="2025-11"/>
    <s v="Week 11"/>
    <x v="10"/>
  </r>
  <r>
    <d v="2025-03-15T00:00:00"/>
    <x v="31"/>
    <n v="14"/>
    <n v="2025"/>
    <s v="2025-11"/>
    <s v="Week 11"/>
    <x v="10"/>
  </r>
  <r>
    <d v="2025-03-15T00:00:00"/>
    <x v="12"/>
    <n v="10"/>
    <n v="2025"/>
    <s v="2025-11"/>
    <s v="Week 11"/>
    <x v="10"/>
  </r>
  <r>
    <d v="2025-03-15T00:00:00"/>
    <x v="35"/>
    <n v="8"/>
    <n v="2025"/>
    <s v="2025-11"/>
    <s v="Week 11"/>
    <x v="10"/>
  </r>
  <r>
    <d v="2025-03-15T00:00:00"/>
    <x v="15"/>
    <n v="6"/>
    <n v="2025"/>
    <s v="2025-11"/>
    <s v="Week 11"/>
    <x v="10"/>
  </r>
  <r>
    <d v="2025-03-15T00:00:00"/>
    <x v="12"/>
    <n v="4"/>
    <n v="2025"/>
    <s v="2025-11"/>
    <s v="Week 11"/>
    <x v="10"/>
  </r>
  <r>
    <d v="2025-03-16T00:00:00"/>
    <x v="17"/>
    <n v="11"/>
    <n v="2025"/>
    <s v="2025-11"/>
    <s v="Week 12"/>
    <x v="11"/>
  </r>
  <r>
    <d v="2025-03-16T00:00:00"/>
    <x v="10"/>
    <n v="8"/>
    <n v="2025"/>
    <s v="2025-11"/>
    <s v="Week 12"/>
    <x v="11"/>
  </r>
  <r>
    <d v="2025-03-16T00:00:00"/>
    <x v="7"/>
    <n v="6"/>
    <n v="2025"/>
    <s v="2025-11"/>
    <s v="Week 12"/>
    <x v="11"/>
  </r>
  <r>
    <d v="2025-03-16T00:00:00"/>
    <x v="17"/>
    <n v="5"/>
    <n v="2025"/>
    <s v="2025-11"/>
    <s v="Week 12"/>
    <x v="11"/>
  </r>
  <r>
    <d v="2025-03-16T00:00:00"/>
    <x v="1"/>
    <n v="8"/>
    <n v="2025"/>
    <s v="2025-11"/>
    <s v="Week 12"/>
    <x v="11"/>
  </r>
  <r>
    <d v="2025-03-16T00:00:00"/>
    <x v="20"/>
    <n v="5"/>
    <n v="2025"/>
    <s v="2025-11"/>
    <s v="Week 12"/>
    <x v="11"/>
  </r>
  <r>
    <d v="2025-03-16T00:00:00"/>
    <x v="4"/>
    <n v="8"/>
    <n v="2025"/>
    <s v="2025-11"/>
    <s v="Week 12"/>
    <x v="11"/>
  </r>
  <r>
    <d v="2025-03-16T00:00:00"/>
    <x v="12"/>
    <n v="4"/>
    <n v="2025"/>
    <s v="2025-11"/>
    <s v="Week 12"/>
    <x v="11"/>
  </r>
  <r>
    <d v="2025-03-16T00:00:00"/>
    <x v="28"/>
    <n v="8"/>
    <n v="2025"/>
    <s v="2025-11"/>
    <s v="Week 12"/>
    <x v="11"/>
  </r>
  <r>
    <d v="2025-03-16T00:00:00"/>
    <x v="20"/>
    <n v="3"/>
    <n v="2025"/>
    <s v="2025-11"/>
    <s v="Week 12"/>
    <x v="11"/>
  </r>
  <r>
    <d v="2025-03-16T00:00:00"/>
    <x v="15"/>
    <n v="4"/>
    <n v="2025"/>
    <s v="2025-11"/>
    <s v="Week 12"/>
    <x v="11"/>
  </r>
  <r>
    <d v="2025-03-16T00:00:00"/>
    <x v="28"/>
    <n v="4"/>
    <n v="2025"/>
    <s v="2025-11"/>
    <s v="Week 12"/>
    <x v="11"/>
  </r>
  <r>
    <d v="2025-03-17T00:00:00"/>
    <x v="13"/>
    <n v="32"/>
    <n v="2025"/>
    <s v="2025-12"/>
    <s v="Week 12"/>
    <x v="11"/>
  </r>
  <r>
    <d v="2025-03-17T00:00:00"/>
    <x v="5"/>
    <n v="16"/>
    <n v="2025"/>
    <s v="2025-12"/>
    <s v="Week 12"/>
    <x v="11"/>
  </r>
  <r>
    <d v="2025-03-17T00:00:00"/>
    <x v="3"/>
    <n v="24"/>
    <n v="2025"/>
    <s v="2025-12"/>
    <s v="Week 12"/>
    <x v="11"/>
  </r>
  <r>
    <d v="2025-03-17T00:00:00"/>
    <x v="17"/>
    <n v="14"/>
    <n v="2025"/>
    <s v="2025-12"/>
    <s v="Week 12"/>
    <x v="11"/>
  </r>
  <r>
    <d v="2025-03-17T00:00:00"/>
    <x v="33"/>
    <n v="8"/>
    <n v="2025"/>
    <s v="2025-12"/>
    <s v="Week 12"/>
    <x v="11"/>
  </r>
  <r>
    <d v="2025-03-17T00:00:00"/>
    <x v="9"/>
    <n v="4"/>
    <n v="2025"/>
    <s v="2025-12"/>
    <s v="Week 12"/>
    <x v="11"/>
  </r>
  <r>
    <d v="2025-03-17T00:00:00"/>
    <x v="27"/>
    <n v="4"/>
    <n v="2025"/>
    <s v="2025-12"/>
    <s v="Week 12"/>
    <x v="11"/>
  </r>
  <r>
    <d v="2025-03-20T00:00:00"/>
    <x v="14"/>
    <n v="7"/>
    <n v="2025"/>
    <s v="2025-12"/>
    <s v="Week 12"/>
    <x v="11"/>
  </r>
  <r>
    <d v="2025-03-20T00:00:00"/>
    <x v="2"/>
    <n v="3"/>
    <n v="2025"/>
    <s v="2025-12"/>
    <s v="Week 12"/>
    <x v="11"/>
  </r>
  <r>
    <d v="2025-03-23T00:00:00"/>
    <x v="27"/>
    <n v="2"/>
    <n v="2025"/>
    <s v="2025-12"/>
    <s v="Week 13"/>
    <x v="12"/>
  </r>
  <r>
    <d v="2025-03-24T00:00:00"/>
    <x v="18"/>
    <n v="4"/>
    <n v="2025"/>
    <s v="2025-13"/>
    <s v="Week 13"/>
    <x v="12"/>
  </r>
  <r>
    <d v="2025-03-24T00:00:00"/>
    <x v="28"/>
    <n v="2"/>
    <n v="2025"/>
    <s v="2025-13"/>
    <s v="Week 13"/>
    <x v="12"/>
  </r>
  <r>
    <d v="2025-03-25T00:00:00"/>
    <x v="5"/>
    <n v="2"/>
    <n v="2025"/>
    <s v="2025-13"/>
    <s v="Week 13"/>
    <x v="12"/>
  </r>
  <r>
    <d v="2025-03-26T00:00:00"/>
    <x v="13"/>
    <n v="8"/>
    <n v="2025"/>
    <s v="2025-13"/>
    <s v="Week 13"/>
    <x v="12"/>
  </r>
  <r>
    <d v="2025-03-26T00:00:00"/>
    <x v="35"/>
    <n v="2"/>
    <n v="2025"/>
    <s v="2025-13"/>
    <s v="Week 13"/>
    <x v="12"/>
  </r>
  <r>
    <d v="2025-03-27T00:00:00"/>
    <x v="10"/>
    <n v="24"/>
    <n v="2025"/>
    <s v="2025-13"/>
    <s v="Week 13"/>
    <x v="12"/>
  </r>
  <r>
    <d v="2025-03-27T00:00:00"/>
    <x v="13"/>
    <n v="20"/>
    <n v="2025"/>
    <s v="2025-13"/>
    <s v="Week 13"/>
    <x v="12"/>
  </r>
  <r>
    <d v="2025-03-27T00:00:00"/>
    <x v="11"/>
    <n v="24"/>
    <n v="2025"/>
    <s v="2025-13"/>
    <s v="Week 13"/>
    <x v="12"/>
  </r>
  <r>
    <d v="2025-03-27T00:00:00"/>
    <x v="18"/>
    <n v="16"/>
    <n v="2025"/>
    <s v="2025-13"/>
    <s v="Week 13"/>
    <x v="12"/>
  </r>
  <r>
    <d v="2025-03-27T00:00:00"/>
    <x v="27"/>
    <n v="12"/>
    <n v="2025"/>
    <s v="2025-13"/>
    <s v="Week 13"/>
    <x v="12"/>
  </r>
  <r>
    <d v="2025-03-27T00:00:00"/>
    <x v="26"/>
    <n v="8"/>
    <n v="2025"/>
    <s v="2025-13"/>
    <s v="Week 13"/>
    <x v="12"/>
  </r>
  <r>
    <d v="2025-03-27T00:00:00"/>
    <x v="22"/>
    <n v="4"/>
    <n v="2025"/>
    <s v="2025-13"/>
    <s v="Week 13"/>
    <x v="12"/>
  </r>
  <r>
    <d v="2025-03-27T00:00:00"/>
    <x v="15"/>
    <n v="4"/>
    <n v="2025"/>
    <s v="2025-13"/>
    <s v="Week 13"/>
    <x v="12"/>
  </r>
  <r>
    <d v="2025-03-27T00:00:00"/>
    <x v="19"/>
    <n v="2"/>
    <n v="2025"/>
    <s v="2025-13"/>
    <s v="Week 13"/>
    <x v="12"/>
  </r>
  <r>
    <d v="2025-03-29T00:00:00"/>
    <x v="13"/>
    <n v="11"/>
    <n v="2025"/>
    <s v="2025-13"/>
    <s v="Week 13"/>
    <x v="12"/>
  </r>
  <r>
    <d v="2025-03-29T00:00:00"/>
    <x v="13"/>
    <n v="11"/>
    <n v="2025"/>
    <s v="2025-13"/>
    <s v="Week 13"/>
    <x v="12"/>
  </r>
  <r>
    <d v="2025-03-29T00:00:00"/>
    <x v="13"/>
    <n v="11"/>
    <n v="2025"/>
    <s v="2025-13"/>
    <s v="Week 13"/>
    <x v="12"/>
  </r>
  <r>
    <d v="2025-03-29T00:00:00"/>
    <x v="13"/>
    <n v="11"/>
    <n v="2025"/>
    <s v="2025-13"/>
    <s v="Week 13"/>
    <x v="12"/>
  </r>
  <r>
    <d v="2025-03-29T00:00:00"/>
    <x v="13"/>
    <n v="10"/>
    <n v="2025"/>
    <s v="2025-13"/>
    <s v="Week 13"/>
    <x v="12"/>
  </r>
  <r>
    <d v="2025-03-29T00:00:00"/>
    <x v="13"/>
    <n v="10"/>
    <n v="2025"/>
    <s v="2025-13"/>
    <s v="Week 13"/>
    <x v="12"/>
  </r>
  <r>
    <d v="2025-03-29T00:00:00"/>
    <x v="3"/>
    <n v="10"/>
    <n v="2025"/>
    <s v="2025-13"/>
    <s v="Week 13"/>
    <x v="12"/>
  </r>
  <r>
    <d v="2025-03-29T00:00:00"/>
    <x v="5"/>
    <n v="6"/>
    <n v="2025"/>
    <s v="2025-13"/>
    <s v="Week 13"/>
    <x v="12"/>
  </r>
  <r>
    <d v="2025-03-29T00:00:00"/>
    <x v="25"/>
    <n v="12"/>
    <n v="2025"/>
    <s v="2025-13"/>
    <s v="Week 13"/>
    <x v="12"/>
  </r>
  <r>
    <d v="2025-03-29T00:00:00"/>
    <x v="5"/>
    <n v="5"/>
    <n v="2025"/>
    <s v="2025-13"/>
    <s v="Week 13"/>
    <x v="12"/>
  </r>
  <r>
    <d v="2025-03-29T00:00:00"/>
    <x v="13"/>
    <n v="6"/>
    <n v="2025"/>
    <s v="2025-13"/>
    <s v="Week 13"/>
    <x v="12"/>
  </r>
  <r>
    <d v="2025-03-29T00:00:00"/>
    <x v="17"/>
    <n v="5"/>
    <n v="2025"/>
    <s v="2025-13"/>
    <s v="Week 13"/>
    <x v="12"/>
  </r>
  <r>
    <d v="2025-03-29T00:00:00"/>
    <x v="17"/>
    <n v="5"/>
    <n v="2025"/>
    <s v="2025-13"/>
    <s v="Week 13"/>
    <x v="12"/>
  </r>
  <r>
    <d v="2025-03-29T00:00:00"/>
    <x v="1"/>
    <n v="9"/>
    <n v="2025"/>
    <s v="2025-13"/>
    <s v="Week 13"/>
    <x v="12"/>
  </r>
  <r>
    <d v="2025-03-29T00:00:00"/>
    <x v="1"/>
    <n v="9"/>
    <n v="2025"/>
    <s v="2025-13"/>
    <s v="Week 13"/>
    <x v="12"/>
  </r>
  <r>
    <d v="2025-03-29T00:00:00"/>
    <x v="25"/>
    <n v="7"/>
    <n v="2025"/>
    <s v="2025-13"/>
    <s v="Week 13"/>
    <x v="12"/>
  </r>
  <r>
    <d v="2025-03-29T00:00:00"/>
    <x v="7"/>
    <n v="3"/>
    <n v="2025"/>
    <s v="2025-13"/>
    <s v="Week 13"/>
    <x v="12"/>
  </r>
  <r>
    <d v="2025-03-29T00:00:00"/>
    <x v="7"/>
    <n v="3"/>
    <n v="2025"/>
    <s v="2025-13"/>
    <s v="Week 13"/>
    <x v="12"/>
  </r>
  <r>
    <d v="2025-03-29T00:00:00"/>
    <x v="36"/>
    <n v="2"/>
    <n v="2025"/>
    <s v="2025-13"/>
    <s v="Week 13"/>
    <x v="12"/>
  </r>
  <r>
    <d v="2025-03-29T00:00:00"/>
    <x v="36"/>
    <n v="2"/>
    <n v="2025"/>
    <s v="2025-13"/>
    <s v="Week 13"/>
    <x v="12"/>
  </r>
  <r>
    <d v="2025-03-29T00:00:00"/>
    <x v="26"/>
    <n v="7"/>
    <n v="2025"/>
    <s v="2025-13"/>
    <s v="Week 13"/>
    <x v="12"/>
  </r>
  <r>
    <d v="2025-03-29T00:00:00"/>
    <x v="2"/>
    <n v="5"/>
    <n v="2025"/>
    <s v="2025-13"/>
    <s v="Week 13"/>
    <x v="12"/>
  </r>
  <r>
    <d v="2025-03-29T00:00:00"/>
    <x v="2"/>
    <n v="5"/>
    <n v="2025"/>
    <s v="2025-13"/>
    <s v="Week 13"/>
    <x v="12"/>
  </r>
  <r>
    <d v="2025-03-29T00:00:00"/>
    <x v="17"/>
    <n v="3"/>
    <n v="2025"/>
    <s v="2025-13"/>
    <s v="Week 13"/>
    <x v="12"/>
  </r>
  <r>
    <d v="2025-03-29T00:00:00"/>
    <x v="17"/>
    <n v="3"/>
    <n v="2025"/>
    <s v="2025-13"/>
    <s v="Week 13"/>
    <x v="12"/>
  </r>
  <r>
    <d v="2025-03-29T00:00:00"/>
    <x v="37"/>
    <n v="2"/>
    <n v="2025"/>
    <s v="2025-13"/>
    <s v="Week 13"/>
    <x v="12"/>
  </r>
  <r>
    <d v="2025-03-29T00:00:00"/>
    <x v="37"/>
    <n v="2"/>
    <n v="2025"/>
    <s v="2025-13"/>
    <s v="Week 13"/>
    <x v="12"/>
  </r>
  <r>
    <d v="2025-03-29T00:00:00"/>
    <x v="25"/>
    <n v="5"/>
    <n v="2025"/>
    <s v="2025-13"/>
    <s v="Week 13"/>
    <x v="12"/>
  </r>
  <r>
    <d v="2025-03-29T00:00:00"/>
    <x v="3"/>
    <n v="3"/>
    <n v="2025"/>
    <s v="2025-13"/>
    <s v="Week 13"/>
    <x v="12"/>
  </r>
  <r>
    <d v="2025-03-29T00:00:00"/>
    <x v="2"/>
    <n v="4"/>
    <n v="2025"/>
    <s v="2025-13"/>
    <s v="Week 13"/>
    <x v="12"/>
  </r>
  <r>
    <d v="2025-03-29T00:00:00"/>
    <x v="14"/>
    <n v="2"/>
    <n v="2025"/>
    <s v="2025-13"/>
    <s v="Week 13"/>
    <x v="12"/>
  </r>
  <r>
    <d v="2025-03-29T00:00:00"/>
    <x v="3"/>
    <n v="2"/>
    <n v="2025"/>
    <s v="2025-13"/>
    <s v="Week 13"/>
    <x v="12"/>
  </r>
  <r>
    <d v="2025-03-29T00:00:00"/>
    <x v="9"/>
    <n v="2"/>
    <n v="2025"/>
    <s v="2025-13"/>
    <s v="Week 13"/>
    <x v="12"/>
  </r>
  <r>
    <d v="2025-03-29T00:00:00"/>
    <x v="5"/>
    <n v="1"/>
    <n v="2025"/>
    <s v="2025-13"/>
    <s v="Week 13"/>
    <x v="12"/>
  </r>
  <r>
    <d v="2025-03-29T00:00:00"/>
    <x v="6"/>
    <n v="1"/>
    <n v="2025"/>
    <s v="2025-13"/>
    <s v="Week 13"/>
    <x v="12"/>
  </r>
  <r>
    <d v="2025-03-29T00:00:00"/>
    <x v="6"/>
    <n v="1"/>
    <n v="2025"/>
    <s v="2025-13"/>
    <s v="Week 13"/>
    <x v="12"/>
  </r>
  <r>
    <d v="2025-03-29T00:00:00"/>
    <x v="25"/>
    <n v="2"/>
    <n v="2025"/>
    <s v="2025-13"/>
    <s v="Week 13"/>
    <x v="12"/>
  </r>
  <r>
    <d v="2025-03-29T00:00:00"/>
    <x v="26"/>
    <n v="2"/>
    <n v="2025"/>
    <s v="2025-13"/>
    <s v="Week 13"/>
    <x v="12"/>
  </r>
  <r>
    <d v="2025-03-29T00:00:00"/>
    <x v="26"/>
    <n v="2"/>
    <n v="2025"/>
    <s v="2025-13"/>
    <s v="Week 13"/>
    <x v="12"/>
  </r>
  <r>
    <d v="2025-03-29T00:00:00"/>
    <x v="26"/>
    <n v="2"/>
    <n v="2025"/>
    <s v="2025-13"/>
    <s v="Week 13"/>
    <x v="12"/>
  </r>
  <r>
    <d v="2025-03-29T00:00:00"/>
    <x v="26"/>
    <n v="2"/>
    <n v="2025"/>
    <s v="2025-13"/>
    <s v="Week 13"/>
    <x v="12"/>
  </r>
  <r>
    <d v="2025-03-29T00:00:00"/>
    <x v="3"/>
    <n v="1"/>
    <n v="2025"/>
    <s v="2025-13"/>
    <s v="Week 13"/>
    <x v="12"/>
  </r>
  <r>
    <d v="2025-03-29T00:00:00"/>
    <x v="3"/>
    <n v="1"/>
    <n v="2025"/>
    <s v="2025-13"/>
    <s v="Week 13"/>
    <x v="12"/>
  </r>
  <r>
    <d v="2025-03-29T00:00:00"/>
    <x v="3"/>
    <n v="1"/>
    <n v="2025"/>
    <s v="2025-13"/>
    <s v="Week 13"/>
    <x v="12"/>
  </r>
  <r>
    <d v="2025-03-29T00:00:00"/>
    <x v="4"/>
    <n v="2"/>
    <n v="2025"/>
    <s v="2025-13"/>
    <s v="Week 13"/>
    <x v="12"/>
  </r>
  <r>
    <d v="2025-03-29T00:00:00"/>
    <x v="4"/>
    <n v="2"/>
    <n v="2025"/>
    <s v="2025-13"/>
    <s v="Week 13"/>
    <x v="12"/>
  </r>
  <r>
    <d v="2025-03-29T00:00:00"/>
    <x v="20"/>
    <n v="1"/>
    <n v="2025"/>
    <s v="2025-13"/>
    <s v="Week 13"/>
    <x v="12"/>
  </r>
  <r>
    <d v="2025-03-29T00:00:00"/>
    <x v="20"/>
    <n v="1"/>
    <n v="2025"/>
    <s v="2025-13"/>
    <s v="Week 13"/>
    <x v="12"/>
  </r>
  <r>
    <d v="2025-03-29T00:00:00"/>
    <x v="22"/>
    <n v="1"/>
    <n v="2025"/>
    <s v="2025-13"/>
    <s v="Week 13"/>
    <x v="12"/>
  </r>
  <r>
    <d v="2025-03-29T00:00:00"/>
    <x v="26"/>
    <n v="1"/>
    <n v="2025"/>
    <s v="2025-13"/>
    <s v="Week 13"/>
    <x v="12"/>
  </r>
  <r>
    <d v="2025-03-29T00:00:00"/>
    <x v="4"/>
    <n v="1"/>
    <n v="2025"/>
    <s v="2025-13"/>
    <s v="Week 13"/>
    <x v="12"/>
  </r>
  <r>
    <d v="2025-03-29T00:00:00"/>
    <x v="4"/>
    <n v="1"/>
    <n v="2025"/>
    <s v="2025-13"/>
    <s v="Week 13"/>
    <x v="12"/>
  </r>
  <r>
    <d v="2025-03-30T00:00:00"/>
    <x v="11"/>
    <n v="18"/>
    <n v="2025"/>
    <s v="2025-13"/>
    <s v="Week 14"/>
    <x v="13"/>
  </r>
  <r>
    <d v="2025-03-30T00:00:00"/>
    <x v="11"/>
    <n v="12"/>
    <n v="2025"/>
    <s v="2025-13"/>
    <s v="Week 14"/>
    <x v="13"/>
  </r>
  <r>
    <d v="2025-03-30T00:00:00"/>
    <x v="12"/>
    <n v="12"/>
    <n v="2025"/>
    <s v="2025-13"/>
    <s v="Week 14"/>
    <x v="13"/>
  </r>
  <r>
    <d v="2025-03-30T00:00:00"/>
    <x v="10"/>
    <n v="8"/>
    <n v="2025"/>
    <s v="2025-13"/>
    <s v="Week 14"/>
    <x v="13"/>
  </r>
  <r>
    <d v="2025-03-30T00:00:00"/>
    <x v="3"/>
    <n v="8"/>
    <n v="2025"/>
    <s v="2025-13"/>
    <s v="Week 14"/>
    <x v="13"/>
  </r>
  <r>
    <d v="2025-03-30T00:00:00"/>
    <x v="10"/>
    <n v="6"/>
    <n v="2025"/>
    <s v="2025-13"/>
    <s v="Week 14"/>
    <x v="13"/>
  </r>
  <r>
    <d v="2025-03-30T00:00:00"/>
    <x v="16"/>
    <n v="2"/>
    <n v="2025"/>
    <s v="2025-13"/>
    <s v="Week 14"/>
    <x v="13"/>
  </r>
  <r>
    <d v="2025-03-30T00:00:00"/>
    <x v="12"/>
    <n v="6"/>
    <n v="2025"/>
    <s v="2025-13"/>
    <s v="Week 14"/>
    <x v="13"/>
  </r>
  <r>
    <d v="2025-03-30T00:00:00"/>
    <x v="27"/>
    <n v="6"/>
    <n v="2025"/>
    <s v="2025-13"/>
    <s v="Week 14"/>
    <x v="13"/>
  </r>
  <r>
    <d v="2025-03-30T00:00:00"/>
    <x v="15"/>
    <n v="4"/>
    <n v="2025"/>
    <s v="2025-13"/>
    <s v="Week 14"/>
    <x v="13"/>
  </r>
  <r>
    <d v="2025-03-30T00:00:00"/>
    <x v="3"/>
    <n v="2"/>
    <n v="2025"/>
    <s v="2025-13"/>
    <s v="Week 14"/>
    <x v="13"/>
  </r>
  <r>
    <d v="2025-03-30T00:00:00"/>
    <x v="4"/>
    <n v="4"/>
    <n v="2025"/>
    <s v="2025-13"/>
    <s v="Week 14"/>
    <x v="13"/>
  </r>
  <r>
    <d v="2025-03-30T00:00:00"/>
    <x v="4"/>
    <n v="4"/>
    <n v="2025"/>
    <s v="2025-13"/>
    <s v="Week 14"/>
    <x v="13"/>
  </r>
  <r>
    <d v="2025-03-30T00:00:00"/>
    <x v="15"/>
    <n v="2"/>
    <n v="2025"/>
    <s v="2025-13"/>
    <s v="Week 14"/>
    <x v="13"/>
  </r>
  <r>
    <d v="2025-03-30T00:00:00"/>
    <x v="19"/>
    <n v="2"/>
    <n v="2025"/>
    <s v="2025-13"/>
    <s v="Week 14"/>
    <x v="13"/>
  </r>
  <r>
    <d v="2025-03-30T00:00:00"/>
    <x v="27"/>
    <n v="2"/>
    <n v="2025"/>
    <s v="2025-13"/>
    <s v="Week 14"/>
    <x v="13"/>
  </r>
  <r>
    <d v="2025-03-31T00:00:00"/>
    <x v="6"/>
    <n v="2"/>
    <n v="2025"/>
    <s v="2025-14"/>
    <s v="Week 14"/>
    <x v="13"/>
  </r>
  <r>
    <d v="2025-03-31T00:00:00"/>
    <x v="38"/>
    <n v="2"/>
    <n v="2025"/>
    <s v="2025-14"/>
    <s v="Week 14"/>
    <x v="13"/>
  </r>
  <r>
    <d v="2025-03-31T00:00:00"/>
    <x v="39"/>
    <n v="2"/>
    <n v="2025"/>
    <s v="2025-14"/>
    <s v="Week 14"/>
    <x v="13"/>
  </r>
  <r>
    <d v="2025-03-31T00:00:00"/>
    <x v="2"/>
    <n v="2"/>
    <n v="2025"/>
    <s v="2025-14"/>
    <s v="Week 14"/>
    <x v="13"/>
  </r>
  <r>
    <d v="2025-03-31T00:00:00"/>
    <x v="17"/>
    <n v="1"/>
    <n v="2025"/>
    <s v="2025-14"/>
    <s v="Week 14"/>
    <x v="13"/>
  </r>
  <r>
    <d v="2025-04-03T00:00:00"/>
    <x v="12"/>
    <n v="33"/>
    <n v="2025"/>
    <s v="2025-14"/>
    <s v="Week 14"/>
    <x v="13"/>
  </r>
  <r>
    <d v="2025-04-03T00:00:00"/>
    <x v="13"/>
    <n v="12"/>
    <n v="2025"/>
    <s v="2025-14"/>
    <s v="Week 14"/>
    <x v="13"/>
  </r>
  <r>
    <d v="2025-04-03T00:00:00"/>
    <x v="12"/>
    <n v="23"/>
    <n v="2025"/>
    <s v="2025-14"/>
    <s v="Week 14"/>
    <x v="13"/>
  </r>
  <r>
    <d v="2025-04-03T00:00:00"/>
    <x v="10"/>
    <n v="12"/>
    <n v="2025"/>
    <s v="2025-14"/>
    <s v="Week 14"/>
    <x v="13"/>
  </r>
  <r>
    <d v="2025-04-03T00:00:00"/>
    <x v="11"/>
    <n v="12"/>
    <n v="2025"/>
    <s v="2025-14"/>
    <s v="Week 14"/>
    <x v="13"/>
  </r>
  <r>
    <d v="2025-04-03T00:00:00"/>
    <x v="12"/>
    <n v="16"/>
    <n v="2025"/>
    <s v="2025-14"/>
    <s v="Week 14"/>
    <x v="13"/>
  </r>
  <r>
    <d v="2025-04-03T00:00:00"/>
    <x v="3"/>
    <n v="12"/>
    <n v="2025"/>
    <s v="2025-14"/>
    <s v="Week 14"/>
    <x v="13"/>
  </r>
  <r>
    <d v="2025-04-03T00:00:00"/>
    <x v="3"/>
    <n v="12"/>
    <n v="2025"/>
    <s v="2025-14"/>
    <s v="Week 14"/>
    <x v="13"/>
  </r>
  <r>
    <d v="2025-04-03T00:00:00"/>
    <x v="14"/>
    <n v="10"/>
    <n v="2025"/>
    <s v="2025-14"/>
    <s v="Week 14"/>
    <x v="13"/>
  </r>
  <r>
    <d v="2025-04-03T00:00:00"/>
    <x v="10"/>
    <n v="10"/>
    <n v="2025"/>
    <s v="2025-14"/>
    <s v="Week 14"/>
    <x v="13"/>
  </r>
  <r>
    <d v="2025-04-03T00:00:00"/>
    <x v="17"/>
    <n v="9"/>
    <n v="2025"/>
    <s v="2025-14"/>
    <s v="Week 14"/>
    <x v="13"/>
  </r>
  <r>
    <d v="2025-04-03T00:00:00"/>
    <x v="10"/>
    <n v="8"/>
    <n v="2025"/>
    <s v="2025-14"/>
    <s v="Week 14"/>
    <x v="13"/>
  </r>
  <r>
    <d v="2025-04-03T00:00:00"/>
    <x v="11"/>
    <n v="12"/>
    <n v="2025"/>
    <s v="2025-14"/>
    <s v="Week 14"/>
    <x v="13"/>
  </r>
  <r>
    <d v="2025-04-03T00:00:00"/>
    <x v="11"/>
    <n v="11"/>
    <n v="2025"/>
    <s v="2025-14"/>
    <s v="Week 14"/>
    <x v="13"/>
  </r>
  <r>
    <d v="2025-04-03T00:00:00"/>
    <x v="11"/>
    <n v="11"/>
    <n v="2025"/>
    <s v="2025-14"/>
    <s v="Week 14"/>
    <x v="13"/>
  </r>
  <r>
    <d v="2025-04-03T00:00:00"/>
    <x v="15"/>
    <n v="17"/>
    <n v="2025"/>
    <s v="2025-14"/>
    <s v="Week 14"/>
    <x v="13"/>
  </r>
  <r>
    <d v="2025-04-03T00:00:00"/>
    <x v="11"/>
    <n v="8"/>
    <n v="2025"/>
    <s v="2025-14"/>
    <s v="Week 14"/>
    <x v="13"/>
  </r>
  <r>
    <d v="2025-04-03T00:00:00"/>
    <x v="11"/>
    <n v="8"/>
    <n v="2025"/>
    <s v="2025-14"/>
    <s v="Week 14"/>
    <x v="13"/>
  </r>
  <r>
    <d v="2025-04-03T00:00:00"/>
    <x v="11"/>
    <n v="8"/>
    <n v="2025"/>
    <s v="2025-14"/>
    <s v="Week 14"/>
    <x v="13"/>
  </r>
  <r>
    <d v="2025-04-03T00:00:00"/>
    <x v="6"/>
    <n v="4"/>
    <n v="2025"/>
    <s v="2025-14"/>
    <s v="Week 14"/>
    <x v="13"/>
  </r>
  <r>
    <d v="2025-04-03T00:00:00"/>
    <x v="14"/>
    <n v="4"/>
    <n v="2025"/>
    <s v="2025-14"/>
    <s v="Week 14"/>
    <x v="13"/>
  </r>
  <r>
    <d v="2025-04-03T00:00:00"/>
    <x v="25"/>
    <n v="7"/>
    <n v="2025"/>
    <s v="2025-14"/>
    <s v="Week 14"/>
    <x v="13"/>
  </r>
  <r>
    <d v="2025-04-03T00:00:00"/>
    <x v="15"/>
    <n v="8"/>
    <n v="2025"/>
    <s v="2025-14"/>
    <s v="Week 14"/>
    <x v="13"/>
  </r>
  <r>
    <d v="2025-04-03T00:00:00"/>
    <x v="12"/>
    <n v="5"/>
    <n v="2025"/>
    <s v="2025-14"/>
    <s v="Week 14"/>
    <x v="13"/>
  </r>
  <r>
    <d v="2025-04-03T00:00:00"/>
    <x v="12"/>
    <n v="5"/>
    <n v="2025"/>
    <s v="2025-14"/>
    <s v="Week 14"/>
    <x v="13"/>
  </r>
  <r>
    <d v="2025-04-03T00:00:00"/>
    <x v="12"/>
    <n v="4"/>
    <n v="2025"/>
    <s v="2025-14"/>
    <s v="Week 14"/>
    <x v="13"/>
  </r>
  <r>
    <d v="2025-04-03T00:00:00"/>
    <x v="17"/>
    <n v="3"/>
    <n v="2025"/>
    <s v="2025-14"/>
    <s v="Week 14"/>
    <x v="13"/>
  </r>
  <r>
    <d v="2025-04-03T00:00:00"/>
    <x v="5"/>
    <n v="2"/>
    <n v="2025"/>
    <s v="2025-14"/>
    <s v="Week 14"/>
    <x v="13"/>
  </r>
  <r>
    <d v="2025-04-03T00:00:00"/>
    <x v="6"/>
    <n v="2"/>
    <n v="2025"/>
    <s v="2025-14"/>
    <s v="Week 14"/>
    <x v="13"/>
  </r>
  <r>
    <d v="2025-04-03T00:00:00"/>
    <x v="25"/>
    <n v="4"/>
    <n v="2025"/>
    <s v="2025-14"/>
    <s v="Week 14"/>
    <x v="13"/>
  </r>
  <r>
    <d v="2025-04-03T00:00:00"/>
    <x v="25"/>
    <n v="4"/>
    <n v="2025"/>
    <s v="2025-14"/>
    <s v="Week 14"/>
    <x v="13"/>
  </r>
  <r>
    <d v="2025-04-03T00:00:00"/>
    <x v="19"/>
    <n v="4"/>
    <n v="2025"/>
    <s v="2025-14"/>
    <s v="Week 14"/>
    <x v="13"/>
  </r>
  <r>
    <d v="2025-04-03T00:00:00"/>
    <x v="19"/>
    <n v="4"/>
    <n v="2025"/>
    <s v="2025-14"/>
    <s v="Week 14"/>
    <x v="13"/>
  </r>
  <r>
    <d v="2025-04-03T00:00:00"/>
    <x v="18"/>
    <n v="4"/>
    <n v="2025"/>
    <s v="2025-14"/>
    <s v="Week 14"/>
    <x v="13"/>
  </r>
  <r>
    <d v="2025-04-03T00:00:00"/>
    <x v="19"/>
    <n v="2"/>
    <n v="2025"/>
    <s v="2025-14"/>
    <s v="Week 14"/>
    <x v="13"/>
  </r>
  <r>
    <d v="2025-04-03T00:00:00"/>
    <x v="18"/>
    <n v="2"/>
    <n v="2025"/>
    <s v="2025-14"/>
    <s v="Week 14"/>
    <x v="13"/>
  </r>
  <r>
    <d v="2025-04-03T00:00:00"/>
    <x v="25"/>
    <n v="1"/>
    <n v="2025"/>
    <s v="2025-14"/>
    <s v="Week 14"/>
    <x v="13"/>
  </r>
  <r>
    <d v="2025-04-05T00:00:00"/>
    <x v="15"/>
    <n v="8"/>
    <n v="2025"/>
    <s v="2025-14"/>
    <s v="Week 14"/>
    <x v="13"/>
  </r>
  <r>
    <d v="2025-04-05T00:00:00"/>
    <x v="14"/>
    <n v="3"/>
    <n v="2025"/>
    <s v="2025-14"/>
    <s v="Week 14"/>
    <x v="13"/>
  </r>
  <r>
    <d v="2025-04-05T00:00:00"/>
    <x v="15"/>
    <n v="6"/>
    <n v="2025"/>
    <s v="2025-14"/>
    <s v="Week 14"/>
    <x v="13"/>
  </r>
  <r>
    <d v="2025-04-05T00:00:00"/>
    <x v="12"/>
    <n v="4"/>
    <n v="2025"/>
    <s v="2025-14"/>
    <s v="Week 14"/>
    <x v="13"/>
  </r>
  <r>
    <d v="2025-04-05T00:00:00"/>
    <x v="12"/>
    <n v="4"/>
    <n v="2025"/>
    <s v="2025-14"/>
    <s v="Week 14"/>
    <x v="13"/>
  </r>
  <r>
    <d v="2025-04-05T00:00:00"/>
    <x v="3"/>
    <n v="2"/>
    <n v="2025"/>
    <s v="2025-14"/>
    <s v="Week 14"/>
    <x v="13"/>
  </r>
  <r>
    <d v="2025-04-05T00:00:00"/>
    <x v="3"/>
    <n v="2"/>
    <n v="2025"/>
    <s v="2025-14"/>
    <s v="Week 14"/>
    <x v="13"/>
  </r>
  <r>
    <d v="2025-04-05T00:00:00"/>
    <x v="11"/>
    <n v="2"/>
    <n v="2025"/>
    <s v="2025-14"/>
    <s v="Week 14"/>
    <x v="13"/>
  </r>
  <r>
    <d v="2025-04-05T00:00:00"/>
    <x v="18"/>
    <n v="4"/>
    <n v="2025"/>
    <s v="2025-14"/>
    <s v="Week 14"/>
    <x v="13"/>
  </r>
  <r>
    <d v="2025-04-05T00:00:00"/>
    <x v="19"/>
    <n v="2"/>
    <n v="2025"/>
    <s v="2025-14"/>
    <s v="Week 14"/>
    <x v="13"/>
  </r>
  <r>
    <d v="2025-04-05T00:00:00"/>
    <x v="33"/>
    <n v="2"/>
    <n v="2025"/>
    <s v="2025-14"/>
    <s v="Week 14"/>
    <x v="13"/>
  </r>
  <r>
    <d v="2025-04-05T00:00:00"/>
    <x v="28"/>
    <n v="2"/>
    <n v="2025"/>
    <s v="2025-14"/>
    <s v="Week 14"/>
    <x v="13"/>
  </r>
  <r>
    <d v="2025-04-05T00:00:00"/>
    <x v="30"/>
    <n v="2"/>
    <n v="2025"/>
    <s v="2025-14"/>
    <s v="Week 14"/>
    <x v="13"/>
  </r>
  <r>
    <d v="2025-04-07T00:00:00"/>
    <x v="3"/>
    <n v="10"/>
    <n v="2025"/>
    <s v="2025-15"/>
    <s v="Week 15"/>
    <x v="14"/>
  </r>
  <r>
    <d v="2025-04-07T00:00:00"/>
    <x v="13"/>
    <n v="6"/>
    <n v="2025"/>
    <s v="2025-15"/>
    <s v="Week 15"/>
    <x v="14"/>
  </r>
  <r>
    <d v="2025-04-07T00:00:00"/>
    <x v="26"/>
    <n v="7"/>
    <n v="2025"/>
    <s v="2025-15"/>
    <s v="Week 15"/>
    <x v="14"/>
  </r>
  <r>
    <d v="2025-04-07T00:00:00"/>
    <x v="2"/>
    <n v="4"/>
    <n v="2025"/>
    <s v="2025-15"/>
    <s v="Week 15"/>
    <x v="14"/>
  </r>
  <r>
    <d v="2025-04-07T00:00:00"/>
    <x v="14"/>
    <n v="2"/>
    <n v="2025"/>
    <s v="2025-15"/>
    <s v="Week 15"/>
    <x v="14"/>
  </r>
  <r>
    <d v="2025-04-07T00:00:00"/>
    <x v="9"/>
    <n v="2"/>
    <n v="2025"/>
    <s v="2025-15"/>
    <s v="Week 15"/>
    <x v="14"/>
  </r>
  <r>
    <d v="2025-04-07T00:00:00"/>
    <x v="25"/>
    <n v="2"/>
    <n v="2025"/>
    <s v="2025-15"/>
    <s v="Week 15"/>
    <x v="14"/>
  </r>
  <r>
    <d v="2025-04-07T00:00:00"/>
    <x v="22"/>
    <n v="1"/>
    <n v="2025"/>
    <s v="2025-15"/>
    <s v="Week 15"/>
    <x v="14"/>
  </r>
  <r>
    <d v="2025-04-07T00:00:00"/>
    <x v="26"/>
    <n v="1"/>
    <n v="2025"/>
    <s v="2025-15"/>
    <s v="Week 15"/>
    <x v="14"/>
  </r>
  <r>
    <d v="2025-04-08T00:00:00"/>
    <x v="10"/>
    <n v="16"/>
    <n v="2025"/>
    <s v="2025-15"/>
    <s v="Week 15"/>
    <x v="14"/>
  </r>
  <r>
    <d v="2025-04-08T00:00:00"/>
    <x v="10"/>
    <n v="10"/>
    <n v="2025"/>
    <s v="2025-15"/>
    <s v="Week 15"/>
    <x v="14"/>
  </r>
  <r>
    <d v="2025-04-08T00:00:00"/>
    <x v="11"/>
    <n v="10"/>
    <n v="2025"/>
    <s v="2025-15"/>
    <s v="Week 15"/>
    <x v="14"/>
  </r>
  <r>
    <d v="2025-04-08T00:00:00"/>
    <x v="14"/>
    <n v="2"/>
    <n v="2025"/>
    <s v="2025-15"/>
    <s v="Week 15"/>
    <x v="14"/>
  </r>
  <r>
    <d v="2025-04-08T00:00:00"/>
    <x v="0"/>
    <n v="2"/>
    <n v="2025"/>
    <s v="2025-15"/>
    <s v="Week 15"/>
    <x v="14"/>
  </r>
  <r>
    <d v="2025-04-09T00:00:00"/>
    <x v="14"/>
    <n v="16"/>
    <n v="2025"/>
    <s v="2025-15"/>
    <s v="Week 15"/>
    <x v="14"/>
  </r>
  <r>
    <d v="2025-04-09T00:00:00"/>
    <x v="3"/>
    <n v="16"/>
    <n v="2025"/>
    <s v="2025-15"/>
    <s v="Week 15"/>
    <x v="14"/>
  </r>
  <r>
    <d v="2025-04-09T00:00:00"/>
    <x v="14"/>
    <n v="12"/>
    <n v="2025"/>
    <s v="2025-15"/>
    <s v="Week 15"/>
    <x v="14"/>
  </r>
  <r>
    <d v="2025-04-09T00:00:00"/>
    <x v="13"/>
    <n v="4"/>
    <n v="2025"/>
    <s v="2025-15"/>
    <s v="Week 15"/>
    <x v="14"/>
  </r>
  <r>
    <d v="2025-04-09T00:00:00"/>
    <x v="10"/>
    <n v="4"/>
    <n v="2025"/>
    <s v="2025-15"/>
    <s v="Week 15"/>
    <x v="14"/>
  </r>
  <r>
    <d v="2025-04-09T00:00:00"/>
    <x v="27"/>
    <n v="2"/>
    <n v="2025"/>
    <s v="2025-15"/>
    <s v="Week 15"/>
    <x v="14"/>
  </r>
  <r>
    <d v="2025-04-12T00:00:00"/>
    <x v="11"/>
    <n v="19"/>
    <n v="2025"/>
    <s v="2025-15"/>
    <s v="Week 15"/>
    <x v="14"/>
  </r>
  <r>
    <d v="2025-04-12T00:00:00"/>
    <x v="13"/>
    <n v="10"/>
    <n v="2025"/>
    <s v="2025-15"/>
    <s v="Week 15"/>
    <x v="14"/>
  </r>
  <r>
    <d v="2025-04-12T00:00:00"/>
    <x v="3"/>
    <n v="12"/>
    <n v="2025"/>
    <s v="2025-15"/>
    <s v="Week 15"/>
    <x v="14"/>
  </r>
  <r>
    <d v="2025-04-12T00:00:00"/>
    <x v="5"/>
    <n v="5"/>
    <n v="2025"/>
    <s v="2025-15"/>
    <s v="Week 15"/>
    <x v="14"/>
  </r>
  <r>
    <d v="2025-04-12T00:00:00"/>
    <x v="11"/>
    <n v="7"/>
    <n v="2025"/>
    <s v="2025-15"/>
    <s v="Week 15"/>
    <x v="14"/>
  </r>
  <r>
    <d v="2025-04-12T00:00:00"/>
    <x v="5"/>
    <n v="2"/>
    <n v="2025"/>
    <s v="2025-15"/>
    <s v="Week 15"/>
    <x v="14"/>
  </r>
  <r>
    <d v="2025-04-12T00:00:00"/>
    <x v="12"/>
    <n v="4"/>
    <n v="2025"/>
    <s v="2025-15"/>
    <s v="Week 15"/>
    <x v="14"/>
  </r>
  <r>
    <d v="2025-04-12T00:00:00"/>
    <x v="5"/>
    <n v="1"/>
    <n v="2025"/>
    <s v="2025-15"/>
    <s v="Week 15"/>
    <x v="14"/>
  </r>
  <r>
    <d v="2025-04-12T00:00:00"/>
    <x v="31"/>
    <n v="2"/>
    <n v="2025"/>
    <s v="2025-15"/>
    <s v="Week 15"/>
    <x v="14"/>
  </r>
  <r>
    <d v="2025-04-12T00:00:00"/>
    <x v="15"/>
    <n v="2"/>
    <n v="2025"/>
    <s v="2025-15"/>
    <s v="Week 15"/>
    <x v="14"/>
  </r>
  <r>
    <d v="2025-04-12T00:00:00"/>
    <x v="26"/>
    <n v="1"/>
    <n v="2025"/>
    <s v="2025-15"/>
    <s v="Week 15"/>
    <x v="14"/>
  </r>
  <r>
    <d v="2025-04-14T00:00:00"/>
    <x v="11"/>
    <n v="50"/>
    <n v="2025"/>
    <s v="2025-16"/>
    <s v="Week 16"/>
    <x v="15"/>
  </r>
  <r>
    <d v="2025-04-14T00:00:00"/>
    <x v="14"/>
    <n v="22"/>
    <n v="2025"/>
    <s v="2025-16"/>
    <s v="Week 16"/>
    <x v="15"/>
  </r>
  <r>
    <d v="2025-04-14T00:00:00"/>
    <x v="15"/>
    <n v="30"/>
    <n v="2025"/>
    <s v="2025-16"/>
    <s v="Week 16"/>
    <x v="15"/>
  </r>
  <r>
    <d v="2025-04-14T00:00:00"/>
    <x v="18"/>
    <n v="27"/>
    <n v="2025"/>
    <s v="2025-16"/>
    <s v="Week 16"/>
    <x v="15"/>
  </r>
  <r>
    <d v="2025-04-14T00:00:00"/>
    <x v="13"/>
    <n v="5"/>
    <n v="2025"/>
    <s v="2025-16"/>
    <s v="Week 16"/>
    <x v="15"/>
  </r>
  <r>
    <d v="2025-04-14T00:00:00"/>
    <x v="13"/>
    <n v="4"/>
    <n v="2025"/>
    <s v="2025-16"/>
    <s v="Week 16"/>
    <x v="15"/>
  </r>
  <r>
    <d v="2025-04-14T00:00:00"/>
    <x v="16"/>
    <n v="2"/>
    <n v="2025"/>
    <s v="2025-16"/>
    <s v="Week 16"/>
    <x v="15"/>
  </r>
  <r>
    <d v="2025-04-14T00:00:00"/>
    <x v="18"/>
    <n v="3"/>
    <n v="2025"/>
    <s v="2025-16"/>
    <s v="Week 16"/>
    <x v="15"/>
  </r>
  <r>
    <d v="2025-04-15T00:00:00"/>
    <x v="12"/>
    <n v="13"/>
    <n v="2025"/>
    <s v="2025-16"/>
    <s v="Week 16"/>
    <x v="15"/>
  </r>
  <r>
    <d v="2025-04-15T00:00:00"/>
    <x v="3"/>
    <n v="9"/>
    <n v="2025"/>
    <s v="2025-16"/>
    <s v="Week 16"/>
    <x v="15"/>
  </r>
  <r>
    <d v="2025-04-15T00:00:00"/>
    <x v="11"/>
    <n v="10"/>
    <n v="2025"/>
    <s v="2025-16"/>
    <s v="Week 16"/>
    <x v="15"/>
  </r>
  <r>
    <d v="2025-04-15T00:00:00"/>
    <x v="10"/>
    <n v="8"/>
    <n v="2025"/>
    <s v="2025-16"/>
    <s v="Week 16"/>
    <x v="15"/>
  </r>
  <r>
    <d v="2025-04-15T00:00:00"/>
    <x v="14"/>
    <n v="6"/>
    <n v="2025"/>
    <s v="2025-16"/>
    <s v="Week 16"/>
    <x v="15"/>
  </r>
  <r>
    <d v="2025-04-15T00:00:00"/>
    <x v="15"/>
    <n v="12"/>
    <n v="2025"/>
    <s v="2025-16"/>
    <s v="Week 16"/>
    <x v="15"/>
  </r>
  <r>
    <d v="2025-04-15T00:00:00"/>
    <x v="12"/>
    <n v="8"/>
    <n v="2025"/>
    <s v="2025-16"/>
    <s v="Week 16"/>
    <x v="15"/>
  </r>
  <r>
    <d v="2025-04-15T00:00:00"/>
    <x v="3"/>
    <n v="4"/>
    <n v="2025"/>
    <s v="2025-16"/>
    <s v="Week 16"/>
    <x v="15"/>
  </r>
  <r>
    <d v="2025-04-15T00:00:00"/>
    <x v="3"/>
    <n v="4"/>
    <n v="2025"/>
    <s v="2025-16"/>
    <s v="Week 16"/>
    <x v="15"/>
  </r>
  <r>
    <d v="2025-04-15T00:00:00"/>
    <x v="11"/>
    <n v="4"/>
    <n v="2025"/>
    <s v="2025-16"/>
    <s v="Week 16"/>
    <x v="15"/>
  </r>
  <r>
    <d v="2025-04-15T00:00:00"/>
    <x v="12"/>
    <n v="4"/>
    <n v="2025"/>
    <s v="2025-16"/>
    <s v="Week 16"/>
    <x v="15"/>
  </r>
  <r>
    <d v="2025-04-15T00:00:00"/>
    <x v="34"/>
    <n v="4"/>
    <n v="2025"/>
    <s v="2025-16"/>
    <s v="Week 16"/>
    <x v="15"/>
  </r>
  <r>
    <d v="2025-04-15T00:00:00"/>
    <x v="17"/>
    <n v="2"/>
    <n v="2025"/>
    <s v="2025-16"/>
    <s v="Week 16"/>
    <x v="15"/>
  </r>
  <r>
    <d v="2025-04-15T00:00:00"/>
    <x v="14"/>
    <n v="2"/>
    <n v="2025"/>
    <s v="2025-16"/>
    <s v="Week 16"/>
    <x v="15"/>
  </r>
  <r>
    <d v="2025-04-15T00:00:00"/>
    <x v="15"/>
    <n v="4"/>
    <n v="2025"/>
    <s v="2025-16"/>
    <s v="Week 16"/>
    <x v="15"/>
  </r>
  <r>
    <d v="2025-04-15T00:00:00"/>
    <x v="19"/>
    <n v="4"/>
    <n v="2025"/>
    <s v="2025-16"/>
    <s v="Week 16"/>
    <x v="15"/>
  </r>
  <r>
    <d v="2025-04-15T00:00:00"/>
    <x v="11"/>
    <n v="1"/>
    <n v="2025"/>
    <s v="2025-16"/>
    <s v="Week 16"/>
    <x v="15"/>
  </r>
  <r>
    <d v="2025-04-15T00:00:00"/>
    <x v="11"/>
    <n v="1"/>
    <n v="2025"/>
    <s v="2025-16"/>
    <s v="Week 16"/>
    <x v="15"/>
  </r>
  <r>
    <d v="2025-04-22T00:00:00"/>
    <x v="13"/>
    <n v="40"/>
    <n v="2025"/>
    <s v="2025-17"/>
    <s v="Week 17"/>
    <x v="16"/>
  </r>
  <r>
    <d v="2025-04-22T00:00:00"/>
    <x v="10"/>
    <n v="19"/>
    <n v="2025"/>
    <s v="2025-17"/>
    <s v="Week 17"/>
    <x v="16"/>
  </r>
  <r>
    <d v="2025-04-22T00:00:00"/>
    <x v="14"/>
    <n v="16"/>
    <n v="2025"/>
    <s v="2025-17"/>
    <s v="Week 17"/>
    <x v="16"/>
  </r>
  <r>
    <d v="2025-04-22T00:00:00"/>
    <x v="3"/>
    <n v="18"/>
    <n v="2025"/>
    <s v="2025-17"/>
    <s v="Week 17"/>
    <x v="16"/>
  </r>
  <r>
    <d v="2025-04-22T00:00:00"/>
    <x v="10"/>
    <n v="13"/>
    <n v="2025"/>
    <s v="2025-17"/>
    <s v="Week 17"/>
    <x v="16"/>
  </r>
  <r>
    <d v="2025-04-22T00:00:00"/>
    <x v="12"/>
    <n v="18"/>
    <n v="2025"/>
    <s v="2025-17"/>
    <s v="Week 17"/>
    <x v="16"/>
  </r>
  <r>
    <d v="2025-04-22T00:00:00"/>
    <x v="5"/>
    <n v="6"/>
    <n v="2025"/>
    <s v="2025-17"/>
    <s v="Week 17"/>
    <x v="16"/>
  </r>
  <r>
    <d v="2025-04-22T00:00:00"/>
    <x v="3"/>
    <n v="4"/>
    <n v="2025"/>
    <s v="2025-17"/>
    <s v="Week 17"/>
    <x v="16"/>
  </r>
  <r>
    <d v="2025-04-22T00:00:00"/>
    <x v="5"/>
    <n v="2"/>
    <n v="2025"/>
    <s v="2025-17"/>
    <s v="Week 17"/>
    <x v="16"/>
  </r>
  <r>
    <d v="2025-04-23T00:00:00"/>
    <x v="6"/>
    <n v="2"/>
    <n v="2025"/>
    <s v="2025-17"/>
    <s v="Week 17"/>
    <x v="16"/>
  </r>
  <r>
    <d v="2025-04-23T00:00:00"/>
    <x v="38"/>
    <n v="2"/>
    <n v="2025"/>
    <s v="2025-17"/>
    <s v="Week 17"/>
    <x v="16"/>
  </r>
  <r>
    <d v="2025-04-23T00:00:00"/>
    <x v="39"/>
    <n v="2"/>
    <n v="2025"/>
    <s v="2025-17"/>
    <s v="Week 17"/>
    <x v="16"/>
  </r>
  <r>
    <d v="2025-04-24T00:00:00"/>
    <x v="11"/>
    <n v="8"/>
    <n v="2025"/>
    <s v="2025-17"/>
    <s v="Week 17"/>
    <x v="16"/>
  </r>
  <r>
    <d v="2025-04-24T00:00:00"/>
    <x v="20"/>
    <n v="4"/>
    <n v="2025"/>
    <s v="2025-17"/>
    <s v="Week 17"/>
    <x v="16"/>
  </r>
  <r>
    <d v="2025-04-24T00:00:00"/>
    <x v="40"/>
    <n v="4"/>
    <n v="2025"/>
    <s v="2025-17"/>
    <s v="Week 17"/>
    <x v="16"/>
  </r>
  <r>
    <d v="2025-04-26T00:00:00"/>
    <x v="13"/>
    <n v="16"/>
    <n v="2025"/>
    <s v="2025-17"/>
    <s v="Week 17"/>
    <x v="16"/>
  </r>
  <r>
    <d v="2025-04-26T00:00:00"/>
    <x v="14"/>
    <n v="15"/>
    <n v="2025"/>
    <s v="2025-17"/>
    <s v="Week 17"/>
    <x v="16"/>
  </r>
  <r>
    <d v="2025-04-26T00:00:00"/>
    <x v="14"/>
    <n v="11"/>
    <n v="2025"/>
    <s v="2025-17"/>
    <s v="Week 17"/>
    <x v="16"/>
  </r>
  <r>
    <d v="2025-04-26T00:00:00"/>
    <x v="17"/>
    <n v="10"/>
    <n v="2025"/>
    <s v="2025-17"/>
    <s v="Week 17"/>
    <x v="16"/>
  </r>
  <r>
    <d v="2025-04-26T00:00:00"/>
    <x v="3"/>
    <n v="12"/>
    <n v="2025"/>
    <s v="2025-17"/>
    <s v="Week 17"/>
    <x v="16"/>
  </r>
  <r>
    <d v="2025-04-26T00:00:00"/>
    <x v="11"/>
    <n v="12"/>
    <n v="2025"/>
    <s v="2025-17"/>
    <s v="Week 17"/>
    <x v="16"/>
  </r>
  <r>
    <d v="2025-04-26T00:00:00"/>
    <x v="11"/>
    <n v="8"/>
    <n v="2025"/>
    <s v="2025-17"/>
    <s v="Week 17"/>
    <x v="16"/>
  </r>
  <r>
    <d v="2025-04-26T00:00:00"/>
    <x v="6"/>
    <n v="5"/>
    <n v="2025"/>
    <s v="2025-17"/>
    <s v="Week 17"/>
    <x v="16"/>
  </r>
  <r>
    <d v="2025-04-26T00:00:00"/>
    <x v="10"/>
    <n v="6"/>
    <n v="2025"/>
    <s v="2025-17"/>
    <s v="Week 17"/>
    <x v="16"/>
  </r>
  <r>
    <d v="2025-04-26T00:00:00"/>
    <x v="5"/>
    <n v="4"/>
    <n v="2025"/>
    <s v="2025-17"/>
    <s v="Week 17"/>
    <x v="16"/>
  </r>
  <r>
    <d v="2025-04-26T00:00:00"/>
    <x v="7"/>
    <n v="4"/>
    <n v="2025"/>
    <s v="2025-17"/>
    <s v="Week 17"/>
    <x v="16"/>
  </r>
  <r>
    <d v="2025-04-26T00:00:00"/>
    <x v="3"/>
    <n v="5"/>
    <n v="2025"/>
    <s v="2025-17"/>
    <s v="Week 17"/>
    <x v="16"/>
  </r>
  <r>
    <d v="2025-04-26T00:00:00"/>
    <x v="14"/>
    <n v="4"/>
    <n v="2025"/>
    <s v="2025-17"/>
    <s v="Week 17"/>
    <x v="16"/>
  </r>
  <r>
    <d v="2025-04-26T00:00:00"/>
    <x v="3"/>
    <n v="4"/>
    <n v="2025"/>
    <s v="2025-17"/>
    <s v="Week 17"/>
    <x v="16"/>
  </r>
  <r>
    <d v="2025-04-26T00:00:00"/>
    <x v="15"/>
    <n v="6"/>
    <n v="2025"/>
    <s v="2025-17"/>
    <s v="Week 17"/>
    <x v="16"/>
  </r>
  <r>
    <d v="2025-04-26T00:00:00"/>
    <x v="6"/>
    <n v="2"/>
    <n v="2025"/>
    <s v="2025-17"/>
    <s v="Week 17"/>
    <x v="16"/>
  </r>
  <r>
    <d v="2025-04-26T00:00:00"/>
    <x v="3"/>
    <n v="3"/>
    <n v="2025"/>
    <s v="2025-17"/>
    <s v="Week 17"/>
    <x v="16"/>
  </r>
  <r>
    <d v="2025-04-26T00:00:00"/>
    <x v="12"/>
    <n v="4"/>
    <n v="2025"/>
    <s v="2025-17"/>
    <s v="Week 17"/>
    <x v="16"/>
  </r>
  <r>
    <d v="2025-04-26T00:00:00"/>
    <x v="3"/>
    <n v="2"/>
    <n v="2025"/>
    <s v="2025-17"/>
    <s v="Week 17"/>
    <x v="16"/>
  </r>
  <r>
    <d v="2025-04-26T00:00:00"/>
    <x v="12"/>
    <n v="2"/>
    <n v="2025"/>
    <s v="2025-17"/>
    <s v="Week 17"/>
    <x v="16"/>
  </r>
  <r>
    <d v="2025-04-26T00:00:00"/>
    <x v="6"/>
    <n v="1"/>
    <n v="2025"/>
    <s v="2025-17"/>
    <s v="Week 17"/>
    <x v="16"/>
  </r>
  <r>
    <d v="2025-04-26T00:00:00"/>
    <x v="26"/>
    <n v="2"/>
    <n v="2025"/>
    <s v="2025-17"/>
    <s v="Week 17"/>
    <x v="16"/>
  </r>
  <r>
    <d v="2025-04-26T00:00:00"/>
    <x v="12"/>
    <n v="1"/>
    <n v="2025"/>
    <s v="2025-17"/>
    <s v="Week 17"/>
    <x v="16"/>
  </r>
  <r>
    <d v="2025-04-27T00:00:00"/>
    <x v="17"/>
    <n v="4"/>
    <n v="2025"/>
    <s v="2025-17"/>
    <s v="Week 18"/>
    <x v="17"/>
  </r>
  <r>
    <d v="2025-04-27T00:00:00"/>
    <x v="18"/>
    <n v="4"/>
    <n v="2025"/>
    <s v="2025-17"/>
    <s v="Week 18"/>
    <x v="17"/>
  </r>
  <r>
    <d v="2025-04-29T00:00:00"/>
    <x v="10"/>
    <n v="6"/>
    <n v="2025"/>
    <s v="2025-18"/>
    <s v="Week 18"/>
    <x v="17"/>
  </r>
  <r>
    <d v="2025-04-29T00:00:00"/>
    <x v="25"/>
    <n v="8"/>
    <n v="2025"/>
    <s v="2025-18"/>
    <s v="Week 18"/>
    <x v="17"/>
  </r>
  <r>
    <d v="2025-04-29T00:00:00"/>
    <x v="2"/>
    <n v="6"/>
    <n v="2025"/>
    <s v="2025-18"/>
    <s v="Week 18"/>
    <x v="17"/>
  </r>
  <r>
    <d v="2025-04-29T00:00:00"/>
    <x v="15"/>
    <n v="6"/>
    <n v="2025"/>
    <s v="2025-18"/>
    <s v="Week 18"/>
    <x v="17"/>
  </r>
  <r>
    <d v="2025-04-29T00:00:00"/>
    <x v="21"/>
    <n v="8"/>
    <n v="2025"/>
    <s v="2025-18"/>
    <s v="Week 18"/>
    <x v="17"/>
  </r>
  <r>
    <d v="2025-04-29T00:00:00"/>
    <x v="18"/>
    <n v="6"/>
    <n v="2025"/>
    <s v="2025-18"/>
    <s v="Week 18"/>
    <x v="17"/>
  </r>
  <r>
    <d v="2025-04-29T00:00:00"/>
    <x v="27"/>
    <n v="4"/>
    <n v="2025"/>
    <s v="2025-18"/>
    <s v="Week 18"/>
    <x v="17"/>
  </r>
  <r>
    <d v="2025-04-29T00:00:00"/>
    <x v="15"/>
    <n v="2"/>
    <n v="2025"/>
    <s v="2025-18"/>
    <s v="Week 18"/>
    <x v="17"/>
  </r>
  <r>
    <d v="2025-05-02T00:00:00"/>
    <x v="10"/>
    <n v="15"/>
    <n v="2025"/>
    <s v="2025-18"/>
    <s v="Week 18"/>
    <x v="17"/>
  </r>
  <r>
    <d v="2025-05-02T00:00:00"/>
    <x v="11"/>
    <n v="14"/>
    <n v="2025"/>
    <s v="2025-18"/>
    <s v="Week 18"/>
    <x v="17"/>
  </r>
  <r>
    <d v="2025-05-02T00:00:00"/>
    <x v="41"/>
    <n v="8"/>
    <n v="2025"/>
    <s v="2025-18"/>
    <s v="Week 18"/>
    <x v="17"/>
  </r>
  <r>
    <d v="2025-05-02T00:00:00"/>
    <x v="31"/>
    <n v="4"/>
    <n v="2025"/>
    <s v="2025-18"/>
    <s v="Week 18"/>
    <x v="17"/>
  </r>
  <r>
    <d v="2025-05-02T00:00:00"/>
    <x v="12"/>
    <n v="2"/>
    <n v="2025"/>
    <s v="2025-18"/>
    <s v="Week 18"/>
    <x v="17"/>
  </r>
  <r>
    <d v="2025-05-02T00:00:00"/>
    <x v="2"/>
    <n v="2"/>
    <n v="2025"/>
    <s v="2025-18"/>
    <s v="Week 18"/>
    <x v="17"/>
  </r>
  <r>
    <d v="2025-05-02T00:00:00"/>
    <x v="10"/>
    <n v="1"/>
    <n v="2025"/>
    <s v="2025-18"/>
    <s v="Week 18"/>
    <x v="17"/>
  </r>
  <r>
    <d v="2025-05-03T00:00:00"/>
    <x v="28"/>
    <n v="2"/>
    <n v="2025"/>
    <s v="2025-18"/>
    <s v="Week 18"/>
    <x v="17"/>
  </r>
  <r>
    <d v="2025-05-04T00:00:00"/>
    <x v="19"/>
    <n v="16"/>
    <n v="2025"/>
    <s v="2025-18"/>
    <s v="Week 19"/>
    <x v="18"/>
  </r>
  <r>
    <d v="2025-05-04T00:00:00"/>
    <x v="3"/>
    <n v="8"/>
    <n v="2025"/>
    <s v="2025-18"/>
    <s v="Week 19"/>
    <x v="18"/>
  </r>
  <r>
    <d v="2025-05-04T00:00:00"/>
    <x v="12"/>
    <n v="7"/>
    <n v="2025"/>
    <s v="2025-18"/>
    <s v="Week 19"/>
    <x v="18"/>
  </r>
  <r>
    <d v="2025-05-04T00:00:00"/>
    <x v="27"/>
    <n v="6"/>
    <n v="2025"/>
    <s v="2025-18"/>
    <s v="Week 19"/>
    <x v="18"/>
  </r>
  <r>
    <d v="2025-05-04T00:00:00"/>
    <x v="15"/>
    <n v="2"/>
    <n v="2025"/>
    <s v="2025-18"/>
    <s v="Week 19"/>
    <x v="18"/>
  </r>
  <r>
    <d v="2025-05-04T00:00:00"/>
    <x v="28"/>
    <n v="2"/>
    <n v="2025"/>
    <s v="2025-18"/>
    <s v="Week 19"/>
    <x v="18"/>
  </r>
  <r>
    <d v="2025-05-05T00:00:00"/>
    <x v="12"/>
    <n v="50"/>
    <n v="2025"/>
    <s v="2025-19"/>
    <s v="Week 19"/>
    <x v="18"/>
  </r>
  <r>
    <d v="2025-05-05T00:00:00"/>
    <x v="10"/>
    <n v="12"/>
    <n v="2025"/>
    <s v="2025-19"/>
    <s v="Week 19"/>
    <x v="18"/>
  </r>
  <r>
    <d v="2025-05-05T00:00:00"/>
    <x v="10"/>
    <n v="12"/>
    <n v="2025"/>
    <s v="2025-19"/>
    <s v="Week 19"/>
    <x v="18"/>
  </r>
  <r>
    <d v="2025-05-05T00:00:00"/>
    <x v="27"/>
    <n v="26"/>
    <n v="2025"/>
    <s v="2025-19"/>
    <s v="Week 19"/>
    <x v="18"/>
  </r>
  <r>
    <d v="2025-05-05T00:00:00"/>
    <x v="10"/>
    <n v="6"/>
    <n v="2025"/>
    <s v="2025-19"/>
    <s v="Week 19"/>
    <x v="18"/>
  </r>
  <r>
    <d v="2025-05-05T00:00:00"/>
    <x v="10"/>
    <n v="6"/>
    <n v="2025"/>
    <s v="2025-19"/>
    <s v="Week 19"/>
    <x v="18"/>
  </r>
  <r>
    <d v="2025-05-05T00:00:00"/>
    <x v="27"/>
    <n v="4"/>
    <n v="2025"/>
    <s v="2025-19"/>
    <s v="Week 19"/>
    <x v="18"/>
  </r>
  <r>
    <d v="2025-05-06T00:00:00"/>
    <x v="17"/>
    <n v="14"/>
    <n v="2025"/>
    <s v="2025-19"/>
    <s v="Week 19"/>
    <x v="18"/>
  </r>
  <r>
    <d v="2025-05-06T00:00:00"/>
    <x v="13"/>
    <n v="11"/>
    <n v="2025"/>
    <s v="2025-19"/>
    <s v="Week 19"/>
    <x v="18"/>
  </r>
  <r>
    <d v="2025-05-06T00:00:00"/>
    <x v="3"/>
    <n v="8"/>
    <n v="2025"/>
    <s v="2025-19"/>
    <s v="Week 19"/>
    <x v="18"/>
  </r>
  <r>
    <d v="2025-05-06T00:00:00"/>
    <x v="5"/>
    <n v="5"/>
    <n v="2025"/>
    <s v="2025-19"/>
    <s v="Week 19"/>
    <x v="18"/>
  </r>
  <r>
    <d v="2025-05-06T00:00:00"/>
    <x v="1"/>
    <n v="8"/>
    <n v="2025"/>
    <s v="2025-19"/>
    <s v="Week 19"/>
    <x v="18"/>
  </r>
  <r>
    <d v="2025-05-06T00:00:00"/>
    <x v="36"/>
    <n v="2"/>
    <n v="2025"/>
    <s v="2025-19"/>
    <s v="Week 19"/>
    <x v="18"/>
  </r>
  <r>
    <d v="2025-05-06T00:00:00"/>
    <x v="2"/>
    <n v="5"/>
    <n v="2025"/>
    <s v="2025-19"/>
    <s v="Week 19"/>
    <x v="18"/>
  </r>
  <r>
    <d v="2025-05-06T00:00:00"/>
    <x v="12"/>
    <n v="4"/>
    <n v="2025"/>
    <s v="2025-19"/>
    <s v="Week 19"/>
    <x v="18"/>
  </r>
  <r>
    <d v="2025-05-06T00:00:00"/>
    <x v="20"/>
    <n v="3"/>
    <n v="2025"/>
    <s v="2025-19"/>
    <s v="Week 19"/>
    <x v="18"/>
  </r>
  <r>
    <d v="2025-05-06T00:00:00"/>
    <x v="15"/>
    <n v="4"/>
    <n v="2025"/>
    <s v="2025-19"/>
    <s v="Week 19"/>
    <x v="18"/>
  </r>
  <r>
    <d v="2025-05-06T00:00:00"/>
    <x v="6"/>
    <n v="1"/>
    <n v="2025"/>
    <s v="2025-19"/>
    <s v="Week 19"/>
    <x v="18"/>
  </r>
  <r>
    <d v="2025-05-07T00:00:00"/>
    <x v="40"/>
    <n v="4"/>
    <n v="2025"/>
    <s v="2025-19"/>
    <s v="Week 19"/>
    <x v="18"/>
  </r>
  <r>
    <d v="2025-05-07T00:00:00"/>
    <x v="17"/>
    <n v="2"/>
    <n v="2025"/>
    <s v="2025-19"/>
    <s v="Week 19"/>
    <x v="18"/>
  </r>
  <r>
    <d v="2025-05-08T00:00:00"/>
    <x v="12"/>
    <n v="18"/>
    <n v="2025"/>
    <s v="2025-19"/>
    <s v="Week 19"/>
    <x v="18"/>
  </r>
  <r>
    <d v="2025-05-08T00:00:00"/>
    <x v="3"/>
    <n v="8"/>
    <n v="2025"/>
    <s v="2025-19"/>
    <s v="Week 19"/>
    <x v="18"/>
  </r>
  <r>
    <d v="2025-05-08T00:00:00"/>
    <x v="12"/>
    <n v="11"/>
    <n v="2025"/>
    <s v="2025-19"/>
    <s v="Week 19"/>
    <x v="18"/>
  </r>
  <r>
    <d v="2025-05-08T00:00:00"/>
    <x v="13"/>
    <n v="6"/>
    <n v="2025"/>
    <s v="2025-19"/>
    <s v="Week 19"/>
    <x v="18"/>
  </r>
  <r>
    <d v="2025-05-08T00:00:00"/>
    <x v="3"/>
    <n v="6"/>
    <n v="2025"/>
    <s v="2025-19"/>
    <s v="Week 19"/>
    <x v="18"/>
  </r>
  <r>
    <d v="2025-05-08T00:00:00"/>
    <x v="2"/>
    <n v="8"/>
    <n v="2025"/>
    <s v="2025-19"/>
    <s v="Week 19"/>
    <x v="18"/>
  </r>
  <r>
    <d v="2025-05-08T00:00:00"/>
    <x v="11"/>
    <n v="4"/>
    <n v="2025"/>
    <s v="2025-19"/>
    <s v="Week 19"/>
    <x v="18"/>
  </r>
  <r>
    <d v="2025-05-08T00:00:00"/>
    <x v="14"/>
    <n v="2"/>
    <n v="2025"/>
    <s v="2025-19"/>
    <s v="Week 19"/>
    <x v="18"/>
  </r>
  <r>
    <d v="2025-05-08T00:00:00"/>
    <x v="15"/>
    <n v="4"/>
    <n v="2025"/>
    <s v="2025-19"/>
    <s v="Week 19"/>
    <x v="18"/>
  </r>
  <r>
    <d v="2025-05-08T00:00:00"/>
    <x v="2"/>
    <n v="2"/>
    <n v="2025"/>
    <s v="2025-19"/>
    <s v="Week 19"/>
    <x v="18"/>
  </r>
  <r>
    <d v="2025-05-10T00:00:00"/>
    <x v="14"/>
    <n v="12"/>
    <n v="2025"/>
    <s v="2025-19"/>
    <s v="Week 19"/>
    <x v="18"/>
  </r>
  <r>
    <d v="2025-05-10T00:00:00"/>
    <x v="12"/>
    <n v="8"/>
    <n v="2025"/>
    <s v="2025-19"/>
    <s v="Week 19"/>
    <x v="18"/>
  </r>
  <r>
    <d v="2025-05-10T00:00:00"/>
    <x v="3"/>
    <n v="6"/>
    <n v="2025"/>
    <s v="2025-19"/>
    <s v="Week 19"/>
    <x v="18"/>
  </r>
  <r>
    <d v="2025-05-10T00:00:00"/>
    <x v="11"/>
    <n v="6"/>
    <n v="2025"/>
    <s v="2025-19"/>
    <s v="Week 19"/>
    <x v="18"/>
  </r>
  <r>
    <d v="2025-05-10T00:00:00"/>
    <x v="13"/>
    <n v="4"/>
    <n v="2025"/>
    <s v="2025-19"/>
    <s v="Week 19"/>
    <x v="18"/>
  </r>
  <r>
    <d v="2025-05-10T00:00:00"/>
    <x v="17"/>
    <n v="2"/>
    <n v="2025"/>
    <s v="2025-19"/>
    <s v="Week 19"/>
    <x v="18"/>
  </r>
  <r>
    <d v="2025-05-11T00:00:00"/>
    <x v="13"/>
    <n v="12"/>
    <n v="2025"/>
    <s v="2025-19"/>
    <s v="Week 20"/>
    <x v="19"/>
  </r>
  <r>
    <d v="2025-05-11T00:00:00"/>
    <x v="13"/>
    <n v="12"/>
    <n v="2025"/>
    <s v="2025-19"/>
    <s v="Week 20"/>
    <x v="19"/>
  </r>
  <r>
    <d v="2025-05-11T00:00:00"/>
    <x v="12"/>
    <n v="18"/>
    <n v="2025"/>
    <s v="2025-19"/>
    <s v="Week 20"/>
    <x v="19"/>
  </r>
  <r>
    <d v="2025-05-11T00:00:00"/>
    <x v="3"/>
    <n v="12"/>
    <n v="2025"/>
    <s v="2025-19"/>
    <s v="Week 20"/>
    <x v="19"/>
  </r>
  <r>
    <d v="2025-05-11T00:00:00"/>
    <x v="6"/>
    <n v="8"/>
    <n v="2025"/>
    <s v="2025-19"/>
    <s v="Week 20"/>
    <x v="19"/>
  </r>
  <r>
    <d v="2025-05-11T00:00:00"/>
    <x v="3"/>
    <n v="10"/>
    <n v="2025"/>
    <s v="2025-19"/>
    <s v="Week 20"/>
    <x v="19"/>
  </r>
  <r>
    <d v="2025-05-11T00:00:00"/>
    <x v="14"/>
    <n v="8"/>
    <n v="2025"/>
    <s v="2025-19"/>
    <s v="Week 20"/>
    <x v="19"/>
  </r>
  <r>
    <d v="2025-05-11T00:00:00"/>
    <x v="5"/>
    <n v="6"/>
    <n v="2025"/>
    <s v="2025-19"/>
    <s v="Week 20"/>
    <x v="19"/>
  </r>
  <r>
    <d v="2025-05-11T00:00:00"/>
    <x v="2"/>
    <n v="11"/>
    <n v="2025"/>
    <s v="2025-19"/>
    <s v="Week 20"/>
    <x v="19"/>
  </r>
  <r>
    <d v="2025-05-11T00:00:00"/>
    <x v="15"/>
    <n v="12"/>
    <n v="2025"/>
    <s v="2025-19"/>
    <s v="Week 20"/>
    <x v="19"/>
  </r>
  <r>
    <d v="2025-05-11T00:00:00"/>
    <x v="14"/>
    <n v="5"/>
    <n v="2025"/>
    <s v="2025-19"/>
    <s v="Week 20"/>
    <x v="19"/>
  </r>
  <r>
    <d v="2025-05-11T00:00:00"/>
    <x v="6"/>
    <n v="4"/>
    <n v="2025"/>
    <s v="2025-19"/>
    <s v="Week 20"/>
    <x v="19"/>
  </r>
  <r>
    <d v="2025-05-11T00:00:00"/>
    <x v="13"/>
    <n v="4"/>
    <n v="2025"/>
    <s v="2025-19"/>
    <s v="Week 20"/>
    <x v="19"/>
  </r>
  <r>
    <d v="2025-05-11T00:00:00"/>
    <x v="14"/>
    <n v="4"/>
    <n v="2025"/>
    <s v="2025-19"/>
    <s v="Week 20"/>
    <x v="19"/>
  </r>
  <r>
    <d v="2025-05-11T00:00:00"/>
    <x v="14"/>
    <n v="4"/>
    <n v="2025"/>
    <s v="2025-19"/>
    <s v="Week 20"/>
    <x v="19"/>
  </r>
  <r>
    <d v="2025-05-11T00:00:00"/>
    <x v="14"/>
    <n v="4"/>
    <n v="2025"/>
    <s v="2025-19"/>
    <s v="Week 20"/>
    <x v="19"/>
  </r>
  <r>
    <d v="2025-05-11T00:00:00"/>
    <x v="11"/>
    <n v="5"/>
    <n v="2025"/>
    <s v="2025-19"/>
    <s v="Week 20"/>
    <x v="19"/>
  </r>
  <r>
    <d v="2025-05-11T00:00:00"/>
    <x v="3"/>
    <n v="4"/>
    <n v="2025"/>
    <s v="2025-19"/>
    <s v="Week 20"/>
    <x v="19"/>
  </r>
  <r>
    <d v="2025-05-11T00:00:00"/>
    <x v="3"/>
    <n v="4"/>
    <n v="2025"/>
    <s v="2025-19"/>
    <s v="Week 20"/>
    <x v="19"/>
  </r>
  <r>
    <d v="2025-05-11T00:00:00"/>
    <x v="5"/>
    <n v="2"/>
    <n v="2025"/>
    <s v="2025-19"/>
    <s v="Week 20"/>
    <x v="19"/>
  </r>
  <r>
    <d v="2025-05-11T00:00:00"/>
    <x v="5"/>
    <n v="2"/>
    <n v="2025"/>
    <s v="2025-19"/>
    <s v="Week 20"/>
    <x v="19"/>
  </r>
  <r>
    <d v="2025-05-11T00:00:00"/>
    <x v="6"/>
    <n v="2"/>
    <n v="2025"/>
    <s v="2025-19"/>
    <s v="Week 20"/>
    <x v="19"/>
  </r>
  <r>
    <d v="2025-05-11T00:00:00"/>
    <x v="6"/>
    <n v="2"/>
    <n v="2025"/>
    <s v="2025-19"/>
    <s v="Week 20"/>
    <x v="19"/>
  </r>
  <r>
    <d v="2025-05-11T00:00:00"/>
    <x v="12"/>
    <n v="3"/>
    <n v="2025"/>
    <s v="2025-19"/>
    <s v="Week 20"/>
    <x v="19"/>
  </r>
  <r>
    <d v="2025-05-12T00:00:00"/>
    <x v="10"/>
    <n v="8"/>
    <n v="2025"/>
    <s v="2025-20"/>
    <s v="Week 20"/>
    <x v="19"/>
  </r>
  <r>
    <d v="2025-05-12T00:00:00"/>
    <x v="13"/>
    <n v="4"/>
    <n v="2025"/>
    <s v="2025-20"/>
    <s v="Week 20"/>
    <x v="19"/>
  </r>
  <r>
    <d v="2025-05-12T00:00:00"/>
    <x v="13"/>
    <n v="4"/>
    <n v="2025"/>
    <s v="2025-20"/>
    <s v="Week 20"/>
    <x v="19"/>
  </r>
  <r>
    <d v="2025-05-12T00:00:00"/>
    <x v="11"/>
    <n v="5"/>
    <n v="2025"/>
    <s v="2025-20"/>
    <s v="Week 20"/>
    <x v="19"/>
  </r>
  <r>
    <d v="2025-05-12T00:00:00"/>
    <x v="3"/>
    <n v="4"/>
    <n v="2025"/>
    <s v="2025-20"/>
    <s v="Week 20"/>
    <x v="19"/>
  </r>
  <r>
    <d v="2025-05-12T00:00:00"/>
    <x v="12"/>
    <n v="3"/>
    <n v="2025"/>
    <s v="2025-20"/>
    <s v="Week 20"/>
    <x v="19"/>
  </r>
  <r>
    <d v="2025-05-13T00:00:00"/>
    <x v="11"/>
    <n v="52"/>
    <n v="2025"/>
    <s v="2025-20"/>
    <s v="Week 20"/>
    <x v="19"/>
  </r>
  <r>
    <d v="2025-05-13T00:00:00"/>
    <x v="10"/>
    <n v="20"/>
    <n v="2025"/>
    <s v="2025-20"/>
    <s v="Week 20"/>
    <x v="19"/>
  </r>
  <r>
    <d v="2025-05-13T00:00:00"/>
    <x v="12"/>
    <n v="28"/>
    <n v="2025"/>
    <s v="2025-20"/>
    <s v="Week 20"/>
    <x v="19"/>
  </r>
  <r>
    <d v="2025-05-13T00:00:00"/>
    <x v="12"/>
    <n v="27"/>
    <n v="2025"/>
    <s v="2025-20"/>
    <s v="Week 20"/>
    <x v="19"/>
  </r>
  <r>
    <d v="2025-05-13T00:00:00"/>
    <x v="11"/>
    <n v="16"/>
    <n v="2025"/>
    <s v="2025-20"/>
    <s v="Week 20"/>
    <x v="19"/>
  </r>
  <r>
    <d v="2025-05-13T00:00:00"/>
    <x v="12"/>
    <n v="16"/>
    <n v="2025"/>
    <s v="2025-20"/>
    <s v="Week 20"/>
    <x v="19"/>
  </r>
  <r>
    <d v="2025-05-13T00:00:00"/>
    <x v="15"/>
    <n v="16"/>
    <n v="2025"/>
    <s v="2025-20"/>
    <s v="Week 20"/>
    <x v="19"/>
  </r>
  <r>
    <d v="2025-05-13T00:00:00"/>
    <x v="3"/>
    <n v="8"/>
    <n v="2025"/>
    <s v="2025-20"/>
    <s v="Week 20"/>
    <x v="19"/>
  </r>
  <r>
    <d v="2025-05-13T00:00:00"/>
    <x v="3"/>
    <n v="8"/>
    <n v="2025"/>
    <s v="2025-20"/>
    <s v="Week 20"/>
    <x v="19"/>
  </r>
  <r>
    <d v="2025-05-13T00:00:00"/>
    <x v="25"/>
    <n v="12"/>
    <n v="2025"/>
    <s v="2025-20"/>
    <s v="Week 20"/>
    <x v="19"/>
  </r>
  <r>
    <d v="2025-05-13T00:00:00"/>
    <x v="15"/>
    <n v="10"/>
    <n v="2025"/>
    <s v="2025-20"/>
    <s v="Week 20"/>
    <x v="19"/>
  </r>
  <r>
    <d v="2025-05-13T00:00:00"/>
    <x v="19"/>
    <n v="9"/>
    <n v="2025"/>
    <s v="2025-20"/>
    <s v="Week 20"/>
    <x v="19"/>
  </r>
  <r>
    <d v="2025-05-13T00:00:00"/>
    <x v="31"/>
    <n v="8"/>
    <n v="2025"/>
    <s v="2025-20"/>
    <s v="Week 20"/>
    <x v="19"/>
  </r>
  <r>
    <d v="2025-05-13T00:00:00"/>
    <x v="14"/>
    <n v="4"/>
    <n v="2025"/>
    <s v="2025-20"/>
    <s v="Week 20"/>
    <x v="19"/>
  </r>
  <r>
    <d v="2025-05-13T00:00:00"/>
    <x v="15"/>
    <n v="8"/>
    <n v="2025"/>
    <s v="2025-20"/>
    <s v="Week 20"/>
    <x v="19"/>
  </r>
  <r>
    <d v="2025-05-13T00:00:00"/>
    <x v="19"/>
    <n v="8"/>
    <n v="2025"/>
    <s v="2025-20"/>
    <s v="Week 20"/>
    <x v="19"/>
  </r>
  <r>
    <d v="2025-05-13T00:00:00"/>
    <x v="11"/>
    <n v="4"/>
    <n v="2025"/>
    <s v="2025-20"/>
    <s v="Week 20"/>
    <x v="19"/>
  </r>
  <r>
    <d v="2025-05-13T00:00:00"/>
    <x v="12"/>
    <n v="4"/>
    <n v="2025"/>
    <s v="2025-20"/>
    <s v="Week 20"/>
    <x v="19"/>
  </r>
  <r>
    <d v="2025-05-13T00:00:00"/>
    <x v="12"/>
    <n v="4"/>
    <n v="2025"/>
    <s v="2025-20"/>
    <s v="Week 20"/>
    <x v="19"/>
  </r>
  <r>
    <d v="2025-05-13T00:00:00"/>
    <x v="2"/>
    <n v="4"/>
    <n v="2025"/>
    <s v="2025-20"/>
    <s v="Week 20"/>
    <x v="19"/>
  </r>
  <r>
    <d v="2025-05-13T00:00:00"/>
    <x v="27"/>
    <n v="4"/>
    <n v="2025"/>
    <s v="2025-20"/>
    <s v="Week 20"/>
    <x v="19"/>
  </r>
  <r>
    <d v="2025-05-13T00:00:00"/>
    <x v="12"/>
    <n v="1"/>
    <n v="2025"/>
    <s v="2025-20"/>
    <s v="Week 20"/>
    <x v="19"/>
  </r>
  <r>
    <d v="2025-05-13T00:00:00"/>
    <x v="19"/>
    <n v="1"/>
    <n v="2025"/>
    <s v="2025-20"/>
    <s v="Week 20"/>
    <x v="19"/>
  </r>
  <r>
    <d v="2025-05-14T00:00:00"/>
    <x v="13"/>
    <n v="8"/>
    <n v="2025"/>
    <s v="2025-20"/>
    <s v="Week 20"/>
    <x v="19"/>
  </r>
  <r>
    <d v="2025-05-14T00:00:00"/>
    <x v="13"/>
    <n v="8"/>
    <n v="2025"/>
    <s v="2025-20"/>
    <s v="Week 20"/>
    <x v="19"/>
  </r>
  <r>
    <d v="2025-05-14T00:00:00"/>
    <x v="3"/>
    <n v="8"/>
    <n v="2025"/>
    <s v="2025-20"/>
    <s v="Week 20"/>
    <x v="19"/>
  </r>
  <r>
    <d v="2025-05-14T00:00:00"/>
    <x v="12"/>
    <n v="8"/>
    <n v="2025"/>
    <s v="2025-20"/>
    <s v="Week 20"/>
    <x v="19"/>
  </r>
  <r>
    <d v="2025-05-14T00:00:00"/>
    <x v="12"/>
    <n v="8"/>
    <n v="2025"/>
    <s v="2025-20"/>
    <s v="Week 20"/>
    <x v="19"/>
  </r>
  <r>
    <d v="2025-05-14T00:00:00"/>
    <x v="17"/>
    <n v="4"/>
    <n v="2025"/>
    <s v="2025-20"/>
    <s v="Week 20"/>
    <x v="19"/>
  </r>
  <r>
    <d v="2025-05-14T00:00:00"/>
    <x v="14"/>
    <n v="4"/>
    <n v="2025"/>
    <s v="2025-20"/>
    <s v="Week 20"/>
    <x v="19"/>
  </r>
  <r>
    <d v="2025-05-14T00:00:00"/>
    <x v="11"/>
    <n v="5"/>
    <n v="2025"/>
    <s v="2025-20"/>
    <s v="Week 20"/>
    <x v="19"/>
  </r>
  <r>
    <d v="2025-05-14T00:00:00"/>
    <x v="2"/>
    <n v="6"/>
    <n v="2025"/>
    <s v="2025-20"/>
    <s v="Week 20"/>
    <x v="19"/>
  </r>
  <r>
    <d v="2025-05-14T00:00:00"/>
    <x v="10"/>
    <n v="4"/>
    <n v="2025"/>
    <s v="2025-20"/>
    <s v="Week 20"/>
    <x v="19"/>
  </r>
  <r>
    <d v="2025-05-14T00:00:00"/>
    <x v="11"/>
    <n v="4"/>
    <n v="2025"/>
    <s v="2025-20"/>
    <s v="Week 20"/>
    <x v="19"/>
  </r>
  <r>
    <d v="2025-05-14T00:00:00"/>
    <x v="15"/>
    <n v="6"/>
    <n v="2025"/>
    <s v="2025-20"/>
    <s v="Week 20"/>
    <x v="19"/>
  </r>
  <r>
    <d v="2025-05-14T00:00:00"/>
    <x v="15"/>
    <n v="4"/>
    <n v="2025"/>
    <s v="2025-20"/>
    <s v="Week 20"/>
    <x v="19"/>
  </r>
  <r>
    <d v="2025-05-14T00:00:00"/>
    <x v="10"/>
    <n v="2"/>
    <n v="2025"/>
    <s v="2025-20"/>
    <s v="Week 20"/>
    <x v="19"/>
  </r>
  <r>
    <d v="2025-05-14T00:00:00"/>
    <x v="19"/>
    <n v="4"/>
    <n v="2025"/>
    <s v="2025-20"/>
    <s v="Week 20"/>
    <x v="19"/>
  </r>
  <r>
    <d v="2025-05-14T00:00:00"/>
    <x v="27"/>
    <n v="4"/>
    <n v="2025"/>
    <s v="2025-20"/>
    <s v="Week 20"/>
    <x v="19"/>
  </r>
  <r>
    <d v="2025-05-14T00:00:00"/>
    <x v="15"/>
    <n v="2"/>
    <n v="2025"/>
    <s v="2025-20"/>
    <s v="Week 20"/>
    <x v="19"/>
  </r>
  <r>
    <d v="2025-05-14T00:00:00"/>
    <x v="1"/>
    <n v="2"/>
    <n v="2025"/>
    <s v="2025-20"/>
    <s v="Week 20"/>
    <x v="19"/>
  </r>
  <r>
    <d v="2025-05-15T00:00:00"/>
    <x v="11"/>
    <n v="16"/>
    <n v="2025"/>
    <s v="2025-20"/>
    <s v="Week 20"/>
    <x v="19"/>
  </r>
  <r>
    <d v="2025-05-15T00:00:00"/>
    <x v="10"/>
    <n v="8"/>
    <n v="2025"/>
    <s v="2025-20"/>
    <s v="Week 20"/>
    <x v="19"/>
  </r>
  <r>
    <d v="2025-05-15T00:00:00"/>
    <x v="12"/>
    <n v="11"/>
    <n v="2025"/>
    <s v="2025-20"/>
    <s v="Week 20"/>
    <x v="19"/>
  </r>
  <r>
    <d v="2025-05-15T00:00:00"/>
    <x v="10"/>
    <n v="6"/>
    <n v="2025"/>
    <s v="2025-20"/>
    <s v="Week 20"/>
    <x v="19"/>
  </r>
  <r>
    <d v="2025-05-15T00:00:00"/>
    <x v="9"/>
    <n v="8"/>
    <n v="2025"/>
    <s v="2025-20"/>
    <s v="Week 20"/>
    <x v="19"/>
  </r>
  <r>
    <d v="2025-05-15T00:00:00"/>
    <x v="12"/>
    <n v="8"/>
    <n v="2025"/>
    <s v="2025-20"/>
    <s v="Week 20"/>
    <x v="19"/>
  </r>
  <r>
    <d v="2025-05-15T00:00:00"/>
    <x v="3"/>
    <n v="6"/>
    <n v="2025"/>
    <s v="2025-20"/>
    <s v="Week 20"/>
    <x v="19"/>
  </r>
  <r>
    <d v="2025-05-15T00:00:00"/>
    <x v="11"/>
    <n v="6"/>
    <n v="2025"/>
    <s v="2025-20"/>
    <s v="Week 20"/>
    <x v="19"/>
  </r>
  <r>
    <d v="2025-05-15T00:00:00"/>
    <x v="3"/>
    <n v="4"/>
    <n v="2025"/>
    <s v="2025-20"/>
    <s v="Week 20"/>
    <x v="19"/>
  </r>
  <r>
    <d v="2025-05-15T00:00:00"/>
    <x v="4"/>
    <n v="8"/>
    <n v="2025"/>
    <s v="2025-20"/>
    <s v="Week 20"/>
    <x v="19"/>
  </r>
  <r>
    <d v="2025-05-15T00:00:00"/>
    <x v="12"/>
    <n v="3"/>
    <n v="2025"/>
    <s v="2025-20"/>
    <s v="Week 20"/>
    <x v="19"/>
  </r>
  <r>
    <d v="2025-05-16T00:00:00"/>
    <x v="12"/>
    <n v="26"/>
    <n v="2025"/>
    <s v="2025-20"/>
    <s v="Week 20"/>
    <x v="19"/>
  </r>
  <r>
    <d v="2025-05-16T00:00:00"/>
    <x v="11"/>
    <n v="19"/>
    <n v="2025"/>
    <s v="2025-20"/>
    <s v="Week 20"/>
    <x v="19"/>
  </r>
  <r>
    <d v="2025-05-16T00:00:00"/>
    <x v="11"/>
    <n v="3"/>
    <n v="2025"/>
    <s v="2025-20"/>
    <s v="Week 20"/>
    <x v="19"/>
  </r>
  <r>
    <d v="2025-05-18T00:00:00"/>
    <x v="10"/>
    <n v="8"/>
    <n v="2025"/>
    <s v="2025-20"/>
    <s v="Week 21"/>
    <x v="20"/>
  </r>
  <r>
    <d v="2025-05-18T00:00:00"/>
    <x v="3"/>
    <n v="6"/>
    <n v="2025"/>
    <s v="2025-20"/>
    <s v="Week 21"/>
    <x v="20"/>
  </r>
  <r>
    <d v="2025-05-18T00:00:00"/>
    <x v="13"/>
    <n v="4"/>
    <n v="2025"/>
    <s v="2025-20"/>
    <s v="Week 21"/>
    <x v="20"/>
  </r>
  <r>
    <d v="2025-05-18T00:00:00"/>
    <x v="17"/>
    <n v="4"/>
    <n v="2025"/>
    <s v="2025-20"/>
    <s v="Week 21"/>
    <x v="20"/>
  </r>
  <r>
    <d v="2025-05-18T00:00:00"/>
    <x v="12"/>
    <n v="6"/>
    <n v="2025"/>
    <s v="2025-20"/>
    <s v="Week 21"/>
    <x v="20"/>
  </r>
  <r>
    <d v="2025-05-18T00:00:00"/>
    <x v="3"/>
    <n v="4"/>
    <n v="2025"/>
    <s v="2025-20"/>
    <s v="Week 21"/>
    <x v="20"/>
  </r>
  <r>
    <d v="2025-05-18T00:00:00"/>
    <x v="26"/>
    <n v="4"/>
    <n v="2025"/>
    <s v="2025-20"/>
    <s v="Week 21"/>
    <x v="20"/>
  </r>
  <r>
    <d v="2025-05-18T00:00:00"/>
    <x v="25"/>
    <n v="2"/>
    <n v="2025"/>
    <s v="2025-20"/>
    <s v="Week 21"/>
    <x v="20"/>
  </r>
  <r>
    <d v="2025-05-19T00:00:00"/>
    <x v="10"/>
    <n v="6"/>
    <n v="2025"/>
    <s v="2025-21"/>
    <s v="Week 21"/>
    <x v="20"/>
  </r>
  <r>
    <d v="2025-05-19T00:00:00"/>
    <x v="17"/>
    <n v="4"/>
    <n v="2025"/>
    <s v="2025-21"/>
    <s v="Week 21"/>
    <x v="20"/>
  </r>
  <r>
    <d v="2025-05-19T00:00:00"/>
    <x v="13"/>
    <n v="4"/>
    <n v="2025"/>
    <s v="2025-21"/>
    <s v="Week 21"/>
    <x v="20"/>
  </r>
  <r>
    <d v="2025-05-19T00:00:00"/>
    <x v="13"/>
    <n v="4"/>
    <n v="2025"/>
    <s v="2025-21"/>
    <s v="Week 21"/>
    <x v="20"/>
  </r>
  <r>
    <d v="2025-05-19T00:00:00"/>
    <x v="25"/>
    <n v="6"/>
    <n v="2025"/>
    <s v="2025-21"/>
    <s v="Week 21"/>
    <x v="20"/>
  </r>
  <r>
    <d v="2025-05-19T00:00:00"/>
    <x v="11"/>
    <n v="2"/>
    <n v="2025"/>
    <s v="2025-21"/>
    <s v="Week 21"/>
    <x v="20"/>
  </r>
  <r>
    <d v="2025-05-20T00:00:00"/>
    <x v="5"/>
    <n v="5"/>
    <n v="2025"/>
    <s v="2025-21"/>
    <s v="Week 21"/>
    <x v="20"/>
  </r>
  <r>
    <d v="2025-05-20T00:00:00"/>
    <x v="9"/>
    <n v="6"/>
    <n v="2025"/>
    <s v="2025-21"/>
    <s v="Week 21"/>
    <x v="20"/>
  </r>
  <r>
    <d v="2025-05-20T00:00:00"/>
    <x v="5"/>
    <n v="2"/>
    <n v="2025"/>
    <s v="2025-21"/>
    <s v="Week 21"/>
    <x v="20"/>
  </r>
  <r>
    <d v="2025-05-20T00:00:00"/>
    <x v="3"/>
    <n v="3"/>
    <n v="2025"/>
    <s v="2025-21"/>
    <s v="Week 21"/>
    <x v="20"/>
  </r>
  <r>
    <d v="2025-05-20T00:00:00"/>
    <x v="10"/>
    <n v="2"/>
    <n v="2025"/>
    <s v="2025-21"/>
    <s v="Week 21"/>
    <x v="20"/>
  </r>
  <r>
    <d v="2025-05-20T00:00:00"/>
    <x v="2"/>
    <n v="2"/>
    <n v="2025"/>
    <s v="2025-21"/>
    <s v="Week 21"/>
    <x v="20"/>
  </r>
  <r>
    <d v="2025-05-20T00:00:00"/>
    <x v="17"/>
    <n v="1"/>
    <n v="2025"/>
    <s v="2025-21"/>
    <s v="Week 21"/>
    <x v="20"/>
  </r>
  <r>
    <d v="2025-05-20T00:00:00"/>
    <x v="25"/>
    <n v="1"/>
    <n v="2025"/>
    <s v="2025-21"/>
    <s v="Week 21"/>
    <x v="20"/>
  </r>
  <r>
    <d v="2025-05-20T00:00:00"/>
    <x v="25"/>
    <n v="1"/>
    <n v="2025"/>
    <s v="2025-21"/>
    <s v="Week 21"/>
    <x v="20"/>
  </r>
  <r>
    <d v="2025-05-21T00:00:00"/>
    <x v="11"/>
    <n v="12"/>
    <n v="2025"/>
    <s v="2025-21"/>
    <s v="Week 21"/>
    <x v="20"/>
  </r>
  <r>
    <d v="2025-05-21T00:00:00"/>
    <x v="27"/>
    <n v="2"/>
    <n v="2025"/>
    <s v="2025-21"/>
    <s v="Week 21"/>
    <x v="20"/>
  </r>
  <r>
    <d v="2025-05-22T00:00:00"/>
    <x v="13"/>
    <n v="14"/>
    <n v="2025"/>
    <s v="2025-21"/>
    <s v="Week 21"/>
    <x v="20"/>
  </r>
  <r>
    <d v="2025-05-22T00:00:00"/>
    <x v="17"/>
    <n v="12"/>
    <n v="2025"/>
    <s v="2025-21"/>
    <s v="Week 21"/>
    <x v="20"/>
  </r>
  <r>
    <d v="2025-05-22T00:00:00"/>
    <x v="5"/>
    <n v="9"/>
    <n v="2025"/>
    <s v="2025-21"/>
    <s v="Week 21"/>
    <x v="20"/>
  </r>
  <r>
    <d v="2025-05-22T00:00:00"/>
    <x v="13"/>
    <n v="10"/>
    <n v="2025"/>
    <s v="2025-21"/>
    <s v="Week 21"/>
    <x v="20"/>
  </r>
  <r>
    <d v="2025-05-22T00:00:00"/>
    <x v="3"/>
    <n v="12"/>
    <n v="2025"/>
    <s v="2025-21"/>
    <s v="Week 21"/>
    <x v="20"/>
  </r>
  <r>
    <d v="2025-05-22T00:00:00"/>
    <x v="6"/>
    <n v="8"/>
    <n v="2025"/>
    <s v="2025-21"/>
    <s v="Week 21"/>
    <x v="20"/>
  </r>
  <r>
    <d v="2025-05-22T00:00:00"/>
    <x v="13"/>
    <n v="8"/>
    <n v="2025"/>
    <s v="2025-21"/>
    <s v="Week 21"/>
    <x v="20"/>
  </r>
  <r>
    <d v="2025-05-22T00:00:00"/>
    <x v="14"/>
    <n v="8"/>
    <n v="2025"/>
    <s v="2025-21"/>
    <s v="Week 21"/>
    <x v="20"/>
  </r>
  <r>
    <d v="2025-05-22T00:00:00"/>
    <x v="10"/>
    <n v="8"/>
    <n v="2025"/>
    <s v="2025-21"/>
    <s v="Week 21"/>
    <x v="20"/>
  </r>
  <r>
    <d v="2025-05-22T00:00:00"/>
    <x v="3"/>
    <n v="8"/>
    <n v="2025"/>
    <s v="2025-21"/>
    <s v="Week 21"/>
    <x v="20"/>
  </r>
  <r>
    <d v="2025-05-22T00:00:00"/>
    <x v="25"/>
    <n v="12"/>
    <n v="2025"/>
    <s v="2025-21"/>
    <s v="Week 21"/>
    <x v="20"/>
  </r>
  <r>
    <d v="2025-05-22T00:00:00"/>
    <x v="17"/>
    <n v="6"/>
    <n v="2025"/>
    <s v="2025-21"/>
    <s v="Week 21"/>
    <x v="20"/>
  </r>
  <r>
    <d v="2025-05-22T00:00:00"/>
    <x v="3"/>
    <n v="7"/>
    <n v="2025"/>
    <s v="2025-21"/>
    <s v="Week 21"/>
    <x v="20"/>
  </r>
  <r>
    <d v="2025-05-22T00:00:00"/>
    <x v="7"/>
    <n v="4"/>
    <n v="2025"/>
    <s v="2025-21"/>
    <s v="Week 21"/>
    <x v="20"/>
  </r>
  <r>
    <d v="2025-05-22T00:00:00"/>
    <x v="7"/>
    <n v="4"/>
    <n v="2025"/>
    <s v="2025-21"/>
    <s v="Week 21"/>
    <x v="20"/>
  </r>
  <r>
    <d v="2025-05-22T00:00:00"/>
    <x v="6"/>
    <n v="4"/>
    <n v="2025"/>
    <s v="2025-21"/>
    <s v="Week 21"/>
    <x v="20"/>
  </r>
  <r>
    <d v="2025-05-22T00:00:00"/>
    <x v="14"/>
    <n v="4"/>
    <n v="2025"/>
    <s v="2025-21"/>
    <s v="Week 21"/>
    <x v="20"/>
  </r>
  <r>
    <d v="2025-05-22T00:00:00"/>
    <x v="26"/>
    <n v="6"/>
    <n v="2025"/>
    <s v="2025-21"/>
    <s v="Week 21"/>
    <x v="20"/>
  </r>
  <r>
    <d v="2025-05-22T00:00:00"/>
    <x v="12"/>
    <n v="4"/>
    <n v="2025"/>
    <s v="2025-21"/>
    <s v="Week 21"/>
    <x v="20"/>
  </r>
  <r>
    <d v="2025-05-22T00:00:00"/>
    <x v="12"/>
    <n v="4"/>
    <n v="2025"/>
    <s v="2025-21"/>
    <s v="Week 21"/>
    <x v="20"/>
  </r>
  <r>
    <d v="2025-05-22T00:00:00"/>
    <x v="2"/>
    <n v="4"/>
    <n v="2025"/>
    <s v="2025-21"/>
    <s v="Week 21"/>
    <x v="20"/>
  </r>
  <r>
    <d v="2025-05-22T00:00:00"/>
    <x v="14"/>
    <n v="2"/>
    <n v="2025"/>
    <s v="2025-21"/>
    <s v="Week 21"/>
    <x v="20"/>
  </r>
  <r>
    <d v="2025-05-22T00:00:00"/>
    <x v="26"/>
    <n v="4"/>
    <n v="2025"/>
    <s v="2025-21"/>
    <s v="Week 21"/>
    <x v="20"/>
  </r>
  <r>
    <d v="2025-05-22T00:00:00"/>
    <x v="3"/>
    <n v="2"/>
    <n v="2025"/>
    <s v="2025-21"/>
    <s v="Week 21"/>
    <x v="20"/>
  </r>
  <r>
    <d v="2025-05-22T00:00:00"/>
    <x v="11"/>
    <n v="2"/>
    <n v="2025"/>
    <s v="2025-21"/>
    <s v="Week 21"/>
    <x v="20"/>
  </r>
  <r>
    <d v="2025-05-22T00:00:00"/>
    <x v="9"/>
    <n v="2"/>
    <n v="2025"/>
    <s v="2025-21"/>
    <s v="Week 21"/>
    <x v="20"/>
  </r>
  <r>
    <d v="2025-05-22T00:00:00"/>
    <x v="2"/>
    <n v="2"/>
    <n v="2025"/>
    <s v="2025-21"/>
    <s v="Week 21"/>
    <x v="20"/>
  </r>
  <r>
    <d v="2025-05-22T00:00:00"/>
    <x v="14"/>
    <n v="1"/>
    <n v="2025"/>
    <s v="2025-21"/>
    <s v="Week 21"/>
    <x v="20"/>
  </r>
  <r>
    <d v="2025-05-22T00:00:00"/>
    <x v="15"/>
    <n v="2"/>
    <n v="2025"/>
    <s v="2025-21"/>
    <s v="Week 21"/>
    <x v="20"/>
  </r>
  <r>
    <d v="2025-05-23T00:00:00"/>
    <x v="15"/>
    <n v="38"/>
    <n v="2025"/>
    <s v="2025-21"/>
    <s v="Week 21"/>
    <x v="20"/>
  </r>
  <r>
    <d v="2025-05-23T00:00:00"/>
    <x v="12"/>
    <n v="21"/>
    <n v="2025"/>
    <s v="2025-21"/>
    <s v="Week 21"/>
    <x v="20"/>
  </r>
  <r>
    <d v="2025-05-23T00:00:00"/>
    <x v="12"/>
    <n v="10"/>
    <n v="2025"/>
    <s v="2025-21"/>
    <s v="Week 21"/>
    <x v="20"/>
  </r>
  <r>
    <d v="2025-05-23T00:00:00"/>
    <x v="10"/>
    <n v="8"/>
    <n v="2025"/>
    <s v="2025-21"/>
    <s v="Week 21"/>
    <x v="20"/>
  </r>
  <r>
    <d v="2025-05-23T00:00:00"/>
    <x v="12"/>
    <n v="11"/>
    <n v="2025"/>
    <s v="2025-21"/>
    <s v="Week 21"/>
    <x v="20"/>
  </r>
  <r>
    <d v="2025-05-23T00:00:00"/>
    <x v="11"/>
    <n v="9"/>
    <n v="2025"/>
    <s v="2025-21"/>
    <s v="Week 21"/>
    <x v="20"/>
  </r>
  <r>
    <d v="2025-05-23T00:00:00"/>
    <x v="11"/>
    <n v="9"/>
    <n v="2025"/>
    <s v="2025-21"/>
    <s v="Week 21"/>
    <x v="20"/>
  </r>
  <r>
    <d v="2025-05-23T00:00:00"/>
    <x v="25"/>
    <n v="6"/>
    <n v="2025"/>
    <s v="2025-21"/>
    <s v="Week 21"/>
    <x v="20"/>
  </r>
  <r>
    <d v="2025-05-23T00:00:00"/>
    <x v="14"/>
    <n v="4"/>
    <n v="2025"/>
    <s v="2025-21"/>
    <s v="Week 21"/>
    <x v="20"/>
  </r>
  <r>
    <d v="2025-05-23T00:00:00"/>
    <x v="14"/>
    <n v="3"/>
    <n v="2025"/>
    <s v="2025-21"/>
    <s v="Week 21"/>
    <x v="20"/>
  </r>
  <r>
    <d v="2025-05-23T00:00:00"/>
    <x v="12"/>
    <n v="4"/>
    <n v="2025"/>
    <s v="2025-21"/>
    <s v="Week 21"/>
    <x v="20"/>
  </r>
  <r>
    <d v="2025-05-23T00:00:00"/>
    <x v="31"/>
    <n v="4"/>
    <n v="2025"/>
    <s v="2025-21"/>
    <s v="Week 21"/>
    <x v="20"/>
  </r>
  <r>
    <d v="2025-05-23T00:00:00"/>
    <x v="10"/>
    <n v="2"/>
    <n v="2025"/>
    <s v="2025-21"/>
    <s v="Week 21"/>
    <x v="20"/>
  </r>
  <r>
    <d v="2025-05-23T00:00:00"/>
    <x v="3"/>
    <n v="2"/>
    <n v="2025"/>
    <s v="2025-21"/>
    <s v="Week 21"/>
    <x v="20"/>
  </r>
  <r>
    <d v="2025-05-23T00:00:00"/>
    <x v="14"/>
    <n v="1"/>
    <n v="2025"/>
    <s v="2025-21"/>
    <s v="Week 21"/>
    <x v="20"/>
  </r>
  <r>
    <d v="2025-05-23T00:00:00"/>
    <x v="25"/>
    <n v="2"/>
    <n v="2025"/>
    <s v="2025-21"/>
    <s v="Week 21"/>
    <x v="20"/>
  </r>
  <r>
    <d v="2025-05-24T00:00:00"/>
    <x v="5"/>
    <n v="8"/>
    <n v="2025"/>
    <s v="2025-21"/>
    <s v="Week 21"/>
    <x v="20"/>
  </r>
  <r>
    <d v="2025-05-24T00:00:00"/>
    <x v="16"/>
    <n v="2"/>
    <n v="2025"/>
    <s v="2025-21"/>
    <s v="Week 21"/>
    <x v="20"/>
  </r>
  <r>
    <d v="2025-05-24T00:00:00"/>
    <x v="0"/>
    <n v="2"/>
    <n v="2025"/>
    <s v="2025-21"/>
    <s v="Week 21"/>
    <x v="20"/>
  </r>
  <r>
    <d v="2025-05-24T00:00:00"/>
    <x v="1"/>
    <n v="4"/>
    <n v="2025"/>
    <s v="2025-21"/>
    <s v="Week 21"/>
    <x v="20"/>
  </r>
  <r>
    <d v="2025-05-24T00:00:00"/>
    <x v="1"/>
    <n v="2"/>
    <n v="2025"/>
    <s v="2025-21"/>
    <s v="Week 21"/>
    <x v="20"/>
  </r>
  <r>
    <d v="2025-05-27T00:00:00"/>
    <x v="10"/>
    <n v="15"/>
    <n v="2025"/>
    <s v="2025-22"/>
    <s v="Week 22"/>
    <x v="21"/>
  </r>
  <r>
    <d v="2025-05-27T00:00:00"/>
    <x v="11"/>
    <n v="18"/>
    <n v="2025"/>
    <s v="2025-22"/>
    <s v="Week 22"/>
    <x v="21"/>
  </r>
  <r>
    <d v="2025-05-27T00:00:00"/>
    <x v="12"/>
    <n v="16"/>
    <n v="2025"/>
    <s v="2025-22"/>
    <s v="Week 22"/>
    <x v="21"/>
  </r>
  <r>
    <d v="2025-05-27T00:00:00"/>
    <x v="5"/>
    <n v="7"/>
    <n v="2025"/>
    <s v="2025-22"/>
    <s v="Week 22"/>
    <x v="21"/>
  </r>
  <r>
    <d v="2025-05-27T00:00:00"/>
    <x v="5"/>
    <n v="7"/>
    <n v="2025"/>
    <s v="2025-22"/>
    <s v="Week 22"/>
    <x v="21"/>
  </r>
  <r>
    <d v="2025-05-27T00:00:00"/>
    <x v="14"/>
    <n v="8"/>
    <n v="2025"/>
    <s v="2025-22"/>
    <s v="Week 22"/>
    <x v="21"/>
  </r>
  <r>
    <d v="2025-05-27T00:00:00"/>
    <x v="3"/>
    <n v="6"/>
    <n v="2025"/>
    <s v="2025-22"/>
    <s v="Week 22"/>
    <x v="21"/>
  </r>
  <r>
    <d v="2025-05-27T00:00:00"/>
    <x v="13"/>
    <n v="4"/>
    <n v="2025"/>
    <s v="2025-22"/>
    <s v="Week 22"/>
    <x v="21"/>
  </r>
  <r>
    <d v="2025-05-27T00:00:00"/>
    <x v="10"/>
    <n v="5"/>
    <n v="2025"/>
    <s v="2025-22"/>
    <s v="Week 22"/>
    <x v="21"/>
  </r>
  <r>
    <d v="2025-05-27T00:00:00"/>
    <x v="3"/>
    <n v="4"/>
    <n v="2025"/>
    <s v="2025-22"/>
    <s v="Week 22"/>
    <x v="21"/>
  </r>
  <r>
    <d v="2025-05-27T00:00:00"/>
    <x v="19"/>
    <n v="8"/>
    <n v="2025"/>
    <s v="2025-22"/>
    <s v="Week 22"/>
    <x v="21"/>
  </r>
  <r>
    <d v="2025-05-27T00:00:00"/>
    <x v="9"/>
    <n v="4"/>
    <n v="2025"/>
    <s v="2025-22"/>
    <s v="Week 22"/>
    <x v="21"/>
  </r>
  <r>
    <d v="2025-05-27T00:00:00"/>
    <x v="31"/>
    <n v="4"/>
    <n v="2025"/>
    <s v="2025-22"/>
    <s v="Week 22"/>
    <x v="21"/>
  </r>
  <r>
    <d v="2025-05-27T00:00:00"/>
    <x v="26"/>
    <n v="4"/>
    <n v="2025"/>
    <s v="2025-22"/>
    <s v="Week 22"/>
    <x v="21"/>
  </r>
  <r>
    <d v="2025-05-27T00:00:00"/>
    <x v="31"/>
    <n v="3"/>
    <n v="2025"/>
    <s v="2025-22"/>
    <s v="Week 22"/>
    <x v="21"/>
  </r>
  <r>
    <d v="2025-05-27T00:00:00"/>
    <x v="4"/>
    <n v="3"/>
    <n v="2025"/>
    <s v="2025-22"/>
    <s v="Week 22"/>
    <x v="21"/>
  </r>
  <r>
    <d v="2025-05-27T00:00:00"/>
    <x v="12"/>
    <n v="1"/>
    <n v="2025"/>
    <s v="2025-22"/>
    <s v="Week 22"/>
    <x v="21"/>
  </r>
  <r>
    <d v="2025-05-27T00:00:00"/>
    <x v="31"/>
    <n v="1"/>
    <n v="2025"/>
    <s v="2025-22"/>
    <s v="Week 22"/>
    <x v="21"/>
  </r>
  <r>
    <d v="2025-05-28T00:00:00"/>
    <x v="14"/>
    <n v="16"/>
    <n v="2025"/>
    <s v="2025-22"/>
    <s v="Week 22"/>
    <x v="21"/>
  </r>
  <r>
    <d v="2025-05-28T00:00:00"/>
    <x v="14"/>
    <n v="16"/>
    <n v="2025"/>
    <s v="2025-22"/>
    <s v="Week 22"/>
    <x v="21"/>
  </r>
  <r>
    <d v="2025-05-28T00:00:00"/>
    <x v="14"/>
    <n v="12"/>
    <n v="2025"/>
    <s v="2025-22"/>
    <s v="Week 22"/>
    <x v="21"/>
  </r>
  <r>
    <d v="2025-05-28T00:00:00"/>
    <x v="14"/>
    <n v="12"/>
    <n v="2025"/>
    <s v="2025-22"/>
    <s v="Week 22"/>
    <x v="21"/>
  </r>
  <r>
    <d v="2025-05-28T00:00:00"/>
    <x v="14"/>
    <n v="8"/>
    <n v="2025"/>
    <s v="2025-22"/>
    <s v="Week 22"/>
    <x v="21"/>
  </r>
  <r>
    <d v="2025-05-28T00:00:00"/>
    <x v="5"/>
    <n v="5"/>
    <n v="2025"/>
    <s v="2025-22"/>
    <s v="Week 22"/>
    <x v="21"/>
  </r>
  <r>
    <d v="2025-05-28T00:00:00"/>
    <x v="5"/>
    <n v="4"/>
    <n v="2025"/>
    <s v="2025-22"/>
    <s v="Week 22"/>
    <x v="21"/>
  </r>
  <r>
    <d v="2025-05-28T00:00:00"/>
    <x v="14"/>
    <n v="4"/>
    <n v="2025"/>
    <s v="2025-22"/>
    <s v="Week 22"/>
    <x v="21"/>
  </r>
  <r>
    <d v="2025-05-28T00:00:00"/>
    <x v="11"/>
    <n v="4"/>
    <n v="2025"/>
    <s v="2025-22"/>
    <s v="Week 22"/>
    <x v="21"/>
  </r>
  <r>
    <d v="2025-05-28T00:00:00"/>
    <x v="14"/>
    <n v="3"/>
    <n v="2025"/>
    <s v="2025-22"/>
    <s v="Week 22"/>
    <x v="21"/>
  </r>
  <r>
    <d v="2025-05-28T00:00:00"/>
    <x v="14"/>
    <n v="1"/>
    <n v="2025"/>
    <s v="2025-22"/>
    <s v="Week 22"/>
    <x v="21"/>
  </r>
  <r>
    <d v="2025-05-29T00:00:00"/>
    <x v="12"/>
    <n v="12"/>
    <n v="2025"/>
    <s v="2025-22"/>
    <s v="Week 22"/>
    <x v="21"/>
  </r>
  <r>
    <d v="2025-05-29T00:00:00"/>
    <x v="11"/>
    <n v="9"/>
    <n v="2025"/>
    <s v="2025-22"/>
    <s v="Week 22"/>
    <x v="21"/>
  </r>
  <r>
    <d v="2025-05-29T00:00:00"/>
    <x v="19"/>
    <n v="8"/>
    <n v="2025"/>
    <s v="2025-22"/>
    <s v="Week 22"/>
    <x v="21"/>
  </r>
  <r>
    <d v="2025-05-29T00:00:00"/>
    <x v="3"/>
    <n v="4"/>
    <n v="2025"/>
    <s v="2025-22"/>
    <s v="Week 22"/>
    <x v="21"/>
  </r>
  <r>
    <d v="2025-05-29T00:00:00"/>
    <x v="15"/>
    <n v="6"/>
    <n v="2025"/>
    <s v="2025-22"/>
    <s v="Week 22"/>
    <x v="21"/>
  </r>
  <r>
    <d v="2025-05-29T00:00:00"/>
    <x v="12"/>
    <n v="4"/>
    <n v="2025"/>
    <s v="2025-22"/>
    <s v="Week 22"/>
    <x v="21"/>
  </r>
  <r>
    <d v="2025-05-29T00:00:00"/>
    <x v="11"/>
    <n v="2"/>
    <n v="2025"/>
    <s v="2025-22"/>
    <s v="Week 22"/>
    <x v="21"/>
  </r>
  <r>
    <d v="2025-05-29T00:00:00"/>
    <x v="1"/>
    <n v="2"/>
    <n v="2025"/>
    <s v="2025-22"/>
    <s v="Week 22"/>
    <x v="21"/>
  </r>
  <r>
    <d v="2025-05-30T00:00:00"/>
    <x v="3"/>
    <n v="25"/>
    <n v="2025"/>
    <s v="2025-22"/>
    <s v="Week 22"/>
    <x v="21"/>
  </r>
  <r>
    <d v="2025-05-30T00:00:00"/>
    <x v="12"/>
    <n v="25"/>
    <n v="2025"/>
    <s v="2025-22"/>
    <s v="Week 22"/>
    <x v="21"/>
  </r>
  <r>
    <d v="2025-05-30T00:00:00"/>
    <x v="11"/>
    <n v="6"/>
    <n v="2025"/>
    <s v="2025-22"/>
    <s v="Week 22"/>
    <x v="21"/>
  </r>
  <r>
    <d v="2025-05-30T00:00:00"/>
    <x v="12"/>
    <n v="6"/>
    <n v="2025"/>
    <s v="2025-22"/>
    <s v="Week 22"/>
    <x v="21"/>
  </r>
  <r>
    <d v="2025-05-30T00:00:00"/>
    <x v="10"/>
    <n v="4"/>
    <n v="2025"/>
    <s v="2025-22"/>
    <s v="Week 22"/>
    <x v="21"/>
  </r>
  <r>
    <d v="2025-05-30T00:00:00"/>
    <x v="1"/>
    <n v="4"/>
    <n v="2025"/>
    <s v="2025-22"/>
    <s v="Week 22"/>
    <x v="21"/>
  </r>
  <r>
    <d v="2025-05-30T00:00:00"/>
    <x v="1"/>
    <n v="3"/>
    <n v="2025"/>
    <s v="2025-22"/>
    <s v="Week 22"/>
    <x v="21"/>
  </r>
  <r>
    <d v="2025-05-30T00:00:00"/>
    <x v="19"/>
    <n v="2"/>
    <n v="2025"/>
    <s v="2025-22"/>
    <s v="Week 22"/>
    <x v="21"/>
  </r>
  <r>
    <d v="2025-05-30T00:00:00"/>
    <x v="3"/>
    <n v="1"/>
    <n v="2025"/>
    <s v="2025-22"/>
    <s v="Week 22"/>
    <x v="21"/>
  </r>
  <r>
    <d v="2025-05-31T00:00:00"/>
    <x v="6"/>
    <n v="8"/>
    <n v="2025"/>
    <s v="2025-22"/>
    <s v="Week 22"/>
    <x v="21"/>
  </r>
  <r>
    <d v="2025-05-31T00:00:00"/>
    <x v="11"/>
    <n v="12"/>
    <n v="2025"/>
    <s v="2025-22"/>
    <s v="Week 22"/>
    <x v="21"/>
  </r>
  <r>
    <d v="2025-05-31T00:00:00"/>
    <x v="2"/>
    <n v="8"/>
    <n v="2025"/>
    <s v="2025-22"/>
    <s v="Week 22"/>
    <x v="21"/>
  </r>
  <r>
    <d v="2025-05-31T00:00:00"/>
    <x v="14"/>
    <n v="4"/>
    <n v="2025"/>
    <s v="2025-22"/>
    <s v="Week 22"/>
    <x v="21"/>
  </r>
  <r>
    <d v="2025-05-31T00:00:00"/>
    <x v="25"/>
    <n v="9"/>
    <n v="2025"/>
    <s v="2025-22"/>
    <s v="Week 22"/>
    <x v="21"/>
  </r>
  <r>
    <d v="2025-05-31T00:00:00"/>
    <x v="10"/>
    <n v="4"/>
    <n v="2025"/>
    <s v="2025-22"/>
    <s v="Week 22"/>
    <x v="21"/>
  </r>
  <r>
    <d v="2025-05-31T00:00:00"/>
    <x v="13"/>
    <n v="4"/>
    <n v="2025"/>
    <s v="2025-22"/>
    <s v="Week 22"/>
    <x v="21"/>
  </r>
  <r>
    <d v="2025-05-31T00:00:00"/>
    <x v="14"/>
    <n v="4"/>
    <n v="2025"/>
    <s v="2025-22"/>
    <s v="Week 22"/>
    <x v="21"/>
  </r>
  <r>
    <d v="2025-05-31T00:00:00"/>
    <x v="11"/>
    <n v="4"/>
    <n v="2025"/>
    <s v="2025-22"/>
    <s v="Week 22"/>
    <x v="21"/>
  </r>
  <r>
    <d v="2025-05-31T00:00:00"/>
    <x v="15"/>
    <n v="5"/>
    <n v="2025"/>
    <s v="2025-22"/>
    <s v="Week 22"/>
    <x v="21"/>
  </r>
  <r>
    <d v="2025-05-31T00:00:00"/>
    <x v="25"/>
    <n v="4"/>
    <n v="2025"/>
    <s v="2025-22"/>
    <s v="Week 22"/>
    <x v="21"/>
  </r>
  <r>
    <d v="2025-05-31T00:00:00"/>
    <x v="15"/>
    <n v="4"/>
    <n v="2025"/>
    <s v="2025-22"/>
    <s v="Week 22"/>
    <x v="21"/>
  </r>
  <r>
    <d v="2025-05-31T00:00:00"/>
    <x v="15"/>
    <n v="3"/>
    <n v="2025"/>
    <s v="2025-22"/>
    <s v="Week 22"/>
    <x v="21"/>
  </r>
  <r>
    <d v="2025-05-31T00:00:00"/>
    <x v="1"/>
    <n v="2"/>
    <n v="2025"/>
    <s v="2025-22"/>
    <s v="Week 22"/>
    <x v="21"/>
  </r>
  <r>
    <d v="2025-06-02T00:00:00"/>
    <x v="3"/>
    <n v="9"/>
    <n v="2025"/>
    <s v="2025-23"/>
    <s v="Week 23"/>
    <x v="22"/>
  </r>
  <r>
    <d v="2025-06-02T00:00:00"/>
    <x v="11"/>
    <n v="10"/>
    <n v="2025"/>
    <s v="2025-23"/>
    <s v="Week 23"/>
    <x v="22"/>
  </r>
  <r>
    <d v="2025-06-02T00:00:00"/>
    <x v="11"/>
    <n v="10"/>
    <n v="2025"/>
    <s v="2025-23"/>
    <s v="Week 23"/>
    <x v="22"/>
  </r>
  <r>
    <d v="2025-06-02T00:00:00"/>
    <x v="3"/>
    <n v="6"/>
    <n v="2025"/>
    <s v="2025-23"/>
    <s v="Week 23"/>
    <x v="22"/>
  </r>
  <r>
    <d v="2025-06-02T00:00:00"/>
    <x v="18"/>
    <n v="12"/>
    <n v="2025"/>
    <s v="2025-23"/>
    <s v="Week 23"/>
    <x v="22"/>
  </r>
  <r>
    <d v="2025-06-02T00:00:00"/>
    <x v="12"/>
    <n v="6"/>
    <n v="2025"/>
    <s v="2025-23"/>
    <s v="Week 23"/>
    <x v="22"/>
  </r>
  <r>
    <d v="2025-06-02T00:00:00"/>
    <x v="12"/>
    <n v="6"/>
    <n v="2025"/>
    <s v="2025-23"/>
    <s v="Week 23"/>
    <x v="22"/>
  </r>
  <r>
    <d v="2025-06-02T00:00:00"/>
    <x v="18"/>
    <n v="10"/>
    <n v="2025"/>
    <s v="2025-23"/>
    <s v="Week 23"/>
    <x v="22"/>
  </r>
  <r>
    <d v="2025-06-02T00:00:00"/>
    <x v="3"/>
    <n v="3"/>
    <n v="2025"/>
    <s v="2025-23"/>
    <s v="Week 23"/>
    <x v="22"/>
  </r>
  <r>
    <d v="2025-06-02T00:00:00"/>
    <x v="25"/>
    <n v="4"/>
    <n v="2025"/>
    <s v="2025-23"/>
    <s v="Week 23"/>
    <x v="22"/>
  </r>
  <r>
    <d v="2025-06-02T00:00:00"/>
    <x v="25"/>
    <n v="4"/>
    <n v="2025"/>
    <s v="2025-23"/>
    <s v="Week 23"/>
    <x v="22"/>
  </r>
  <r>
    <d v="2025-06-02T00:00:00"/>
    <x v="17"/>
    <n v="2"/>
    <n v="2025"/>
    <s v="2025-23"/>
    <s v="Week 23"/>
    <x v="22"/>
  </r>
  <r>
    <d v="2025-06-02T00:00:00"/>
    <x v="15"/>
    <n v="3"/>
    <n v="2025"/>
    <s v="2025-23"/>
    <s v="Week 23"/>
    <x v="22"/>
  </r>
  <r>
    <d v="2025-06-02T00:00:00"/>
    <x v="15"/>
    <n v="3"/>
    <n v="2025"/>
    <s v="2025-23"/>
    <s v="Week 23"/>
    <x v="22"/>
  </r>
  <r>
    <d v="2025-06-02T00:00:00"/>
    <x v="17"/>
    <n v="1"/>
    <n v="2025"/>
    <s v="2025-23"/>
    <s v="Week 23"/>
    <x v="22"/>
  </r>
  <r>
    <d v="2025-06-02T00:00:00"/>
    <x v="17"/>
    <n v="1"/>
    <n v="2025"/>
    <s v="2025-23"/>
    <s v="Week 23"/>
    <x v="22"/>
  </r>
  <r>
    <d v="2025-06-02T00:00:00"/>
    <x v="14"/>
    <n v="1"/>
    <n v="2025"/>
    <s v="2025-23"/>
    <s v="Week 23"/>
    <x v="22"/>
  </r>
  <r>
    <d v="2025-06-02T00:00:00"/>
    <x v="14"/>
    <n v="1"/>
    <n v="2025"/>
    <s v="2025-23"/>
    <s v="Week 23"/>
    <x v="22"/>
  </r>
  <r>
    <d v="2025-06-02T00:00:00"/>
    <x v="18"/>
    <n v="2"/>
    <n v="2025"/>
    <s v="2025-23"/>
    <s v="Week 23"/>
    <x v="22"/>
  </r>
  <r>
    <d v="2025-06-03T00:00:00"/>
    <x v="17"/>
    <n v="12"/>
    <n v="2025"/>
    <s v="2025-23"/>
    <s v="Week 23"/>
    <x v="22"/>
  </r>
  <r>
    <d v="2025-06-03T00:00:00"/>
    <x v="3"/>
    <n v="14"/>
    <n v="2025"/>
    <s v="2025-23"/>
    <s v="Week 23"/>
    <x v="22"/>
  </r>
  <r>
    <d v="2025-06-03T00:00:00"/>
    <x v="6"/>
    <n v="8"/>
    <n v="2025"/>
    <s v="2025-23"/>
    <s v="Week 23"/>
    <x v="22"/>
  </r>
  <r>
    <d v="2025-06-03T00:00:00"/>
    <x v="11"/>
    <n v="12"/>
    <n v="2025"/>
    <s v="2025-23"/>
    <s v="Week 23"/>
    <x v="22"/>
  </r>
  <r>
    <d v="2025-06-03T00:00:00"/>
    <x v="13"/>
    <n v="8"/>
    <n v="2025"/>
    <s v="2025-23"/>
    <s v="Week 23"/>
    <x v="22"/>
  </r>
  <r>
    <d v="2025-06-03T00:00:00"/>
    <x v="6"/>
    <n v="7"/>
    <n v="2025"/>
    <s v="2025-23"/>
    <s v="Week 23"/>
    <x v="22"/>
  </r>
  <r>
    <d v="2025-06-03T00:00:00"/>
    <x v="11"/>
    <n v="9"/>
    <n v="2025"/>
    <s v="2025-23"/>
    <s v="Week 23"/>
    <x v="22"/>
  </r>
  <r>
    <d v="2025-06-03T00:00:00"/>
    <x v="3"/>
    <n v="8"/>
    <n v="2025"/>
    <s v="2025-23"/>
    <s v="Week 23"/>
    <x v="22"/>
  </r>
  <r>
    <d v="2025-06-03T00:00:00"/>
    <x v="11"/>
    <n v="8"/>
    <n v="2025"/>
    <s v="2025-23"/>
    <s v="Week 23"/>
    <x v="22"/>
  </r>
  <r>
    <d v="2025-06-03T00:00:00"/>
    <x v="14"/>
    <n v="6"/>
    <n v="2025"/>
    <s v="2025-23"/>
    <s v="Week 23"/>
    <x v="22"/>
  </r>
  <r>
    <d v="2025-06-03T00:00:00"/>
    <x v="14"/>
    <n v="6"/>
    <n v="2025"/>
    <s v="2025-23"/>
    <s v="Week 23"/>
    <x v="22"/>
  </r>
  <r>
    <d v="2025-06-03T00:00:00"/>
    <x v="14"/>
    <n v="6"/>
    <n v="2025"/>
    <s v="2025-23"/>
    <s v="Week 23"/>
    <x v="22"/>
  </r>
  <r>
    <d v="2025-06-03T00:00:00"/>
    <x v="25"/>
    <n v="8"/>
    <n v="2025"/>
    <s v="2025-23"/>
    <s v="Week 23"/>
    <x v="22"/>
  </r>
  <r>
    <d v="2025-06-03T00:00:00"/>
    <x v="12"/>
    <n v="6"/>
    <n v="2025"/>
    <s v="2025-23"/>
    <s v="Week 23"/>
    <x v="22"/>
  </r>
  <r>
    <d v="2025-06-03T00:00:00"/>
    <x v="11"/>
    <n v="3"/>
    <n v="2025"/>
    <s v="2025-23"/>
    <s v="Week 23"/>
    <x v="22"/>
  </r>
  <r>
    <d v="2025-06-03T00:00:00"/>
    <x v="17"/>
    <n v="2"/>
    <n v="2025"/>
    <s v="2025-23"/>
    <s v="Week 23"/>
    <x v="22"/>
  </r>
  <r>
    <d v="2025-06-03T00:00:00"/>
    <x v="15"/>
    <n v="4"/>
    <n v="2025"/>
    <s v="2025-23"/>
    <s v="Week 23"/>
    <x v="22"/>
  </r>
  <r>
    <d v="2025-06-03T00:00:00"/>
    <x v="30"/>
    <n v="6"/>
    <n v="2025"/>
    <s v="2025-23"/>
    <s v="Week 23"/>
    <x v="22"/>
  </r>
  <r>
    <d v="2025-06-03T00:00:00"/>
    <x v="27"/>
    <n v="4"/>
    <n v="2025"/>
    <s v="2025-23"/>
    <s v="Week 23"/>
    <x v="22"/>
  </r>
  <r>
    <d v="2025-06-03T00:00:00"/>
    <x v="11"/>
    <n v="2"/>
    <n v="2025"/>
    <s v="2025-23"/>
    <s v="Week 23"/>
    <x v="22"/>
  </r>
  <r>
    <d v="2025-06-03T00:00:00"/>
    <x v="6"/>
    <n v="1"/>
    <n v="2025"/>
    <s v="2025-23"/>
    <s v="Week 23"/>
    <x v="22"/>
  </r>
  <r>
    <d v="2025-06-03T00:00:00"/>
    <x v="12"/>
    <n v="1"/>
    <n v="2025"/>
    <s v="2025-23"/>
    <s v="Week 23"/>
    <x v="22"/>
  </r>
  <r>
    <d v="2025-06-03T00:00:00"/>
    <x v="32"/>
    <n v="2"/>
    <n v="2025"/>
    <s v="2025-23"/>
    <s v="Week 23"/>
    <x v="22"/>
  </r>
  <r>
    <d v="2025-06-04T00:00:00"/>
    <x v="42"/>
    <n v="20"/>
    <n v="2025"/>
    <s v="2025-23"/>
    <s v="Week 23"/>
    <x v="22"/>
  </r>
  <r>
    <d v="2025-06-04T00:00:00"/>
    <x v="11"/>
    <n v="4"/>
    <n v="2025"/>
    <s v="2025-23"/>
    <s v="Week 23"/>
    <x v="22"/>
  </r>
  <r>
    <d v="2025-06-04T00:00:00"/>
    <x v="17"/>
    <n v="2"/>
    <n v="2025"/>
    <s v="2025-23"/>
    <s v="Week 23"/>
    <x v="22"/>
  </r>
  <r>
    <d v="2025-06-05T00:00:00"/>
    <x v="5"/>
    <n v="7"/>
    <n v="2025"/>
    <s v="2025-23"/>
    <s v="Week 23"/>
    <x v="22"/>
  </r>
  <r>
    <d v="2025-06-05T00:00:00"/>
    <x v="11"/>
    <n v="6"/>
    <n v="2025"/>
    <s v="2025-23"/>
    <s v="Week 23"/>
    <x v="22"/>
  </r>
  <r>
    <d v="2025-06-05T00:00:00"/>
    <x v="9"/>
    <n v="6"/>
    <n v="2025"/>
    <s v="2025-23"/>
    <s v="Week 23"/>
    <x v="22"/>
  </r>
  <r>
    <d v="2025-06-05T00:00:00"/>
    <x v="19"/>
    <n v="8"/>
    <n v="2025"/>
    <s v="2025-23"/>
    <s v="Week 23"/>
    <x v="22"/>
  </r>
  <r>
    <d v="2025-06-05T00:00:00"/>
    <x v="15"/>
    <n v="6"/>
    <n v="2025"/>
    <s v="2025-23"/>
    <s v="Week 23"/>
    <x v="22"/>
  </r>
  <r>
    <d v="2025-06-05T00:00:00"/>
    <x v="2"/>
    <n v="4"/>
    <n v="2025"/>
    <s v="2025-23"/>
    <s v="Week 23"/>
    <x v="22"/>
  </r>
  <r>
    <d v="2025-06-05T00:00:00"/>
    <x v="4"/>
    <n v="4"/>
    <n v="2025"/>
    <s v="2025-23"/>
    <s v="Week 23"/>
    <x v="22"/>
  </r>
  <r>
    <d v="2025-06-05T00:00:00"/>
    <x v="12"/>
    <n v="2"/>
    <n v="2025"/>
    <s v="2025-23"/>
    <s v="Week 23"/>
    <x v="22"/>
  </r>
  <r>
    <d v="2025-06-05T00:00:00"/>
    <x v="12"/>
    <n v="2"/>
    <n v="2025"/>
    <s v="2025-23"/>
    <s v="Week 23"/>
    <x v="22"/>
  </r>
  <r>
    <d v="2025-06-05T00:00:00"/>
    <x v="1"/>
    <n v="2"/>
    <n v="2025"/>
    <s v="2025-23"/>
    <s v="Week 23"/>
    <x v="22"/>
  </r>
  <r>
    <d v="2025-06-05T00:00:00"/>
    <x v="35"/>
    <n v="2"/>
    <n v="2025"/>
    <s v="2025-23"/>
    <s v="Week 23"/>
    <x v="22"/>
  </r>
  <r>
    <d v="2025-06-06T00:00:00"/>
    <x v="12"/>
    <n v="25"/>
    <n v="2025"/>
    <s v="2025-23"/>
    <s v="Week 23"/>
    <x v="22"/>
  </r>
  <r>
    <d v="2025-06-06T00:00:00"/>
    <x v="12"/>
    <n v="14"/>
    <n v="2025"/>
    <s v="2025-23"/>
    <s v="Week 23"/>
    <x v="22"/>
  </r>
  <r>
    <d v="2025-06-06T00:00:00"/>
    <x v="25"/>
    <n v="15"/>
    <n v="2025"/>
    <s v="2025-23"/>
    <s v="Week 23"/>
    <x v="22"/>
  </r>
  <r>
    <d v="2025-06-06T00:00:00"/>
    <x v="12"/>
    <n v="11"/>
    <n v="2025"/>
    <s v="2025-23"/>
    <s v="Week 23"/>
    <x v="22"/>
  </r>
  <r>
    <d v="2025-06-06T00:00:00"/>
    <x v="25"/>
    <n v="5"/>
    <n v="2025"/>
    <s v="2025-23"/>
    <s v="Week 23"/>
    <x v="22"/>
  </r>
  <r>
    <d v="2025-06-07T00:00:00"/>
    <x v="12"/>
    <n v="24"/>
    <n v="2025"/>
    <s v="2025-23"/>
    <s v="Week 23"/>
    <x v="22"/>
  </r>
  <r>
    <d v="2025-06-07T00:00:00"/>
    <x v="5"/>
    <n v="8"/>
    <n v="2025"/>
    <s v="2025-23"/>
    <s v="Week 23"/>
    <x v="22"/>
  </r>
  <r>
    <d v="2025-06-07T00:00:00"/>
    <x v="11"/>
    <n v="16"/>
    <n v="2025"/>
    <s v="2025-23"/>
    <s v="Week 23"/>
    <x v="22"/>
  </r>
  <r>
    <d v="2025-06-07T00:00:00"/>
    <x v="3"/>
    <n v="10"/>
    <n v="2025"/>
    <s v="2025-23"/>
    <s v="Week 23"/>
    <x v="22"/>
  </r>
  <r>
    <d v="2025-06-07T00:00:00"/>
    <x v="27"/>
    <n v="20"/>
    <n v="2025"/>
    <s v="2025-23"/>
    <s v="Week 23"/>
    <x v="22"/>
  </r>
  <r>
    <d v="2025-06-07T00:00:00"/>
    <x v="14"/>
    <n v="6"/>
    <n v="2025"/>
    <s v="2025-23"/>
    <s v="Week 23"/>
    <x v="22"/>
  </r>
  <r>
    <d v="2025-06-07T00:00:00"/>
    <x v="3"/>
    <n v="6"/>
    <n v="2025"/>
    <s v="2025-23"/>
    <s v="Week 23"/>
    <x v="22"/>
  </r>
  <r>
    <d v="2025-06-07T00:00:00"/>
    <x v="17"/>
    <n v="4"/>
    <n v="2025"/>
    <s v="2025-23"/>
    <s v="Week 23"/>
    <x v="22"/>
  </r>
  <r>
    <d v="2025-06-07T00:00:00"/>
    <x v="6"/>
    <n v="3"/>
    <n v="2025"/>
    <s v="2025-23"/>
    <s v="Week 23"/>
    <x v="22"/>
  </r>
  <r>
    <d v="2025-06-07T00:00:00"/>
    <x v="0"/>
    <n v="2"/>
    <n v="2025"/>
    <s v="2025-23"/>
    <s v="Week 23"/>
    <x v="22"/>
  </r>
  <r>
    <d v="2025-06-07T00:00:00"/>
    <x v="3"/>
    <n v="4"/>
    <n v="2025"/>
    <s v="2025-23"/>
    <s v="Week 23"/>
    <x v="22"/>
  </r>
  <r>
    <d v="2025-06-07T00:00:00"/>
    <x v="18"/>
    <n v="6"/>
    <n v="2025"/>
    <s v="2025-23"/>
    <s v="Week 23"/>
    <x v="22"/>
  </r>
  <r>
    <d v="2025-06-07T00:00:00"/>
    <x v="14"/>
    <n v="2"/>
    <n v="2025"/>
    <s v="2025-23"/>
    <s v="Week 23"/>
    <x v="22"/>
  </r>
  <r>
    <d v="2025-06-07T00:00:00"/>
    <x v="26"/>
    <n v="4"/>
    <n v="2025"/>
    <s v="2025-23"/>
    <s v="Week 23"/>
    <x v="22"/>
  </r>
  <r>
    <d v="2025-06-07T00:00:00"/>
    <x v="28"/>
    <n v="6"/>
    <n v="2025"/>
    <s v="2025-23"/>
    <s v="Week 23"/>
    <x v="22"/>
  </r>
  <r>
    <d v="2025-06-07T00:00:00"/>
    <x v="4"/>
    <n v="4"/>
    <n v="2025"/>
    <s v="2025-23"/>
    <s v="Week 23"/>
    <x v="22"/>
  </r>
  <r>
    <d v="2025-06-07T00:00:00"/>
    <x v="9"/>
    <n v="2"/>
    <n v="2025"/>
    <s v="2025-23"/>
    <s v="Week 23"/>
    <x v="22"/>
  </r>
  <r>
    <d v="2025-06-07T00:00:00"/>
    <x v="12"/>
    <n v="2"/>
    <n v="2025"/>
    <s v="2025-23"/>
    <s v="Week 23"/>
    <x v="22"/>
  </r>
  <r>
    <d v="2025-06-07T00:00:00"/>
    <x v="15"/>
    <n v="3"/>
    <n v="2025"/>
    <s v="2025-23"/>
    <s v="Week 23"/>
    <x v="22"/>
  </r>
  <r>
    <d v="2025-06-07T00:00:00"/>
    <x v="6"/>
    <n v="1"/>
    <n v="2025"/>
    <s v="2025-23"/>
    <s v="Week 23"/>
    <x v="22"/>
  </r>
  <r>
    <d v="2025-06-07T00:00:00"/>
    <x v="1"/>
    <n v="2"/>
    <n v="2025"/>
    <s v="2025-23"/>
    <s v="Week 23"/>
    <x v="22"/>
  </r>
  <r>
    <d v="2025-06-07T00:00:00"/>
    <x v="35"/>
    <n v="2"/>
    <n v="2025"/>
    <s v="2025-23"/>
    <s v="Week 23"/>
    <x v="22"/>
  </r>
  <r>
    <d v="2025-06-07T00:00:00"/>
    <x v="15"/>
    <n v="1"/>
    <n v="2025"/>
    <s v="2025-23"/>
    <s v="Week 23"/>
    <x v="22"/>
  </r>
  <r>
    <d v="2025-06-08T00:00:00"/>
    <x v="13"/>
    <n v="8"/>
    <n v="2025"/>
    <s v="2025-23"/>
    <s v="Week 24"/>
    <x v="23"/>
  </r>
  <r>
    <d v="2025-06-08T00:00:00"/>
    <x v="13"/>
    <n v="8"/>
    <n v="2025"/>
    <s v="2025-23"/>
    <s v="Week 24"/>
    <x v="23"/>
  </r>
  <r>
    <d v="2025-06-08T00:00:00"/>
    <x v="12"/>
    <n v="7"/>
    <n v="2025"/>
    <s v="2025-23"/>
    <s v="Week 24"/>
    <x v="23"/>
  </r>
  <r>
    <d v="2025-06-08T00:00:00"/>
    <x v="12"/>
    <n v="5"/>
    <n v="2025"/>
    <s v="2025-23"/>
    <s v="Week 24"/>
    <x v="23"/>
  </r>
  <r>
    <d v="2025-06-08T00:00:00"/>
    <x v="12"/>
    <n v="2"/>
    <n v="2025"/>
    <s v="2025-23"/>
    <s v="Week 24"/>
    <x v="23"/>
  </r>
  <r>
    <d v="2025-06-08T00:00:00"/>
    <x v="15"/>
    <n v="1"/>
    <n v="2025"/>
    <s v="2025-23"/>
    <s v="Week 24"/>
    <x v="23"/>
  </r>
  <r>
    <d v="2025-06-08T00:00:00"/>
    <x v="15"/>
    <n v="1"/>
    <n v="2025"/>
    <s v="2025-23"/>
    <s v="Week 24"/>
    <x v="23"/>
  </r>
  <r>
    <d v="2025-06-10T00:00:00"/>
    <x v="14"/>
    <n v="10"/>
    <n v="2025"/>
    <s v="2025-24"/>
    <s v="Week 24"/>
    <x v="23"/>
  </r>
  <r>
    <d v="2025-06-10T00:00:00"/>
    <x v="14"/>
    <n v="8"/>
    <n v="2025"/>
    <s v="2025-24"/>
    <s v="Week 24"/>
    <x v="23"/>
  </r>
  <r>
    <d v="2025-06-10T00:00:00"/>
    <x v="11"/>
    <n v="8"/>
    <n v="2025"/>
    <s v="2025-24"/>
    <s v="Week 24"/>
    <x v="23"/>
  </r>
  <r>
    <d v="2025-06-10T00:00:00"/>
    <x v="13"/>
    <n v="4"/>
    <n v="2025"/>
    <s v="2025-24"/>
    <s v="Week 24"/>
    <x v="23"/>
  </r>
  <r>
    <d v="2025-06-10T00:00:00"/>
    <x v="3"/>
    <n v="2"/>
    <n v="2025"/>
    <s v="2025-24"/>
    <s v="Week 24"/>
    <x v="23"/>
  </r>
  <r>
    <d v="2025-06-11T00:00:00"/>
    <x v="14"/>
    <n v="16"/>
    <n v="2025"/>
    <s v="2025-24"/>
    <s v="Week 24"/>
    <x v="23"/>
  </r>
  <r>
    <d v="2025-06-11T00:00:00"/>
    <x v="14"/>
    <n v="12"/>
    <n v="2025"/>
    <s v="2025-24"/>
    <s v="Week 24"/>
    <x v="23"/>
  </r>
  <r>
    <d v="2025-06-11T00:00:00"/>
    <x v="25"/>
    <n v="24"/>
    <n v="2025"/>
    <s v="2025-24"/>
    <s v="Week 24"/>
    <x v="23"/>
  </r>
  <r>
    <d v="2025-06-11T00:00:00"/>
    <x v="12"/>
    <n v="21"/>
    <n v="2025"/>
    <s v="2025-24"/>
    <s v="Week 24"/>
    <x v="23"/>
  </r>
  <r>
    <d v="2025-06-11T00:00:00"/>
    <x v="12"/>
    <n v="14"/>
    <n v="2025"/>
    <s v="2025-24"/>
    <s v="Week 24"/>
    <x v="23"/>
  </r>
  <r>
    <d v="2025-06-11T00:00:00"/>
    <x v="11"/>
    <n v="12"/>
    <n v="2025"/>
    <s v="2025-24"/>
    <s v="Week 24"/>
    <x v="23"/>
  </r>
  <r>
    <d v="2025-06-11T00:00:00"/>
    <x v="41"/>
    <n v="8"/>
    <n v="2025"/>
    <s v="2025-24"/>
    <s v="Week 24"/>
    <x v="23"/>
  </r>
  <r>
    <d v="2025-06-11T00:00:00"/>
    <x v="11"/>
    <n v="10"/>
    <n v="2025"/>
    <s v="2025-24"/>
    <s v="Week 24"/>
    <x v="23"/>
  </r>
  <r>
    <d v="2025-06-11T00:00:00"/>
    <x v="12"/>
    <n v="12"/>
    <n v="2025"/>
    <s v="2025-24"/>
    <s v="Week 24"/>
    <x v="23"/>
  </r>
  <r>
    <d v="2025-06-11T00:00:00"/>
    <x v="11"/>
    <n v="10"/>
    <n v="2025"/>
    <s v="2025-24"/>
    <s v="Week 24"/>
    <x v="23"/>
  </r>
  <r>
    <d v="2025-06-11T00:00:00"/>
    <x v="10"/>
    <n v="8"/>
    <n v="2025"/>
    <s v="2025-24"/>
    <s v="Week 24"/>
    <x v="23"/>
  </r>
  <r>
    <d v="2025-06-11T00:00:00"/>
    <x v="10"/>
    <n v="6"/>
    <n v="2025"/>
    <s v="2025-24"/>
    <s v="Week 24"/>
    <x v="23"/>
  </r>
  <r>
    <d v="2025-06-11T00:00:00"/>
    <x v="3"/>
    <n v="8"/>
    <n v="2025"/>
    <s v="2025-24"/>
    <s v="Week 24"/>
    <x v="23"/>
  </r>
  <r>
    <d v="2025-06-11T00:00:00"/>
    <x v="3"/>
    <n v="6"/>
    <n v="2025"/>
    <s v="2025-24"/>
    <s v="Week 24"/>
    <x v="23"/>
  </r>
  <r>
    <d v="2025-06-11T00:00:00"/>
    <x v="6"/>
    <n v="4"/>
    <n v="2025"/>
    <s v="2025-24"/>
    <s v="Week 24"/>
    <x v="23"/>
  </r>
  <r>
    <d v="2025-06-11T00:00:00"/>
    <x v="13"/>
    <n v="4"/>
    <n v="2025"/>
    <s v="2025-24"/>
    <s v="Week 24"/>
    <x v="23"/>
  </r>
  <r>
    <d v="2025-06-11T00:00:00"/>
    <x v="25"/>
    <n v="9"/>
    <n v="2025"/>
    <s v="2025-24"/>
    <s v="Week 24"/>
    <x v="23"/>
  </r>
  <r>
    <d v="2025-06-11T00:00:00"/>
    <x v="13"/>
    <n v="4"/>
    <n v="2025"/>
    <s v="2025-24"/>
    <s v="Week 24"/>
    <x v="23"/>
  </r>
  <r>
    <d v="2025-06-11T00:00:00"/>
    <x v="9"/>
    <n v="6"/>
    <n v="2025"/>
    <s v="2025-24"/>
    <s v="Week 24"/>
    <x v="23"/>
  </r>
  <r>
    <d v="2025-06-11T00:00:00"/>
    <x v="14"/>
    <n v="4"/>
    <n v="2025"/>
    <s v="2025-24"/>
    <s v="Week 24"/>
    <x v="23"/>
  </r>
  <r>
    <d v="2025-06-11T00:00:00"/>
    <x v="15"/>
    <n v="7"/>
    <n v="2025"/>
    <s v="2025-24"/>
    <s v="Week 24"/>
    <x v="23"/>
  </r>
  <r>
    <d v="2025-06-11T00:00:00"/>
    <x v="10"/>
    <n v="4"/>
    <n v="2025"/>
    <s v="2025-24"/>
    <s v="Week 24"/>
    <x v="23"/>
  </r>
  <r>
    <d v="2025-06-11T00:00:00"/>
    <x v="11"/>
    <n v="4"/>
    <n v="2025"/>
    <s v="2025-24"/>
    <s v="Week 24"/>
    <x v="23"/>
  </r>
  <r>
    <d v="2025-06-11T00:00:00"/>
    <x v="3"/>
    <n v="4"/>
    <n v="2025"/>
    <s v="2025-24"/>
    <s v="Week 24"/>
    <x v="23"/>
  </r>
  <r>
    <d v="2025-06-11T00:00:00"/>
    <x v="5"/>
    <n v="2"/>
    <n v="2025"/>
    <s v="2025-24"/>
    <s v="Week 24"/>
    <x v="23"/>
  </r>
  <r>
    <d v="2025-06-11T00:00:00"/>
    <x v="20"/>
    <n v="4"/>
    <n v="2025"/>
    <s v="2025-24"/>
    <s v="Week 24"/>
    <x v="23"/>
  </r>
  <r>
    <d v="2025-06-11T00:00:00"/>
    <x v="6"/>
    <n v="2"/>
    <n v="2025"/>
    <s v="2025-24"/>
    <s v="Week 24"/>
    <x v="23"/>
  </r>
  <r>
    <d v="2025-06-11T00:00:00"/>
    <x v="15"/>
    <n v="4"/>
    <n v="2025"/>
    <s v="2025-24"/>
    <s v="Week 24"/>
    <x v="23"/>
  </r>
  <r>
    <d v="2025-06-11T00:00:00"/>
    <x v="1"/>
    <n v="4"/>
    <n v="2025"/>
    <s v="2025-24"/>
    <s v="Week 24"/>
    <x v="23"/>
  </r>
  <r>
    <d v="2025-06-11T00:00:00"/>
    <x v="31"/>
    <n v="4"/>
    <n v="2025"/>
    <s v="2025-24"/>
    <s v="Week 24"/>
    <x v="23"/>
  </r>
  <r>
    <d v="2025-06-11T00:00:00"/>
    <x v="3"/>
    <n v="2"/>
    <n v="2025"/>
    <s v="2025-24"/>
    <s v="Week 24"/>
    <x v="23"/>
  </r>
  <r>
    <d v="2025-06-11T00:00:00"/>
    <x v="15"/>
    <n v="4"/>
    <n v="2025"/>
    <s v="2025-24"/>
    <s v="Week 24"/>
    <x v="23"/>
  </r>
  <r>
    <d v="2025-06-11T00:00:00"/>
    <x v="11"/>
    <n v="2"/>
    <n v="2025"/>
    <s v="2025-24"/>
    <s v="Week 24"/>
    <x v="23"/>
  </r>
  <r>
    <d v="2025-06-11T00:00:00"/>
    <x v="27"/>
    <n v="4"/>
    <n v="2025"/>
    <s v="2025-24"/>
    <s v="Week 24"/>
    <x v="23"/>
  </r>
  <r>
    <d v="2025-06-11T00:00:00"/>
    <x v="27"/>
    <n v="4"/>
    <n v="2025"/>
    <s v="2025-24"/>
    <s v="Week 24"/>
    <x v="23"/>
  </r>
  <r>
    <d v="2025-06-11T00:00:00"/>
    <x v="26"/>
    <n v="2"/>
    <n v="2025"/>
    <s v="2025-24"/>
    <s v="Week 24"/>
    <x v="23"/>
  </r>
  <r>
    <d v="2025-06-11T00:00:00"/>
    <x v="19"/>
    <n v="2"/>
    <n v="2025"/>
    <s v="2025-24"/>
    <s v="Week 24"/>
    <x v="23"/>
  </r>
  <r>
    <d v="2025-06-11T00:00:00"/>
    <x v="25"/>
    <n v="1"/>
    <n v="2025"/>
    <s v="2025-24"/>
    <s v="Week 24"/>
    <x v="23"/>
  </r>
  <r>
    <d v="2025-06-11T00:00:00"/>
    <x v="15"/>
    <n v="1"/>
    <n v="2025"/>
    <s v="2025-24"/>
    <s v="Week 24"/>
    <x v="23"/>
  </r>
  <r>
    <d v="2025-06-11T00:00:00"/>
    <x v="18"/>
    <n v="1"/>
    <n v="2025"/>
    <s v="2025-24"/>
    <s v="Week 24"/>
    <x v="23"/>
  </r>
  <r>
    <d v="2025-06-12T00:00:00"/>
    <x v="17"/>
    <n v="2"/>
    <n v="2025"/>
    <s v="2025-24"/>
    <s v="Week 24"/>
    <x v="23"/>
  </r>
  <r>
    <d v="2025-06-12T00:00:00"/>
    <x v="5"/>
    <n v="1"/>
    <n v="2025"/>
    <s v="2025-24"/>
    <s v="Week 24"/>
    <x v="23"/>
  </r>
  <r>
    <d v="2025-06-12T00:00:00"/>
    <x v="6"/>
    <n v="1"/>
    <n v="2025"/>
    <s v="2025-24"/>
    <s v="Week 24"/>
    <x v="23"/>
  </r>
  <r>
    <d v="2025-06-13T00:00:00"/>
    <x v="10"/>
    <n v="9"/>
    <n v="2025"/>
    <s v="2025-24"/>
    <s v="Week 24"/>
    <x v="23"/>
  </r>
  <r>
    <d v="2025-06-13T00:00:00"/>
    <x v="10"/>
    <n v="7"/>
    <n v="2025"/>
    <s v="2025-24"/>
    <s v="Week 24"/>
    <x v="23"/>
  </r>
  <r>
    <d v="2025-06-13T00:00:00"/>
    <x v="11"/>
    <n v="8"/>
    <n v="2025"/>
    <s v="2025-24"/>
    <s v="Week 24"/>
    <x v="23"/>
  </r>
  <r>
    <d v="2025-06-13T00:00:00"/>
    <x v="25"/>
    <n v="8"/>
    <n v="2025"/>
    <s v="2025-24"/>
    <s v="Week 24"/>
    <x v="23"/>
  </r>
  <r>
    <d v="2025-06-13T00:00:00"/>
    <x v="28"/>
    <n v="6"/>
    <n v="2025"/>
    <s v="2025-24"/>
    <s v="Week 24"/>
    <x v="23"/>
  </r>
  <r>
    <d v="2025-06-13T00:00:00"/>
    <x v="27"/>
    <n v="4"/>
    <n v="2025"/>
    <s v="2025-24"/>
    <s v="Week 24"/>
    <x v="23"/>
  </r>
  <r>
    <d v="2025-06-13T00:00:00"/>
    <x v="4"/>
    <n v="2"/>
    <n v="2025"/>
    <s v="2025-24"/>
    <s v="Week 24"/>
    <x v="23"/>
  </r>
  <r>
    <d v="2025-06-13T00:00:00"/>
    <x v="30"/>
    <n v="2"/>
    <n v="2025"/>
    <s v="2025-24"/>
    <s v="Week 24"/>
    <x v="23"/>
  </r>
  <r>
    <d v="2025-06-14T00:00:00"/>
    <x v="14"/>
    <n v="16"/>
    <n v="2025"/>
    <s v="2025-24"/>
    <s v="Week 24"/>
    <x v="23"/>
  </r>
  <r>
    <d v="2025-06-14T00:00:00"/>
    <x v="10"/>
    <n v="16"/>
    <n v="2025"/>
    <s v="2025-24"/>
    <s v="Week 24"/>
    <x v="23"/>
  </r>
  <r>
    <d v="2025-06-14T00:00:00"/>
    <x v="12"/>
    <n v="16"/>
    <n v="2025"/>
    <s v="2025-24"/>
    <s v="Week 24"/>
    <x v="23"/>
  </r>
  <r>
    <d v="2025-06-14T00:00:00"/>
    <x v="11"/>
    <n v="12"/>
    <n v="2025"/>
    <s v="2025-24"/>
    <s v="Week 24"/>
    <x v="23"/>
  </r>
  <r>
    <d v="2025-06-14T00:00:00"/>
    <x v="13"/>
    <n v="8"/>
    <n v="2025"/>
    <s v="2025-24"/>
    <s v="Week 24"/>
    <x v="23"/>
  </r>
  <r>
    <d v="2025-06-14T00:00:00"/>
    <x v="22"/>
    <n v="16"/>
    <n v="2025"/>
    <s v="2025-24"/>
    <s v="Week 24"/>
    <x v="23"/>
  </r>
  <r>
    <d v="2025-06-14T00:00:00"/>
    <x v="12"/>
    <n v="12"/>
    <n v="2025"/>
    <s v="2025-24"/>
    <s v="Week 24"/>
    <x v="23"/>
  </r>
  <r>
    <d v="2025-06-14T00:00:00"/>
    <x v="14"/>
    <n v="8"/>
    <n v="2025"/>
    <s v="2025-24"/>
    <s v="Week 24"/>
    <x v="23"/>
  </r>
  <r>
    <d v="2025-06-14T00:00:00"/>
    <x v="11"/>
    <n v="8"/>
    <n v="2025"/>
    <s v="2025-24"/>
    <s v="Week 24"/>
    <x v="23"/>
  </r>
  <r>
    <d v="2025-06-14T00:00:00"/>
    <x v="15"/>
    <n v="8"/>
    <n v="2025"/>
    <s v="2025-24"/>
    <s v="Week 24"/>
    <x v="23"/>
  </r>
  <r>
    <d v="2025-06-14T00:00:00"/>
    <x v="25"/>
    <n v="6"/>
    <n v="2025"/>
    <s v="2025-24"/>
    <s v="Week 24"/>
    <x v="23"/>
  </r>
  <r>
    <d v="2025-06-14T00:00:00"/>
    <x v="11"/>
    <n v="4"/>
    <n v="2025"/>
    <s v="2025-24"/>
    <s v="Week 24"/>
    <x v="23"/>
  </r>
  <r>
    <d v="2025-06-14T00:00:00"/>
    <x v="26"/>
    <n v="6"/>
    <n v="2025"/>
    <s v="2025-24"/>
    <s v="Week 24"/>
    <x v="23"/>
  </r>
  <r>
    <d v="2025-06-14T00:00:00"/>
    <x v="31"/>
    <n v="5"/>
    <n v="2025"/>
    <s v="2025-24"/>
    <s v="Week 24"/>
    <x v="23"/>
  </r>
  <r>
    <d v="2025-06-14T00:00:00"/>
    <x v="25"/>
    <n v="4"/>
    <n v="2025"/>
    <s v="2025-24"/>
    <s v="Week 24"/>
    <x v="23"/>
  </r>
  <r>
    <d v="2025-06-14T00:00:00"/>
    <x v="14"/>
    <n v="2"/>
    <n v="2025"/>
    <s v="2025-24"/>
    <s v="Week 24"/>
    <x v="23"/>
  </r>
  <r>
    <d v="2025-06-14T00:00:00"/>
    <x v="19"/>
    <n v="4"/>
    <n v="2025"/>
    <s v="2025-24"/>
    <s v="Week 24"/>
    <x v="23"/>
  </r>
  <r>
    <d v="2025-06-14T00:00:00"/>
    <x v="3"/>
    <n v="2"/>
    <n v="2025"/>
    <s v="2025-24"/>
    <s v="Week 24"/>
    <x v="23"/>
  </r>
  <r>
    <d v="2025-06-14T00:00:00"/>
    <x v="31"/>
    <n v="3"/>
    <n v="2025"/>
    <s v="2025-24"/>
    <s v="Week 24"/>
    <x v="23"/>
  </r>
  <r>
    <d v="2025-06-14T00:00:00"/>
    <x v="26"/>
    <n v="2"/>
    <n v="2025"/>
    <s v="2025-24"/>
    <s v="Week 24"/>
    <x v="23"/>
  </r>
  <r>
    <d v="2025-06-14T00:00:00"/>
    <x v="30"/>
    <n v="2"/>
    <n v="2025"/>
    <s v="2025-24"/>
    <s v="Week 24"/>
    <x v="23"/>
  </r>
  <r>
    <d v="2025-06-16T00:00:00"/>
    <x v="3"/>
    <n v="12"/>
    <n v="2025"/>
    <s v="2025-25"/>
    <s v="Week 25"/>
    <x v="24"/>
  </r>
  <r>
    <d v="2025-06-16T00:00:00"/>
    <x v="13"/>
    <n v="6"/>
    <n v="2025"/>
    <s v="2025-25"/>
    <s v="Week 25"/>
    <x v="24"/>
  </r>
  <r>
    <d v="2025-06-17T00:00:00"/>
    <x v="14"/>
    <n v="14"/>
    <n v="2025"/>
    <s v="2025-25"/>
    <s v="Week 25"/>
    <x v="24"/>
  </r>
  <r>
    <d v="2025-06-17T00:00:00"/>
    <x v="40"/>
    <n v="12"/>
    <n v="2025"/>
    <s v="2025-25"/>
    <s v="Week 25"/>
    <x v="24"/>
  </r>
  <r>
    <d v="2025-06-17T00:00:00"/>
    <x v="6"/>
    <n v="4"/>
    <n v="2025"/>
    <s v="2025-25"/>
    <s v="Week 25"/>
    <x v="24"/>
  </r>
  <r>
    <d v="2025-06-17T00:00:00"/>
    <x v="11"/>
    <n v="6"/>
    <n v="2025"/>
    <s v="2025-25"/>
    <s v="Week 25"/>
    <x v="24"/>
  </r>
  <r>
    <d v="2025-06-17T00:00:00"/>
    <x v="13"/>
    <n v="4"/>
    <n v="2025"/>
    <s v="2025-25"/>
    <s v="Week 25"/>
    <x v="24"/>
  </r>
  <r>
    <d v="2025-06-17T00:00:00"/>
    <x v="17"/>
    <n v="4"/>
    <n v="2025"/>
    <s v="2025-25"/>
    <s v="Week 25"/>
    <x v="24"/>
  </r>
  <r>
    <d v="2025-06-17T00:00:00"/>
    <x v="12"/>
    <n v="6"/>
    <n v="2025"/>
    <s v="2025-25"/>
    <s v="Week 25"/>
    <x v="24"/>
  </r>
  <r>
    <d v="2025-06-17T00:00:00"/>
    <x v="3"/>
    <n v="4"/>
    <n v="2025"/>
    <s v="2025-25"/>
    <s v="Week 25"/>
    <x v="24"/>
  </r>
  <r>
    <d v="2025-06-17T00:00:00"/>
    <x v="11"/>
    <n v="4"/>
    <n v="2025"/>
    <s v="2025-25"/>
    <s v="Week 25"/>
    <x v="24"/>
  </r>
  <r>
    <d v="2025-06-17T00:00:00"/>
    <x v="12"/>
    <n v="4"/>
    <n v="2025"/>
    <s v="2025-25"/>
    <s v="Week 25"/>
    <x v="24"/>
  </r>
  <r>
    <d v="2025-06-17T00:00:00"/>
    <x v="6"/>
    <n v="2"/>
    <n v="2025"/>
    <s v="2025-25"/>
    <s v="Week 25"/>
    <x v="24"/>
  </r>
  <r>
    <d v="2025-06-17T00:00:00"/>
    <x v="2"/>
    <n v="4"/>
    <n v="2025"/>
    <s v="2025-25"/>
    <s v="Week 25"/>
    <x v="24"/>
  </r>
  <r>
    <d v="2025-06-17T00:00:00"/>
    <x v="9"/>
    <n v="3"/>
    <n v="2025"/>
    <s v="2025-25"/>
    <s v="Week 25"/>
    <x v="24"/>
  </r>
  <r>
    <d v="2025-06-17T00:00:00"/>
    <x v="6"/>
    <n v="2"/>
    <n v="2025"/>
    <s v="2025-25"/>
    <s v="Week 25"/>
    <x v="24"/>
  </r>
  <r>
    <d v="2025-06-17T00:00:00"/>
    <x v="1"/>
    <n v="4"/>
    <n v="2025"/>
    <s v="2025-25"/>
    <s v="Week 25"/>
    <x v="24"/>
  </r>
  <r>
    <d v="2025-06-17T00:00:00"/>
    <x v="31"/>
    <n v="4"/>
    <n v="2025"/>
    <s v="2025-25"/>
    <s v="Week 25"/>
    <x v="24"/>
  </r>
  <r>
    <d v="2025-06-17T00:00:00"/>
    <x v="3"/>
    <n v="2"/>
    <n v="2025"/>
    <s v="2025-25"/>
    <s v="Week 25"/>
    <x v="24"/>
  </r>
  <r>
    <d v="2025-06-18T00:00:00"/>
    <x v="14"/>
    <n v="4"/>
    <n v="2025"/>
    <s v="2025-25"/>
    <s v="Week 25"/>
    <x v="24"/>
  </r>
  <r>
    <d v="2025-06-18T00:00:00"/>
    <x v="6"/>
    <n v="2"/>
    <n v="2025"/>
    <s v="2025-25"/>
    <s v="Week 25"/>
    <x v="24"/>
  </r>
  <r>
    <d v="2025-06-18T00:00:00"/>
    <x v="22"/>
    <n v="4"/>
    <n v="2025"/>
    <s v="2025-25"/>
    <s v="Week 25"/>
    <x v="24"/>
  </r>
  <r>
    <d v="2025-06-18T00:00:00"/>
    <x v="3"/>
    <n v="2"/>
    <n v="2025"/>
    <s v="2025-25"/>
    <s v="Week 25"/>
    <x v="24"/>
  </r>
  <r>
    <d v="2025-06-18T00:00:00"/>
    <x v="3"/>
    <n v="2"/>
    <n v="2025"/>
    <s v="2025-25"/>
    <s v="Week 25"/>
    <x v="24"/>
  </r>
  <r>
    <d v="2025-06-19T00:00:00"/>
    <x v="3"/>
    <n v="34"/>
    <n v="2025"/>
    <s v="2025-25"/>
    <s v="Week 25"/>
    <x v="24"/>
  </r>
  <r>
    <d v="2025-06-19T00:00:00"/>
    <x v="17"/>
    <n v="22"/>
    <n v="2025"/>
    <s v="2025-25"/>
    <s v="Week 25"/>
    <x v="24"/>
  </r>
  <r>
    <d v="2025-06-19T00:00:00"/>
    <x v="11"/>
    <n v="28"/>
    <n v="2025"/>
    <s v="2025-25"/>
    <s v="Week 25"/>
    <x v="24"/>
  </r>
  <r>
    <d v="2025-06-19T00:00:00"/>
    <x v="10"/>
    <n v="20"/>
    <n v="2025"/>
    <s v="2025-25"/>
    <s v="Week 25"/>
    <x v="24"/>
  </r>
  <r>
    <d v="2025-06-19T00:00:00"/>
    <x v="10"/>
    <n v="18"/>
    <n v="2025"/>
    <s v="2025-25"/>
    <s v="Week 25"/>
    <x v="24"/>
  </r>
  <r>
    <d v="2025-06-19T00:00:00"/>
    <x v="12"/>
    <n v="25"/>
    <n v="2025"/>
    <s v="2025-25"/>
    <s v="Week 25"/>
    <x v="24"/>
  </r>
  <r>
    <d v="2025-06-19T00:00:00"/>
    <x v="11"/>
    <n v="20"/>
    <n v="2025"/>
    <s v="2025-25"/>
    <s v="Week 25"/>
    <x v="24"/>
  </r>
  <r>
    <d v="2025-06-19T00:00:00"/>
    <x v="11"/>
    <n v="16"/>
    <n v="2025"/>
    <s v="2025-25"/>
    <s v="Week 25"/>
    <x v="24"/>
  </r>
  <r>
    <d v="2025-06-19T00:00:00"/>
    <x v="12"/>
    <n v="18"/>
    <n v="2025"/>
    <s v="2025-25"/>
    <s v="Week 25"/>
    <x v="24"/>
  </r>
  <r>
    <d v="2025-06-19T00:00:00"/>
    <x v="12"/>
    <n v="15"/>
    <n v="2025"/>
    <s v="2025-25"/>
    <s v="Week 25"/>
    <x v="24"/>
  </r>
  <r>
    <d v="2025-06-19T00:00:00"/>
    <x v="13"/>
    <n v="8"/>
    <n v="2025"/>
    <s v="2025-25"/>
    <s v="Week 25"/>
    <x v="24"/>
  </r>
  <r>
    <d v="2025-06-19T00:00:00"/>
    <x v="12"/>
    <n v="12"/>
    <n v="2025"/>
    <s v="2025-25"/>
    <s v="Week 25"/>
    <x v="24"/>
  </r>
  <r>
    <d v="2025-06-19T00:00:00"/>
    <x v="14"/>
    <n v="8"/>
    <n v="2025"/>
    <s v="2025-25"/>
    <s v="Week 25"/>
    <x v="24"/>
  </r>
  <r>
    <d v="2025-06-19T00:00:00"/>
    <x v="3"/>
    <n v="9"/>
    <n v="2025"/>
    <s v="2025-25"/>
    <s v="Week 25"/>
    <x v="24"/>
  </r>
  <r>
    <d v="2025-06-19T00:00:00"/>
    <x v="15"/>
    <n v="12"/>
    <n v="2025"/>
    <s v="2025-25"/>
    <s v="Week 25"/>
    <x v="24"/>
  </r>
  <r>
    <d v="2025-06-19T00:00:00"/>
    <x v="19"/>
    <n v="13"/>
    <n v="2025"/>
    <s v="2025-25"/>
    <s v="Week 25"/>
    <x v="24"/>
  </r>
  <r>
    <d v="2025-06-19T00:00:00"/>
    <x v="19"/>
    <n v="11"/>
    <n v="2025"/>
    <s v="2025-25"/>
    <s v="Week 25"/>
    <x v="24"/>
  </r>
  <r>
    <d v="2025-06-19T00:00:00"/>
    <x v="17"/>
    <n v="4"/>
    <n v="2025"/>
    <s v="2025-25"/>
    <s v="Week 25"/>
    <x v="24"/>
  </r>
  <r>
    <d v="2025-06-19T00:00:00"/>
    <x v="14"/>
    <n v="4"/>
    <n v="2025"/>
    <s v="2025-25"/>
    <s v="Week 25"/>
    <x v="24"/>
  </r>
  <r>
    <d v="2025-06-19T00:00:00"/>
    <x v="15"/>
    <n v="8"/>
    <n v="2025"/>
    <s v="2025-25"/>
    <s v="Week 25"/>
    <x v="24"/>
  </r>
  <r>
    <d v="2025-06-19T00:00:00"/>
    <x v="2"/>
    <n v="6"/>
    <n v="2025"/>
    <s v="2025-25"/>
    <s v="Week 25"/>
    <x v="24"/>
  </r>
  <r>
    <d v="2025-06-19T00:00:00"/>
    <x v="15"/>
    <n v="7"/>
    <n v="2025"/>
    <s v="2025-25"/>
    <s v="Week 25"/>
    <x v="24"/>
  </r>
  <r>
    <d v="2025-06-19T00:00:00"/>
    <x v="4"/>
    <n v="8"/>
    <n v="2025"/>
    <s v="2025-25"/>
    <s v="Week 25"/>
    <x v="24"/>
  </r>
  <r>
    <d v="2025-06-19T00:00:00"/>
    <x v="6"/>
    <n v="2"/>
    <n v="2025"/>
    <s v="2025-25"/>
    <s v="Week 25"/>
    <x v="24"/>
  </r>
  <r>
    <d v="2025-06-19T00:00:00"/>
    <x v="25"/>
    <n v="4"/>
    <n v="2025"/>
    <s v="2025-25"/>
    <s v="Week 25"/>
    <x v="24"/>
  </r>
  <r>
    <d v="2025-06-19T00:00:00"/>
    <x v="17"/>
    <n v="2"/>
    <n v="2025"/>
    <s v="2025-25"/>
    <s v="Week 25"/>
    <x v="24"/>
  </r>
  <r>
    <d v="2025-06-19T00:00:00"/>
    <x v="17"/>
    <n v="2"/>
    <n v="2025"/>
    <s v="2025-25"/>
    <s v="Week 25"/>
    <x v="24"/>
  </r>
  <r>
    <d v="2025-06-19T00:00:00"/>
    <x v="14"/>
    <n v="2"/>
    <n v="2025"/>
    <s v="2025-25"/>
    <s v="Week 25"/>
    <x v="24"/>
  </r>
  <r>
    <d v="2025-06-19T00:00:00"/>
    <x v="25"/>
    <n v="3"/>
    <n v="2025"/>
    <s v="2025-25"/>
    <s v="Week 25"/>
    <x v="24"/>
  </r>
  <r>
    <d v="2025-06-19T00:00:00"/>
    <x v="33"/>
    <n v="4"/>
    <n v="2025"/>
    <s v="2025-25"/>
    <s v="Week 25"/>
    <x v="24"/>
  </r>
  <r>
    <d v="2025-06-19T00:00:00"/>
    <x v="11"/>
    <n v="2"/>
    <n v="2025"/>
    <s v="2025-25"/>
    <s v="Week 25"/>
    <x v="24"/>
  </r>
  <r>
    <d v="2025-06-19T00:00:00"/>
    <x v="21"/>
    <n v="4"/>
    <n v="2025"/>
    <s v="2025-25"/>
    <s v="Week 25"/>
    <x v="24"/>
  </r>
  <r>
    <d v="2025-06-19T00:00:00"/>
    <x v="20"/>
    <n v="2"/>
    <n v="2025"/>
    <s v="2025-25"/>
    <s v="Week 25"/>
    <x v="24"/>
  </r>
  <r>
    <d v="2025-06-19T00:00:00"/>
    <x v="1"/>
    <n v="2"/>
    <n v="2025"/>
    <s v="2025-25"/>
    <s v="Week 25"/>
    <x v="24"/>
  </r>
  <r>
    <d v="2025-06-19T00:00:00"/>
    <x v="26"/>
    <n v="2"/>
    <n v="2025"/>
    <s v="2025-25"/>
    <s v="Week 25"/>
    <x v="24"/>
  </r>
  <r>
    <d v="2025-06-19T00:00:00"/>
    <x v="4"/>
    <n v="2"/>
    <n v="2025"/>
    <s v="2025-25"/>
    <s v="Week 25"/>
    <x v="24"/>
  </r>
  <r>
    <d v="2025-06-19T00:00:00"/>
    <x v="25"/>
    <n v="1"/>
    <n v="2025"/>
    <s v="2025-25"/>
    <s v="Week 25"/>
    <x v="24"/>
  </r>
  <r>
    <d v="2025-06-21T00:00:00"/>
    <x v="12"/>
    <n v="18"/>
    <n v="2025"/>
    <s v="2025-25"/>
    <s v="Week 25"/>
    <x v="24"/>
  </r>
  <r>
    <d v="2025-06-21T00:00:00"/>
    <x v="14"/>
    <n v="8"/>
    <n v="2025"/>
    <s v="2025-25"/>
    <s v="Week 25"/>
    <x v="24"/>
  </r>
  <r>
    <d v="2025-06-21T00:00:00"/>
    <x v="11"/>
    <n v="6"/>
    <n v="2025"/>
    <s v="2025-25"/>
    <s v="Week 25"/>
    <x v="24"/>
  </r>
  <r>
    <d v="2025-06-21T00:00:00"/>
    <x v="10"/>
    <n v="4"/>
    <n v="2025"/>
    <s v="2025-25"/>
    <s v="Week 25"/>
    <x v="24"/>
  </r>
  <r>
    <d v="2025-06-21T00:00:00"/>
    <x v="15"/>
    <n v="8"/>
    <n v="2025"/>
    <s v="2025-25"/>
    <s v="Week 25"/>
    <x v="24"/>
  </r>
  <r>
    <d v="2025-06-21T00:00:00"/>
    <x v="17"/>
    <n v="3"/>
    <n v="2025"/>
    <s v="2025-25"/>
    <s v="Week 25"/>
    <x v="24"/>
  </r>
  <r>
    <d v="2025-06-21T00:00:00"/>
    <x v="40"/>
    <n v="4"/>
    <n v="2025"/>
    <s v="2025-25"/>
    <s v="Week 25"/>
    <x v="24"/>
  </r>
  <r>
    <d v="2025-06-21T00:00:00"/>
    <x v="9"/>
    <n v="3"/>
    <n v="2025"/>
    <s v="2025-25"/>
    <s v="Week 25"/>
    <x v="24"/>
  </r>
  <r>
    <d v="2025-06-21T00:00:00"/>
    <x v="1"/>
    <n v="4"/>
    <n v="2025"/>
    <s v="2025-25"/>
    <s v="Week 25"/>
    <x v="24"/>
  </r>
  <r>
    <d v="2025-06-21T00:00:00"/>
    <x v="12"/>
    <n v="2"/>
    <n v="2025"/>
    <s v="2025-25"/>
    <s v="Week 25"/>
    <x v="24"/>
  </r>
  <r>
    <d v="2025-06-21T00:00:00"/>
    <x v="11"/>
    <n v="2"/>
    <n v="2025"/>
    <s v="2025-25"/>
    <s v="Week 25"/>
    <x v="24"/>
  </r>
  <r>
    <d v="2025-06-22T00:00:00"/>
    <x v="12"/>
    <n v="35"/>
    <n v="2025"/>
    <s v="2025-25"/>
    <s v="Week 26"/>
    <x v="25"/>
  </r>
  <r>
    <d v="2025-06-22T00:00:00"/>
    <x v="14"/>
    <n v="18"/>
    <n v="2025"/>
    <s v="2025-25"/>
    <s v="Week 26"/>
    <x v="25"/>
  </r>
  <r>
    <d v="2025-06-22T00:00:00"/>
    <x v="12"/>
    <n v="20"/>
    <n v="2025"/>
    <s v="2025-25"/>
    <s v="Week 26"/>
    <x v="25"/>
  </r>
  <r>
    <d v="2025-06-22T00:00:00"/>
    <x v="11"/>
    <n v="16"/>
    <n v="2025"/>
    <s v="2025-25"/>
    <s v="Week 26"/>
    <x v="25"/>
  </r>
  <r>
    <d v="2025-06-22T00:00:00"/>
    <x v="11"/>
    <n v="14"/>
    <n v="2025"/>
    <s v="2025-25"/>
    <s v="Week 26"/>
    <x v="25"/>
  </r>
  <r>
    <d v="2025-06-22T00:00:00"/>
    <x v="13"/>
    <n v="8"/>
    <n v="2025"/>
    <s v="2025-25"/>
    <s v="Week 26"/>
    <x v="25"/>
  </r>
  <r>
    <d v="2025-06-22T00:00:00"/>
    <x v="11"/>
    <n v="12"/>
    <n v="2025"/>
    <s v="2025-25"/>
    <s v="Week 26"/>
    <x v="25"/>
  </r>
  <r>
    <d v="2025-06-22T00:00:00"/>
    <x v="12"/>
    <n v="12"/>
    <n v="2025"/>
    <s v="2025-25"/>
    <s v="Week 26"/>
    <x v="25"/>
  </r>
  <r>
    <d v="2025-06-22T00:00:00"/>
    <x v="15"/>
    <n v="16"/>
    <n v="2025"/>
    <s v="2025-25"/>
    <s v="Week 26"/>
    <x v="25"/>
  </r>
  <r>
    <d v="2025-06-22T00:00:00"/>
    <x v="15"/>
    <n v="16"/>
    <n v="2025"/>
    <s v="2025-25"/>
    <s v="Week 26"/>
    <x v="25"/>
  </r>
  <r>
    <d v="2025-06-22T00:00:00"/>
    <x v="10"/>
    <n v="8"/>
    <n v="2025"/>
    <s v="2025-25"/>
    <s v="Week 26"/>
    <x v="25"/>
  </r>
  <r>
    <d v="2025-06-22T00:00:00"/>
    <x v="3"/>
    <n v="8"/>
    <n v="2025"/>
    <s v="2025-25"/>
    <s v="Week 26"/>
    <x v="25"/>
  </r>
  <r>
    <d v="2025-06-22T00:00:00"/>
    <x v="11"/>
    <n v="8"/>
    <n v="2025"/>
    <s v="2025-25"/>
    <s v="Week 26"/>
    <x v="25"/>
  </r>
  <r>
    <d v="2025-06-22T00:00:00"/>
    <x v="26"/>
    <n v="12"/>
    <n v="2025"/>
    <s v="2025-25"/>
    <s v="Week 26"/>
    <x v="25"/>
  </r>
  <r>
    <d v="2025-06-22T00:00:00"/>
    <x v="14"/>
    <n v="6"/>
    <n v="2025"/>
    <s v="2025-25"/>
    <s v="Week 26"/>
    <x v="25"/>
  </r>
  <r>
    <d v="2025-06-22T00:00:00"/>
    <x v="7"/>
    <n v="4"/>
    <n v="2025"/>
    <s v="2025-25"/>
    <s v="Week 26"/>
    <x v="25"/>
  </r>
  <r>
    <d v="2025-06-22T00:00:00"/>
    <x v="13"/>
    <n v="4"/>
    <n v="2025"/>
    <s v="2025-25"/>
    <s v="Week 26"/>
    <x v="25"/>
  </r>
  <r>
    <d v="2025-06-22T00:00:00"/>
    <x v="12"/>
    <n v="6"/>
    <n v="2025"/>
    <s v="2025-25"/>
    <s v="Week 26"/>
    <x v="25"/>
  </r>
  <r>
    <d v="2025-06-22T00:00:00"/>
    <x v="17"/>
    <n v="3"/>
    <n v="2025"/>
    <s v="2025-25"/>
    <s v="Week 26"/>
    <x v="25"/>
  </r>
  <r>
    <d v="2025-06-22T00:00:00"/>
    <x v="3"/>
    <n v="3"/>
    <n v="2025"/>
    <s v="2025-25"/>
    <s v="Week 26"/>
    <x v="25"/>
  </r>
  <r>
    <d v="2025-06-22T00:00:00"/>
    <x v="25"/>
    <n v="4"/>
    <n v="2025"/>
    <s v="2025-25"/>
    <s v="Week 26"/>
    <x v="25"/>
  </r>
  <r>
    <d v="2025-06-22T00:00:00"/>
    <x v="6"/>
    <n v="2"/>
    <n v="2025"/>
    <s v="2025-25"/>
    <s v="Week 26"/>
    <x v="25"/>
  </r>
  <r>
    <d v="2025-06-22T00:00:00"/>
    <x v="15"/>
    <n v="4"/>
    <n v="2025"/>
    <s v="2025-25"/>
    <s v="Week 26"/>
    <x v="25"/>
  </r>
  <r>
    <d v="2025-06-22T00:00:00"/>
    <x v="9"/>
    <n v="2"/>
    <n v="2025"/>
    <s v="2025-25"/>
    <s v="Week 26"/>
    <x v="25"/>
  </r>
  <r>
    <d v="2025-06-22T00:00:00"/>
    <x v="5"/>
    <n v="1"/>
    <n v="2025"/>
    <s v="2025-25"/>
    <s v="Week 26"/>
    <x v="25"/>
  </r>
  <r>
    <d v="2025-06-22T00:00:00"/>
    <x v="5"/>
    <n v="1"/>
    <n v="2025"/>
    <s v="2025-25"/>
    <s v="Week 26"/>
    <x v="25"/>
  </r>
  <r>
    <d v="2025-06-22T00:00:00"/>
    <x v="2"/>
    <n v="2"/>
    <n v="2025"/>
    <s v="2025-25"/>
    <s v="Week 26"/>
    <x v="25"/>
  </r>
  <r>
    <d v="2025-06-22T00:00:00"/>
    <x v="17"/>
    <n v="1"/>
    <n v="2025"/>
    <s v="2025-25"/>
    <s v="Week 26"/>
    <x v="25"/>
  </r>
  <r>
    <d v="2025-06-22T00:00:00"/>
    <x v="18"/>
    <n v="2"/>
    <n v="2025"/>
    <s v="2025-25"/>
    <s v="Week 26"/>
    <x v="25"/>
  </r>
  <r>
    <d v="2025-06-22T00:00:00"/>
    <x v="1"/>
    <n v="2"/>
    <n v="2025"/>
    <s v="2025-25"/>
    <s v="Week 26"/>
    <x v="25"/>
  </r>
  <r>
    <d v="2025-06-23T00:00:00"/>
    <x v="12"/>
    <n v="50"/>
    <n v="2025"/>
    <s v="2025-26"/>
    <s v="Week 26"/>
    <x v="25"/>
  </r>
  <r>
    <d v="2025-06-23T00:00:00"/>
    <x v="11"/>
    <n v="32"/>
    <n v="2025"/>
    <s v="2025-26"/>
    <s v="Week 26"/>
    <x v="25"/>
  </r>
  <r>
    <d v="2025-06-23T00:00:00"/>
    <x v="15"/>
    <n v="30"/>
    <n v="2025"/>
    <s v="2025-26"/>
    <s v="Week 26"/>
    <x v="25"/>
  </r>
  <r>
    <d v="2025-06-23T00:00:00"/>
    <x v="11"/>
    <n v="18"/>
    <n v="2025"/>
    <s v="2025-26"/>
    <s v="Week 26"/>
    <x v="25"/>
  </r>
  <r>
    <d v="2025-06-23T00:00:00"/>
    <x v="17"/>
    <n v="10"/>
    <n v="2025"/>
    <s v="2025-26"/>
    <s v="Week 26"/>
    <x v="25"/>
  </r>
  <r>
    <d v="2025-06-23T00:00:00"/>
    <x v="12"/>
    <n v="14"/>
    <n v="2025"/>
    <s v="2025-26"/>
    <s v="Week 26"/>
    <x v="25"/>
  </r>
  <r>
    <d v="2025-06-23T00:00:00"/>
    <x v="19"/>
    <n v="20"/>
    <n v="2025"/>
    <s v="2025-26"/>
    <s v="Week 26"/>
    <x v="25"/>
  </r>
  <r>
    <d v="2025-06-23T00:00:00"/>
    <x v="3"/>
    <n v="10"/>
    <n v="2025"/>
    <s v="2025-26"/>
    <s v="Week 26"/>
    <x v="25"/>
  </r>
  <r>
    <d v="2025-06-23T00:00:00"/>
    <x v="10"/>
    <n v="6"/>
    <n v="2025"/>
    <s v="2025-26"/>
    <s v="Week 26"/>
    <x v="25"/>
  </r>
  <r>
    <d v="2025-06-23T00:00:00"/>
    <x v="3"/>
    <n v="6"/>
    <n v="2025"/>
    <s v="2025-26"/>
    <s v="Week 26"/>
    <x v="25"/>
  </r>
  <r>
    <d v="2025-06-23T00:00:00"/>
    <x v="13"/>
    <n v="4"/>
    <n v="2025"/>
    <s v="2025-26"/>
    <s v="Week 26"/>
    <x v="25"/>
  </r>
  <r>
    <d v="2025-06-23T00:00:00"/>
    <x v="15"/>
    <n v="6"/>
    <n v="2025"/>
    <s v="2025-26"/>
    <s v="Week 26"/>
    <x v="25"/>
  </r>
  <r>
    <d v="2025-06-23T00:00:00"/>
    <x v="9"/>
    <n v="4"/>
    <n v="2025"/>
    <s v="2025-26"/>
    <s v="Week 26"/>
    <x v="25"/>
  </r>
  <r>
    <d v="2025-06-23T00:00:00"/>
    <x v="28"/>
    <n v="8"/>
    <n v="2025"/>
    <s v="2025-26"/>
    <s v="Week 26"/>
    <x v="25"/>
  </r>
  <r>
    <d v="2025-06-23T00:00:00"/>
    <x v="25"/>
    <n v="4"/>
    <n v="2025"/>
    <s v="2025-26"/>
    <s v="Week 26"/>
    <x v="25"/>
  </r>
  <r>
    <d v="2025-06-23T00:00:00"/>
    <x v="14"/>
    <n v="2"/>
    <n v="2025"/>
    <s v="2025-26"/>
    <s v="Week 26"/>
    <x v="25"/>
  </r>
  <r>
    <d v="2025-06-23T00:00:00"/>
    <x v="15"/>
    <n v="4"/>
    <n v="2025"/>
    <s v="2025-26"/>
    <s v="Week 26"/>
    <x v="25"/>
  </r>
  <r>
    <d v="2025-06-23T00:00:00"/>
    <x v="10"/>
    <n v="2"/>
    <n v="2025"/>
    <s v="2025-26"/>
    <s v="Week 26"/>
    <x v="25"/>
  </r>
  <r>
    <d v="2025-06-23T00:00:00"/>
    <x v="28"/>
    <n v="6"/>
    <n v="2025"/>
    <s v="2025-26"/>
    <s v="Week 26"/>
    <x v="25"/>
  </r>
  <r>
    <d v="2025-06-24T00:00:00"/>
    <x v="15"/>
    <n v="40"/>
    <n v="2025"/>
    <s v="2025-26"/>
    <s v="Week 26"/>
    <x v="25"/>
  </r>
  <r>
    <d v="2025-06-24T00:00:00"/>
    <x v="12"/>
    <n v="22"/>
    <n v="2025"/>
    <s v="2025-26"/>
    <s v="Week 26"/>
    <x v="25"/>
  </r>
  <r>
    <d v="2025-06-24T00:00:00"/>
    <x v="25"/>
    <n v="8"/>
    <n v="2025"/>
    <s v="2025-26"/>
    <s v="Week 26"/>
    <x v="25"/>
  </r>
  <r>
    <d v="2025-06-24T00:00:00"/>
    <x v="2"/>
    <n v="4"/>
    <n v="2025"/>
    <s v="2025-26"/>
    <s v="Week 26"/>
    <x v="25"/>
  </r>
  <r>
    <d v="2025-06-24T00:00:00"/>
    <x v="11"/>
    <n v="4"/>
    <n v="2025"/>
    <s v="2025-26"/>
    <s v="Week 26"/>
    <x v="25"/>
  </r>
  <r>
    <d v="2025-06-24T00:00:00"/>
    <x v="15"/>
    <n v="4"/>
    <n v="2025"/>
    <s v="2025-26"/>
    <s v="Week 26"/>
    <x v="25"/>
  </r>
  <r>
    <d v="2025-06-24T00:00:00"/>
    <x v="28"/>
    <n v="8"/>
    <n v="2025"/>
    <s v="2025-26"/>
    <s v="Week 26"/>
    <x v="25"/>
  </r>
  <r>
    <d v="2025-06-24T00:00:00"/>
    <x v="18"/>
    <n v="6"/>
    <n v="2025"/>
    <s v="2025-26"/>
    <s v="Week 26"/>
    <x v="25"/>
  </r>
  <r>
    <d v="2025-06-24T00:00:00"/>
    <x v="30"/>
    <n v="6"/>
    <n v="2025"/>
    <s v="2025-26"/>
    <s v="Week 26"/>
    <x v="25"/>
  </r>
  <r>
    <d v="2025-06-25T00:00:00"/>
    <x v="12"/>
    <n v="18"/>
    <n v="2025"/>
    <s v="2025-26"/>
    <s v="Week 26"/>
    <x v="25"/>
  </r>
  <r>
    <d v="2025-06-25T00:00:00"/>
    <x v="3"/>
    <n v="8"/>
    <n v="2025"/>
    <s v="2025-26"/>
    <s v="Week 26"/>
    <x v="25"/>
  </r>
  <r>
    <d v="2025-06-25T00:00:00"/>
    <x v="11"/>
    <n v="8"/>
    <n v="2025"/>
    <s v="2025-26"/>
    <s v="Week 26"/>
    <x v="25"/>
  </r>
  <r>
    <d v="2025-06-25T00:00:00"/>
    <x v="3"/>
    <n v="6"/>
    <n v="2025"/>
    <s v="2025-26"/>
    <s v="Week 26"/>
    <x v="25"/>
  </r>
  <r>
    <d v="2025-06-25T00:00:00"/>
    <x v="4"/>
    <n v="10"/>
    <n v="2025"/>
    <s v="2025-26"/>
    <s v="Week 26"/>
    <x v="25"/>
  </r>
  <r>
    <d v="2025-06-25T00:00:00"/>
    <x v="6"/>
    <n v="2"/>
    <n v="2025"/>
    <s v="2025-26"/>
    <s v="Week 26"/>
    <x v="25"/>
  </r>
  <r>
    <d v="2025-06-25T00:00:00"/>
    <x v="13"/>
    <n v="2"/>
    <n v="2025"/>
    <s v="2025-26"/>
    <s v="Week 26"/>
    <x v="25"/>
  </r>
  <r>
    <d v="2025-06-25T00:00:00"/>
    <x v="19"/>
    <n v="4"/>
    <n v="2025"/>
    <s v="2025-26"/>
    <s v="Week 26"/>
    <x v="25"/>
  </r>
  <r>
    <d v="2025-06-25T00:00:00"/>
    <x v="15"/>
    <n v="2"/>
    <n v="2025"/>
    <s v="2025-26"/>
    <s v="Week 26"/>
    <x v="25"/>
  </r>
  <r>
    <d v="2025-06-26T00:00:00"/>
    <x v="12"/>
    <n v="21"/>
    <n v="2025"/>
    <s v="2025-26"/>
    <s v="Week 26"/>
    <x v="25"/>
  </r>
  <r>
    <d v="2025-06-26T00:00:00"/>
    <x v="3"/>
    <n v="10"/>
    <n v="2025"/>
    <s v="2025-26"/>
    <s v="Week 26"/>
    <x v="25"/>
  </r>
  <r>
    <d v="2025-06-26T00:00:00"/>
    <x v="11"/>
    <n v="10"/>
    <n v="2025"/>
    <s v="2025-26"/>
    <s v="Week 26"/>
    <x v="25"/>
  </r>
  <r>
    <d v="2025-06-26T00:00:00"/>
    <x v="10"/>
    <n v="8"/>
    <n v="2025"/>
    <s v="2025-26"/>
    <s v="Week 26"/>
    <x v="25"/>
  </r>
  <r>
    <d v="2025-06-26T00:00:00"/>
    <x v="12"/>
    <n v="9"/>
    <n v="2025"/>
    <s v="2025-26"/>
    <s v="Week 26"/>
    <x v="25"/>
  </r>
  <r>
    <d v="2025-06-26T00:00:00"/>
    <x v="17"/>
    <n v="2"/>
    <n v="2025"/>
    <s v="2025-26"/>
    <s v="Week 26"/>
    <x v="25"/>
  </r>
  <r>
    <d v="2025-06-26T00:00:00"/>
    <x v="15"/>
    <n v="4"/>
    <n v="2025"/>
    <s v="2025-26"/>
    <s v="Week 26"/>
    <x v="25"/>
  </r>
  <r>
    <d v="2025-06-27T00:00:00"/>
    <x v="12"/>
    <n v="62"/>
    <n v="2025"/>
    <s v="2025-26"/>
    <s v="Week 26"/>
    <x v="25"/>
  </r>
  <r>
    <d v="2025-06-27T00:00:00"/>
    <x v="17"/>
    <n v="16"/>
    <n v="2025"/>
    <s v="2025-26"/>
    <s v="Week 26"/>
    <x v="25"/>
  </r>
  <r>
    <d v="2025-06-27T00:00:00"/>
    <x v="3"/>
    <n v="11"/>
    <n v="2025"/>
    <s v="2025-26"/>
    <s v="Week 26"/>
    <x v="25"/>
  </r>
  <r>
    <d v="2025-06-27T00:00:00"/>
    <x v="11"/>
    <n v="10"/>
    <n v="2025"/>
    <s v="2025-26"/>
    <s v="Week 26"/>
    <x v="25"/>
  </r>
  <r>
    <d v="2025-06-27T00:00:00"/>
    <x v="10"/>
    <n v="8"/>
    <n v="2025"/>
    <s v="2025-26"/>
    <s v="Week 26"/>
    <x v="25"/>
  </r>
  <r>
    <d v="2025-06-27T00:00:00"/>
    <x v="15"/>
    <n v="14"/>
    <n v="2025"/>
    <s v="2025-26"/>
    <s v="Week 26"/>
    <x v="25"/>
  </r>
  <r>
    <d v="2025-06-27T00:00:00"/>
    <x v="17"/>
    <n v="5"/>
    <n v="2025"/>
    <s v="2025-26"/>
    <s v="Week 26"/>
    <x v="25"/>
  </r>
  <r>
    <d v="2025-06-27T00:00:00"/>
    <x v="17"/>
    <n v="5"/>
    <n v="2025"/>
    <s v="2025-26"/>
    <s v="Week 26"/>
    <x v="25"/>
  </r>
  <r>
    <d v="2025-06-27T00:00:00"/>
    <x v="3"/>
    <n v="4"/>
    <n v="2025"/>
    <s v="2025-26"/>
    <s v="Week 26"/>
    <x v="25"/>
  </r>
  <r>
    <d v="2025-06-27T00:00:00"/>
    <x v="28"/>
    <n v="12"/>
    <n v="2025"/>
    <s v="2025-26"/>
    <s v="Week 26"/>
    <x v="25"/>
  </r>
  <r>
    <d v="2025-06-27T00:00:00"/>
    <x v="9"/>
    <n v="4"/>
    <n v="2025"/>
    <s v="2025-26"/>
    <s v="Week 26"/>
    <x v="25"/>
  </r>
  <r>
    <d v="2025-06-27T00:00:00"/>
    <x v="14"/>
    <n v="2"/>
    <n v="2025"/>
    <s v="2025-26"/>
    <s v="Week 26"/>
    <x v="25"/>
  </r>
  <r>
    <d v="2025-06-27T00:00:00"/>
    <x v="3"/>
    <n v="1"/>
    <n v="2025"/>
    <s v="2025-26"/>
    <s v="Week 26"/>
    <x v="25"/>
  </r>
  <r>
    <d v="2025-06-27T00:00:00"/>
    <x v="18"/>
    <n v="1"/>
    <n v="2025"/>
    <s v="2025-26"/>
    <s v="Week 26"/>
    <x v="25"/>
  </r>
  <r>
    <d v="2025-06-28T00:00:00"/>
    <x v="12"/>
    <n v="48"/>
    <n v="2025"/>
    <s v="2025-26"/>
    <s v="Week 26"/>
    <x v="25"/>
  </r>
  <r>
    <d v="2025-06-28T00:00:00"/>
    <x v="10"/>
    <n v="16"/>
    <n v="2025"/>
    <s v="2025-26"/>
    <s v="Week 26"/>
    <x v="25"/>
  </r>
  <r>
    <d v="2025-06-28T00:00:00"/>
    <x v="14"/>
    <n v="8"/>
    <n v="2025"/>
    <s v="2025-26"/>
    <s v="Week 26"/>
    <x v="25"/>
  </r>
  <r>
    <d v="2025-06-28T00:00:00"/>
    <x v="13"/>
    <n v="4"/>
    <n v="2025"/>
    <s v="2025-26"/>
    <s v="Week 26"/>
    <x v="25"/>
  </r>
  <r>
    <d v="2025-06-28T00:00:00"/>
    <x v="3"/>
    <n v="6"/>
    <n v="2025"/>
    <s v="2025-26"/>
    <s v="Week 26"/>
    <x v="25"/>
  </r>
  <r>
    <d v="2025-06-28T00:00:00"/>
    <x v="12"/>
    <n v="5"/>
    <n v="2025"/>
    <s v="2025-26"/>
    <s v="Week 26"/>
    <x v="25"/>
  </r>
  <r>
    <d v="2025-06-28T00:00:00"/>
    <x v="15"/>
    <n v="10"/>
    <n v="2025"/>
    <s v="2025-26"/>
    <s v="Week 26"/>
    <x v="25"/>
  </r>
  <r>
    <d v="2025-06-28T00:00:00"/>
    <x v="11"/>
    <n v="6"/>
    <n v="2025"/>
    <s v="2025-26"/>
    <s v="Week 26"/>
    <x v="25"/>
  </r>
  <r>
    <d v="2025-06-28T00:00:00"/>
    <x v="19"/>
    <n v="2"/>
    <n v="2025"/>
    <s v="2025-26"/>
    <s v="Week 26"/>
    <x v="25"/>
  </r>
  <r>
    <d v="2025-06-29T00:00:00"/>
    <x v="3"/>
    <n v="18"/>
    <n v="2025"/>
    <s v="2025-26"/>
    <s v="Week 27"/>
    <x v="26"/>
  </r>
  <r>
    <d v="2025-06-29T00:00:00"/>
    <x v="12"/>
    <n v="8"/>
    <n v="2025"/>
    <s v="2025-26"/>
    <s v="Week 27"/>
    <x v="26"/>
  </r>
  <r>
    <d v="2025-06-29T00:00:00"/>
    <x v="15"/>
    <n v="8"/>
    <n v="2025"/>
    <s v="2025-26"/>
    <s v="Week 27"/>
    <x v="26"/>
  </r>
  <r>
    <d v="2025-06-29T00:00:00"/>
    <x v="10"/>
    <n v="2"/>
    <n v="2025"/>
    <s v="2025-26"/>
    <s v="Week 27"/>
    <x v="26"/>
  </r>
  <r>
    <d v="2025-06-29T00:00:00"/>
    <x v="26"/>
    <n v="4"/>
    <n v="2025"/>
    <s v="2025-26"/>
    <s v="Week 27"/>
    <x v="26"/>
  </r>
  <r>
    <d v="2025-06-29T00:00:00"/>
    <x v="12"/>
    <n v="2"/>
    <n v="2025"/>
    <s v="2025-26"/>
    <s v="Week 27"/>
    <x v="26"/>
  </r>
  <r>
    <d v="2025-07-01T00:00:00"/>
    <x v="11"/>
    <n v="15"/>
    <n v="2025"/>
    <s v="2025-27"/>
    <s v="Week 27"/>
    <x v="26"/>
  </r>
  <r>
    <d v="2025-07-01T00:00:00"/>
    <x v="12"/>
    <n v="8"/>
    <n v="2025"/>
    <s v="2025-27"/>
    <s v="Week 27"/>
    <x v="26"/>
  </r>
  <r>
    <d v="2025-07-01T00:00:00"/>
    <x v="11"/>
    <n v="5"/>
    <n v="2025"/>
    <s v="2025-27"/>
    <s v="Week 27"/>
    <x v="26"/>
  </r>
  <r>
    <d v="2025-07-01T00:00:00"/>
    <x v="26"/>
    <n v="7"/>
    <n v="2025"/>
    <s v="2025-27"/>
    <s v="Week 27"/>
    <x v="26"/>
  </r>
  <r>
    <d v="2025-07-01T00:00:00"/>
    <x v="4"/>
    <n v="8"/>
    <n v="2025"/>
    <s v="2025-27"/>
    <s v="Week 27"/>
    <x v="26"/>
  </r>
  <r>
    <d v="2025-07-01T00:00:00"/>
    <x v="26"/>
    <n v="5"/>
    <n v="2025"/>
    <s v="2025-27"/>
    <s v="Week 27"/>
    <x v="26"/>
  </r>
  <r>
    <d v="2025-07-01T00:00:00"/>
    <x v="19"/>
    <n v="5"/>
    <n v="2025"/>
    <s v="2025-27"/>
    <s v="Week 27"/>
    <x v="26"/>
  </r>
  <r>
    <d v="2025-07-01T00:00:00"/>
    <x v="14"/>
    <n v="2"/>
    <n v="2025"/>
    <s v="2025-27"/>
    <s v="Week 27"/>
    <x v="26"/>
  </r>
  <r>
    <d v="2025-07-01T00:00:00"/>
    <x v="15"/>
    <n v="4"/>
    <n v="2025"/>
    <s v="2025-27"/>
    <s v="Week 27"/>
    <x v="26"/>
  </r>
  <r>
    <d v="2025-07-01T00:00:00"/>
    <x v="15"/>
    <n v="4"/>
    <n v="2025"/>
    <s v="2025-27"/>
    <s v="Week 27"/>
    <x v="26"/>
  </r>
  <r>
    <d v="2025-07-01T00:00:00"/>
    <x v="19"/>
    <n v="3"/>
    <n v="2025"/>
    <s v="2025-27"/>
    <s v="Week 27"/>
    <x v="26"/>
  </r>
  <r>
    <d v="2025-07-01T00:00:00"/>
    <x v="28"/>
    <n v="4"/>
    <n v="2025"/>
    <s v="2025-27"/>
    <s v="Week 27"/>
    <x v="26"/>
  </r>
  <r>
    <d v="2025-07-02T00:00:00"/>
    <x v="31"/>
    <n v="29"/>
    <n v="2025"/>
    <s v="2025-27"/>
    <s v="Week 27"/>
    <x v="26"/>
  </r>
  <r>
    <d v="2025-07-02T00:00:00"/>
    <x v="12"/>
    <n v="20"/>
    <n v="2025"/>
    <s v="2025-27"/>
    <s v="Week 27"/>
    <x v="26"/>
  </r>
  <r>
    <d v="2025-07-02T00:00:00"/>
    <x v="28"/>
    <n v="34"/>
    <n v="2025"/>
    <s v="2025-27"/>
    <s v="Week 27"/>
    <x v="26"/>
  </r>
  <r>
    <d v="2025-07-02T00:00:00"/>
    <x v="15"/>
    <n v="12"/>
    <n v="2025"/>
    <s v="2025-27"/>
    <s v="Week 27"/>
    <x v="26"/>
  </r>
  <r>
    <d v="2025-07-02T00:00:00"/>
    <x v="14"/>
    <n v="5"/>
    <n v="2025"/>
    <s v="2025-27"/>
    <s v="Week 27"/>
    <x v="26"/>
  </r>
  <r>
    <d v="2025-07-02T00:00:00"/>
    <x v="15"/>
    <n v="7"/>
    <n v="2025"/>
    <s v="2025-27"/>
    <s v="Week 27"/>
    <x v="26"/>
  </r>
  <r>
    <d v="2025-07-02T00:00:00"/>
    <x v="3"/>
    <n v="4"/>
    <n v="2025"/>
    <s v="2025-27"/>
    <s v="Week 27"/>
    <x v="26"/>
  </r>
  <r>
    <d v="2025-07-02T00:00:00"/>
    <x v="4"/>
    <n v="8"/>
    <n v="2025"/>
    <s v="2025-27"/>
    <s v="Week 27"/>
    <x v="26"/>
  </r>
  <r>
    <d v="2025-07-02T00:00:00"/>
    <x v="14"/>
    <n v="3"/>
    <n v="2025"/>
    <s v="2025-27"/>
    <s v="Week 27"/>
    <x v="26"/>
  </r>
  <r>
    <d v="2025-07-02T00:00:00"/>
    <x v="28"/>
    <n v="8"/>
    <n v="2025"/>
    <s v="2025-27"/>
    <s v="Week 27"/>
    <x v="26"/>
  </r>
  <r>
    <d v="2025-07-02T00:00:00"/>
    <x v="28"/>
    <n v="8"/>
    <n v="2025"/>
    <s v="2025-27"/>
    <s v="Week 27"/>
    <x v="26"/>
  </r>
  <r>
    <d v="2025-07-02T00:00:00"/>
    <x v="25"/>
    <n v="4"/>
    <n v="2025"/>
    <s v="2025-27"/>
    <s v="Week 27"/>
    <x v="26"/>
  </r>
  <r>
    <d v="2025-07-02T00:00:00"/>
    <x v="10"/>
    <n v="2"/>
    <n v="2025"/>
    <s v="2025-27"/>
    <s v="Week 27"/>
    <x v="26"/>
  </r>
  <r>
    <d v="2025-07-02T00:00:00"/>
    <x v="26"/>
    <n v="4"/>
    <n v="2025"/>
    <s v="2025-27"/>
    <s v="Week 27"/>
    <x v="26"/>
  </r>
  <r>
    <d v="2025-07-02T00:00:00"/>
    <x v="15"/>
    <n v="3"/>
    <n v="2025"/>
    <s v="2025-27"/>
    <s v="Week 27"/>
    <x v="26"/>
  </r>
  <r>
    <d v="2025-07-02T00:00:00"/>
    <x v="31"/>
    <n v="1"/>
    <n v="2025"/>
    <s v="2025-27"/>
    <s v="Week 27"/>
    <x v="26"/>
  </r>
  <r>
    <d v="2025-07-03T00:00:00"/>
    <x v="14"/>
    <n v="6"/>
    <n v="2025"/>
    <s v="2025-27"/>
    <s v="Week 27"/>
    <x v="26"/>
  </r>
  <r>
    <d v="2025-07-03T00:00:00"/>
    <x v="10"/>
    <n v="4"/>
    <n v="2025"/>
    <s v="2025-27"/>
    <s v="Week 27"/>
    <x v="26"/>
  </r>
  <r>
    <d v="2025-07-03T00:00:00"/>
    <x v="17"/>
    <n v="4"/>
    <n v="2025"/>
    <s v="2025-27"/>
    <s v="Week 27"/>
    <x v="26"/>
  </r>
  <r>
    <d v="2025-07-03T00:00:00"/>
    <x v="28"/>
    <n v="8"/>
    <n v="2025"/>
    <s v="2025-27"/>
    <s v="Week 27"/>
    <x v="26"/>
  </r>
  <r>
    <d v="2025-07-03T00:00:00"/>
    <x v="13"/>
    <n v="2"/>
    <n v="2025"/>
    <s v="2025-27"/>
    <s v="Week 27"/>
    <x v="26"/>
  </r>
  <r>
    <d v="2025-07-03T00:00:00"/>
    <x v="15"/>
    <n v="4"/>
    <n v="2025"/>
    <s v="2025-27"/>
    <s v="Week 27"/>
    <x v="26"/>
  </r>
  <r>
    <d v="2025-07-03T00:00:00"/>
    <x v="15"/>
    <n v="4"/>
    <n v="2025"/>
    <s v="2025-27"/>
    <s v="Week 27"/>
    <x v="26"/>
  </r>
  <r>
    <d v="2025-07-03T00:00:00"/>
    <x v="4"/>
    <n v="4"/>
    <n v="2025"/>
    <s v="2025-27"/>
    <s v="Week 27"/>
    <x v="26"/>
  </r>
  <r>
    <d v="2025-07-03T00:00:00"/>
    <x v="12"/>
    <n v="2"/>
    <n v="2025"/>
    <s v="2025-27"/>
    <s v="Week 27"/>
    <x v="26"/>
  </r>
  <r>
    <d v="2025-07-03T00:00:00"/>
    <x v="12"/>
    <n v="2"/>
    <n v="2025"/>
    <s v="2025-27"/>
    <s v="Week 27"/>
    <x v="26"/>
  </r>
  <r>
    <d v="2025-07-03T00:00:00"/>
    <x v="30"/>
    <n v="4"/>
    <n v="2025"/>
    <s v="2025-27"/>
    <s v="Week 27"/>
    <x v="26"/>
  </r>
  <r>
    <d v="2025-07-03T00:00:00"/>
    <x v="27"/>
    <n v="2"/>
    <n v="2025"/>
    <s v="2025-27"/>
    <s v="Week 27"/>
    <x v="26"/>
  </r>
  <r>
    <d v="2025-07-03T00:00:00"/>
    <x v="28"/>
    <n v="2"/>
    <n v="2025"/>
    <s v="2025-27"/>
    <s v="Week 27"/>
    <x v="26"/>
  </r>
  <r>
    <d v="2025-07-04T00:00:00"/>
    <x v="13"/>
    <n v="8"/>
    <n v="2025"/>
    <s v="2025-27"/>
    <s v="Week 27"/>
    <x v="26"/>
  </r>
  <r>
    <d v="2025-07-04T00:00:00"/>
    <x v="14"/>
    <n v="10"/>
    <n v="2025"/>
    <s v="2025-27"/>
    <s v="Week 27"/>
    <x v="26"/>
  </r>
  <r>
    <d v="2025-07-04T00:00:00"/>
    <x v="12"/>
    <n v="8"/>
    <n v="2025"/>
    <s v="2025-27"/>
    <s v="Week 27"/>
    <x v="26"/>
  </r>
  <r>
    <d v="2025-07-04T00:00:00"/>
    <x v="13"/>
    <n v="4"/>
    <n v="2025"/>
    <s v="2025-27"/>
    <s v="Week 27"/>
    <x v="26"/>
  </r>
  <r>
    <d v="2025-07-04T00:00:00"/>
    <x v="15"/>
    <n v="9"/>
    <n v="2025"/>
    <s v="2025-27"/>
    <s v="Week 27"/>
    <x v="26"/>
  </r>
  <r>
    <d v="2025-07-04T00:00:00"/>
    <x v="14"/>
    <n v="4"/>
    <n v="2025"/>
    <s v="2025-27"/>
    <s v="Week 27"/>
    <x v="26"/>
  </r>
  <r>
    <d v="2025-07-04T00:00:00"/>
    <x v="10"/>
    <n v="4"/>
    <n v="2025"/>
    <s v="2025-27"/>
    <s v="Week 27"/>
    <x v="26"/>
  </r>
  <r>
    <d v="2025-07-04T00:00:00"/>
    <x v="3"/>
    <n v="4"/>
    <n v="2025"/>
    <s v="2025-27"/>
    <s v="Week 27"/>
    <x v="26"/>
  </r>
  <r>
    <d v="2025-07-04T00:00:00"/>
    <x v="6"/>
    <n v="2"/>
    <n v="2025"/>
    <s v="2025-27"/>
    <s v="Week 27"/>
    <x v="26"/>
  </r>
  <r>
    <d v="2025-07-04T00:00:00"/>
    <x v="14"/>
    <n v="2"/>
    <n v="2025"/>
    <s v="2025-27"/>
    <s v="Week 27"/>
    <x v="26"/>
  </r>
  <r>
    <d v="2025-07-04T00:00:00"/>
    <x v="13"/>
    <n v="2"/>
    <n v="2025"/>
    <s v="2025-27"/>
    <s v="Week 27"/>
    <x v="26"/>
  </r>
  <r>
    <d v="2025-07-04T00:00:00"/>
    <x v="3"/>
    <n v="2"/>
    <n v="2025"/>
    <s v="2025-27"/>
    <s v="Week 27"/>
    <x v="26"/>
  </r>
  <r>
    <d v="2025-07-04T00:00:00"/>
    <x v="18"/>
    <n v="3"/>
    <n v="2025"/>
    <s v="2025-27"/>
    <s v="Week 27"/>
    <x v="26"/>
  </r>
  <r>
    <d v="2025-07-04T00:00:00"/>
    <x v="30"/>
    <n v="5"/>
    <n v="2025"/>
    <s v="2025-27"/>
    <s v="Week 27"/>
    <x v="26"/>
  </r>
  <r>
    <d v="2025-07-04T00:00:00"/>
    <x v="12"/>
    <n v="2"/>
    <n v="2025"/>
    <s v="2025-27"/>
    <s v="Week 27"/>
    <x v="26"/>
  </r>
  <r>
    <d v="2025-07-04T00:00:00"/>
    <x v="1"/>
    <n v="2"/>
    <n v="2025"/>
    <s v="2025-27"/>
    <s v="Week 27"/>
    <x v="26"/>
  </r>
  <r>
    <d v="2025-07-04T00:00:00"/>
    <x v="33"/>
    <n v="2"/>
    <n v="2025"/>
    <s v="2025-27"/>
    <s v="Week 27"/>
    <x v="26"/>
  </r>
  <r>
    <d v="2025-07-06T00:00:00"/>
    <x v="28"/>
    <n v="5"/>
    <n v="2025"/>
    <s v="2025-27"/>
    <s v="Week 28"/>
    <x v="27"/>
  </r>
  <r>
    <d v="2025-07-07T00:00:00"/>
    <x v="10"/>
    <n v="13"/>
    <n v="2025"/>
    <s v="2025-28"/>
    <s v="Week 28"/>
    <x v="27"/>
  </r>
  <r>
    <d v="2025-07-07T00:00:00"/>
    <x v="11"/>
    <n v="11"/>
    <n v="2025"/>
    <s v="2025-28"/>
    <s v="Week 28"/>
    <x v="27"/>
  </r>
  <r>
    <d v="2025-07-07T00:00:00"/>
    <x v="11"/>
    <n v="9"/>
    <n v="2025"/>
    <s v="2025-28"/>
    <s v="Week 28"/>
    <x v="27"/>
  </r>
  <r>
    <d v="2025-07-07T00:00:00"/>
    <x v="15"/>
    <n v="12"/>
    <n v="2025"/>
    <s v="2025-28"/>
    <s v="Week 28"/>
    <x v="27"/>
  </r>
  <r>
    <d v="2025-07-07T00:00:00"/>
    <x v="10"/>
    <n v="3"/>
    <n v="2025"/>
    <s v="2025-28"/>
    <s v="Week 28"/>
    <x v="27"/>
  </r>
  <r>
    <d v="2025-07-07T00:00:00"/>
    <x v="19"/>
    <n v="4"/>
    <n v="2025"/>
    <s v="2025-28"/>
    <s v="Week 28"/>
    <x v="27"/>
  </r>
  <r>
    <d v="2025-07-08T00:00:00"/>
    <x v="15"/>
    <n v="34"/>
    <n v="2025"/>
    <s v="2025-28"/>
    <s v="Week 28"/>
    <x v="27"/>
  </r>
  <r>
    <d v="2025-07-08T00:00:00"/>
    <x v="3"/>
    <n v="12"/>
    <n v="2025"/>
    <s v="2025-28"/>
    <s v="Week 28"/>
    <x v="27"/>
  </r>
  <r>
    <d v="2025-07-08T00:00:00"/>
    <x v="12"/>
    <n v="8"/>
    <n v="2025"/>
    <s v="2025-28"/>
    <s v="Week 28"/>
    <x v="27"/>
  </r>
  <r>
    <d v="2025-07-08T00:00:00"/>
    <x v="12"/>
    <n v="8"/>
    <n v="2025"/>
    <s v="2025-28"/>
    <s v="Week 28"/>
    <x v="27"/>
  </r>
  <r>
    <d v="2025-07-08T00:00:00"/>
    <x v="11"/>
    <n v="6"/>
    <n v="2025"/>
    <s v="2025-28"/>
    <s v="Week 28"/>
    <x v="27"/>
  </r>
  <r>
    <d v="2025-07-08T00:00:00"/>
    <x v="19"/>
    <n v="7"/>
    <n v="2025"/>
    <s v="2025-28"/>
    <s v="Week 28"/>
    <x v="27"/>
  </r>
  <r>
    <d v="2025-07-08T00:00:00"/>
    <x v="11"/>
    <n v="4"/>
    <n v="2025"/>
    <s v="2025-28"/>
    <s v="Week 28"/>
    <x v="27"/>
  </r>
  <r>
    <d v="2025-07-08T00:00:00"/>
    <x v="15"/>
    <n v="6"/>
    <n v="2025"/>
    <s v="2025-28"/>
    <s v="Week 28"/>
    <x v="27"/>
  </r>
  <r>
    <d v="2025-07-08T00:00:00"/>
    <x v="15"/>
    <n v="6"/>
    <n v="2025"/>
    <s v="2025-28"/>
    <s v="Week 28"/>
    <x v="27"/>
  </r>
  <r>
    <d v="2025-07-08T00:00:00"/>
    <x v="28"/>
    <n v="8"/>
    <n v="2025"/>
    <s v="2025-28"/>
    <s v="Week 28"/>
    <x v="27"/>
  </r>
  <r>
    <d v="2025-07-08T00:00:00"/>
    <x v="6"/>
    <n v="2"/>
    <n v="2025"/>
    <s v="2025-28"/>
    <s v="Week 28"/>
    <x v="27"/>
  </r>
  <r>
    <d v="2025-07-08T00:00:00"/>
    <x v="4"/>
    <n v="4"/>
    <n v="2025"/>
    <s v="2025-28"/>
    <s v="Week 28"/>
    <x v="27"/>
  </r>
  <r>
    <d v="2025-07-08T00:00:00"/>
    <x v="19"/>
    <n v="1"/>
    <n v="2025"/>
    <s v="2025-28"/>
    <s v="Week 28"/>
    <x v="27"/>
  </r>
  <r>
    <d v="2025-07-10T00:00:00"/>
    <x v="13"/>
    <n v="30"/>
    <n v="2025"/>
    <s v="2025-28"/>
    <s v="Week 28"/>
    <x v="27"/>
  </r>
  <r>
    <d v="2025-07-10T00:00:00"/>
    <x v="14"/>
    <n v="18"/>
    <n v="2025"/>
    <s v="2025-28"/>
    <s v="Week 28"/>
    <x v="27"/>
  </r>
  <r>
    <d v="2025-07-10T00:00:00"/>
    <x v="25"/>
    <n v="30"/>
    <n v="2025"/>
    <s v="2025-28"/>
    <s v="Week 28"/>
    <x v="27"/>
  </r>
  <r>
    <d v="2025-07-10T00:00:00"/>
    <x v="14"/>
    <n v="12"/>
    <n v="2025"/>
    <s v="2025-28"/>
    <s v="Week 28"/>
    <x v="27"/>
  </r>
  <r>
    <d v="2025-07-10T00:00:00"/>
    <x v="12"/>
    <n v="18"/>
    <n v="2025"/>
    <s v="2025-28"/>
    <s v="Week 28"/>
    <x v="27"/>
  </r>
  <r>
    <d v="2025-07-10T00:00:00"/>
    <x v="11"/>
    <n v="6"/>
    <n v="2025"/>
    <s v="2025-28"/>
    <s v="Week 28"/>
    <x v="27"/>
  </r>
  <r>
    <d v="2025-07-10T00:00:00"/>
    <x v="16"/>
    <n v="2"/>
    <n v="2025"/>
    <s v="2025-28"/>
    <s v="Week 28"/>
    <x v="27"/>
  </r>
  <r>
    <d v="2025-07-10T00:00:00"/>
    <x v="5"/>
    <n v="2"/>
    <n v="2025"/>
    <s v="2025-28"/>
    <s v="Week 28"/>
    <x v="27"/>
  </r>
  <r>
    <d v="2025-07-10T00:00:00"/>
    <x v="12"/>
    <n v="4"/>
    <n v="2025"/>
    <s v="2025-28"/>
    <s v="Week 28"/>
    <x v="27"/>
  </r>
  <r>
    <d v="2025-07-10T00:00:00"/>
    <x v="25"/>
    <n v="4"/>
    <n v="2025"/>
    <s v="2025-28"/>
    <s v="Week 28"/>
    <x v="27"/>
  </r>
  <r>
    <d v="2025-07-10T00:00:00"/>
    <x v="15"/>
    <n v="4"/>
    <n v="2025"/>
    <s v="2025-28"/>
    <s v="Week 28"/>
    <x v="27"/>
  </r>
  <r>
    <d v="2025-07-11T00:00:00"/>
    <x v="25"/>
    <n v="6"/>
    <n v="2025"/>
    <s v="2025-28"/>
    <s v="Week 28"/>
    <x v="27"/>
  </r>
  <r>
    <d v="2025-07-12T00:00:00"/>
    <x v="43"/>
    <n v="8"/>
    <n v="2025"/>
    <s v="2025-28"/>
    <s v="Week 28"/>
    <x v="27"/>
  </r>
  <r>
    <d v="2025-07-12T00:00:00"/>
    <x v="3"/>
    <n v="29"/>
    <n v="2025"/>
    <s v="2025-28"/>
    <s v="Week 28"/>
    <x v="27"/>
  </r>
  <r>
    <d v="2025-07-12T00:00:00"/>
    <x v="12"/>
    <n v="36"/>
    <n v="2025"/>
    <s v="2025-28"/>
    <s v="Week 28"/>
    <x v="27"/>
  </r>
  <r>
    <d v="2025-07-12T00:00:00"/>
    <x v="10"/>
    <n v="8"/>
    <n v="2025"/>
    <s v="2025-28"/>
    <s v="Week 28"/>
    <x v="27"/>
  </r>
  <r>
    <d v="2025-07-12T00:00:00"/>
    <x v="10"/>
    <n v="8"/>
    <n v="2025"/>
    <s v="2025-28"/>
    <s v="Week 28"/>
    <x v="27"/>
  </r>
  <r>
    <d v="2025-07-12T00:00:00"/>
    <x v="3"/>
    <n v="8"/>
    <n v="2025"/>
    <s v="2025-28"/>
    <s v="Week 28"/>
    <x v="27"/>
  </r>
  <r>
    <d v="2025-07-12T00:00:00"/>
    <x v="10"/>
    <n v="8"/>
    <n v="2025"/>
    <s v="2025-28"/>
    <s v="Week 28"/>
    <x v="27"/>
  </r>
  <r>
    <d v="2025-07-12T00:00:00"/>
    <x v="11"/>
    <n v="8"/>
    <n v="2025"/>
    <s v="2025-28"/>
    <s v="Week 28"/>
    <x v="27"/>
  </r>
  <r>
    <d v="2025-07-12T00:00:00"/>
    <x v="15"/>
    <n v="12"/>
    <n v="2025"/>
    <s v="2025-28"/>
    <s v="Week 28"/>
    <x v="27"/>
  </r>
  <r>
    <d v="2025-07-12T00:00:00"/>
    <x v="10"/>
    <n v="4"/>
    <n v="2025"/>
    <s v="2025-28"/>
    <s v="Week 28"/>
    <x v="27"/>
  </r>
  <r>
    <d v="2025-07-12T00:00:00"/>
    <x v="10"/>
    <n v="4"/>
    <n v="2025"/>
    <s v="2025-28"/>
    <s v="Week 28"/>
    <x v="27"/>
  </r>
  <r>
    <d v="2025-07-12T00:00:00"/>
    <x v="5"/>
    <n v="2"/>
    <n v="2025"/>
    <s v="2025-28"/>
    <s v="Week 28"/>
    <x v="27"/>
  </r>
  <r>
    <d v="2025-07-12T00:00:00"/>
    <x v="10"/>
    <n v="2"/>
    <n v="2025"/>
    <s v="2025-28"/>
    <s v="Week 28"/>
    <x v="27"/>
  </r>
  <r>
    <d v="2025-07-12T00:00:00"/>
    <x v="10"/>
    <n v="2"/>
    <n v="2025"/>
    <s v="2025-28"/>
    <s v="Week 28"/>
    <x v="27"/>
  </r>
  <r>
    <d v="2025-07-12T00:00:00"/>
    <x v="17"/>
    <n v="2"/>
    <n v="2025"/>
    <s v="2025-28"/>
    <s v="Week 28"/>
    <x v="27"/>
  </r>
  <r>
    <d v="2025-07-12T00:00:00"/>
    <x v="12"/>
    <n v="2"/>
    <n v="2025"/>
    <s v="2025-28"/>
    <s v="Week 28"/>
    <x v="27"/>
  </r>
  <r>
    <d v="2025-07-12T00:00:00"/>
    <x v="18"/>
    <n v="1"/>
    <n v="2025"/>
    <s v="2025-28"/>
    <s v="Week 28"/>
    <x v="27"/>
  </r>
  <r>
    <d v="2025-07-15T00:00:00"/>
    <x v="32"/>
    <n v="48"/>
    <n v="2025"/>
    <s v="2025-29"/>
    <s v="Week 29"/>
    <x v="28"/>
  </r>
  <r>
    <d v="2025-07-15T00:00:00"/>
    <x v="30"/>
    <n v="30"/>
    <n v="2025"/>
    <s v="2025-29"/>
    <s v="Week 29"/>
    <x v="28"/>
  </r>
  <r>
    <d v="2025-07-15T00:00:00"/>
    <x v="3"/>
    <n v="8"/>
    <n v="2025"/>
    <s v="2025-29"/>
    <s v="Week 29"/>
    <x v="28"/>
  </r>
  <r>
    <d v="2025-07-15T00:00:00"/>
    <x v="13"/>
    <n v="5"/>
    <n v="2025"/>
    <s v="2025-29"/>
    <s v="Week 29"/>
    <x v="28"/>
  </r>
  <r>
    <d v="2025-07-15T00:00:00"/>
    <x v="3"/>
    <n v="5"/>
    <n v="2025"/>
    <s v="2025-29"/>
    <s v="Week 29"/>
    <x v="28"/>
  </r>
  <r>
    <d v="2025-07-15T00:00:00"/>
    <x v="13"/>
    <n v="3"/>
    <n v="2025"/>
    <s v="2025-29"/>
    <s v="Week 29"/>
    <x v="28"/>
  </r>
  <r>
    <d v="2025-07-15T00:00:00"/>
    <x v="3"/>
    <n v="3"/>
    <n v="2025"/>
    <s v="2025-29"/>
    <s v="Week 29"/>
    <x v="28"/>
  </r>
  <r>
    <d v="2025-07-15T00:00:00"/>
    <x v="2"/>
    <n v="4"/>
    <n v="2025"/>
    <s v="2025-29"/>
    <s v="Week 29"/>
    <x v="28"/>
  </r>
  <r>
    <d v="2025-07-16T00:00:00"/>
    <x v="3"/>
    <n v="7"/>
    <n v="2025"/>
    <s v="2025-29"/>
    <s v="Week 29"/>
    <x v="28"/>
  </r>
  <r>
    <d v="2025-07-16T00:00:00"/>
    <x v="11"/>
    <n v="6"/>
    <n v="2025"/>
    <s v="2025-29"/>
    <s v="Week 29"/>
    <x v="28"/>
  </r>
  <r>
    <d v="2025-07-16T00:00:00"/>
    <x v="13"/>
    <n v="4"/>
    <n v="2025"/>
    <s v="2025-29"/>
    <s v="Week 29"/>
    <x v="28"/>
  </r>
  <r>
    <d v="2025-07-16T00:00:00"/>
    <x v="3"/>
    <n v="5"/>
    <n v="2025"/>
    <s v="2025-29"/>
    <s v="Week 29"/>
    <x v="28"/>
  </r>
  <r>
    <d v="2025-07-16T00:00:00"/>
    <x v="3"/>
    <n v="4"/>
    <n v="2025"/>
    <s v="2025-29"/>
    <s v="Week 29"/>
    <x v="28"/>
  </r>
  <r>
    <d v="2025-07-16T00:00:00"/>
    <x v="30"/>
    <n v="7"/>
    <n v="2025"/>
    <s v="2025-29"/>
    <s v="Week 29"/>
    <x v="28"/>
  </r>
  <r>
    <d v="2025-07-16T00:00:00"/>
    <x v="28"/>
    <n v="2"/>
    <n v="2025"/>
    <s v="2025-29"/>
    <s v="Week 29"/>
    <x v="28"/>
  </r>
  <r>
    <d v="2025-07-16T00:00:00"/>
    <x v="18"/>
    <n v="1"/>
    <n v="2025"/>
    <s v="2025-29"/>
    <s v="Week 29"/>
    <x v="28"/>
  </r>
  <r>
    <d v="2025-07-17T00:00:00"/>
    <x v="11"/>
    <n v="36"/>
    <n v="2025"/>
    <s v="2025-29"/>
    <s v="Week 29"/>
    <x v="28"/>
  </r>
  <r>
    <d v="2025-07-17T00:00:00"/>
    <x v="12"/>
    <n v="18"/>
    <n v="2025"/>
    <s v="2025-29"/>
    <s v="Week 29"/>
    <x v="28"/>
  </r>
  <r>
    <d v="2025-07-17T00:00:00"/>
    <x v="12"/>
    <n v="16"/>
    <n v="2025"/>
    <s v="2025-29"/>
    <s v="Week 29"/>
    <x v="28"/>
  </r>
  <r>
    <d v="2025-07-17T00:00:00"/>
    <x v="3"/>
    <n v="12"/>
    <n v="2025"/>
    <s v="2025-29"/>
    <s v="Week 29"/>
    <x v="28"/>
  </r>
  <r>
    <d v="2025-07-17T00:00:00"/>
    <x v="10"/>
    <n v="6"/>
    <n v="2025"/>
    <s v="2025-29"/>
    <s v="Week 29"/>
    <x v="28"/>
  </r>
  <r>
    <d v="2025-07-17T00:00:00"/>
    <x v="15"/>
    <n v="10"/>
    <n v="2025"/>
    <s v="2025-29"/>
    <s v="Week 29"/>
    <x v="28"/>
  </r>
  <r>
    <d v="2025-07-17T00:00:00"/>
    <x v="11"/>
    <n v="6"/>
    <n v="2025"/>
    <s v="2025-29"/>
    <s v="Week 29"/>
    <x v="28"/>
  </r>
  <r>
    <d v="2025-07-17T00:00:00"/>
    <x v="25"/>
    <n v="8"/>
    <n v="2025"/>
    <s v="2025-29"/>
    <s v="Week 29"/>
    <x v="28"/>
  </r>
  <r>
    <d v="2025-07-17T00:00:00"/>
    <x v="28"/>
    <n v="10"/>
    <n v="2025"/>
    <s v="2025-29"/>
    <s v="Week 29"/>
    <x v="28"/>
  </r>
  <r>
    <d v="2025-07-17T00:00:00"/>
    <x v="19"/>
    <n v="7"/>
    <n v="2025"/>
    <s v="2025-29"/>
    <s v="Week 29"/>
    <x v="28"/>
  </r>
  <r>
    <d v="2025-07-17T00:00:00"/>
    <x v="15"/>
    <n v="6"/>
    <n v="2025"/>
    <s v="2025-29"/>
    <s v="Week 29"/>
    <x v="28"/>
  </r>
  <r>
    <d v="2025-07-17T00:00:00"/>
    <x v="12"/>
    <n v="4"/>
    <n v="2025"/>
    <s v="2025-29"/>
    <s v="Week 29"/>
    <x v="28"/>
  </r>
  <r>
    <d v="2025-07-17T00:00:00"/>
    <x v="28"/>
    <n v="6"/>
    <n v="2025"/>
    <s v="2025-29"/>
    <s v="Week 29"/>
    <x v="28"/>
  </r>
  <r>
    <d v="2025-07-17T00:00:00"/>
    <x v="9"/>
    <n v="2"/>
    <n v="2025"/>
    <s v="2025-29"/>
    <s v="Week 29"/>
    <x v="28"/>
  </r>
  <r>
    <d v="2025-07-17T00:00:00"/>
    <x v="18"/>
    <n v="2"/>
    <n v="2025"/>
    <s v="2025-29"/>
    <s v="Week 29"/>
    <x v="28"/>
  </r>
  <r>
    <d v="2025-07-17T00:00:00"/>
    <x v="30"/>
    <n v="2"/>
    <n v="2025"/>
    <s v="2025-29"/>
    <s v="Week 29"/>
    <x v="28"/>
  </r>
  <r>
    <d v="2025-07-17T00:00:00"/>
    <x v="4"/>
    <n v="1"/>
    <n v="2025"/>
    <s v="2025-29"/>
    <s v="Week 29"/>
    <x v="28"/>
  </r>
  <r>
    <d v="2025-07-19T00:00:00"/>
    <x v="5"/>
    <n v="5"/>
    <n v="2025"/>
    <s v="2025-29"/>
    <s v="Week 29"/>
    <x v="28"/>
  </r>
  <r>
    <d v="2025-07-19T00:00:00"/>
    <x v="9"/>
    <n v="2"/>
    <n v="2025"/>
    <s v="2025-29"/>
    <s v="Week 29"/>
    <x v="28"/>
  </r>
  <r>
    <d v="2025-07-20T00:00:00"/>
    <x v="11"/>
    <n v="16"/>
    <n v="2025"/>
    <s v="2025-29"/>
    <s v="Week 30"/>
    <x v="29"/>
  </r>
  <r>
    <d v="2025-07-20T00:00:00"/>
    <x v="10"/>
    <n v="10"/>
    <n v="2025"/>
    <s v="2025-29"/>
    <s v="Week 30"/>
    <x v="29"/>
  </r>
  <r>
    <d v="2025-07-20T00:00:00"/>
    <x v="10"/>
    <n v="8"/>
    <n v="2025"/>
    <s v="2025-29"/>
    <s v="Week 30"/>
    <x v="29"/>
  </r>
  <r>
    <d v="2025-07-20T00:00:00"/>
    <x v="10"/>
    <n v="8"/>
    <n v="2025"/>
    <s v="2025-29"/>
    <s v="Week 30"/>
    <x v="29"/>
  </r>
  <r>
    <d v="2025-07-20T00:00:00"/>
    <x v="3"/>
    <n v="7"/>
    <n v="2025"/>
    <s v="2025-29"/>
    <s v="Week 30"/>
    <x v="29"/>
  </r>
  <r>
    <d v="2025-07-20T00:00:00"/>
    <x v="15"/>
    <n v="14"/>
    <n v="2025"/>
    <s v="2025-29"/>
    <s v="Week 30"/>
    <x v="29"/>
  </r>
  <r>
    <d v="2025-07-20T00:00:00"/>
    <x v="11"/>
    <n v="8"/>
    <n v="2025"/>
    <s v="2025-29"/>
    <s v="Week 30"/>
    <x v="29"/>
  </r>
  <r>
    <d v="2025-07-20T00:00:00"/>
    <x v="6"/>
    <n v="4"/>
    <n v="2025"/>
    <s v="2025-29"/>
    <s v="Week 30"/>
    <x v="29"/>
  </r>
  <r>
    <d v="2025-07-20T00:00:00"/>
    <x v="17"/>
    <n v="4"/>
    <n v="2025"/>
    <s v="2025-29"/>
    <s v="Week 30"/>
    <x v="29"/>
  </r>
  <r>
    <d v="2025-07-20T00:00:00"/>
    <x v="2"/>
    <n v="6"/>
    <n v="2025"/>
    <s v="2025-29"/>
    <s v="Week 30"/>
    <x v="29"/>
  </r>
  <r>
    <d v="2025-07-20T00:00:00"/>
    <x v="12"/>
    <n v="6"/>
    <n v="2025"/>
    <s v="2025-29"/>
    <s v="Week 30"/>
    <x v="29"/>
  </r>
  <r>
    <d v="2025-07-20T00:00:00"/>
    <x v="12"/>
    <n v="6"/>
    <n v="2025"/>
    <s v="2025-29"/>
    <s v="Week 30"/>
    <x v="29"/>
  </r>
  <r>
    <d v="2025-07-20T00:00:00"/>
    <x v="11"/>
    <n v="4"/>
    <n v="2025"/>
    <s v="2025-29"/>
    <s v="Week 30"/>
    <x v="29"/>
  </r>
  <r>
    <d v="2025-07-20T00:00:00"/>
    <x v="12"/>
    <n v="5"/>
    <n v="2025"/>
    <s v="2025-29"/>
    <s v="Week 30"/>
    <x v="29"/>
  </r>
  <r>
    <d v="2025-07-20T00:00:00"/>
    <x v="6"/>
    <n v="2"/>
    <n v="2025"/>
    <s v="2025-29"/>
    <s v="Week 30"/>
    <x v="29"/>
  </r>
  <r>
    <d v="2025-07-20T00:00:00"/>
    <x v="12"/>
    <n v="4"/>
    <n v="2025"/>
    <s v="2025-29"/>
    <s v="Week 30"/>
    <x v="29"/>
  </r>
  <r>
    <d v="2025-07-20T00:00:00"/>
    <x v="25"/>
    <n v="2"/>
    <n v="2025"/>
    <s v="2025-29"/>
    <s v="Week 30"/>
    <x v="29"/>
  </r>
  <r>
    <d v="2025-07-20T00:00:00"/>
    <x v="25"/>
    <n v="2"/>
    <n v="2025"/>
    <s v="2025-29"/>
    <s v="Week 30"/>
    <x v="29"/>
  </r>
  <r>
    <d v="2025-07-20T00:00:00"/>
    <x v="15"/>
    <n v="2"/>
    <n v="2025"/>
    <s v="2025-29"/>
    <s v="Week 30"/>
    <x v="29"/>
  </r>
  <r>
    <d v="2025-07-20T00:00:00"/>
    <x v="15"/>
    <n v="2"/>
    <n v="2025"/>
    <s v="2025-29"/>
    <s v="Week 30"/>
    <x v="29"/>
  </r>
  <r>
    <d v="2025-07-20T00:00:00"/>
    <x v="3"/>
    <n v="1"/>
    <n v="2025"/>
    <s v="2025-29"/>
    <s v="Week 30"/>
    <x v="29"/>
  </r>
  <r>
    <d v="2025-07-20T00:00:00"/>
    <x v="30"/>
    <n v="2"/>
    <n v="2025"/>
    <s v="2025-29"/>
    <s v="Week 30"/>
    <x v="29"/>
  </r>
  <r>
    <d v="2025-07-20T00:00:00"/>
    <x v="30"/>
    <n v="2"/>
    <n v="2025"/>
    <s v="2025-29"/>
    <s v="Week 30"/>
    <x v="29"/>
  </r>
  <r>
    <d v="2025-07-21T00:00:00"/>
    <x v="3"/>
    <n v="32"/>
    <n v="2025"/>
    <s v="2025-30"/>
    <s v="Week 30"/>
    <x v="29"/>
  </r>
  <r>
    <d v="2025-07-21T00:00:00"/>
    <x v="12"/>
    <n v="19"/>
    <n v="2025"/>
    <s v="2025-30"/>
    <s v="Week 30"/>
    <x v="29"/>
  </r>
  <r>
    <d v="2025-07-21T00:00:00"/>
    <x v="11"/>
    <n v="16"/>
    <n v="2025"/>
    <s v="2025-30"/>
    <s v="Week 30"/>
    <x v="29"/>
  </r>
  <r>
    <d v="2025-07-21T00:00:00"/>
    <x v="13"/>
    <n v="10"/>
    <n v="2025"/>
    <s v="2025-30"/>
    <s v="Week 30"/>
    <x v="29"/>
  </r>
  <r>
    <d v="2025-07-21T00:00:00"/>
    <x v="19"/>
    <n v="8"/>
    <n v="2025"/>
    <s v="2025-30"/>
    <s v="Week 30"/>
    <x v="29"/>
  </r>
  <r>
    <d v="2025-07-21T00:00:00"/>
    <x v="15"/>
    <n v="5"/>
    <n v="2025"/>
    <s v="2025-30"/>
    <s v="Week 30"/>
    <x v="29"/>
  </r>
  <r>
    <d v="2025-07-21T00:00:00"/>
    <x v="2"/>
    <n v="2"/>
    <n v="2025"/>
    <s v="2025-30"/>
    <s v="Week 30"/>
    <x v="29"/>
  </r>
  <r>
    <d v="2025-07-22T00:00:00"/>
    <x v="12"/>
    <n v="93"/>
    <n v="2025"/>
    <s v="2025-30"/>
    <s v="Week 30"/>
    <x v="29"/>
  </r>
  <r>
    <d v="2025-07-22T00:00:00"/>
    <x v="12"/>
    <n v="64"/>
    <n v="2025"/>
    <s v="2025-30"/>
    <s v="Week 30"/>
    <x v="29"/>
  </r>
  <r>
    <d v="2025-07-22T00:00:00"/>
    <x v="11"/>
    <n v="45"/>
    <n v="2025"/>
    <s v="2025-30"/>
    <s v="Week 30"/>
    <x v="29"/>
  </r>
  <r>
    <d v="2025-07-22T00:00:00"/>
    <x v="3"/>
    <n v="16"/>
    <n v="2025"/>
    <s v="2025-30"/>
    <s v="Week 30"/>
    <x v="29"/>
  </r>
  <r>
    <d v="2025-07-22T00:00:00"/>
    <x v="15"/>
    <n v="28"/>
    <n v="2025"/>
    <s v="2025-30"/>
    <s v="Week 30"/>
    <x v="29"/>
  </r>
  <r>
    <d v="2025-07-22T00:00:00"/>
    <x v="12"/>
    <n v="12"/>
    <n v="2025"/>
    <s v="2025-30"/>
    <s v="Week 30"/>
    <x v="29"/>
  </r>
  <r>
    <d v="2025-07-22T00:00:00"/>
    <x v="10"/>
    <n v="8"/>
    <n v="2025"/>
    <s v="2025-30"/>
    <s v="Week 30"/>
    <x v="29"/>
  </r>
  <r>
    <d v="2025-07-22T00:00:00"/>
    <x v="6"/>
    <n v="5"/>
    <n v="2025"/>
    <s v="2025-30"/>
    <s v="Week 30"/>
    <x v="29"/>
  </r>
  <r>
    <d v="2025-07-22T00:00:00"/>
    <x v="6"/>
    <n v="5"/>
    <n v="2025"/>
    <s v="2025-30"/>
    <s v="Week 30"/>
    <x v="29"/>
  </r>
  <r>
    <d v="2025-07-22T00:00:00"/>
    <x v="17"/>
    <n v="6"/>
    <n v="2025"/>
    <s v="2025-30"/>
    <s v="Week 30"/>
    <x v="29"/>
  </r>
  <r>
    <d v="2025-07-22T00:00:00"/>
    <x v="17"/>
    <n v="4"/>
    <n v="2025"/>
    <s v="2025-30"/>
    <s v="Week 30"/>
    <x v="29"/>
  </r>
  <r>
    <d v="2025-07-22T00:00:00"/>
    <x v="31"/>
    <n v="8"/>
    <n v="2025"/>
    <s v="2025-30"/>
    <s v="Week 30"/>
    <x v="29"/>
  </r>
  <r>
    <d v="2025-07-22T00:00:00"/>
    <x v="27"/>
    <n v="8"/>
    <n v="2025"/>
    <s v="2025-30"/>
    <s v="Week 30"/>
    <x v="29"/>
  </r>
  <r>
    <d v="2025-07-22T00:00:00"/>
    <x v="11"/>
    <n v="4"/>
    <n v="2025"/>
    <s v="2025-30"/>
    <s v="Week 30"/>
    <x v="29"/>
  </r>
  <r>
    <d v="2025-07-22T00:00:00"/>
    <x v="13"/>
    <n v="2"/>
    <n v="2025"/>
    <s v="2025-30"/>
    <s v="Week 30"/>
    <x v="29"/>
  </r>
  <r>
    <d v="2025-07-22T00:00:00"/>
    <x v="22"/>
    <n v="4"/>
    <n v="2025"/>
    <s v="2025-30"/>
    <s v="Week 30"/>
    <x v="29"/>
  </r>
  <r>
    <d v="2025-07-22T00:00:00"/>
    <x v="15"/>
    <n v="4"/>
    <n v="2025"/>
    <s v="2025-30"/>
    <s v="Week 30"/>
    <x v="29"/>
  </r>
  <r>
    <d v="2025-07-22T00:00:00"/>
    <x v="17"/>
    <n v="2"/>
    <n v="2025"/>
    <s v="2025-30"/>
    <s v="Week 30"/>
    <x v="29"/>
  </r>
  <r>
    <d v="2025-07-22T00:00:00"/>
    <x v="10"/>
    <n v="2"/>
    <n v="2025"/>
    <s v="2025-30"/>
    <s v="Week 30"/>
    <x v="29"/>
  </r>
  <r>
    <d v="2025-07-22T00:00:00"/>
    <x v="28"/>
    <n v="6"/>
    <n v="2025"/>
    <s v="2025-30"/>
    <s v="Week 30"/>
    <x v="29"/>
  </r>
  <r>
    <d v="2025-07-22T00:00:00"/>
    <x v="3"/>
    <n v="2"/>
    <n v="2025"/>
    <s v="2025-30"/>
    <s v="Week 30"/>
    <x v="29"/>
  </r>
  <r>
    <d v="2025-07-22T00:00:00"/>
    <x v="3"/>
    <n v="2"/>
    <n v="2025"/>
    <s v="2025-30"/>
    <s v="Week 30"/>
    <x v="29"/>
  </r>
  <r>
    <d v="2025-07-22T00:00:00"/>
    <x v="14"/>
    <n v="2"/>
    <n v="2025"/>
    <s v="2025-30"/>
    <s v="Week 30"/>
    <x v="29"/>
  </r>
  <r>
    <d v="2025-07-22T00:00:00"/>
    <x v="11"/>
    <n v="2"/>
    <n v="2025"/>
    <s v="2025-30"/>
    <s v="Week 30"/>
    <x v="29"/>
  </r>
  <r>
    <d v="2025-07-22T00:00:00"/>
    <x v="11"/>
    <n v="2"/>
    <n v="2025"/>
    <s v="2025-30"/>
    <s v="Week 30"/>
    <x v="29"/>
  </r>
  <r>
    <d v="2025-07-22T00:00:00"/>
    <x v="19"/>
    <n v="4"/>
    <n v="2025"/>
    <s v="2025-30"/>
    <s v="Week 30"/>
    <x v="29"/>
  </r>
  <r>
    <d v="2025-07-22T00:00:00"/>
    <x v="31"/>
    <n v="3"/>
    <n v="2025"/>
    <s v="2025-30"/>
    <s v="Week 30"/>
    <x v="29"/>
  </r>
  <r>
    <d v="2025-07-22T00:00:00"/>
    <x v="11"/>
    <n v="2"/>
    <n v="2025"/>
    <s v="2025-30"/>
    <s v="Week 30"/>
    <x v="29"/>
  </r>
  <r>
    <d v="2025-07-22T00:00:00"/>
    <x v="2"/>
    <n v="2"/>
    <n v="2025"/>
    <s v="2025-30"/>
    <s v="Week 30"/>
    <x v="29"/>
  </r>
  <r>
    <d v="2025-07-22T00:00:00"/>
    <x v="18"/>
    <n v="2"/>
    <n v="2025"/>
    <s v="2025-30"/>
    <s v="Week 30"/>
    <x v="29"/>
  </r>
  <r>
    <d v="2025-07-22T00:00:00"/>
    <x v="31"/>
    <n v="1"/>
    <n v="2025"/>
    <s v="2025-30"/>
    <s v="Week 30"/>
    <x v="29"/>
  </r>
  <r>
    <d v="2025-07-23T00:00:00"/>
    <x v="13"/>
    <n v="12"/>
    <n v="2025"/>
    <s v="2025-30"/>
    <s v="Week 30"/>
    <x v="29"/>
  </r>
  <r>
    <d v="2025-07-23T00:00:00"/>
    <x v="11"/>
    <n v="4"/>
    <n v="2025"/>
    <s v="2025-30"/>
    <s v="Week 30"/>
    <x v="29"/>
  </r>
  <r>
    <d v="2025-07-23T00:00:00"/>
    <x v="25"/>
    <n v="4"/>
    <n v="2025"/>
    <s v="2025-30"/>
    <s v="Week 30"/>
    <x v="29"/>
  </r>
  <r>
    <d v="2025-07-23T00:00:00"/>
    <x v="35"/>
    <n v="4"/>
    <n v="2025"/>
    <s v="2025-30"/>
    <s v="Week 30"/>
    <x v="29"/>
  </r>
  <r>
    <d v="2025-07-24T00:00:00"/>
    <x v="28"/>
    <n v="8"/>
    <n v="2025"/>
    <s v="2025-30"/>
    <s v="Week 30"/>
    <x v="29"/>
  </r>
  <r>
    <d v="2025-07-24T00:00:00"/>
    <x v="30"/>
    <n v="6"/>
    <n v="2025"/>
    <s v="2025-30"/>
    <s v="Week 30"/>
    <x v="29"/>
  </r>
  <r>
    <d v="2025-07-27T00:00:00"/>
    <x v="11"/>
    <n v="32"/>
    <n v="2025"/>
    <s v="2025-30"/>
    <s v="Week 31"/>
    <x v="30"/>
  </r>
  <r>
    <d v="2025-07-27T00:00:00"/>
    <x v="3"/>
    <n v="25"/>
    <n v="2025"/>
    <s v="2025-30"/>
    <s v="Week 31"/>
    <x v="30"/>
  </r>
  <r>
    <d v="2025-07-27T00:00:00"/>
    <x v="6"/>
    <n v="11"/>
    <n v="2025"/>
    <s v="2025-30"/>
    <s v="Week 31"/>
    <x v="30"/>
  </r>
  <r>
    <d v="2025-07-27T00:00:00"/>
    <x v="3"/>
    <n v="16"/>
    <n v="2025"/>
    <s v="2025-30"/>
    <s v="Week 31"/>
    <x v="30"/>
  </r>
  <r>
    <d v="2025-07-27T00:00:00"/>
    <x v="12"/>
    <n v="14"/>
    <n v="2025"/>
    <s v="2025-30"/>
    <s v="Week 31"/>
    <x v="30"/>
  </r>
  <r>
    <d v="2025-07-27T00:00:00"/>
    <x v="6"/>
    <n v="6"/>
    <n v="2025"/>
    <s v="2025-30"/>
    <s v="Week 31"/>
    <x v="30"/>
  </r>
  <r>
    <d v="2025-07-27T00:00:00"/>
    <x v="10"/>
    <n v="8"/>
    <n v="2025"/>
    <s v="2025-30"/>
    <s v="Week 31"/>
    <x v="30"/>
  </r>
  <r>
    <d v="2025-07-27T00:00:00"/>
    <x v="12"/>
    <n v="10"/>
    <n v="2025"/>
    <s v="2025-30"/>
    <s v="Week 31"/>
    <x v="30"/>
  </r>
  <r>
    <d v="2025-07-27T00:00:00"/>
    <x v="12"/>
    <n v="10"/>
    <n v="2025"/>
    <s v="2025-30"/>
    <s v="Week 31"/>
    <x v="30"/>
  </r>
  <r>
    <d v="2025-07-27T00:00:00"/>
    <x v="10"/>
    <n v="6"/>
    <n v="2025"/>
    <s v="2025-30"/>
    <s v="Week 31"/>
    <x v="30"/>
  </r>
  <r>
    <d v="2025-07-27T00:00:00"/>
    <x v="6"/>
    <n v="4"/>
    <n v="2025"/>
    <s v="2025-30"/>
    <s v="Week 31"/>
    <x v="30"/>
  </r>
  <r>
    <d v="2025-07-27T00:00:00"/>
    <x v="2"/>
    <n v="8"/>
    <n v="2025"/>
    <s v="2025-30"/>
    <s v="Week 31"/>
    <x v="30"/>
  </r>
  <r>
    <d v="2025-07-27T00:00:00"/>
    <x v="2"/>
    <n v="8"/>
    <n v="2025"/>
    <s v="2025-30"/>
    <s v="Week 31"/>
    <x v="30"/>
  </r>
  <r>
    <d v="2025-07-27T00:00:00"/>
    <x v="15"/>
    <n v="9"/>
    <n v="2025"/>
    <s v="2025-30"/>
    <s v="Week 31"/>
    <x v="30"/>
  </r>
  <r>
    <d v="2025-07-27T00:00:00"/>
    <x v="3"/>
    <n v="4"/>
    <n v="2025"/>
    <s v="2025-30"/>
    <s v="Week 31"/>
    <x v="30"/>
  </r>
  <r>
    <d v="2025-07-27T00:00:00"/>
    <x v="28"/>
    <n v="12"/>
    <n v="2025"/>
    <s v="2025-30"/>
    <s v="Week 31"/>
    <x v="30"/>
  </r>
  <r>
    <d v="2025-07-27T00:00:00"/>
    <x v="28"/>
    <n v="12"/>
    <n v="2025"/>
    <s v="2025-30"/>
    <s v="Week 31"/>
    <x v="30"/>
  </r>
  <r>
    <d v="2025-07-27T00:00:00"/>
    <x v="11"/>
    <n v="4"/>
    <n v="2025"/>
    <s v="2025-30"/>
    <s v="Week 31"/>
    <x v="30"/>
  </r>
  <r>
    <d v="2025-07-27T00:00:00"/>
    <x v="30"/>
    <n v="8"/>
    <n v="2025"/>
    <s v="2025-30"/>
    <s v="Week 31"/>
    <x v="30"/>
  </r>
  <r>
    <d v="2025-07-27T00:00:00"/>
    <x v="15"/>
    <n v="5"/>
    <n v="2025"/>
    <s v="2025-30"/>
    <s v="Week 31"/>
    <x v="30"/>
  </r>
  <r>
    <d v="2025-07-27T00:00:00"/>
    <x v="17"/>
    <n v="2"/>
    <n v="2025"/>
    <s v="2025-30"/>
    <s v="Week 31"/>
    <x v="30"/>
  </r>
  <r>
    <d v="2025-07-27T00:00:00"/>
    <x v="17"/>
    <n v="2"/>
    <n v="2025"/>
    <s v="2025-30"/>
    <s v="Week 31"/>
    <x v="30"/>
  </r>
  <r>
    <d v="2025-07-27T00:00:00"/>
    <x v="19"/>
    <n v="4"/>
    <n v="2025"/>
    <s v="2025-30"/>
    <s v="Week 31"/>
    <x v="30"/>
  </r>
  <r>
    <d v="2025-07-27T00:00:00"/>
    <x v="12"/>
    <n v="2"/>
    <n v="2025"/>
    <s v="2025-30"/>
    <s v="Week 31"/>
    <x v="30"/>
  </r>
  <r>
    <d v="2025-07-27T00:00:00"/>
    <x v="4"/>
    <n v="4"/>
    <n v="2025"/>
    <s v="2025-30"/>
    <s v="Week 31"/>
    <x v="30"/>
  </r>
  <r>
    <d v="2025-07-27T00:00:00"/>
    <x v="4"/>
    <n v="4"/>
    <n v="2025"/>
    <s v="2025-30"/>
    <s v="Week 31"/>
    <x v="30"/>
  </r>
  <r>
    <d v="2025-07-27T00:00:00"/>
    <x v="11"/>
    <n v="2"/>
    <n v="2025"/>
    <s v="2025-30"/>
    <s v="Week 31"/>
    <x v="30"/>
  </r>
  <r>
    <d v="2025-07-27T00:00:00"/>
    <x v="11"/>
    <n v="2"/>
    <n v="2025"/>
    <s v="2025-30"/>
    <s v="Week 31"/>
    <x v="30"/>
  </r>
  <r>
    <d v="2025-07-27T00:00:00"/>
    <x v="6"/>
    <n v="1"/>
    <n v="2025"/>
    <s v="2025-30"/>
    <s v="Week 31"/>
    <x v="30"/>
  </r>
  <r>
    <d v="2025-07-27T00:00:00"/>
    <x v="18"/>
    <n v="4"/>
    <n v="2025"/>
    <s v="2025-30"/>
    <s v="Week 31"/>
    <x v="30"/>
  </r>
  <r>
    <d v="2025-07-27T00:00:00"/>
    <x v="20"/>
    <n v="2"/>
    <n v="2025"/>
    <s v="2025-30"/>
    <s v="Week 31"/>
    <x v="30"/>
  </r>
  <r>
    <d v="2025-07-27T00:00:00"/>
    <x v="20"/>
    <n v="2"/>
    <n v="2025"/>
    <s v="2025-30"/>
    <s v="Week 31"/>
    <x v="30"/>
  </r>
  <r>
    <d v="2025-07-27T00:00:00"/>
    <x v="12"/>
    <n v="2"/>
    <n v="2025"/>
    <s v="2025-30"/>
    <s v="Week 31"/>
    <x v="30"/>
  </r>
  <r>
    <d v="2025-07-27T00:00:00"/>
    <x v="33"/>
    <n v="2"/>
    <n v="2025"/>
    <s v="2025-30"/>
    <s v="Week 31"/>
    <x v="30"/>
  </r>
  <r>
    <d v="2025-07-27T00:00:00"/>
    <x v="28"/>
    <n v="2"/>
    <n v="2025"/>
    <s v="2025-30"/>
    <s v="Week 31"/>
    <x v="30"/>
  </r>
  <r>
    <d v="2025-07-27T00:00:00"/>
    <x v="28"/>
    <n v="2"/>
    <n v="2025"/>
    <s v="2025-30"/>
    <s v="Week 31"/>
    <x v="30"/>
  </r>
  <r>
    <d v="2025-07-27T00:00:00"/>
    <x v="30"/>
    <n v="2"/>
    <n v="2025"/>
    <s v="2025-30"/>
    <s v="Week 31"/>
    <x v="30"/>
  </r>
  <r>
    <d v="2025-07-27T00:00:00"/>
    <x v="30"/>
    <n v="2"/>
    <n v="2025"/>
    <s v="2025-30"/>
    <s v="Week 31"/>
    <x v="30"/>
  </r>
  <r>
    <d v="2025-07-27T00:00:00"/>
    <x v="30"/>
    <n v="2"/>
    <n v="2025"/>
    <s v="2025-30"/>
    <s v="Week 31"/>
    <x v="30"/>
  </r>
  <r>
    <d v="2025-07-28T00:00:00"/>
    <x v="13"/>
    <n v="15"/>
    <n v="2025"/>
    <s v="2025-31"/>
    <s v="Week 31"/>
    <x v="30"/>
  </r>
  <r>
    <d v="2025-07-28T00:00:00"/>
    <x v="5"/>
    <n v="11"/>
    <n v="2025"/>
    <s v="2025-31"/>
    <s v="Week 31"/>
    <x v="30"/>
  </r>
  <r>
    <d v="2025-07-28T00:00:00"/>
    <x v="5"/>
    <n v="8"/>
    <n v="2025"/>
    <s v="2025-31"/>
    <s v="Week 31"/>
    <x v="30"/>
  </r>
  <r>
    <d v="2025-07-28T00:00:00"/>
    <x v="5"/>
    <n v="6"/>
    <n v="2025"/>
    <s v="2025-31"/>
    <s v="Week 31"/>
    <x v="30"/>
  </r>
  <r>
    <d v="2025-07-28T00:00:00"/>
    <x v="5"/>
    <n v="6"/>
    <n v="2025"/>
    <s v="2025-31"/>
    <s v="Week 31"/>
    <x v="30"/>
  </r>
  <r>
    <d v="2025-07-28T00:00:00"/>
    <x v="14"/>
    <n v="8"/>
    <n v="2025"/>
    <s v="2025-31"/>
    <s v="Week 31"/>
    <x v="30"/>
  </r>
  <r>
    <d v="2025-07-28T00:00:00"/>
    <x v="10"/>
    <n v="8"/>
    <n v="2025"/>
    <s v="2025-31"/>
    <s v="Week 31"/>
    <x v="30"/>
  </r>
  <r>
    <d v="2025-07-28T00:00:00"/>
    <x v="28"/>
    <n v="20"/>
    <n v="2025"/>
    <s v="2025-31"/>
    <s v="Week 31"/>
    <x v="30"/>
  </r>
  <r>
    <d v="2025-07-28T00:00:00"/>
    <x v="28"/>
    <n v="17"/>
    <n v="2025"/>
    <s v="2025-31"/>
    <s v="Week 31"/>
    <x v="30"/>
  </r>
  <r>
    <d v="2025-07-28T00:00:00"/>
    <x v="3"/>
    <n v="6"/>
    <n v="2025"/>
    <s v="2025-31"/>
    <s v="Week 31"/>
    <x v="30"/>
  </r>
  <r>
    <d v="2025-07-28T00:00:00"/>
    <x v="2"/>
    <n v="8"/>
    <n v="2025"/>
    <s v="2025-31"/>
    <s v="Week 31"/>
    <x v="30"/>
  </r>
  <r>
    <d v="2025-07-28T00:00:00"/>
    <x v="27"/>
    <n v="8"/>
    <n v="2025"/>
    <s v="2025-31"/>
    <s v="Week 31"/>
    <x v="30"/>
  </r>
  <r>
    <d v="2025-07-28T00:00:00"/>
    <x v="13"/>
    <n v="2"/>
    <n v="2025"/>
    <s v="2025-31"/>
    <s v="Week 31"/>
    <x v="30"/>
  </r>
  <r>
    <d v="2025-07-28T00:00:00"/>
    <x v="5"/>
    <n v="2"/>
    <n v="2025"/>
    <s v="2025-31"/>
    <s v="Week 31"/>
    <x v="30"/>
  </r>
  <r>
    <d v="2025-07-28T00:00:00"/>
    <x v="1"/>
    <n v="4"/>
    <n v="2025"/>
    <s v="2025-31"/>
    <s v="Week 31"/>
    <x v="30"/>
  </r>
  <r>
    <d v="2025-07-28T00:00:00"/>
    <x v="14"/>
    <n v="2"/>
    <n v="2025"/>
    <s v="2025-31"/>
    <s v="Week 31"/>
    <x v="30"/>
  </r>
  <r>
    <d v="2025-07-28T00:00:00"/>
    <x v="14"/>
    <n v="2"/>
    <n v="2025"/>
    <s v="2025-31"/>
    <s v="Week 31"/>
    <x v="30"/>
  </r>
  <r>
    <d v="2025-07-28T00:00:00"/>
    <x v="24"/>
    <n v="4"/>
    <n v="2025"/>
    <s v="2025-31"/>
    <s v="Week 31"/>
    <x v="30"/>
  </r>
  <r>
    <d v="2025-07-28T00:00:00"/>
    <x v="28"/>
    <n v="4"/>
    <n v="2025"/>
    <s v="2025-31"/>
    <s v="Week 31"/>
    <x v="30"/>
  </r>
  <r>
    <d v="2025-07-28T00:00:00"/>
    <x v="30"/>
    <n v="4"/>
    <n v="2025"/>
    <s v="2025-31"/>
    <s v="Week 31"/>
    <x v="30"/>
  </r>
  <r>
    <d v="2025-07-28T00:00:00"/>
    <x v="26"/>
    <n v="2"/>
    <n v="2025"/>
    <s v="2025-31"/>
    <s v="Week 31"/>
    <x v="30"/>
  </r>
  <r>
    <d v="2025-07-28T00:00:00"/>
    <x v="30"/>
    <n v="2"/>
    <n v="2025"/>
    <s v="2025-31"/>
    <s v="Week 31"/>
    <x v="30"/>
  </r>
  <r>
    <d v="2025-07-29T00:00:00"/>
    <x v="12"/>
    <n v="24"/>
    <n v="2025"/>
    <s v="2025-31"/>
    <s v="Week 31"/>
    <x v="30"/>
  </r>
  <r>
    <d v="2025-07-29T00:00:00"/>
    <x v="10"/>
    <n v="16"/>
    <n v="2025"/>
    <s v="2025-31"/>
    <s v="Week 31"/>
    <x v="30"/>
  </r>
  <r>
    <d v="2025-07-29T00:00:00"/>
    <x v="10"/>
    <n v="12"/>
    <n v="2025"/>
    <s v="2025-31"/>
    <s v="Week 31"/>
    <x v="30"/>
  </r>
  <r>
    <d v="2025-07-29T00:00:00"/>
    <x v="12"/>
    <n v="14"/>
    <n v="2025"/>
    <s v="2025-31"/>
    <s v="Week 31"/>
    <x v="30"/>
  </r>
  <r>
    <d v="2025-07-29T00:00:00"/>
    <x v="15"/>
    <n v="12"/>
    <n v="2025"/>
    <s v="2025-31"/>
    <s v="Week 31"/>
    <x v="30"/>
  </r>
  <r>
    <d v="2025-07-29T00:00:00"/>
    <x v="15"/>
    <n v="10"/>
    <n v="2025"/>
    <s v="2025-31"/>
    <s v="Week 31"/>
    <x v="30"/>
  </r>
  <r>
    <d v="2025-07-29T00:00:00"/>
    <x v="3"/>
    <n v="6"/>
    <n v="2025"/>
    <s v="2025-31"/>
    <s v="Week 31"/>
    <x v="30"/>
  </r>
  <r>
    <d v="2025-07-29T00:00:00"/>
    <x v="2"/>
    <n v="8"/>
    <n v="2025"/>
    <s v="2025-31"/>
    <s v="Week 31"/>
    <x v="30"/>
  </r>
  <r>
    <d v="2025-07-29T00:00:00"/>
    <x v="25"/>
    <n v="8"/>
    <n v="2025"/>
    <s v="2025-31"/>
    <s v="Week 31"/>
    <x v="30"/>
  </r>
  <r>
    <d v="2025-07-29T00:00:00"/>
    <x v="3"/>
    <n v="4"/>
    <n v="2025"/>
    <s v="2025-31"/>
    <s v="Week 31"/>
    <x v="30"/>
  </r>
  <r>
    <d v="2025-07-29T00:00:00"/>
    <x v="14"/>
    <n v="4"/>
    <n v="2025"/>
    <s v="2025-31"/>
    <s v="Week 31"/>
    <x v="30"/>
  </r>
  <r>
    <d v="2025-07-29T00:00:00"/>
    <x v="9"/>
    <n v="4"/>
    <n v="2025"/>
    <s v="2025-31"/>
    <s v="Week 31"/>
    <x v="30"/>
  </r>
  <r>
    <d v="2025-07-29T00:00:00"/>
    <x v="3"/>
    <n v="4"/>
    <n v="2025"/>
    <s v="2025-31"/>
    <s v="Week 31"/>
    <x v="30"/>
  </r>
  <r>
    <d v="2025-07-29T00:00:00"/>
    <x v="15"/>
    <n v="6"/>
    <n v="2025"/>
    <s v="2025-31"/>
    <s v="Week 31"/>
    <x v="30"/>
  </r>
  <r>
    <d v="2025-07-29T00:00:00"/>
    <x v="23"/>
    <n v="8"/>
    <n v="2025"/>
    <s v="2025-31"/>
    <s v="Week 31"/>
    <x v="30"/>
  </r>
  <r>
    <d v="2025-07-29T00:00:00"/>
    <x v="28"/>
    <n v="10"/>
    <n v="2025"/>
    <s v="2025-31"/>
    <s v="Week 31"/>
    <x v="30"/>
  </r>
  <r>
    <d v="2025-07-29T00:00:00"/>
    <x v="11"/>
    <n v="4"/>
    <n v="2025"/>
    <s v="2025-31"/>
    <s v="Week 31"/>
    <x v="30"/>
  </r>
  <r>
    <d v="2025-07-29T00:00:00"/>
    <x v="27"/>
    <n v="6"/>
    <n v="2025"/>
    <s v="2025-31"/>
    <s v="Week 31"/>
    <x v="30"/>
  </r>
  <r>
    <d v="2025-07-29T00:00:00"/>
    <x v="17"/>
    <n v="2"/>
    <n v="2025"/>
    <s v="2025-31"/>
    <s v="Week 31"/>
    <x v="30"/>
  </r>
  <r>
    <d v="2025-07-29T00:00:00"/>
    <x v="28"/>
    <n v="8"/>
    <n v="2025"/>
    <s v="2025-31"/>
    <s v="Week 31"/>
    <x v="30"/>
  </r>
  <r>
    <d v="2025-07-29T00:00:00"/>
    <x v="17"/>
    <n v="2"/>
    <n v="2025"/>
    <s v="2025-31"/>
    <s v="Week 31"/>
    <x v="30"/>
  </r>
  <r>
    <d v="2025-07-29T00:00:00"/>
    <x v="27"/>
    <n v="4"/>
    <n v="2025"/>
    <s v="2025-31"/>
    <s v="Week 31"/>
    <x v="30"/>
  </r>
  <r>
    <d v="2025-07-29T00:00:00"/>
    <x v="30"/>
    <n v="6"/>
    <n v="2025"/>
    <s v="2025-31"/>
    <s v="Week 31"/>
    <x v="30"/>
  </r>
  <r>
    <d v="2025-07-29T00:00:00"/>
    <x v="4"/>
    <n v="4"/>
    <n v="2025"/>
    <s v="2025-31"/>
    <s v="Week 31"/>
    <x v="30"/>
  </r>
  <r>
    <d v="2025-07-29T00:00:00"/>
    <x v="12"/>
    <n v="2"/>
    <n v="2025"/>
    <s v="2025-31"/>
    <s v="Week 31"/>
    <x v="30"/>
  </r>
  <r>
    <d v="2025-07-29T00:00:00"/>
    <x v="18"/>
    <n v="4"/>
    <n v="2025"/>
    <s v="2025-31"/>
    <s v="Week 31"/>
    <x v="30"/>
  </r>
  <r>
    <d v="2025-07-29T00:00:00"/>
    <x v="15"/>
    <n v="2"/>
    <n v="2025"/>
    <s v="2025-31"/>
    <s v="Week 31"/>
    <x v="30"/>
  </r>
  <r>
    <d v="2025-07-29T00:00:00"/>
    <x v="33"/>
    <n v="2"/>
    <n v="2025"/>
    <s v="2025-31"/>
    <s v="Week 31"/>
    <x v="30"/>
  </r>
  <r>
    <d v="2025-07-29T00:00:00"/>
    <x v="18"/>
    <n v="2"/>
    <n v="2025"/>
    <s v="2025-31"/>
    <s v="Week 31"/>
    <x v="30"/>
  </r>
  <r>
    <d v="2025-07-29T00:00:00"/>
    <x v="28"/>
    <n v="2"/>
    <n v="2025"/>
    <s v="2025-31"/>
    <s v="Week 31"/>
    <x v="30"/>
  </r>
  <r>
    <d v="2025-07-30T00:00:00"/>
    <x v="10"/>
    <n v="12"/>
    <n v="2025"/>
    <s v="2025-31"/>
    <s v="Week 31"/>
    <x v="30"/>
  </r>
  <r>
    <d v="2025-07-30T00:00:00"/>
    <x v="26"/>
    <n v="2"/>
    <n v="2025"/>
    <s v="2025-31"/>
    <s v="Week 31"/>
    <x v="30"/>
  </r>
  <r>
    <d v="2025-07-30T00:00:00"/>
    <x v="32"/>
    <n v="2"/>
    <n v="2025"/>
    <s v="2025-31"/>
    <s v="Week 31"/>
    <x v="30"/>
  </r>
  <r>
    <d v="2025-07-30T00:00:00"/>
    <x v="32"/>
    <n v="2"/>
    <n v="2025"/>
    <s v="2025-31"/>
    <s v="Week 31"/>
    <x v="30"/>
  </r>
  <r>
    <d v="2025-07-31T00:00:00"/>
    <x v="12"/>
    <n v="15"/>
    <n v="2025"/>
    <s v="2025-31"/>
    <s v="Week 31"/>
    <x v="30"/>
  </r>
  <r>
    <d v="2025-07-31T00:00:00"/>
    <x v="10"/>
    <n v="8"/>
    <n v="2025"/>
    <s v="2025-31"/>
    <s v="Week 31"/>
    <x v="30"/>
  </r>
  <r>
    <d v="2025-07-31T00:00:00"/>
    <x v="12"/>
    <n v="11"/>
    <n v="2025"/>
    <s v="2025-31"/>
    <s v="Week 31"/>
    <x v="30"/>
  </r>
  <r>
    <d v="2025-07-31T00:00:00"/>
    <x v="11"/>
    <n v="7"/>
    <n v="2025"/>
    <s v="2025-31"/>
    <s v="Week 31"/>
    <x v="30"/>
  </r>
  <r>
    <d v="2025-07-31T00:00:00"/>
    <x v="12"/>
    <n v="6"/>
    <n v="2025"/>
    <s v="2025-31"/>
    <s v="Week 31"/>
    <x v="30"/>
  </r>
  <r>
    <d v="2025-07-31T00:00:00"/>
    <x v="15"/>
    <n v="7"/>
    <n v="2025"/>
    <s v="2025-31"/>
    <s v="Week 31"/>
    <x v="30"/>
  </r>
  <r>
    <d v="2025-07-31T00:00:00"/>
    <x v="11"/>
    <n v="4"/>
    <n v="2025"/>
    <s v="2025-31"/>
    <s v="Week 31"/>
    <x v="30"/>
  </r>
  <r>
    <d v="2025-07-31T00:00:00"/>
    <x v="15"/>
    <n v="6"/>
    <n v="2025"/>
    <s v="2025-31"/>
    <s v="Week 31"/>
    <x v="30"/>
  </r>
  <r>
    <d v="2025-07-31T00:00:00"/>
    <x v="12"/>
    <n v="4"/>
    <n v="2025"/>
    <s v="2025-31"/>
    <s v="Week 31"/>
    <x v="30"/>
  </r>
  <r>
    <d v="2025-07-31T00:00:00"/>
    <x v="12"/>
    <n v="3"/>
    <n v="2025"/>
    <s v="2025-31"/>
    <s v="Week 31"/>
    <x v="30"/>
  </r>
  <r>
    <d v="2025-07-31T00:00:00"/>
    <x v="18"/>
    <n v="4"/>
    <n v="2025"/>
    <s v="2025-31"/>
    <s v="Week 31"/>
    <x v="30"/>
  </r>
  <r>
    <d v="2025-07-31T00:00:00"/>
    <x v="12"/>
    <n v="2"/>
    <n v="2025"/>
    <s v="2025-31"/>
    <s v="Week 31"/>
    <x v="30"/>
  </r>
  <r>
    <d v="2025-07-31T00:00:00"/>
    <x v="30"/>
    <n v="4"/>
    <n v="2025"/>
    <s v="2025-31"/>
    <s v="Week 31"/>
    <x v="30"/>
  </r>
  <r>
    <d v="2025-07-31T00:00:00"/>
    <x v="25"/>
    <n v="2"/>
    <n v="2025"/>
    <s v="2025-31"/>
    <s v="Week 31"/>
    <x v="30"/>
  </r>
  <r>
    <d v="2025-07-31T00:00:00"/>
    <x v="19"/>
    <n v="2"/>
    <n v="2025"/>
    <s v="2025-31"/>
    <s v="Week 31"/>
    <x v="30"/>
  </r>
  <r>
    <d v="2025-07-31T00:00:00"/>
    <x v="3"/>
    <n v="1"/>
    <n v="2025"/>
    <s v="2025-31"/>
    <s v="Week 31"/>
    <x v="30"/>
  </r>
  <r>
    <d v="2025-07-31T00:00:00"/>
    <x v="11"/>
    <n v="1"/>
    <n v="2025"/>
    <s v="2025-31"/>
    <s v="Week 31"/>
    <x v="30"/>
  </r>
  <r>
    <d v="2025-08-01T00:00:00"/>
    <x v="13"/>
    <n v="8"/>
    <n v="2025"/>
    <s v="2025-31"/>
    <s v="Week 31"/>
    <x v="30"/>
  </r>
  <r>
    <d v="2025-08-01T00:00:00"/>
    <x v="15"/>
    <n v="7"/>
    <n v="2025"/>
    <s v="2025-31"/>
    <s v="Week 31"/>
    <x v="30"/>
  </r>
  <r>
    <d v="2025-08-01T00:00:00"/>
    <x v="2"/>
    <n v="4"/>
    <n v="2025"/>
    <s v="2025-31"/>
    <s v="Week 31"/>
    <x v="30"/>
  </r>
  <r>
    <d v="2025-08-01T00:00:00"/>
    <x v="1"/>
    <n v="2"/>
    <n v="2025"/>
    <s v="2025-31"/>
    <s v="Week 31"/>
    <x v="30"/>
  </r>
  <r>
    <d v="2025-08-01T00:00:00"/>
    <x v="15"/>
    <n v="1"/>
    <n v="2025"/>
    <s v="2025-31"/>
    <s v="Week 31"/>
    <x v="30"/>
  </r>
  <r>
    <d v="2025-08-02T00:00:00"/>
    <x v="12"/>
    <n v="4"/>
    <n v="2025"/>
    <s v="2025-31"/>
    <s v="Week 31"/>
    <x v="30"/>
  </r>
  <r>
    <d v="2025-08-02T00:00:00"/>
    <x v="15"/>
    <n v="4"/>
    <n v="2025"/>
    <s v="2025-31"/>
    <s v="Week 31"/>
    <x v="30"/>
  </r>
  <r>
    <d v="2025-08-03T00:00:00"/>
    <x v="24"/>
    <n v="2"/>
    <n v="2025"/>
    <s v="2025-31"/>
    <s v="Week 32"/>
    <x v="31"/>
  </r>
  <r>
    <d v="2025-08-04T00:00:00"/>
    <x v="11"/>
    <n v="8"/>
    <n v="2025"/>
    <s v="2025-32"/>
    <s v="Week 32"/>
    <x v="31"/>
  </r>
  <r>
    <d v="2025-08-04T00:00:00"/>
    <x v="12"/>
    <n v="69"/>
    <n v="2025"/>
    <s v="2025-32"/>
    <s v="Week 32"/>
    <x v="31"/>
  </r>
  <r>
    <d v="2025-08-04T00:00:00"/>
    <x v="12"/>
    <n v="68"/>
    <n v="2025"/>
    <s v="2025-32"/>
    <s v="Week 32"/>
    <x v="31"/>
  </r>
  <r>
    <d v="2025-08-04T00:00:00"/>
    <x v="11"/>
    <n v="50"/>
    <n v="2025"/>
    <s v="2025-32"/>
    <s v="Week 32"/>
    <x v="31"/>
  </r>
  <r>
    <d v="2025-08-04T00:00:00"/>
    <x v="12"/>
    <n v="47"/>
    <n v="2025"/>
    <s v="2025-32"/>
    <s v="Week 32"/>
    <x v="31"/>
  </r>
  <r>
    <d v="2025-08-04T00:00:00"/>
    <x v="15"/>
    <n v="50"/>
    <n v="2025"/>
    <s v="2025-32"/>
    <s v="Week 32"/>
    <x v="31"/>
  </r>
  <r>
    <d v="2025-08-04T00:00:00"/>
    <x v="11"/>
    <n v="36"/>
    <n v="2025"/>
    <s v="2025-32"/>
    <s v="Week 32"/>
    <x v="31"/>
  </r>
  <r>
    <d v="2025-08-04T00:00:00"/>
    <x v="15"/>
    <n v="50"/>
    <n v="2025"/>
    <s v="2025-32"/>
    <s v="Week 32"/>
    <x v="31"/>
  </r>
  <r>
    <d v="2025-08-04T00:00:00"/>
    <x v="12"/>
    <n v="24"/>
    <n v="2025"/>
    <s v="2025-32"/>
    <s v="Week 32"/>
    <x v="31"/>
  </r>
  <r>
    <d v="2025-08-04T00:00:00"/>
    <x v="3"/>
    <n v="18"/>
    <n v="2025"/>
    <s v="2025-32"/>
    <s v="Week 32"/>
    <x v="31"/>
  </r>
  <r>
    <d v="2025-08-04T00:00:00"/>
    <x v="11"/>
    <n v="20"/>
    <n v="2025"/>
    <s v="2025-32"/>
    <s v="Week 32"/>
    <x v="31"/>
  </r>
  <r>
    <d v="2025-08-04T00:00:00"/>
    <x v="3"/>
    <n v="16"/>
    <n v="2025"/>
    <s v="2025-32"/>
    <s v="Week 32"/>
    <x v="31"/>
  </r>
  <r>
    <d v="2025-08-04T00:00:00"/>
    <x v="3"/>
    <n v="15"/>
    <n v="2025"/>
    <s v="2025-32"/>
    <s v="Week 32"/>
    <x v="31"/>
  </r>
  <r>
    <d v="2025-08-04T00:00:00"/>
    <x v="15"/>
    <n v="26"/>
    <n v="2025"/>
    <s v="2025-32"/>
    <s v="Week 32"/>
    <x v="31"/>
  </r>
  <r>
    <d v="2025-08-04T00:00:00"/>
    <x v="10"/>
    <n v="11"/>
    <n v="2025"/>
    <s v="2025-32"/>
    <s v="Week 32"/>
    <x v="31"/>
  </r>
  <r>
    <d v="2025-08-04T00:00:00"/>
    <x v="11"/>
    <n v="13"/>
    <n v="2025"/>
    <s v="2025-32"/>
    <s v="Week 32"/>
    <x v="31"/>
  </r>
  <r>
    <d v="2025-08-04T00:00:00"/>
    <x v="14"/>
    <n v="8"/>
    <n v="2025"/>
    <s v="2025-32"/>
    <s v="Week 32"/>
    <x v="31"/>
  </r>
  <r>
    <d v="2025-08-04T00:00:00"/>
    <x v="15"/>
    <n v="20"/>
    <n v="2025"/>
    <s v="2025-32"/>
    <s v="Week 32"/>
    <x v="31"/>
  </r>
  <r>
    <d v="2025-08-04T00:00:00"/>
    <x v="11"/>
    <n v="10"/>
    <n v="2025"/>
    <s v="2025-32"/>
    <s v="Week 32"/>
    <x v="31"/>
  </r>
  <r>
    <d v="2025-08-04T00:00:00"/>
    <x v="2"/>
    <n v="12"/>
    <n v="2025"/>
    <s v="2025-32"/>
    <s v="Week 32"/>
    <x v="31"/>
  </r>
  <r>
    <d v="2025-08-04T00:00:00"/>
    <x v="15"/>
    <n v="18"/>
    <n v="2025"/>
    <s v="2025-32"/>
    <s v="Week 32"/>
    <x v="31"/>
  </r>
  <r>
    <d v="2025-08-04T00:00:00"/>
    <x v="10"/>
    <n v="7"/>
    <n v="2025"/>
    <s v="2025-32"/>
    <s v="Week 32"/>
    <x v="31"/>
  </r>
  <r>
    <d v="2025-08-04T00:00:00"/>
    <x v="12"/>
    <n v="12"/>
    <n v="2025"/>
    <s v="2025-32"/>
    <s v="Week 32"/>
    <x v="31"/>
  </r>
  <r>
    <d v="2025-08-04T00:00:00"/>
    <x v="18"/>
    <n v="18"/>
    <n v="2025"/>
    <s v="2025-32"/>
    <s v="Week 32"/>
    <x v="31"/>
  </r>
  <r>
    <d v="2025-08-04T00:00:00"/>
    <x v="17"/>
    <n v="7"/>
    <n v="2025"/>
    <s v="2025-32"/>
    <s v="Week 32"/>
    <x v="31"/>
  </r>
  <r>
    <d v="2025-08-04T00:00:00"/>
    <x v="12"/>
    <n v="10"/>
    <n v="2025"/>
    <s v="2025-32"/>
    <s v="Week 32"/>
    <x v="31"/>
  </r>
  <r>
    <d v="2025-08-04T00:00:00"/>
    <x v="12"/>
    <n v="8"/>
    <n v="2025"/>
    <s v="2025-32"/>
    <s v="Week 32"/>
    <x v="31"/>
  </r>
  <r>
    <d v="2025-08-04T00:00:00"/>
    <x v="3"/>
    <n v="7"/>
    <n v="2025"/>
    <s v="2025-32"/>
    <s v="Week 32"/>
    <x v="31"/>
  </r>
  <r>
    <d v="2025-08-04T00:00:00"/>
    <x v="3"/>
    <n v="6"/>
    <n v="2025"/>
    <s v="2025-32"/>
    <s v="Week 32"/>
    <x v="31"/>
  </r>
  <r>
    <d v="2025-08-04T00:00:00"/>
    <x v="3"/>
    <n v="6"/>
    <n v="2025"/>
    <s v="2025-32"/>
    <s v="Week 32"/>
    <x v="31"/>
  </r>
  <r>
    <d v="2025-08-04T00:00:00"/>
    <x v="15"/>
    <n v="12"/>
    <n v="2025"/>
    <s v="2025-32"/>
    <s v="Week 32"/>
    <x v="31"/>
  </r>
  <r>
    <d v="2025-08-04T00:00:00"/>
    <x v="12"/>
    <n v="8"/>
    <n v="2025"/>
    <s v="2025-32"/>
    <s v="Week 32"/>
    <x v="31"/>
  </r>
  <r>
    <d v="2025-08-04T00:00:00"/>
    <x v="27"/>
    <n v="10"/>
    <n v="2025"/>
    <s v="2025-32"/>
    <s v="Week 32"/>
    <x v="31"/>
  </r>
  <r>
    <d v="2025-08-04T00:00:00"/>
    <x v="14"/>
    <n v="4"/>
    <n v="2025"/>
    <s v="2025-32"/>
    <s v="Week 32"/>
    <x v="31"/>
  </r>
  <r>
    <d v="2025-08-04T00:00:00"/>
    <x v="2"/>
    <n v="6"/>
    <n v="2025"/>
    <s v="2025-32"/>
    <s v="Week 32"/>
    <x v="31"/>
  </r>
  <r>
    <d v="2025-08-04T00:00:00"/>
    <x v="19"/>
    <n v="10"/>
    <n v="2025"/>
    <s v="2025-32"/>
    <s v="Week 32"/>
    <x v="31"/>
  </r>
  <r>
    <d v="2025-08-04T00:00:00"/>
    <x v="15"/>
    <n v="8"/>
    <n v="2025"/>
    <s v="2025-32"/>
    <s v="Week 32"/>
    <x v="31"/>
  </r>
  <r>
    <d v="2025-08-04T00:00:00"/>
    <x v="25"/>
    <n v="6"/>
    <n v="2025"/>
    <s v="2025-32"/>
    <s v="Week 32"/>
    <x v="31"/>
  </r>
  <r>
    <d v="2025-08-04T00:00:00"/>
    <x v="12"/>
    <n v="6"/>
    <n v="2025"/>
    <s v="2025-32"/>
    <s v="Week 32"/>
    <x v="31"/>
  </r>
  <r>
    <d v="2025-08-04T00:00:00"/>
    <x v="22"/>
    <n v="6"/>
    <n v="2025"/>
    <s v="2025-32"/>
    <s v="Week 32"/>
    <x v="31"/>
  </r>
  <r>
    <d v="2025-08-04T00:00:00"/>
    <x v="10"/>
    <n v="3"/>
    <n v="2025"/>
    <s v="2025-32"/>
    <s v="Week 32"/>
    <x v="31"/>
  </r>
  <r>
    <d v="2025-08-04T00:00:00"/>
    <x v="17"/>
    <n v="3"/>
    <n v="2025"/>
    <s v="2025-32"/>
    <s v="Week 32"/>
    <x v="31"/>
  </r>
  <r>
    <d v="2025-08-04T00:00:00"/>
    <x v="5"/>
    <n v="2"/>
    <n v="2025"/>
    <s v="2025-32"/>
    <s v="Week 32"/>
    <x v="31"/>
  </r>
  <r>
    <d v="2025-08-04T00:00:00"/>
    <x v="6"/>
    <n v="2"/>
    <n v="2025"/>
    <s v="2025-32"/>
    <s v="Week 32"/>
    <x v="31"/>
  </r>
  <r>
    <d v="2025-08-04T00:00:00"/>
    <x v="15"/>
    <n v="6"/>
    <n v="2025"/>
    <s v="2025-32"/>
    <s v="Week 32"/>
    <x v="31"/>
  </r>
  <r>
    <d v="2025-08-04T00:00:00"/>
    <x v="25"/>
    <n v="4"/>
    <n v="2025"/>
    <s v="2025-32"/>
    <s v="Week 32"/>
    <x v="31"/>
  </r>
  <r>
    <d v="2025-08-04T00:00:00"/>
    <x v="19"/>
    <n v="5"/>
    <n v="2025"/>
    <s v="2025-32"/>
    <s v="Week 32"/>
    <x v="31"/>
  </r>
  <r>
    <d v="2025-08-04T00:00:00"/>
    <x v="20"/>
    <n v="4"/>
    <n v="2025"/>
    <s v="2025-32"/>
    <s v="Week 32"/>
    <x v="31"/>
  </r>
  <r>
    <d v="2025-08-04T00:00:00"/>
    <x v="13"/>
    <n v="2"/>
    <n v="2025"/>
    <s v="2025-32"/>
    <s v="Week 32"/>
    <x v="31"/>
  </r>
  <r>
    <d v="2025-08-04T00:00:00"/>
    <x v="3"/>
    <n v="3"/>
    <n v="2025"/>
    <s v="2025-32"/>
    <s v="Week 32"/>
    <x v="31"/>
  </r>
  <r>
    <d v="2025-08-04T00:00:00"/>
    <x v="15"/>
    <n v="5"/>
    <n v="2025"/>
    <s v="2025-32"/>
    <s v="Week 32"/>
    <x v="31"/>
  </r>
  <r>
    <d v="2025-08-04T00:00:00"/>
    <x v="25"/>
    <n v="4"/>
    <n v="2025"/>
    <s v="2025-32"/>
    <s v="Week 32"/>
    <x v="31"/>
  </r>
  <r>
    <d v="2025-08-04T00:00:00"/>
    <x v="3"/>
    <n v="2"/>
    <n v="2025"/>
    <s v="2025-32"/>
    <s v="Week 32"/>
    <x v="31"/>
  </r>
  <r>
    <d v="2025-08-04T00:00:00"/>
    <x v="3"/>
    <n v="2"/>
    <n v="2025"/>
    <s v="2025-32"/>
    <s v="Week 32"/>
    <x v="31"/>
  </r>
  <r>
    <d v="2025-08-04T00:00:00"/>
    <x v="15"/>
    <n v="4"/>
    <n v="2025"/>
    <s v="2025-32"/>
    <s v="Week 32"/>
    <x v="31"/>
  </r>
  <r>
    <d v="2025-08-04T00:00:00"/>
    <x v="28"/>
    <n v="6"/>
    <n v="2025"/>
    <s v="2025-32"/>
    <s v="Week 32"/>
    <x v="31"/>
  </r>
  <r>
    <d v="2025-08-04T00:00:00"/>
    <x v="11"/>
    <n v="2"/>
    <n v="2025"/>
    <s v="2025-32"/>
    <s v="Week 32"/>
    <x v="31"/>
  </r>
  <r>
    <d v="2025-08-04T00:00:00"/>
    <x v="12"/>
    <n v="2"/>
    <n v="2025"/>
    <s v="2025-32"/>
    <s v="Week 32"/>
    <x v="31"/>
  </r>
  <r>
    <d v="2025-08-04T00:00:00"/>
    <x v="19"/>
    <n v="3"/>
    <n v="2025"/>
    <s v="2025-32"/>
    <s v="Week 32"/>
    <x v="31"/>
  </r>
  <r>
    <d v="2025-08-04T00:00:00"/>
    <x v="10"/>
    <n v="1"/>
    <n v="2025"/>
    <s v="2025-32"/>
    <s v="Week 32"/>
    <x v="31"/>
  </r>
  <r>
    <d v="2025-08-04T00:00:00"/>
    <x v="18"/>
    <n v="2"/>
    <n v="2025"/>
    <s v="2025-32"/>
    <s v="Week 32"/>
    <x v="31"/>
  </r>
  <r>
    <d v="2025-08-04T00:00:00"/>
    <x v="28"/>
    <n v="2"/>
    <n v="2025"/>
    <s v="2025-32"/>
    <s v="Week 32"/>
    <x v="31"/>
  </r>
  <r>
    <d v="2025-08-04T00:00:00"/>
    <x v="11"/>
    <n v="1"/>
    <n v="2025"/>
    <s v="2025-32"/>
    <s v="Week 32"/>
    <x v="31"/>
  </r>
  <r>
    <d v="2025-08-04T00:00:00"/>
    <x v="18"/>
    <n v="2"/>
    <n v="2025"/>
    <s v="2025-32"/>
    <s v="Week 32"/>
    <x v="31"/>
  </r>
  <r>
    <d v="2025-08-04T00:00:00"/>
    <x v="28"/>
    <n v="2"/>
    <n v="2025"/>
    <s v="2025-32"/>
    <s v="Week 32"/>
    <x v="31"/>
  </r>
  <r>
    <d v="2025-08-04T00:00:00"/>
    <x v="28"/>
    <n v="2"/>
    <n v="2025"/>
    <s v="2025-32"/>
    <s v="Week 32"/>
    <x v="31"/>
  </r>
  <r>
    <d v="2025-08-04T00:00:00"/>
    <x v="28"/>
    <n v="2"/>
    <n v="2025"/>
    <s v="2025-32"/>
    <s v="Week 32"/>
    <x v="31"/>
  </r>
  <r>
    <d v="2025-08-04T00:00:00"/>
    <x v="32"/>
    <n v="2"/>
    <n v="2025"/>
    <s v="2025-32"/>
    <s v="Week 32"/>
    <x v="31"/>
  </r>
  <r>
    <d v="2025-08-05T00:00:00"/>
    <x v="29"/>
    <n v="7"/>
    <n v="2025"/>
    <s v="2025-32"/>
    <s v="Week 32"/>
    <x v="31"/>
  </r>
  <r>
    <d v="2025-08-05T00:00:00"/>
    <x v="2"/>
    <n v="24"/>
    <n v="2025"/>
    <s v="2025-32"/>
    <s v="Week 32"/>
    <x v="31"/>
  </r>
  <r>
    <d v="2025-08-05T00:00:00"/>
    <x v="10"/>
    <n v="8"/>
    <n v="2025"/>
    <s v="2025-32"/>
    <s v="Week 32"/>
    <x v="31"/>
  </r>
  <r>
    <d v="2025-08-05T00:00:00"/>
    <x v="20"/>
    <n v="10"/>
    <n v="2025"/>
    <s v="2025-32"/>
    <s v="Week 32"/>
    <x v="31"/>
  </r>
  <r>
    <d v="2025-08-05T00:00:00"/>
    <x v="11"/>
    <n v="8"/>
    <n v="2025"/>
    <s v="2025-32"/>
    <s v="Week 32"/>
    <x v="31"/>
  </r>
  <r>
    <d v="2025-08-05T00:00:00"/>
    <x v="36"/>
    <n v="3"/>
    <n v="2025"/>
    <s v="2025-32"/>
    <s v="Week 32"/>
    <x v="31"/>
  </r>
  <r>
    <d v="2025-08-05T00:00:00"/>
    <x v="0"/>
    <n v="3"/>
    <n v="2025"/>
    <s v="2025-32"/>
    <s v="Week 32"/>
    <x v="31"/>
  </r>
  <r>
    <d v="2025-08-05T00:00:00"/>
    <x v="17"/>
    <n v="4"/>
    <n v="2025"/>
    <s v="2025-32"/>
    <s v="Week 32"/>
    <x v="31"/>
  </r>
  <r>
    <d v="2025-08-05T00:00:00"/>
    <x v="20"/>
    <n v="6"/>
    <n v="2025"/>
    <s v="2025-32"/>
    <s v="Week 32"/>
    <x v="31"/>
  </r>
  <r>
    <d v="2025-08-05T00:00:00"/>
    <x v="1"/>
    <n v="8"/>
    <n v="2025"/>
    <s v="2025-32"/>
    <s v="Week 32"/>
    <x v="31"/>
  </r>
  <r>
    <d v="2025-08-05T00:00:00"/>
    <x v="4"/>
    <n v="8"/>
    <n v="2025"/>
    <s v="2025-32"/>
    <s v="Week 32"/>
    <x v="31"/>
  </r>
  <r>
    <d v="2025-08-05T00:00:00"/>
    <x v="5"/>
    <n v="2"/>
    <n v="2025"/>
    <s v="2025-32"/>
    <s v="Week 32"/>
    <x v="31"/>
  </r>
  <r>
    <d v="2025-08-05T00:00:00"/>
    <x v="3"/>
    <n v="2"/>
    <n v="2025"/>
    <s v="2025-32"/>
    <s v="Week 32"/>
    <x v="31"/>
  </r>
  <r>
    <d v="2025-08-05T00:00:00"/>
    <x v="27"/>
    <n v="4"/>
    <n v="2025"/>
    <s v="2025-32"/>
    <s v="Week 32"/>
    <x v="31"/>
  </r>
  <r>
    <d v="2025-08-05T00:00:00"/>
    <x v="13"/>
    <n v="2"/>
    <n v="2025"/>
    <s v="2025-32"/>
    <s v="Week 32"/>
    <x v="31"/>
  </r>
  <r>
    <d v="2025-08-05T00:00:00"/>
    <x v="15"/>
    <n v="3"/>
    <n v="2025"/>
    <s v="2025-32"/>
    <s v="Week 32"/>
    <x v="31"/>
  </r>
  <r>
    <d v="2025-08-05T00:00:00"/>
    <x v="28"/>
    <n v="6"/>
    <n v="2025"/>
    <s v="2025-32"/>
    <s v="Week 32"/>
    <x v="31"/>
  </r>
  <r>
    <d v="2025-08-05T00:00:00"/>
    <x v="9"/>
    <n v="2"/>
    <n v="2025"/>
    <s v="2025-32"/>
    <s v="Week 32"/>
    <x v="31"/>
  </r>
  <r>
    <d v="2025-08-05T00:00:00"/>
    <x v="22"/>
    <n v="2"/>
    <n v="2025"/>
    <s v="2025-32"/>
    <s v="Week 32"/>
    <x v="31"/>
  </r>
  <r>
    <d v="2025-08-05T00:00:00"/>
    <x v="22"/>
    <n v="2"/>
    <n v="2025"/>
    <s v="2025-32"/>
    <s v="Week 32"/>
    <x v="31"/>
  </r>
  <r>
    <d v="2025-08-06T00:00:00"/>
    <x v="12"/>
    <n v="33"/>
    <n v="2025"/>
    <s v="2025-32"/>
    <s v="Week 32"/>
    <x v="31"/>
  </r>
  <r>
    <d v="2025-08-06T00:00:00"/>
    <x v="15"/>
    <n v="22"/>
    <n v="2025"/>
    <s v="2025-32"/>
    <s v="Week 32"/>
    <x v="31"/>
  </r>
  <r>
    <d v="2025-08-06T00:00:00"/>
    <x v="11"/>
    <n v="10"/>
    <n v="2025"/>
    <s v="2025-32"/>
    <s v="Week 32"/>
    <x v="31"/>
  </r>
  <r>
    <d v="2025-08-06T00:00:00"/>
    <x v="14"/>
    <n v="8"/>
    <n v="2025"/>
    <s v="2025-32"/>
    <s v="Week 32"/>
    <x v="31"/>
  </r>
  <r>
    <d v="2025-08-06T00:00:00"/>
    <x v="3"/>
    <n v="8"/>
    <n v="2025"/>
    <s v="2025-32"/>
    <s v="Week 32"/>
    <x v="31"/>
  </r>
  <r>
    <d v="2025-08-06T00:00:00"/>
    <x v="2"/>
    <n v="10"/>
    <n v="2025"/>
    <s v="2025-32"/>
    <s v="Week 32"/>
    <x v="31"/>
  </r>
  <r>
    <d v="2025-08-06T00:00:00"/>
    <x v="9"/>
    <n v="8"/>
    <n v="2025"/>
    <s v="2025-32"/>
    <s v="Week 32"/>
    <x v="31"/>
  </r>
  <r>
    <d v="2025-08-06T00:00:00"/>
    <x v="3"/>
    <n v="6"/>
    <n v="2025"/>
    <s v="2025-32"/>
    <s v="Week 32"/>
    <x v="31"/>
  </r>
  <r>
    <d v="2025-08-06T00:00:00"/>
    <x v="27"/>
    <n v="12"/>
    <n v="2025"/>
    <s v="2025-32"/>
    <s v="Week 32"/>
    <x v="31"/>
  </r>
  <r>
    <d v="2025-08-06T00:00:00"/>
    <x v="9"/>
    <n v="6"/>
    <n v="2025"/>
    <s v="2025-32"/>
    <s v="Week 32"/>
    <x v="31"/>
  </r>
  <r>
    <d v="2025-08-06T00:00:00"/>
    <x v="12"/>
    <n v="7"/>
    <n v="2025"/>
    <s v="2025-32"/>
    <s v="Week 32"/>
    <x v="31"/>
  </r>
  <r>
    <d v="2025-08-06T00:00:00"/>
    <x v="11"/>
    <n v="6"/>
    <n v="2025"/>
    <s v="2025-32"/>
    <s v="Week 32"/>
    <x v="31"/>
  </r>
  <r>
    <d v="2025-08-06T00:00:00"/>
    <x v="17"/>
    <n v="4"/>
    <n v="2025"/>
    <s v="2025-32"/>
    <s v="Week 32"/>
    <x v="31"/>
  </r>
  <r>
    <d v="2025-08-06T00:00:00"/>
    <x v="13"/>
    <n v="4"/>
    <n v="2025"/>
    <s v="2025-32"/>
    <s v="Week 32"/>
    <x v="31"/>
  </r>
  <r>
    <d v="2025-08-06T00:00:00"/>
    <x v="27"/>
    <n v="10"/>
    <n v="2025"/>
    <s v="2025-32"/>
    <s v="Week 32"/>
    <x v="31"/>
  </r>
  <r>
    <d v="2025-08-06T00:00:00"/>
    <x v="14"/>
    <n v="4"/>
    <n v="2025"/>
    <s v="2025-32"/>
    <s v="Week 32"/>
    <x v="31"/>
  </r>
  <r>
    <d v="2025-08-06T00:00:00"/>
    <x v="14"/>
    <n v="4"/>
    <n v="2025"/>
    <s v="2025-32"/>
    <s v="Week 32"/>
    <x v="31"/>
  </r>
  <r>
    <d v="2025-08-06T00:00:00"/>
    <x v="10"/>
    <n v="4"/>
    <n v="2025"/>
    <s v="2025-32"/>
    <s v="Week 32"/>
    <x v="31"/>
  </r>
  <r>
    <d v="2025-08-06T00:00:00"/>
    <x v="25"/>
    <n v="6"/>
    <n v="2025"/>
    <s v="2025-32"/>
    <s v="Week 32"/>
    <x v="31"/>
  </r>
  <r>
    <d v="2025-08-06T00:00:00"/>
    <x v="3"/>
    <n v="4"/>
    <n v="2025"/>
    <s v="2025-32"/>
    <s v="Week 32"/>
    <x v="31"/>
  </r>
  <r>
    <d v="2025-08-06T00:00:00"/>
    <x v="10"/>
    <n v="4"/>
    <n v="2025"/>
    <s v="2025-32"/>
    <s v="Week 32"/>
    <x v="31"/>
  </r>
  <r>
    <d v="2025-08-06T00:00:00"/>
    <x v="11"/>
    <n v="4"/>
    <n v="2025"/>
    <s v="2025-32"/>
    <s v="Week 32"/>
    <x v="31"/>
  </r>
  <r>
    <d v="2025-08-06T00:00:00"/>
    <x v="3"/>
    <n v="4"/>
    <n v="2025"/>
    <s v="2025-32"/>
    <s v="Week 32"/>
    <x v="31"/>
  </r>
  <r>
    <d v="2025-08-06T00:00:00"/>
    <x v="15"/>
    <n v="6"/>
    <n v="2025"/>
    <s v="2025-32"/>
    <s v="Week 32"/>
    <x v="31"/>
  </r>
  <r>
    <d v="2025-08-06T00:00:00"/>
    <x v="12"/>
    <n v="4"/>
    <n v="2025"/>
    <s v="2025-32"/>
    <s v="Week 32"/>
    <x v="31"/>
  </r>
  <r>
    <d v="2025-08-06T00:00:00"/>
    <x v="13"/>
    <n v="2"/>
    <n v="2025"/>
    <s v="2025-32"/>
    <s v="Week 32"/>
    <x v="31"/>
  </r>
  <r>
    <d v="2025-08-06T00:00:00"/>
    <x v="12"/>
    <n v="3"/>
    <n v="2025"/>
    <s v="2025-32"/>
    <s v="Week 32"/>
    <x v="31"/>
  </r>
  <r>
    <d v="2025-08-06T00:00:00"/>
    <x v="14"/>
    <n v="2"/>
    <n v="2025"/>
    <s v="2025-32"/>
    <s v="Week 32"/>
    <x v="31"/>
  </r>
  <r>
    <d v="2025-08-06T00:00:00"/>
    <x v="15"/>
    <n v="4"/>
    <n v="2025"/>
    <s v="2025-32"/>
    <s v="Week 32"/>
    <x v="31"/>
  </r>
  <r>
    <d v="2025-08-06T00:00:00"/>
    <x v="10"/>
    <n v="2"/>
    <n v="2025"/>
    <s v="2025-32"/>
    <s v="Week 32"/>
    <x v="31"/>
  </r>
  <r>
    <d v="2025-08-06T00:00:00"/>
    <x v="11"/>
    <n v="2"/>
    <n v="2025"/>
    <s v="2025-32"/>
    <s v="Week 32"/>
    <x v="31"/>
  </r>
  <r>
    <d v="2025-08-06T00:00:00"/>
    <x v="9"/>
    <n v="2"/>
    <n v="2025"/>
    <s v="2025-32"/>
    <s v="Week 32"/>
    <x v="31"/>
  </r>
  <r>
    <d v="2025-08-06T00:00:00"/>
    <x v="12"/>
    <n v="2"/>
    <n v="2025"/>
    <s v="2025-32"/>
    <s v="Week 32"/>
    <x v="31"/>
  </r>
  <r>
    <d v="2025-08-06T00:00:00"/>
    <x v="12"/>
    <n v="2"/>
    <n v="2025"/>
    <s v="2025-32"/>
    <s v="Week 32"/>
    <x v="31"/>
  </r>
  <r>
    <d v="2025-08-06T00:00:00"/>
    <x v="11"/>
    <n v="2"/>
    <n v="2025"/>
    <s v="2025-32"/>
    <s v="Week 32"/>
    <x v="31"/>
  </r>
  <r>
    <d v="2025-08-06T00:00:00"/>
    <x v="25"/>
    <n v="2"/>
    <n v="2025"/>
    <s v="2025-32"/>
    <s v="Week 32"/>
    <x v="31"/>
  </r>
  <r>
    <d v="2025-08-06T00:00:00"/>
    <x v="25"/>
    <n v="2"/>
    <n v="2025"/>
    <s v="2025-32"/>
    <s v="Week 32"/>
    <x v="31"/>
  </r>
  <r>
    <d v="2025-08-06T00:00:00"/>
    <x v="15"/>
    <n v="1"/>
    <n v="2025"/>
    <s v="2025-32"/>
    <s v="Week 32"/>
    <x v="31"/>
  </r>
  <r>
    <d v="2025-08-06T00:00:00"/>
    <x v="15"/>
    <n v="1"/>
    <n v="2025"/>
    <s v="2025-32"/>
    <s v="Week 32"/>
    <x v="31"/>
  </r>
  <r>
    <d v="2025-08-09T00:00:00"/>
    <x v="15"/>
    <n v="12"/>
    <n v="2025"/>
    <s v="2025-32"/>
    <s v="Week 32"/>
    <x v="31"/>
  </r>
  <r>
    <d v="2025-08-09T00:00:00"/>
    <x v="19"/>
    <n v="6"/>
    <n v="2025"/>
    <s v="2025-32"/>
    <s v="Week 32"/>
    <x v="31"/>
  </r>
  <r>
    <d v="2025-08-09T00:00:00"/>
    <x v="22"/>
    <n v="2"/>
    <n v="2025"/>
    <s v="2025-32"/>
    <s v="Week 32"/>
    <x v="31"/>
  </r>
  <r>
    <d v="2025-08-10T00:00:00"/>
    <x v="5"/>
    <n v="11"/>
    <n v="2025"/>
    <s v="2025-32"/>
    <s v="Week 33"/>
    <x v="32"/>
  </r>
  <r>
    <d v="2025-08-10T00:00:00"/>
    <x v="13"/>
    <n v="8"/>
    <n v="2025"/>
    <s v="2025-32"/>
    <s v="Week 33"/>
    <x v="32"/>
  </r>
  <r>
    <d v="2025-08-10T00:00:00"/>
    <x v="5"/>
    <n v="5"/>
    <n v="2025"/>
    <s v="2025-32"/>
    <s v="Week 33"/>
    <x v="32"/>
  </r>
  <r>
    <d v="2025-08-10T00:00:00"/>
    <x v="2"/>
    <n v="8"/>
    <n v="2025"/>
    <s v="2025-32"/>
    <s v="Week 33"/>
    <x v="32"/>
  </r>
  <r>
    <d v="2025-08-10T00:00:00"/>
    <x v="11"/>
    <n v="4"/>
    <n v="2025"/>
    <s v="2025-32"/>
    <s v="Week 33"/>
    <x v="32"/>
  </r>
  <r>
    <d v="2025-08-11T00:00:00"/>
    <x v="3"/>
    <n v="16"/>
    <n v="2025"/>
    <s v="2025-33"/>
    <s v="Week 33"/>
    <x v="32"/>
  </r>
  <r>
    <d v="2025-08-11T00:00:00"/>
    <x v="12"/>
    <n v="16"/>
    <n v="2025"/>
    <s v="2025-33"/>
    <s v="Week 33"/>
    <x v="32"/>
  </r>
  <r>
    <d v="2025-08-11T00:00:00"/>
    <x v="11"/>
    <n v="11"/>
    <n v="2025"/>
    <s v="2025-33"/>
    <s v="Week 33"/>
    <x v="32"/>
  </r>
  <r>
    <d v="2025-08-11T00:00:00"/>
    <x v="3"/>
    <n v="8"/>
    <n v="2025"/>
    <s v="2025-33"/>
    <s v="Week 33"/>
    <x v="32"/>
  </r>
  <r>
    <d v="2025-08-11T00:00:00"/>
    <x v="11"/>
    <n v="8"/>
    <n v="2025"/>
    <s v="2025-33"/>
    <s v="Week 33"/>
    <x v="32"/>
  </r>
  <r>
    <d v="2025-08-11T00:00:00"/>
    <x v="15"/>
    <n v="12"/>
    <n v="2025"/>
    <s v="2025-33"/>
    <s v="Week 33"/>
    <x v="32"/>
  </r>
  <r>
    <d v="2025-08-11T00:00:00"/>
    <x v="15"/>
    <n v="10"/>
    <n v="2025"/>
    <s v="2025-33"/>
    <s v="Week 33"/>
    <x v="32"/>
  </r>
  <r>
    <d v="2025-08-11T00:00:00"/>
    <x v="12"/>
    <n v="8"/>
    <n v="2025"/>
    <s v="2025-33"/>
    <s v="Week 33"/>
    <x v="32"/>
  </r>
  <r>
    <d v="2025-08-11T00:00:00"/>
    <x v="12"/>
    <n v="6"/>
    <n v="2025"/>
    <s v="2025-33"/>
    <s v="Week 33"/>
    <x v="32"/>
  </r>
  <r>
    <d v="2025-08-11T00:00:00"/>
    <x v="14"/>
    <n v="4"/>
    <n v="2025"/>
    <s v="2025-33"/>
    <s v="Week 33"/>
    <x v="32"/>
  </r>
  <r>
    <d v="2025-08-11T00:00:00"/>
    <x v="11"/>
    <n v="5"/>
    <n v="2025"/>
    <s v="2025-33"/>
    <s v="Week 33"/>
    <x v="32"/>
  </r>
  <r>
    <d v="2025-08-11T00:00:00"/>
    <x v="31"/>
    <n v="6"/>
    <n v="2025"/>
    <s v="2025-33"/>
    <s v="Week 33"/>
    <x v="32"/>
  </r>
  <r>
    <d v="2025-08-11T00:00:00"/>
    <x v="25"/>
    <n v="4"/>
    <n v="2025"/>
    <s v="2025-33"/>
    <s v="Week 33"/>
    <x v="32"/>
  </r>
  <r>
    <d v="2025-08-11T00:00:00"/>
    <x v="15"/>
    <n v="4"/>
    <n v="2025"/>
    <s v="2025-33"/>
    <s v="Week 33"/>
    <x v="32"/>
  </r>
  <r>
    <d v="2025-08-11T00:00:00"/>
    <x v="28"/>
    <n v="6"/>
    <n v="2025"/>
    <s v="2025-33"/>
    <s v="Week 33"/>
    <x v="32"/>
  </r>
  <r>
    <d v="2025-08-11T00:00:00"/>
    <x v="30"/>
    <n v="6"/>
    <n v="2025"/>
    <s v="2025-33"/>
    <s v="Week 33"/>
    <x v="32"/>
  </r>
  <r>
    <d v="2025-08-11T00:00:00"/>
    <x v="32"/>
    <n v="6"/>
    <n v="2025"/>
    <s v="2025-33"/>
    <s v="Week 33"/>
    <x v="32"/>
  </r>
  <r>
    <d v="2025-08-11T00:00:00"/>
    <x v="2"/>
    <n v="2"/>
    <n v="2025"/>
    <s v="2025-33"/>
    <s v="Week 33"/>
    <x v="32"/>
  </r>
  <r>
    <d v="2025-08-11T00:00:00"/>
    <x v="31"/>
    <n v="2"/>
    <n v="2025"/>
    <s v="2025-33"/>
    <s v="Week 33"/>
    <x v="32"/>
  </r>
  <r>
    <d v="2025-08-11T00:00:00"/>
    <x v="19"/>
    <n v="2"/>
    <n v="2025"/>
    <s v="2025-33"/>
    <s v="Week 33"/>
    <x v="32"/>
  </r>
  <r>
    <d v="2025-08-11T00:00:00"/>
    <x v="18"/>
    <n v="2"/>
    <n v="2025"/>
    <s v="2025-33"/>
    <s v="Week 33"/>
    <x v="32"/>
  </r>
  <r>
    <d v="2025-08-12T00:00:00"/>
    <x v="15"/>
    <n v="2"/>
    <n v="2025"/>
    <s v="2025-33"/>
    <s v="Week 33"/>
    <x v="32"/>
  </r>
  <r>
    <d v="2025-08-14T00:00:00"/>
    <x v="15"/>
    <n v="40"/>
    <n v="2025"/>
    <s v="2025-33"/>
    <s v="Week 33"/>
    <x v="32"/>
  </r>
  <r>
    <d v="2025-08-14T00:00:00"/>
    <x v="12"/>
    <n v="14"/>
    <n v="2025"/>
    <s v="2025-33"/>
    <s v="Week 33"/>
    <x v="32"/>
  </r>
  <r>
    <d v="2025-08-14T00:00:00"/>
    <x v="12"/>
    <n v="8"/>
    <n v="2025"/>
    <s v="2025-33"/>
    <s v="Week 33"/>
    <x v="32"/>
  </r>
  <r>
    <d v="2025-08-14T00:00:00"/>
    <x v="11"/>
    <n v="4"/>
    <n v="2025"/>
    <s v="2025-33"/>
    <s v="Week 33"/>
    <x v="32"/>
  </r>
  <r>
    <d v="2025-08-14T00:00:00"/>
    <x v="28"/>
    <n v="8"/>
    <n v="2025"/>
    <s v="2025-33"/>
    <s v="Week 33"/>
    <x v="32"/>
  </r>
  <r>
    <d v="2025-08-14T00:00:00"/>
    <x v="18"/>
    <n v="6"/>
    <n v="2025"/>
    <s v="2025-33"/>
    <s v="Week 33"/>
    <x v="32"/>
  </r>
  <r>
    <d v="2025-08-14T00:00:00"/>
    <x v="30"/>
    <n v="6"/>
    <n v="2025"/>
    <s v="2025-33"/>
    <s v="Week 33"/>
    <x v="32"/>
  </r>
  <r>
    <d v="2025-08-16T00:00:00"/>
    <x v="10"/>
    <n v="8"/>
    <n v="2025"/>
    <s v="2025-33"/>
    <s v="Week 33"/>
    <x v="32"/>
  </r>
  <r>
    <d v="2025-08-16T00:00:00"/>
    <x v="10"/>
    <n v="7"/>
    <n v="2025"/>
    <s v="2025-33"/>
    <s v="Week 33"/>
    <x v="32"/>
  </r>
  <r>
    <d v="2025-08-16T00:00:00"/>
    <x v="3"/>
    <n v="6"/>
    <n v="2025"/>
    <s v="2025-33"/>
    <s v="Week 33"/>
    <x v="32"/>
  </r>
  <r>
    <d v="2025-08-16T00:00:00"/>
    <x v="10"/>
    <n v="5"/>
    <n v="2025"/>
    <s v="2025-33"/>
    <s v="Week 33"/>
    <x v="32"/>
  </r>
  <r>
    <d v="2025-08-16T00:00:00"/>
    <x v="14"/>
    <n v="4"/>
    <n v="2025"/>
    <s v="2025-33"/>
    <s v="Week 33"/>
    <x v="32"/>
  </r>
  <r>
    <d v="2025-08-16T00:00:00"/>
    <x v="12"/>
    <n v="6"/>
    <n v="2025"/>
    <s v="2025-33"/>
    <s v="Week 33"/>
    <x v="32"/>
  </r>
  <r>
    <d v="2025-08-16T00:00:00"/>
    <x v="15"/>
    <n v="8"/>
    <n v="2025"/>
    <s v="2025-33"/>
    <s v="Week 33"/>
    <x v="32"/>
  </r>
  <r>
    <d v="2025-08-16T00:00:00"/>
    <x v="12"/>
    <n v="4"/>
    <n v="2025"/>
    <s v="2025-33"/>
    <s v="Week 33"/>
    <x v="32"/>
  </r>
  <r>
    <d v="2025-08-16T00:00:00"/>
    <x v="4"/>
    <n v="4"/>
    <n v="2025"/>
    <s v="2025-33"/>
    <s v="Week 33"/>
    <x v="32"/>
  </r>
  <r>
    <d v="2025-08-16T00:00:00"/>
    <x v="12"/>
    <n v="2"/>
    <n v="2025"/>
    <s v="2025-33"/>
    <s v="Week 33"/>
    <x v="32"/>
  </r>
  <r>
    <d v="2025-08-16T00:00:00"/>
    <x v="30"/>
    <n v="4"/>
    <n v="2025"/>
    <s v="2025-33"/>
    <s v="Week 33"/>
    <x v="32"/>
  </r>
  <r>
    <d v="2025-08-16T00:00:00"/>
    <x v="15"/>
    <n v="2"/>
    <n v="2025"/>
    <s v="2025-33"/>
    <s v="Week 33"/>
    <x v="32"/>
  </r>
  <r>
    <d v="2025-08-16T00:00:00"/>
    <x v="15"/>
    <n v="2"/>
    <n v="2025"/>
    <s v="2025-33"/>
    <s v="Week 33"/>
    <x v="32"/>
  </r>
  <r>
    <d v="2025-08-16T00:00:00"/>
    <x v="28"/>
    <n v="2"/>
    <n v="2025"/>
    <s v="2025-33"/>
    <s v="Week 33"/>
    <x v="32"/>
  </r>
  <r>
    <d v="2025-08-16T00:00:00"/>
    <x v="32"/>
    <n v="1"/>
    <n v="2025"/>
    <s v="2025-33"/>
    <s v="Week 33"/>
    <x v="32"/>
  </r>
  <r>
    <d v="2025-08-17T00:00:00"/>
    <x v="12"/>
    <n v="16"/>
    <n v="2025"/>
    <s v="2025-33"/>
    <s v="Week 34"/>
    <x v="33"/>
  </r>
  <r>
    <d v="2025-08-17T00:00:00"/>
    <x v="11"/>
    <n v="6"/>
    <n v="2025"/>
    <s v="2025-33"/>
    <s v="Week 34"/>
    <x v="33"/>
  </r>
  <r>
    <d v="2025-08-17T00:00:00"/>
    <x v="10"/>
    <n v="4"/>
    <n v="2025"/>
    <s v="2025-33"/>
    <s v="Week 34"/>
    <x v="33"/>
  </r>
  <r>
    <d v="2025-08-17T00:00:00"/>
    <x v="3"/>
    <n v="2"/>
    <n v="2025"/>
    <s v="2025-33"/>
    <s v="Week 34"/>
    <x v="33"/>
  </r>
  <r>
    <d v="2025-08-18T00:00:00"/>
    <x v="12"/>
    <n v="8"/>
    <n v="2025"/>
    <s v="2025-34"/>
    <s v="Week 34"/>
    <x v="33"/>
  </r>
  <r>
    <d v="2025-08-18T00:00:00"/>
    <x v="14"/>
    <n v="4"/>
    <n v="2025"/>
    <s v="2025-34"/>
    <s v="Week 34"/>
    <x v="33"/>
  </r>
  <r>
    <d v="2025-08-18T00:00:00"/>
    <x v="6"/>
    <n v="2"/>
    <n v="2025"/>
    <s v="2025-34"/>
    <s v="Week 34"/>
    <x v="33"/>
  </r>
  <r>
    <d v="2025-08-18T00:00:00"/>
    <x v="32"/>
    <n v="1"/>
    <n v="2025"/>
    <s v="2025-34"/>
    <s v="Week 34"/>
    <x v="33"/>
  </r>
  <r>
    <d v="2025-08-19T00:00:00"/>
    <x v="10"/>
    <n v="16"/>
    <n v="2025"/>
    <s v="2025-34"/>
    <s v="Week 34"/>
    <x v="33"/>
  </r>
  <r>
    <d v="2025-08-19T00:00:00"/>
    <x v="11"/>
    <n v="16"/>
    <n v="2025"/>
    <s v="2025-34"/>
    <s v="Week 34"/>
    <x v="33"/>
  </r>
  <r>
    <d v="2025-08-19T00:00:00"/>
    <x v="11"/>
    <n v="23"/>
    <n v="2025"/>
    <s v="2025-34"/>
    <s v="Week 34"/>
    <x v="33"/>
  </r>
  <r>
    <d v="2025-08-19T00:00:00"/>
    <x v="3"/>
    <n v="10"/>
    <n v="2025"/>
    <s v="2025-34"/>
    <s v="Week 34"/>
    <x v="33"/>
  </r>
  <r>
    <d v="2025-08-19T00:00:00"/>
    <x v="12"/>
    <n v="12"/>
    <n v="2025"/>
    <s v="2025-34"/>
    <s v="Week 34"/>
    <x v="33"/>
  </r>
  <r>
    <d v="2025-08-19T00:00:00"/>
    <x v="3"/>
    <n v="13"/>
    <n v="2025"/>
    <s v="2025-34"/>
    <s v="Week 34"/>
    <x v="33"/>
  </r>
  <r>
    <d v="2025-08-19T00:00:00"/>
    <x v="13"/>
    <n v="8"/>
    <n v="2025"/>
    <s v="2025-34"/>
    <s v="Week 34"/>
    <x v="33"/>
  </r>
  <r>
    <d v="2025-08-19T00:00:00"/>
    <x v="6"/>
    <n v="6"/>
    <n v="2025"/>
    <s v="2025-34"/>
    <s v="Week 34"/>
    <x v="33"/>
  </r>
  <r>
    <d v="2025-08-19T00:00:00"/>
    <x v="12"/>
    <n v="13"/>
    <n v="2025"/>
    <s v="2025-34"/>
    <s v="Week 34"/>
    <x v="33"/>
  </r>
  <r>
    <d v="2025-08-19T00:00:00"/>
    <x v="27"/>
    <n v="14"/>
    <n v="2025"/>
    <s v="2025-34"/>
    <s v="Week 34"/>
    <x v="33"/>
  </r>
  <r>
    <d v="2025-08-19T00:00:00"/>
    <x v="14"/>
    <n v="8"/>
    <n v="2025"/>
    <s v="2025-34"/>
    <s v="Week 34"/>
    <x v="33"/>
  </r>
  <r>
    <d v="2025-08-19T00:00:00"/>
    <x v="10"/>
    <n v="8"/>
    <n v="2025"/>
    <s v="2025-34"/>
    <s v="Week 34"/>
    <x v="33"/>
  </r>
  <r>
    <d v="2025-08-19T00:00:00"/>
    <x v="14"/>
    <n v="5"/>
    <n v="2025"/>
    <s v="2025-34"/>
    <s v="Week 34"/>
    <x v="33"/>
  </r>
  <r>
    <d v="2025-08-19T00:00:00"/>
    <x v="12"/>
    <n v="8"/>
    <n v="2025"/>
    <s v="2025-34"/>
    <s v="Week 34"/>
    <x v="33"/>
  </r>
  <r>
    <d v="2025-08-19T00:00:00"/>
    <x v="10"/>
    <n v="5"/>
    <n v="2025"/>
    <s v="2025-34"/>
    <s v="Week 34"/>
    <x v="33"/>
  </r>
  <r>
    <d v="2025-08-19T00:00:00"/>
    <x v="2"/>
    <n v="8"/>
    <n v="2025"/>
    <s v="2025-34"/>
    <s v="Week 34"/>
    <x v="33"/>
  </r>
  <r>
    <d v="2025-08-19T00:00:00"/>
    <x v="10"/>
    <n v="4"/>
    <n v="2025"/>
    <s v="2025-34"/>
    <s v="Week 34"/>
    <x v="33"/>
  </r>
  <r>
    <d v="2025-08-19T00:00:00"/>
    <x v="3"/>
    <n v="4"/>
    <n v="2025"/>
    <s v="2025-34"/>
    <s v="Week 34"/>
    <x v="33"/>
  </r>
  <r>
    <d v="2025-08-19T00:00:00"/>
    <x v="11"/>
    <n v="5"/>
    <n v="2025"/>
    <s v="2025-34"/>
    <s v="Week 34"/>
    <x v="33"/>
  </r>
  <r>
    <d v="2025-08-19T00:00:00"/>
    <x v="10"/>
    <n v="3"/>
    <n v="2025"/>
    <s v="2025-34"/>
    <s v="Week 34"/>
    <x v="33"/>
  </r>
  <r>
    <d v="2025-08-19T00:00:00"/>
    <x v="17"/>
    <n v="2"/>
    <n v="2025"/>
    <s v="2025-34"/>
    <s v="Week 34"/>
    <x v="33"/>
  </r>
  <r>
    <d v="2025-08-19T00:00:00"/>
    <x v="12"/>
    <n v="4"/>
    <n v="2025"/>
    <s v="2025-34"/>
    <s v="Week 34"/>
    <x v="33"/>
  </r>
  <r>
    <d v="2025-08-19T00:00:00"/>
    <x v="28"/>
    <n v="8"/>
    <n v="2025"/>
    <s v="2025-34"/>
    <s v="Week 34"/>
    <x v="33"/>
  </r>
  <r>
    <d v="2025-08-19T00:00:00"/>
    <x v="2"/>
    <n v="2"/>
    <n v="2025"/>
    <s v="2025-34"/>
    <s v="Week 34"/>
    <x v="33"/>
  </r>
  <r>
    <d v="2025-08-19T00:00:00"/>
    <x v="18"/>
    <n v="4"/>
    <n v="2025"/>
    <s v="2025-34"/>
    <s v="Week 34"/>
    <x v="33"/>
  </r>
  <r>
    <d v="2025-08-19T00:00:00"/>
    <x v="21"/>
    <n v="4"/>
    <n v="2025"/>
    <s v="2025-34"/>
    <s v="Week 34"/>
    <x v="33"/>
  </r>
  <r>
    <d v="2025-08-19T00:00:00"/>
    <x v="2"/>
    <n v="2"/>
    <n v="2025"/>
    <s v="2025-34"/>
    <s v="Week 34"/>
    <x v="33"/>
  </r>
  <r>
    <d v="2025-08-19T00:00:00"/>
    <x v="25"/>
    <n v="2"/>
    <n v="2025"/>
    <s v="2025-34"/>
    <s v="Week 34"/>
    <x v="33"/>
  </r>
  <r>
    <d v="2025-08-19T00:00:00"/>
    <x v="18"/>
    <n v="3"/>
    <n v="2025"/>
    <s v="2025-34"/>
    <s v="Week 34"/>
    <x v="33"/>
  </r>
  <r>
    <d v="2025-08-19T00:00:00"/>
    <x v="9"/>
    <n v="1"/>
    <n v="2025"/>
    <s v="2025-34"/>
    <s v="Week 34"/>
    <x v="33"/>
  </r>
  <r>
    <d v="2025-08-19T00:00:00"/>
    <x v="26"/>
    <n v="2"/>
    <n v="2025"/>
    <s v="2025-34"/>
    <s v="Week 34"/>
    <x v="33"/>
  </r>
  <r>
    <d v="2025-08-19T00:00:00"/>
    <x v="12"/>
    <n v="1"/>
    <n v="2025"/>
    <s v="2025-34"/>
    <s v="Week 34"/>
    <x v="33"/>
  </r>
  <r>
    <d v="2025-08-19T00:00:00"/>
    <x v="11"/>
    <n v="1"/>
    <n v="2025"/>
    <s v="2025-34"/>
    <s v="Week 34"/>
    <x v="33"/>
  </r>
  <r>
    <d v="2025-08-19T00:00:00"/>
    <x v="20"/>
    <n v="1"/>
    <n v="2025"/>
    <s v="2025-34"/>
    <s v="Week 34"/>
    <x v="33"/>
  </r>
  <r>
    <d v="2025-08-19T00:00:00"/>
    <x v="35"/>
    <n v="1"/>
    <n v="2025"/>
    <s v="2025-34"/>
    <s v="Week 34"/>
    <x v="33"/>
  </r>
  <r>
    <d v="2025-08-19T00:00:00"/>
    <x v="18"/>
    <n v="1"/>
    <n v="2025"/>
    <s v="2025-34"/>
    <s v="Week 34"/>
    <x v="33"/>
  </r>
  <r>
    <d v="2025-08-19T00:00:00"/>
    <x v="21"/>
    <n v="1"/>
    <n v="2025"/>
    <s v="2025-34"/>
    <s v="Week 34"/>
    <x v="33"/>
  </r>
  <r>
    <d v="2025-08-20T00:00:00"/>
    <x v="5"/>
    <n v="21"/>
    <n v="2025"/>
    <s v="2025-34"/>
    <s v="Week 34"/>
    <x v="33"/>
  </r>
  <r>
    <d v="2025-08-20T00:00:00"/>
    <x v="5"/>
    <n v="13"/>
    <n v="2025"/>
    <s v="2025-34"/>
    <s v="Week 34"/>
    <x v="33"/>
  </r>
  <r>
    <d v="2025-08-20T00:00:00"/>
    <x v="0"/>
    <n v="10"/>
    <n v="2025"/>
    <s v="2025-34"/>
    <s v="Week 34"/>
    <x v="33"/>
  </r>
  <r>
    <d v="2025-08-20T00:00:00"/>
    <x v="0"/>
    <n v="10"/>
    <n v="2025"/>
    <s v="2025-34"/>
    <s v="Week 34"/>
    <x v="33"/>
  </r>
  <r>
    <d v="2025-08-20T00:00:00"/>
    <x v="5"/>
    <n v="8"/>
    <n v="2025"/>
    <s v="2025-34"/>
    <s v="Week 34"/>
    <x v="33"/>
  </r>
  <r>
    <d v="2025-08-20T00:00:00"/>
    <x v="2"/>
    <n v="17"/>
    <n v="2025"/>
    <s v="2025-34"/>
    <s v="Week 34"/>
    <x v="33"/>
  </r>
  <r>
    <d v="2025-08-20T00:00:00"/>
    <x v="9"/>
    <n v="12"/>
    <n v="2025"/>
    <s v="2025-34"/>
    <s v="Week 34"/>
    <x v="33"/>
  </r>
  <r>
    <d v="2025-08-20T00:00:00"/>
    <x v="16"/>
    <n v="5"/>
    <n v="2025"/>
    <s v="2025-34"/>
    <s v="Week 34"/>
    <x v="33"/>
  </r>
  <r>
    <d v="2025-08-20T00:00:00"/>
    <x v="16"/>
    <n v="5"/>
    <n v="2025"/>
    <s v="2025-34"/>
    <s v="Week 34"/>
    <x v="33"/>
  </r>
  <r>
    <d v="2025-08-20T00:00:00"/>
    <x v="17"/>
    <n v="7"/>
    <n v="2025"/>
    <s v="2025-34"/>
    <s v="Week 34"/>
    <x v="33"/>
  </r>
  <r>
    <d v="2025-08-20T00:00:00"/>
    <x v="17"/>
    <n v="7"/>
    <n v="2025"/>
    <s v="2025-34"/>
    <s v="Week 34"/>
    <x v="33"/>
  </r>
  <r>
    <d v="2025-08-20T00:00:00"/>
    <x v="13"/>
    <n v="6"/>
    <n v="2025"/>
    <s v="2025-34"/>
    <s v="Week 34"/>
    <x v="33"/>
  </r>
  <r>
    <d v="2025-08-20T00:00:00"/>
    <x v="22"/>
    <n v="12"/>
    <n v="2025"/>
    <s v="2025-34"/>
    <s v="Week 34"/>
    <x v="33"/>
  </r>
  <r>
    <d v="2025-08-20T00:00:00"/>
    <x v="22"/>
    <n v="12"/>
    <n v="2025"/>
    <s v="2025-34"/>
    <s v="Week 34"/>
    <x v="33"/>
  </r>
  <r>
    <d v="2025-08-20T00:00:00"/>
    <x v="6"/>
    <n v="5"/>
    <n v="2025"/>
    <s v="2025-34"/>
    <s v="Week 34"/>
    <x v="33"/>
  </r>
  <r>
    <d v="2025-08-20T00:00:00"/>
    <x v="6"/>
    <n v="5"/>
    <n v="2025"/>
    <s v="2025-34"/>
    <s v="Week 34"/>
    <x v="33"/>
  </r>
  <r>
    <d v="2025-08-20T00:00:00"/>
    <x v="3"/>
    <n v="5"/>
    <n v="2025"/>
    <s v="2025-34"/>
    <s v="Week 34"/>
    <x v="33"/>
  </r>
  <r>
    <d v="2025-08-20T00:00:00"/>
    <x v="7"/>
    <n v="3"/>
    <n v="2025"/>
    <s v="2025-34"/>
    <s v="Week 34"/>
    <x v="33"/>
  </r>
  <r>
    <d v="2025-08-20T00:00:00"/>
    <x v="7"/>
    <n v="3"/>
    <n v="2025"/>
    <s v="2025-34"/>
    <s v="Week 34"/>
    <x v="33"/>
  </r>
  <r>
    <d v="2025-08-20T00:00:00"/>
    <x v="25"/>
    <n v="6"/>
    <n v="2025"/>
    <s v="2025-34"/>
    <s v="Week 34"/>
    <x v="33"/>
  </r>
  <r>
    <d v="2025-08-20T00:00:00"/>
    <x v="26"/>
    <n v="7"/>
    <n v="2025"/>
    <s v="2025-34"/>
    <s v="Week 34"/>
    <x v="33"/>
  </r>
  <r>
    <d v="2025-08-20T00:00:00"/>
    <x v="9"/>
    <n v="4"/>
    <n v="2025"/>
    <s v="2025-34"/>
    <s v="Week 34"/>
    <x v="33"/>
  </r>
  <r>
    <d v="2025-08-20T00:00:00"/>
    <x v="3"/>
    <n v="3"/>
    <n v="2025"/>
    <s v="2025-34"/>
    <s v="Week 34"/>
    <x v="33"/>
  </r>
  <r>
    <d v="2025-08-20T00:00:00"/>
    <x v="9"/>
    <n v="3"/>
    <n v="2025"/>
    <s v="2025-34"/>
    <s v="Week 34"/>
    <x v="33"/>
  </r>
  <r>
    <d v="2025-08-20T00:00:00"/>
    <x v="12"/>
    <n v="3"/>
    <n v="2025"/>
    <s v="2025-34"/>
    <s v="Week 34"/>
    <x v="33"/>
  </r>
  <r>
    <d v="2025-08-20T00:00:00"/>
    <x v="14"/>
    <n v="2"/>
    <n v="2025"/>
    <s v="2025-34"/>
    <s v="Week 34"/>
    <x v="33"/>
  </r>
  <r>
    <d v="2025-08-20T00:00:00"/>
    <x v="14"/>
    <n v="2"/>
    <n v="2025"/>
    <s v="2025-34"/>
    <s v="Week 34"/>
    <x v="33"/>
  </r>
  <r>
    <d v="2025-08-20T00:00:00"/>
    <x v="3"/>
    <n v="2"/>
    <n v="2025"/>
    <s v="2025-34"/>
    <s v="Week 34"/>
    <x v="33"/>
  </r>
  <r>
    <d v="2025-08-20T00:00:00"/>
    <x v="11"/>
    <n v="2"/>
    <n v="2025"/>
    <s v="2025-34"/>
    <s v="Week 34"/>
    <x v="33"/>
  </r>
  <r>
    <d v="2025-08-20T00:00:00"/>
    <x v="11"/>
    <n v="2"/>
    <n v="2025"/>
    <s v="2025-34"/>
    <s v="Week 34"/>
    <x v="33"/>
  </r>
  <r>
    <d v="2025-08-20T00:00:00"/>
    <x v="9"/>
    <n v="2"/>
    <n v="2025"/>
    <s v="2025-34"/>
    <s v="Week 34"/>
    <x v="33"/>
  </r>
  <r>
    <d v="2025-08-20T00:00:00"/>
    <x v="2"/>
    <n v="2"/>
    <n v="2025"/>
    <s v="2025-34"/>
    <s v="Week 34"/>
    <x v="33"/>
  </r>
  <r>
    <d v="2025-08-20T00:00:00"/>
    <x v="13"/>
    <n v="1"/>
    <n v="2025"/>
    <s v="2025-34"/>
    <s v="Week 34"/>
    <x v="33"/>
  </r>
  <r>
    <d v="2025-08-20T00:00:00"/>
    <x v="15"/>
    <n v="2"/>
    <n v="2025"/>
    <s v="2025-34"/>
    <s v="Week 34"/>
    <x v="33"/>
  </r>
  <r>
    <d v="2025-08-20T00:00:00"/>
    <x v="15"/>
    <n v="2"/>
    <n v="2025"/>
    <s v="2025-34"/>
    <s v="Week 34"/>
    <x v="33"/>
  </r>
  <r>
    <d v="2025-08-20T00:00:00"/>
    <x v="10"/>
    <n v="1"/>
    <n v="2025"/>
    <s v="2025-34"/>
    <s v="Week 34"/>
    <x v="33"/>
  </r>
  <r>
    <d v="2025-08-20T00:00:00"/>
    <x v="19"/>
    <n v="2"/>
    <n v="2025"/>
    <s v="2025-34"/>
    <s v="Week 34"/>
    <x v="33"/>
  </r>
  <r>
    <d v="2025-08-20T00:00:00"/>
    <x v="19"/>
    <n v="2"/>
    <n v="2025"/>
    <s v="2025-34"/>
    <s v="Week 34"/>
    <x v="33"/>
  </r>
  <r>
    <d v="2025-08-20T00:00:00"/>
    <x v="20"/>
    <n v="1"/>
    <n v="2025"/>
    <s v="2025-34"/>
    <s v="Week 34"/>
    <x v="33"/>
  </r>
  <r>
    <d v="2025-08-20T00:00:00"/>
    <x v="20"/>
    <n v="1"/>
    <n v="2025"/>
    <s v="2025-34"/>
    <s v="Week 34"/>
    <x v="33"/>
  </r>
  <r>
    <d v="2025-08-20T00:00:00"/>
    <x v="15"/>
    <n v="1"/>
    <n v="2025"/>
    <s v="2025-34"/>
    <s v="Week 34"/>
    <x v="33"/>
  </r>
  <r>
    <d v="2025-08-20T00:00:00"/>
    <x v="27"/>
    <n v="1"/>
    <n v="2025"/>
    <s v="2025-34"/>
    <s v="Week 34"/>
    <x v="33"/>
  </r>
  <r>
    <d v="2025-08-20T00:00:00"/>
    <x v="27"/>
    <n v="1"/>
    <n v="2025"/>
    <s v="2025-34"/>
    <s v="Week 34"/>
    <x v="33"/>
  </r>
  <r>
    <d v="2025-08-20T00:00:00"/>
    <x v="18"/>
    <n v="1"/>
    <n v="2025"/>
    <s v="2025-34"/>
    <s v="Week 34"/>
    <x v="33"/>
  </r>
  <r>
    <d v="2025-08-20T00:00:00"/>
    <x v="30"/>
    <n v="1"/>
    <n v="2025"/>
    <s v="2025-34"/>
    <s v="Week 34"/>
    <x v="33"/>
  </r>
  <r>
    <d v="2025-08-20T00:00:00"/>
    <x v="30"/>
    <n v="1"/>
    <n v="2025"/>
    <s v="2025-34"/>
    <s v="Week 34"/>
    <x v="33"/>
  </r>
  <r>
    <d v="2025-08-21T00:00:00"/>
    <x v="17"/>
    <n v="18"/>
    <n v="2025"/>
    <s v="2025-34"/>
    <s v="Week 34"/>
    <x v="33"/>
  </r>
  <r>
    <d v="2025-08-21T00:00:00"/>
    <x v="5"/>
    <n v="9"/>
    <n v="2025"/>
    <s v="2025-34"/>
    <s v="Week 34"/>
    <x v="33"/>
  </r>
  <r>
    <d v="2025-08-21T00:00:00"/>
    <x v="13"/>
    <n v="10"/>
    <n v="2025"/>
    <s v="2025-34"/>
    <s v="Week 34"/>
    <x v="33"/>
  </r>
  <r>
    <d v="2025-08-21T00:00:00"/>
    <x v="6"/>
    <n v="8"/>
    <n v="2025"/>
    <s v="2025-34"/>
    <s v="Week 34"/>
    <x v="33"/>
  </r>
  <r>
    <d v="2025-08-21T00:00:00"/>
    <x v="5"/>
    <n v="6"/>
    <n v="2025"/>
    <s v="2025-34"/>
    <s v="Week 34"/>
    <x v="33"/>
  </r>
  <r>
    <d v="2025-08-21T00:00:00"/>
    <x v="10"/>
    <n v="8"/>
    <n v="2025"/>
    <s v="2025-34"/>
    <s v="Week 34"/>
    <x v="33"/>
  </r>
  <r>
    <d v="2025-08-21T00:00:00"/>
    <x v="3"/>
    <n v="9"/>
    <n v="2025"/>
    <s v="2025-34"/>
    <s v="Week 34"/>
    <x v="33"/>
  </r>
  <r>
    <d v="2025-08-21T00:00:00"/>
    <x v="3"/>
    <n v="8"/>
    <n v="2025"/>
    <s v="2025-34"/>
    <s v="Week 34"/>
    <x v="33"/>
  </r>
  <r>
    <d v="2025-08-21T00:00:00"/>
    <x v="14"/>
    <n v="6"/>
    <n v="2025"/>
    <s v="2025-34"/>
    <s v="Week 34"/>
    <x v="33"/>
  </r>
  <r>
    <d v="2025-08-21T00:00:00"/>
    <x v="5"/>
    <n v="4"/>
    <n v="2025"/>
    <s v="2025-34"/>
    <s v="Week 34"/>
    <x v="33"/>
  </r>
  <r>
    <d v="2025-08-21T00:00:00"/>
    <x v="10"/>
    <n v="6"/>
    <n v="2025"/>
    <s v="2025-34"/>
    <s v="Week 34"/>
    <x v="33"/>
  </r>
  <r>
    <d v="2025-08-21T00:00:00"/>
    <x v="6"/>
    <n v="4"/>
    <n v="2025"/>
    <s v="2025-34"/>
    <s v="Week 34"/>
    <x v="33"/>
  </r>
  <r>
    <d v="2025-08-21T00:00:00"/>
    <x v="11"/>
    <n v="6"/>
    <n v="2025"/>
    <s v="2025-34"/>
    <s v="Week 34"/>
    <x v="33"/>
  </r>
  <r>
    <d v="2025-08-21T00:00:00"/>
    <x v="13"/>
    <n v="4"/>
    <n v="2025"/>
    <s v="2025-34"/>
    <s v="Week 34"/>
    <x v="33"/>
  </r>
  <r>
    <d v="2025-08-21T00:00:00"/>
    <x v="6"/>
    <n v="4"/>
    <n v="2025"/>
    <s v="2025-34"/>
    <s v="Week 34"/>
    <x v="33"/>
  </r>
  <r>
    <d v="2025-08-21T00:00:00"/>
    <x v="0"/>
    <n v="3"/>
    <n v="2025"/>
    <s v="2025-34"/>
    <s v="Week 34"/>
    <x v="33"/>
  </r>
  <r>
    <d v="2025-08-21T00:00:00"/>
    <x v="14"/>
    <n v="4"/>
    <n v="2025"/>
    <s v="2025-34"/>
    <s v="Week 34"/>
    <x v="33"/>
  </r>
  <r>
    <d v="2025-08-21T00:00:00"/>
    <x v="22"/>
    <n v="7"/>
    <n v="2025"/>
    <s v="2025-34"/>
    <s v="Week 34"/>
    <x v="33"/>
  </r>
  <r>
    <d v="2025-08-21T00:00:00"/>
    <x v="16"/>
    <n v="2"/>
    <n v="2025"/>
    <s v="2025-34"/>
    <s v="Week 34"/>
    <x v="33"/>
  </r>
  <r>
    <d v="2025-08-21T00:00:00"/>
    <x v="2"/>
    <n v="5"/>
    <n v="2025"/>
    <s v="2025-34"/>
    <s v="Week 34"/>
    <x v="33"/>
  </r>
  <r>
    <d v="2025-08-21T00:00:00"/>
    <x v="19"/>
    <n v="7"/>
    <n v="2025"/>
    <s v="2025-34"/>
    <s v="Week 34"/>
    <x v="33"/>
  </r>
  <r>
    <d v="2025-08-21T00:00:00"/>
    <x v="11"/>
    <n v="4"/>
    <n v="2025"/>
    <s v="2025-34"/>
    <s v="Week 34"/>
    <x v="33"/>
  </r>
  <r>
    <d v="2025-08-21T00:00:00"/>
    <x v="6"/>
    <n v="2"/>
    <n v="2025"/>
    <s v="2025-34"/>
    <s v="Week 34"/>
    <x v="33"/>
  </r>
  <r>
    <d v="2025-08-21T00:00:00"/>
    <x v="2"/>
    <n v="4"/>
    <n v="2025"/>
    <s v="2025-34"/>
    <s v="Week 34"/>
    <x v="33"/>
  </r>
  <r>
    <d v="2025-08-21T00:00:00"/>
    <x v="14"/>
    <n v="2"/>
    <n v="2025"/>
    <s v="2025-34"/>
    <s v="Week 34"/>
    <x v="33"/>
  </r>
  <r>
    <d v="2025-08-21T00:00:00"/>
    <x v="10"/>
    <n v="2"/>
    <n v="2025"/>
    <s v="2025-34"/>
    <s v="Week 34"/>
    <x v="33"/>
  </r>
  <r>
    <d v="2025-08-21T00:00:00"/>
    <x v="10"/>
    <n v="2"/>
    <n v="2025"/>
    <s v="2025-34"/>
    <s v="Week 34"/>
    <x v="33"/>
  </r>
  <r>
    <d v="2025-08-21T00:00:00"/>
    <x v="3"/>
    <n v="2"/>
    <n v="2025"/>
    <s v="2025-34"/>
    <s v="Week 34"/>
    <x v="33"/>
  </r>
  <r>
    <d v="2025-08-21T00:00:00"/>
    <x v="9"/>
    <n v="2"/>
    <n v="2025"/>
    <s v="2025-34"/>
    <s v="Week 34"/>
    <x v="33"/>
  </r>
  <r>
    <d v="2025-08-21T00:00:00"/>
    <x v="8"/>
    <n v="3"/>
    <n v="2025"/>
    <s v="2025-34"/>
    <s v="Week 34"/>
    <x v="33"/>
  </r>
  <r>
    <d v="2025-08-21T00:00:00"/>
    <x v="7"/>
    <n v="1"/>
    <n v="2025"/>
    <s v="2025-34"/>
    <s v="Week 34"/>
    <x v="33"/>
  </r>
  <r>
    <d v="2025-08-21T00:00:00"/>
    <x v="22"/>
    <n v="2"/>
    <n v="2025"/>
    <s v="2025-34"/>
    <s v="Week 34"/>
    <x v="33"/>
  </r>
  <r>
    <d v="2025-08-21T00:00:00"/>
    <x v="11"/>
    <n v="1"/>
    <n v="2025"/>
    <s v="2025-34"/>
    <s v="Week 34"/>
    <x v="33"/>
  </r>
  <r>
    <d v="2025-08-21T00:00:00"/>
    <x v="20"/>
    <n v="1"/>
    <n v="2025"/>
    <s v="2025-34"/>
    <s v="Week 34"/>
    <x v="33"/>
  </r>
  <r>
    <d v="2025-08-21T00:00:00"/>
    <x v="19"/>
    <n v="1"/>
    <n v="2025"/>
    <s v="2025-34"/>
    <s v="Week 34"/>
    <x v="33"/>
  </r>
  <r>
    <d v="2025-08-23T00:00:00"/>
    <x v="5"/>
    <n v="15"/>
    <n v="2025"/>
    <s v="2025-34"/>
    <s v="Week 34"/>
    <x v="33"/>
  </r>
  <r>
    <d v="2025-08-23T00:00:00"/>
    <x v="16"/>
    <n v="11"/>
    <n v="2025"/>
    <s v="2025-34"/>
    <s v="Week 34"/>
    <x v="33"/>
  </r>
  <r>
    <d v="2025-08-23T00:00:00"/>
    <x v="16"/>
    <n v="11"/>
    <n v="2025"/>
    <s v="2025-34"/>
    <s v="Week 34"/>
    <x v="33"/>
  </r>
  <r>
    <d v="2025-08-23T00:00:00"/>
    <x v="3"/>
    <n v="20"/>
    <n v="2025"/>
    <s v="2025-34"/>
    <s v="Week 34"/>
    <x v="33"/>
  </r>
  <r>
    <d v="2025-08-23T00:00:00"/>
    <x v="6"/>
    <n v="11"/>
    <n v="2025"/>
    <s v="2025-34"/>
    <s v="Week 34"/>
    <x v="33"/>
  </r>
  <r>
    <d v="2025-08-23T00:00:00"/>
    <x v="14"/>
    <n v="12"/>
    <n v="2025"/>
    <s v="2025-34"/>
    <s v="Week 34"/>
    <x v="33"/>
  </r>
  <r>
    <d v="2025-08-23T00:00:00"/>
    <x v="3"/>
    <n v="10"/>
    <n v="2025"/>
    <s v="2025-34"/>
    <s v="Week 34"/>
    <x v="33"/>
  </r>
  <r>
    <d v="2025-08-23T00:00:00"/>
    <x v="0"/>
    <n v="6"/>
    <n v="2025"/>
    <s v="2025-34"/>
    <s v="Week 34"/>
    <x v="33"/>
  </r>
  <r>
    <d v="2025-08-23T00:00:00"/>
    <x v="0"/>
    <n v="6"/>
    <n v="2025"/>
    <s v="2025-34"/>
    <s v="Week 34"/>
    <x v="33"/>
  </r>
  <r>
    <d v="2025-08-23T00:00:00"/>
    <x v="15"/>
    <n v="14"/>
    <n v="2025"/>
    <s v="2025-34"/>
    <s v="Week 34"/>
    <x v="33"/>
  </r>
  <r>
    <d v="2025-08-23T00:00:00"/>
    <x v="17"/>
    <n v="5"/>
    <n v="2025"/>
    <s v="2025-34"/>
    <s v="Week 34"/>
    <x v="33"/>
  </r>
  <r>
    <d v="2025-08-23T00:00:00"/>
    <x v="12"/>
    <n v="8"/>
    <n v="2025"/>
    <s v="2025-34"/>
    <s v="Week 34"/>
    <x v="33"/>
  </r>
  <r>
    <d v="2025-08-23T00:00:00"/>
    <x v="20"/>
    <n v="6"/>
    <n v="2025"/>
    <s v="2025-34"/>
    <s v="Week 34"/>
    <x v="33"/>
  </r>
  <r>
    <d v="2025-08-23T00:00:00"/>
    <x v="11"/>
    <n v="5"/>
    <n v="2025"/>
    <s v="2025-34"/>
    <s v="Week 34"/>
    <x v="33"/>
  </r>
  <r>
    <d v="2025-08-23T00:00:00"/>
    <x v="26"/>
    <n v="8"/>
    <n v="2025"/>
    <s v="2025-34"/>
    <s v="Week 34"/>
    <x v="33"/>
  </r>
  <r>
    <d v="2025-08-23T00:00:00"/>
    <x v="33"/>
    <n v="8"/>
    <n v="2025"/>
    <s v="2025-34"/>
    <s v="Week 34"/>
    <x v="33"/>
  </r>
  <r>
    <d v="2025-08-23T00:00:00"/>
    <x v="22"/>
    <n v="6"/>
    <n v="2025"/>
    <s v="2025-34"/>
    <s v="Week 34"/>
    <x v="33"/>
  </r>
  <r>
    <d v="2025-08-23T00:00:00"/>
    <x v="20"/>
    <n v="4"/>
    <n v="2025"/>
    <s v="2025-34"/>
    <s v="Week 34"/>
    <x v="33"/>
  </r>
  <r>
    <d v="2025-08-23T00:00:00"/>
    <x v="11"/>
    <n v="3"/>
    <n v="2025"/>
    <s v="2025-34"/>
    <s v="Week 34"/>
    <x v="33"/>
  </r>
  <r>
    <d v="2025-08-23T00:00:00"/>
    <x v="13"/>
    <n v="2"/>
    <n v="2025"/>
    <s v="2025-34"/>
    <s v="Week 34"/>
    <x v="33"/>
  </r>
  <r>
    <d v="2025-08-23T00:00:00"/>
    <x v="1"/>
    <n v="4"/>
    <n v="2025"/>
    <s v="2025-34"/>
    <s v="Week 34"/>
    <x v="33"/>
  </r>
  <r>
    <d v="2025-08-23T00:00:00"/>
    <x v="4"/>
    <n v="5"/>
    <n v="2025"/>
    <s v="2025-34"/>
    <s v="Week 34"/>
    <x v="33"/>
  </r>
  <r>
    <d v="2025-08-23T00:00:00"/>
    <x v="14"/>
    <n v="2"/>
    <n v="2025"/>
    <s v="2025-34"/>
    <s v="Week 34"/>
    <x v="33"/>
  </r>
  <r>
    <d v="2025-08-23T00:00:00"/>
    <x v="2"/>
    <n v="3"/>
    <n v="2025"/>
    <s v="2025-34"/>
    <s v="Week 34"/>
    <x v="33"/>
  </r>
  <r>
    <d v="2025-08-23T00:00:00"/>
    <x v="4"/>
    <n v="4"/>
    <n v="2025"/>
    <s v="2025-34"/>
    <s v="Week 34"/>
    <x v="33"/>
  </r>
  <r>
    <d v="2025-08-23T00:00:00"/>
    <x v="9"/>
    <n v="2"/>
    <n v="2025"/>
    <s v="2025-34"/>
    <s v="Week 34"/>
    <x v="33"/>
  </r>
  <r>
    <d v="2025-08-23T00:00:00"/>
    <x v="15"/>
    <n v="3"/>
    <n v="2025"/>
    <s v="2025-34"/>
    <s v="Week 34"/>
    <x v="33"/>
  </r>
  <r>
    <d v="2025-08-23T00:00:00"/>
    <x v="18"/>
    <n v="4"/>
    <n v="2025"/>
    <s v="2025-34"/>
    <s v="Week 34"/>
    <x v="33"/>
  </r>
  <r>
    <d v="2025-08-23T00:00:00"/>
    <x v="35"/>
    <n v="3"/>
    <n v="2025"/>
    <s v="2025-34"/>
    <s v="Week 34"/>
    <x v="33"/>
  </r>
  <r>
    <d v="2025-08-23T00:00:00"/>
    <x v="25"/>
    <n v="2"/>
    <n v="2025"/>
    <s v="2025-34"/>
    <s v="Week 34"/>
    <x v="33"/>
  </r>
  <r>
    <d v="2025-08-23T00:00:00"/>
    <x v="10"/>
    <n v="1"/>
    <n v="2025"/>
    <s v="2025-34"/>
    <s v="Week 34"/>
    <x v="33"/>
  </r>
  <r>
    <d v="2025-08-23T00:00:00"/>
    <x v="19"/>
    <n v="2"/>
    <n v="2025"/>
    <s v="2025-34"/>
    <s v="Week 34"/>
    <x v="33"/>
  </r>
  <r>
    <d v="2025-08-23T00:00:00"/>
    <x v="9"/>
    <n v="1"/>
    <n v="2025"/>
    <s v="2025-34"/>
    <s v="Week 34"/>
    <x v="33"/>
  </r>
  <r>
    <d v="2025-08-23T00:00:00"/>
    <x v="11"/>
    <n v="1"/>
    <n v="2025"/>
    <s v="2025-34"/>
    <s v="Week 34"/>
    <x v="33"/>
  </r>
  <r>
    <d v="2025-08-23T00:00:00"/>
    <x v="35"/>
    <n v="1"/>
    <n v="2025"/>
    <s v="2025-34"/>
    <s v="Week 34"/>
    <x v="33"/>
  </r>
  <r>
    <d v="2025-08-24T00:00:00"/>
    <x v="3"/>
    <n v="9"/>
    <n v="2025"/>
    <s v="2025-34"/>
    <s v="Week 35"/>
    <x v="34"/>
  </r>
  <r>
    <d v="2025-08-24T00:00:00"/>
    <x v="4"/>
    <n v="4"/>
    <n v="2025"/>
    <s v="2025-34"/>
    <s v="Week 35"/>
    <x v="34"/>
  </r>
  <r>
    <d v="2025-08-26T00:00:00"/>
    <x v="11"/>
    <n v="42"/>
    <n v="2025"/>
    <s v="2025-35"/>
    <s v="Week 35"/>
    <x v="34"/>
  </r>
  <r>
    <d v="2025-08-26T00:00:00"/>
    <x v="25"/>
    <n v="36"/>
    <n v="2025"/>
    <s v="2025-35"/>
    <s v="Week 35"/>
    <x v="34"/>
  </r>
  <r>
    <d v="2025-08-26T00:00:00"/>
    <x v="10"/>
    <n v="16"/>
    <n v="2025"/>
    <s v="2025-35"/>
    <s v="Week 35"/>
    <x v="34"/>
  </r>
  <r>
    <d v="2025-08-26T00:00:00"/>
    <x v="12"/>
    <n v="16"/>
    <n v="2025"/>
    <s v="2025-35"/>
    <s v="Week 35"/>
    <x v="34"/>
  </r>
  <r>
    <d v="2025-08-26T00:00:00"/>
    <x v="11"/>
    <n v="12"/>
    <n v="2025"/>
    <s v="2025-35"/>
    <s v="Week 35"/>
    <x v="34"/>
  </r>
  <r>
    <d v="2025-08-26T00:00:00"/>
    <x v="28"/>
    <n v="24"/>
    <n v="2025"/>
    <s v="2025-35"/>
    <s v="Week 35"/>
    <x v="34"/>
  </r>
  <r>
    <d v="2025-08-26T00:00:00"/>
    <x v="25"/>
    <n v="12"/>
    <n v="2025"/>
    <s v="2025-35"/>
    <s v="Week 35"/>
    <x v="34"/>
  </r>
  <r>
    <d v="2025-08-26T00:00:00"/>
    <x v="25"/>
    <n v="12"/>
    <n v="2025"/>
    <s v="2025-35"/>
    <s v="Week 35"/>
    <x v="34"/>
  </r>
  <r>
    <d v="2025-08-26T00:00:00"/>
    <x v="28"/>
    <n v="20"/>
    <n v="2025"/>
    <s v="2025-35"/>
    <s v="Week 35"/>
    <x v="34"/>
  </r>
  <r>
    <d v="2025-08-26T00:00:00"/>
    <x v="12"/>
    <n v="10"/>
    <n v="2025"/>
    <s v="2025-35"/>
    <s v="Week 35"/>
    <x v="34"/>
  </r>
  <r>
    <d v="2025-08-26T00:00:00"/>
    <x v="25"/>
    <n v="10"/>
    <n v="2025"/>
    <s v="2025-35"/>
    <s v="Week 35"/>
    <x v="34"/>
  </r>
  <r>
    <d v="2025-08-26T00:00:00"/>
    <x v="12"/>
    <n v="8"/>
    <n v="2025"/>
    <s v="2025-35"/>
    <s v="Week 35"/>
    <x v="34"/>
  </r>
  <r>
    <d v="2025-08-26T00:00:00"/>
    <x v="12"/>
    <n v="8"/>
    <n v="2025"/>
    <s v="2025-35"/>
    <s v="Week 35"/>
    <x v="34"/>
  </r>
  <r>
    <d v="2025-08-26T00:00:00"/>
    <x v="6"/>
    <n v="4"/>
    <n v="2025"/>
    <s v="2025-35"/>
    <s v="Week 35"/>
    <x v="34"/>
  </r>
  <r>
    <d v="2025-08-26T00:00:00"/>
    <x v="27"/>
    <n v="12"/>
    <n v="2025"/>
    <s v="2025-35"/>
    <s v="Week 35"/>
    <x v="34"/>
  </r>
  <r>
    <d v="2025-08-26T00:00:00"/>
    <x v="28"/>
    <n v="10"/>
    <n v="2025"/>
    <s v="2025-35"/>
    <s v="Week 35"/>
    <x v="34"/>
  </r>
  <r>
    <d v="2025-08-26T00:00:00"/>
    <x v="11"/>
    <n v="4"/>
    <n v="2025"/>
    <s v="2025-35"/>
    <s v="Week 35"/>
    <x v="34"/>
  </r>
  <r>
    <d v="2025-08-26T00:00:00"/>
    <x v="3"/>
    <n v="2"/>
    <n v="2025"/>
    <s v="2025-35"/>
    <s v="Week 35"/>
    <x v="34"/>
  </r>
  <r>
    <d v="2025-08-26T00:00:00"/>
    <x v="11"/>
    <n v="2"/>
    <n v="2025"/>
    <s v="2025-35"/>
    <s v="Week 35"/>
    <x v="34"/>
  </r>
  <r>
    <d v="2025-08-26T00:00:00"/>
    <x v="11"/>
    <n v="2"/>
    <n v="2025"/>
    <s v="2025-35"/>
    <s v="Week 35"/>
    <x v="34"/>
  </r>
  <r>
    <d v="2025-08-26T00:00:00"/>
    <x v="2"/>
    <n v="2"/>
    <n v="2025"/>
    <s v="2025-35"/>
    <s v="Week 35"/>
    <x v="34"/>
  </r>
  <r>
    <d v="2025-08-26T00:00:00"/>
    <x v="32"/>
    <n v="4"/>
    <n v="2025"/>
    <s v="2025-35"/>
    <s v="Week 35"/>
    <x v="34"/>
  </r>
  <r>
    <d v="2025-08-26T00:00:00"/>
    <x v="14"/>
    <n v="1"/>
    <n v="2025"/>
    <s v="2025-35"/>
    <s v="Week 35"/>
    <x v="34"/>
  </r>
  <r>
    <d v="2025-08-26T00:00:00"/>
    <x v="15"/>
    <n v="2"/>
    <n v="2025"/>
    <s v="2025-35"/>
    <s v="Week 35"/>
    <x v="34"/>
  </r>
  <r>
    <d v="2025-08-26T00:00:00"/>
    <x v="18"/>
    <n v="2"/>
    <n v="2025"/>
    <s v="2025-35"/>
    <s v="Week 35"/>
    <x v="34"/>
  </r>
  <r>
    <d v="2025-08-27T00:00:00"/>
    <x v="29"/>
    <n v="5"/>
    <n v="2025"/>
    <s v="2025-35"/>
    <s v="Week 35"/>
    <x v="34"/>
  </r>
  <r>
    <d v="2025-08-27T00:00:00"/>
    <x v="5"/>
    <n v="9"/>
    <n v="2025"/>
    <s v="2025-35"/>
    <s v="Week 35"/>
    <x v="34"/>
  </r>
  <r>
    <d v="2025-08-27T00:00:00"/>
    <x v="17"/>
    <n v="11"/>
    <n v="2025"/>
    <s v="2025-35"/>
    <s v="Week 35"/>
    <x v="34"/>
  </r>
  <r>
    <d v="2025-08-27T00:00:00"/>
    <x v="2"/>
    <n v="17"/>
    <n v="2025"/>
    <s v="2025-35"/>
    <s v="Week 35"/>
    <x v="34"/>
  </r>
  <r>
    <d v="2025-08-27T00:00:00"/>
    <x v="16"/>
    <n v="5"/>
    <n v="2025"/>
    <s v="2025-35"/>
    <s v="Week 35"/>
    <x v="34"/>
  </r>
  <r>
    <d v="2025-08-27T00:00:00"/>
    <x v="17"/>
    <n v="7"/>
    <n v="2025"/>
    <s v="2025-35"/>
    <s v="Week 35"/>
    <x v="34"/>
  </r>
  <r>
    <d v="2025-08-27T00:00:00"/>
    <x v="36"/>
    <n v="4"/>
    <n v="2025"/>
    <s v="2025-35"/>
    <s v="Week 35"/>
    <x v="34"/>
  </r>
  <r>
    <d v="2025-08-27T00:00:00"/>
    <x v="13"/>
    <n v="6"/>
    <n v="2025"/>
    <s v="2025-35"/>
    <s v="Week 35"/>
    <x v="34"/>
  </r>
  <r>
    <d v="2025-08-27T00:00:00"/>
    <x v="2"/>
    <n v="10"/>
    <n v="2025"/>
    <s v="2025-35"/>
    <s v="Week 35"/>
    <x v="34"/>
  </r>
  <r>
    <d v="2025-08-27T00:00:00"/>
    <x v="3"/>
    <n v="5"/>
    <n v="2025"/>
    <s v="2025-35"/>
    <s v="Week 35"/>
    <x v="34"/>
  </r>
  <r>
    <d v="2025-08-27T00:00:00"/>
    <x v="9"/>
    <n v="5"/>
    <n v="2025"/>
    <s v="2025-35"/>
    <s v="Week 35"/>
    <x v="34"/>
  </r>
  <r>
    <d v="2025-08-27T00:00:00"/>
    <x v="1"/>
    <n v="7"/>
    <n v="2025"/>
    <s v="2025-35"/>
    <s v="Week 35"/>
    <x v="34"/>
  </r>
  <r>
    <d v="2025-08-27T00:00:00"/>
    <x v="33"/>
    <n v="8"/>
    <n v="2025"/>
    <s v="2025-35"/>
    <s v="Week 35"/>
    <x v="34"/>
  </r>
  <r>
    <d v="2025-08-27T00:00:00"/>
    <x v="26"/>
    <n v="7"/>
    <n v="2025"/>
    <s v="2025-35"/>
    <s v="Week 35"/>
    <x v="34"/>
  </r>
  <r>
    <d v="2025-08-27T00:00:00"/>
    <x v="0"/>
    <n v="2"/>
    <n v="2025"/>
    <s v="2025-35"/>
    <s v="Week 35"/>
    <x v="34"/>
  </r>
  <r>
    <d v="2025-08-27T00:00:00"/>
    <x v="6"/>
    <n v="2"/>
    <n v="2025"/>
    <s v="2025-35"/>
    <s v="Week 35"/>
    <x v="34"/>
  </r>
  <r>
    <d v="2025-08-27T00:00:00"/>
    <x v="25"/>
    <n v="4"/>
    <n v="2025"/>
    <s v="2025-35"/>
    <s v="Week 35"/>
    <x v="34"/>
  </r>
  <r>
    <d v="2025-08-27T00:00:00"/>
    <x v="1"/>
    <n v="4"/>
    <n v="2025"/>
    <s v="2025-35"/>
    <s v="Week 35"/>
    <x v="34"/>
  </r>
  <r>
    <d v="2025-08-27T00:00:00"/>
    <x v="14"/>
    <n v="2"/>
    <n v="2025"/>
    <s v="2025-35"/>
    <s v="Week 35"/>
    <x v="34"/>
  </r>
  <r>
    <d v="2025-08-27T00:00:00"/>
    <x v="2"/>
    <n v="3"/>
    <n v="2025"/>
    <s v="2025-35"/>
    <s v="Week 35"/>
    <x v="34"/>
  </r>
  <r>
    <d v="2025-08-27T00:00:00"/>
    <x v="35"/>
    <n v="4"/>
    <n v="2025"/>
    <s v="2025-35"/>
    <s v="Week 35"/>
    <x v="34"/>
  </r>
  <r>
    <d v="2025-08-27T00:00:00"/>
    <x v="4"/>
    <n v="4"/>
    <n v="2025"/>
    <s v="2025-35"/>
    <s v="Week 35"/>
    <x v="34"/>
  </r>
  <r>
    <d v="2025-08-27T00:00:00"/>
    <x v="15"/>
    <n v="3"/>
    <n v="2025"/>
    <s v="2025-35"/>
    <s v="Week 35"/>
    <x v="34"/>
  </r>
  <r>
    <d v="2025-08-27T00:00:00"/>
    <x v="12"/>
    <n v="2"/>
    <n v="2025"/>
    <s v="2025-35"/>
    <s v="Week 35"/>
    <x v="34"/>
  </r>
  <r>
    <d v="2025-08-27T00:00:00"/>
    <x v="7"/>
    <n v="1"/>
    <n v="2025"/>
    <s v="2025-35"/>
    <s v="Week 35"/>
    <x v="34"/>
  </r>
  <r>
    <d v="2025-08-27T00:00:00"/>
    <x v="25"/>
    <n v="2"/>
    <n v="2025"/>
    <s v="2025-35"/>
    <s v="Week 35"/>
    <x v="34"/>
  </r>
  <r>
    <d v="2025-08-27T00:00:00"/>
    <x v="22"/>
    <n v="2"/>
    <n v="2025"/>
    <s v="2025-35"/>
    <s v="Week 35"/>
    <x v="34"/>
  </r>
  <r>
    <d v="2025-08-27T00:00:00"/>
    <x v="1"/>
    <n v="2"/>
    <n v="2025"/>
    <s v="2025-35"/>
    <s v="Week 35"/>
    <x v="34"/>
  </r>
  <r>
    <d v="2025-08-27T00:00:00"/>
    <x v="31"/>
    <n v="2"/>
    <n v="2025"/>
    <s v="2025-35"/>
    <s v="Week 35"/>
    <x v="34"/>
  </r>
  <r>
    <d v="2025-08-27T00:00:00"/>
    <x v="10"/>
    <n v="1"/>
    <n v="2025"/>
    <s v="2025-35"/>
    <s v="Week 35"/>
    <x v="34"/>
  </r>
  <r>
    <d v="2025-08-27T00:00:00"/>
    <x v="11"/>
    <n v="1"/>
    <n v="2025"/>
    <s v="2025-35"/>
    <s v="Week 35"/>
    <x v="34"/>
  </r>
  <r>
    <d v="2025-08-27T00:00:00"/>
    <x v="20"/>
    <n v="1"/>
    <n v="2025"/>
    <s v="2025-35"/>
    <s v="Week 35"/>
    <x v="34"/>
  </r>
  <r>
    <d v="2025-08-27T00:00:00"/>
    <x v="30"/>
    <n v="2"/>
    <n v="2025"/>
    <s v="2025-35"/>
    <s v="Week 35"/>
    <x v="34"/>
  </r>
  <r>
    <d v="2025-08-27T00:00:00"/>
    <x v="40"/>
    <n v="1"/>
    <n v="2025"/>
    <s v="2025-35"/>
    <s v="Week 35"/>
    <x v="34"/>
  </r>
  <r>
    <d v="2025-08-27T00:00:00"/>
    <x v="15"/>
    <n v="1"/>
    <n v="2025"/>
    <s v="2025-35"/>
    <s v="Week 35"/>
    <x v="34"/>
  </r>
  <r>
    <d v="2025-08-27T00:00:00"/>
    <x v="19"/>
    <n v="1"/>
    <n v="2025"/>
    <s v="2025-35"/>
    <s v="Week 35"/>
    <x v="34"/>
  </r>
  <r>
    <d v="2025-08-27T00:00:00"/>
    <x v="18"/>
    <n v="1"/>
    <n v="2025"/>
    <s v="2025-35"/>
    <s v="Week 35"/>
    <x v="34"/>
  </r>
  <r>
    <d v="2025-08-27T00:00:00"/>
    <x v="28"/>
    <n v="1"/>
    <n v="2025"/>
    <s v="2025-35"/>
    <s v="Week 35"/>
    <x v="34"/>
  </r>
  <r>
    <d v="2025-08-29T00:00:00"/>
    <x v="11"/>
    <n v="12"/>
    <n v="2025"/>
    <s v="2025-35"/>
    <s v="Week 35"/>
    <x v="34"/>
  </r>
  <r>
    <d v="2025-08-29T00:00:00"/>
    <x v="3"/>
    <n v="2"/>
    <n v="2025"/>
    <s v="2025-35"/>
    <s v="Week 35"/>
    <x v="34"/>
  </r>
  <r>
    <d v="2025-08-31T00:00:00"/>
    <x v="11"/>
    <n v="36"/>
    <n v="2025"/>
    <s v="2025-35"/>
    <s v="Week 36"/>
    <x v="35"/>
  </r>
  <r>
    <d v="2025-08-31T00:00:00"/>
    <x v="14"/>
    <n v="13"/>
    <n v="2025"/>
    <s v="2025-35"/>
    <s v="Week 36"/>
    <x v="35"/>
  </r>
  <r>
    <d v="2025-08-31T00:00:00"/>
    <x v="9"/>
    <n v="9"/>
    <n v="2025"/>
    <s v="2025-35"/>
    <s v="Week 36"/>
    <x v="35"/>
  </r>
  <r>
    <d v="2025-08-31T00:00:00"/>
    <x v="10"/>
    <n v="4"/>
    <n v="2025"/>
    <s v="2025-35"/>
    <s v="Week 36"/>
    <x v="35"/>
  </r>
  <r>
    <d v="2025-08-31T00:00:00"/>
    <x v="25"/>
    <n v="3"/>
    <n v="2025"/>
    <s v="2025-35"/>
    <s v="Week 36"/>
    <x v="35"/>
  </r>
  <r>
    <d v="2025-08-31T00:00:00"/>
    <x v="26"/>
    <n v="2"/>
    <n v="2025"/>
    <s v="2025-35"/>
    <s v="Week 36"/>
    <x v="35"/>
  </r>
  <r>
    <d v="2025-08-31T00:00:00"/>
    <x v="9"/>
    <n v="1"/>
    <n v="2025"/>
    <s v="2025-35"/>
    <s v="Week 36"/>
    <x v="35"/>
  </r>
  <r>
    <d v="2025-08-31T00:00:00"/>
    <x v="25"/>
    <n v="1"/>
    <n v="2025"/>
    <s v="2025-35"/>
    <s v="Week 36"/>
    <x v="35"/>
  </r>
  <r>
    <d v="2025-09-02T00:00:00"/>
    <x v="3"/>
    <n v="8"/>
    <n v="2025"/>
    <s v="2025-36"/>
    <s v="Week 36"/>
    <x v="35"/>
  </r>
  <r>
    <d v="2025-09-02T00:00:00"/>
    <x v="7"/>
    <n v="4"/>
    <n v="2025"/>
    <s v="2025-36"/>
    <s v="Week 36"/>
    <x v="35"/>
  </r>
  <r>
    <d v="2025-09-02T00:00:00"/>
    <x v="12"/>
    <n v="6"/>
    <n v="2025"/>
    <s v="2025-36"/>
    <s v="Week 36"/>
    <x v="35"/>
  </r>
  <r>
    <d v="2025-09-02T00:00:00"/>
    <x v="14"/>
    <n v="4"/>
    <n v="2025"/>
    <s v="2025-36"/>
    <s v="Week 36"/>
    <x v="35"/>
  </r>
  <r>
    <d v="2025-09-02T00:00:00"/>
    <x v="12"/>
    <n v="4"/>
    <n v="2025"/>
    <s v="2025-36"/>
    <s v="Week 36"/>
    <x v="35"/>
  </r>
  <r>
    <d v="2025-09-02T00:00:00"/>
    <x v="15"/>
    <n v="4"/>
    <n v="2025"/>
    <s v="2025-36"/>
    <s v="Week 36"/>
    <x v="35"/>
  </r>
  <r>
    <d v="2025-09-03T00:00:00"/>
    <x v="3"/>
    <n v="4"/>
    <n v="2025"/>
    <s v="2025-36"/>
    <s v="Week 36"/>
    <x v="35"/>
  </r>
  <r>
    <d v="2025-09-03T00:00:00"/>
    <x v="12"/>
    <n v="4"/>
    <n v="2025"/>
    <s v="2025-36"/>
    <s v="Week 36"/>
    <x v="35"/>
  </r>
  <r>
    <d v="2025-09-03T00:00:00"/>
    <x v="13"/>
    <n v="2"/>
    <n v="2025"/>
    <s v="2025-36"/>
    <s v="Week 36"/>
    <x v="35"/>
  </r>
  <r>
    <d v="2025-09-04T00:00:00"/>
    <x v="27"/>
    <n v="14"/>
    <n v="2025"/>
    <s v="2025-36"/>
    <s v="Week 36"/>
    <x v="35"/>
  </r>
  <r>
    <d v="2025-09-04T00:00:00"/>
    <x v="6"/>
    <n v="4"/>
    <n v="2025"/>
    <s v="2025-36"/>
    <s v="Week 36"/>
    <x v="35"/>
  </r>
  <r>
    <d v="2025-09-04T00:00:00"/>
    <x v="12"/>
    <n v="6"/>
    <n v="2025"/>
    <s v="2025-36"/>
    <s v="Week 36"/>
    <x v="35"/>
  </r>
  <r>
    <d v="2025-09-04T00:00:00"/>
    <x v="15"/>
    <n v="6"/>
    <n v="2025"/>
    <s v="2025-36"/>
    <s v="Week 36"/>
    <x v="35"/>
  </r>
  <r>
    <d v="2025-09-04T00:00:00"/>
    <x v="15"/>
    <n v="8"/>
    <n v="2025"/>
    <s v="2025-36"/>
    <s v="Week 36"/>
    <x v="35"/>
  </r>
  <r>
    <d v="2025-09-04T00:00:00"/>
    <x v="10"/>
    <n v="4"/>
    <n v="2025"/>
    <s v="2025-36"/>
    <s v="Week 36"/>
    <x v="35"/>
  </r>
  <r>
    <d v="2025-09-04T00:00:00"/>
    <x v="11"/>
    <n v="5"/>
    <n v="2025"/>
    <s v="2025-36"/>
    <s v="Week 36"/>
    <x v="35"/>
  </r>
  <r>
    <d v="2025-09-04T00:00:00"/>
    <x v="15"/>
    <n v="6"/>
    <n v="2025"/>
    <s v="2025-36"/>
    <s v="Week 36"/>
    <x v="35"/>
  </r>
  <r>
    <d v="2025-09-04T00:00:00"/>
    <x v="15"/>
    <n v="4"/>
    <n v="2025"/>
    <s v="2025-36"/>
    <s v="Week 36"/>
    <x v="35"/>
  </r>
  <r>
    <d v="2025-09-04T00:00:00"/>
    <x v="3"/>
    <n v="2"/>
    <n v="2025"/>
    <s v="2025-36"/>
    <s v="Week 36"/>
    <x v="35"/>
  </r>
  <r>
    <d v="2025-09-04T00:00:00"/>
    <x v="27"/>
    <n v="4"/>
    <n v="2025"/>
    <s v="2025-36"/>
    <s v="Week 36"/>
    <x v="35"/>
  </r>
  <r>
    <d v="2025-09-04T00:00:00"/>
    <x v="15"/>
    <n v="2"/>
    <n v="2025"/>
    <s v="2025-36"/>
    <s v="Week 36"/>
    <x v="35"/>
  </r>
  <r>
    <d v="2025-09-04T00:00:00"/>
    <x v="28"/>
    <n v="4"/>
    <n v="2025"/>
    <s v="2025-36"/>
    <s v="Week 36"/>
    <x v="35"/>
  </r>
  <r>
    <d v="2025-09-04T00:00:00"/>
    <x v="25"/>
    <n v="2"/>
    <n v="2025"/>
    <s v="2025-36"/>
    <s v="Week 36"/>
    <x v="35"/>
  </r>
  <r>
    <d v="2025-09-04T00:00:00"/>
    <x v="15"/>
    <n v="2"/>
    <n v="2025"/>
    <s v="2025-36"/>
    <s v="Week 36"/>
    <x v="35"/>
  </r>
  <r>
    <d v="2025-09-04T00:00:00"/>
    <x v="11"/>
    <n v="1"/>
    <n v="2025"/>
    <s v="2025-36"/>
    <s v="Week 36"/>
    <x v="35"/>
  </r>
  <r>
    <d v="2025-09-05T00:00:00"/>
    <x v="13"/>
    <n v="8"/>
    <n v="2025"/>
    <s v="2025-36"/>
    <s v="Week 36"/>
    <x v="35"/>
  </r>
  <r>
    <d v="2025-09-05T00:00:00"/>
    <x v="17"/>
    <n v="8"/>
    <n v="2025"/>
    <s v="2025-36"/>
    <s v="Week 36"/>
    <x v="35"/>
  </r>
  <r>
    <d v="2025-09-05T00:00:00"/>
    <x v="12"/>
    <n v="8"/>
    <n v="2025"/>
    <s v="2025-36"/>
    <s v="Week 36"/>
    <x v="35"/>
  </r>
  <r>
    <d v="2025-09-05T00:00:00"/>
    <x v="12"/>
    <n v="8"/>
    <n v="2025"/>
    <s v="2025-36"/>
    <s v="Week 36"/>
    <x v="35"/>
  </r>
  <r>
    <d v="2025-09-05T00:00:00"/>
    <x v="11"/>
    <n v="8"/>
    <n v="2025"/>
    <s v="2025-36"/>
    <s v="Week 36"/>
    <x v="35"/>
  </r>
  <r>
    <d v="2025-09-05T00:00:00"/>
    <x v="2"/>
    <n v="8"/>
    <n v="2025"/>
    <s v="2025-36"/>
    <s v="Week 36"/>
    <x v="35"/>
  </r>
  <r>
    <d v="2025-09-05T00:00:00"/>
    <x v="6"/>
    <n v="4"/>
    <n v="2025"/>
    <s v="2025-36"/>
    <s v="Week 36"/>
    <x v="35"/>
  </r>
  <r>
    <d v="2025-09-05T00:00:00"/>
    <x v="12"/>
    <n v="8"/>
    <n v="2025"/>
    <s v="2025-36"/>
    <s v="Week 36"/>
    <x v="35"/>
  </r>
  <r>
    <d v="2025-09-05T00:00:00"/>
    <x v="14"/>
    <n v="4"/>
    <n v="2025"/>
    <s v="2025-36"/>
    <s v="Week 36"/>
    <x v="35"/>
  </r>
  <r>
    <d v="2025-09-05T00:00:00"/>
    <x v="6"/>
    <n v="3"/>
    <n v="2025"/>
    <s v="2025-36"/>
    <s v="Week 36"/>
    <x v="35"/>
  </r>
  <r>
    <d v="2025-09-05T00:00:00"/>
    <x v="6"/>
    <n v="3"/>
    <n v="2025"/>
    <s v="2025-36"/>
    <s v="Week 36"/>
    <x v="35"/>
  </r>
  <r>
    <d v="2025-09-05T00:00:00"/>
    <x v="14"/>
    <n v="3"/>
    <n v="2025"/>
    <s v="2025-36"/>
    <s v="Week 36"/>
    <x v="35"/>
  </r>
  <r>
    <d v="2025-09-05T00:00:00"/>
    <x v="3"/>
    <n v="4"/>
    <n v="2025"/>
    <s v="2025-36"/>
    <s v="Week 36"/>
    <x v="35"/>
  </r>
  <r>
    <d v="2025-09-05T00:00:00"/>
    <x v="12"/>
    <n v="4"/>
    <n v="2025"/>
    <s v="2025-36"/>
    <s v="Week 36"/>
    <x v="35"/>
  </r>
  <r>
    <d v="2025-09-05T00:00:00"/>
    <x v="11"/>
    <n v="4"/>
    <n v="2025"/>
    <s v="2025-36"/>
    <s v="Week 36"/>
    <x v="35"/>
  </r>
  <r>
    <d v="2025-09-05T00:00:00"/>
    <x v="6"/>
    <n v="2"/>
    <n v="2025"/>
    <s v="2025-36"/>
    <s v="Week 36"/>
    <x v="35"/>
  </r>
  <r>
    <d v="2025-09-05T00:00:00"/>
    <x v="3"/>
    <n v="2"/>
    <n v="2025"/>
    <s v="2025-36"/>
    <s v="Week 36"/>
    <x v="35"/>
  </r>
  <r>
    <d v="2025-09-05T00:00:00"/>
    <x v="28"/>
    <n v="4"/>
    <n v="2025"/>
    <s v="2025-36"/>
    <s v="Week 36"/>
    <x v="35"/>
  </r>
  <r>
    <d v="2025-09-05T00:00:00"/>
    <x v="14"/>
    <n v="1"/>
    <n v="2025"/>
    <s v="2025-36"/>
    <s v="Week 36"/>
    <x v="35"/>
  </r>
  <r>
    <d v="2025-09-05T00:00:00"/>
    <x v="32"/>
    <n v="2"/>
    <n v="2025"/>
    <s v="2025-36"/>
    <s v="Week 36"/>
    <x v="35"/>
  </r>
  <r>
    <d v="2025-09-05T00:00:00"/>
    <x v="31"/>
    <n v="1"/>
    <n v="2025"/>
    <s v="2025-36"/>
    <s v="Week 36"/>
    <x v="35"/>
  </r>
  <r>
    <d v="2025-09-06T00:00:00"/>
    <x v="13"/>
    <n v="10"/>
    <n v="2025"/>
    <s v="2025-36"/>
    <s v="Week 36"/>
    <x v="35"/>
  </r>
  <r>
    <d v="2025-09-06T00:00:00"/>
    <x v="3"/>
    <n v="8"/>
    <n v="2025"/>
    <s v="2025-36"/>
    <s v="Week 36"/>
    <x v="35"/>
  </r>
  <r>
    <d v="2025-09-06T00:00:00"/>
    <x v="1"/>
    <n v="12"/>
    <n v="2025"/>
    <s v="2025-36"/>
    <s v="Week 36"/>
    <x v="35"/>
  </r>
  <r>
    <d v="2025-09-06T00:00:00"/>
    <x v="25"/>
    <n v="8"/>
    <n v="2025"/>
    <s v="2025-36"/>
    <s v="Week 36"/>
    <x v="35"/>
  </r>
  <r>
    <d v="2025-09-06T00:00:00"/>
    <x v="17"/>
    <n v="4"/>
    <n v="2025"/>
    <s v="2025-36"/>
    <s v="Week 36"/>
    <x v="35"/>
  </r>
  <r>
    <d v="2025-09-06T00:00:00"/>
    <x v="3"/>
    <n v="4"/>
    <n v="2025"/>
    <s v="2025-36"/>
    <s v="Week 36"/>
    <x v="35"/>
  </r>
  <r>
    <d v="2025-09-06T00:00:00"/>
    <x v="19"/>
    <n v="7"/>
    <n v="2025"/>
    <s v="2025-36"/>
    <s v="Week 36"/>
    <x v="35"/>
  </r>
  <r>
    <d v="2025-09-06T00:00:00"/>
    <x v="13"/>
    <n v="2"/>
    <n v="2025"/>
    <s v="2025-36"/>
    <s v="Week 36"/>
    <x v="35"/>
  </r>
  <r>
    <d v="2025-09-06T00:00:00"/>
    <x v="22"/>
    <n v="4"/>
    <n v="2025"/>
    <s v="2025-36"/>
    <s v="Week 36"/>
    <x v="35"/>
  </r>
  <r>
    <d v="2025-09-06T00:00:00"/>
    <x v="35"/>
    <n v="4"/>
    <n v="2025"/>
    <s v="2025-36"/>
    <s v="Week 36"/>
    <x v="35"/>
  </r>
  <r>
    <d v="2025-09-06T00:00:00"/>
    <x v="9"/>
    <n v="2"/>
    <n v="2025"/>
    <s v="2025-36"/>
    <s v="Week 36"/>
    <x v="35"/>
  </r>
  <r>
    <d v="2025-09-06T00:00:00"/>
    <x v="26"/>
    <n v="1"/>
    <n v="2025"/>
    <s v="2025-36"/>
    <s v="Week 36"/>
    <x v="35"/>
  </r>
  <r>
    <d v="2025-09-06T00:00:00"/>
    <x v="4"/>
    <n v="1"/>
    <n v="2025"/>
    <s v="2025-36"/>
    <s v="Week 36"/>
    <x v="35"/>
  </r>
  <r>
    <d v="2025-09-06T00:00:00"/>
    <x v="27"/>
    <n v="1"/>
    <n v="2025"/>
    <s v="2025-36"/>
    <s v="Week 36"/>
    <x v="35"/>
  </r>
  <r>
    <d v="2025-09-07T00:00:00"/>
    <x v="12"/>
    <n v="10"/>
    <n v="2025"/>
    <s v="2025-36"/>
    <s v="Week 37"/>
    <x v="36"/>
  </r>
  <r>
    <d v="2025-09-07T00:00:00"/>
    <x v="11"/>
    <n v="8"/>
    <n v="2025"/>
    <s v="2025-36"/>
    <s v="Week 37"/>
    <x v="36"/>
  </r>
  <r>
    <d v="2025-09-08T00:00:00"/>
    <x v="17"/>
    <n v="2"/>
    <n v="2025"/>
    <s v="2025-37"/>
    <s v="Week 37"/>
    <x v="36"/>
  </r>
  <r>
    <d v="2025-09-10T00:00:00"/>
    <x v="14"/>
    <n v="8"/>
    <n v="2025"/>
    <s v="2025-37"/>
    <s v="Week 37"/>
    <x v="36"/>
  </r>
  <r>
    <d v="2025-09-10T00:00:00"/>
    <x v="11"/>
    <n v="8"/>
    <n v="2025"/>
    <s v="2025-37"/>
    <s v="Week 37"/>
    <x v="36"/>
  </r>
  <r>
    <d v="2025-09-10T00:00:00"/>
    <x v="6"/>
    <n v="4"/>
    <n v="2025"/>
    <s v="2025-37"/>
    <s v="Week 37"/>
    <x v="36"/>
  </r>
  <r>
    <d v="2025-09-10T00:00:00"/>
    <x v="13"/>
    <n v="4"/>
    <n v="2025"/>
    <s v="2025-37"/>
    <s v="Week 37"/>
    <x v="36"/>
  </r>
  <r>
    <d v="2025-09-10T00:00:00"/>
    <x v="25"/>
    <n v="6"/>
    <n v="2025"/>
    <s v="2025-37"/>
    <s v="Week 37"/>
    <x v="36"/>
  </r>
  <r>
    <d v="2025-09-10T00:00:00"/>
    <x v="5"/>
    <n v="2"/>
    <n v="2025"/>
    <s v="2025-37"/>
    <s v="Week 37"/>
    <x v="36"/>
  </r>
  <r>
    <d v="2025-09-10T00:00:00"/>
    <x v="15"/>
    <n v="6"/>
    <n v="2025"/>
    <s v="2025-37"/>
    <s v="Week 37"/>
    <x v="36"/>
  </r>
  <r>
    <d v="2025-09-10T00:00:00"/>
    <x v="40"/>
    <n v="4"/>
    <n v="2025"/>
    <s v="2025-37"/>
    <s v="Week 37"/>
    <x v="36"/>
  </r>
  <r>
    <d v="2025-09-10T00:00:00"/>
    <x v="2"/>
    <n v="2"/>
    <n v="2025"/>
    <s v="2025-37"/>
    <s v="Week 37"/>
    <x v="36"/>
  </r>
  <r>
    <d v="2025-09-11T00:00:00"/>
    <x v="13"/>
    <n v="14"/>
    <n v="2025"/>
    <s v="2025-37"/>
    <s v="Week 37"/>
    <x v="36"/>
  </r>
  <r>
    <d v="2025-09-11T00:00:00"/>
    <x v="13"/>
    <n v="10"/>
    <n v="2025"/>
    <s v="2025-37"/>
    <s v="Week 37"/>
    <x v="36"/>
  </r>
  <r>
    <d v="2025-09-11T00:00:00"/>
    <x v="13"/>
    <n v="6"/>
    <n v="2025"/>
    <s v="2025-37"/>
    <s v="Week 37"/>
    <x v="36"/>
  </r>
  <r>
    <d v="2025-09-11T00:00:00"/>
    <x v="1"/>
    <n v="12"/>
    <n v="2025"/>
    <s v="2025-37"/>
    <s v="Week 37"/>
    <x v="36"/>
  </r>
  <r>
    <d v="2025-09-11T00:00:00"/>
    <x v="2"/>
    <n v="8"/>
    <n v="2025"/>
    <s v="2025-37"/>
    <s v="Week 37"/>
    <x v="36"/>
  </r>
  <r>
    <d v="2025-09-11T00:00:00"/>
    <x v="3"/>
    <n v="5"/>
    <n v="2025"/>
    <s v="2025-37"/>
    <s v="Week 37"/>
    <x v="36"/>
  </r>
  <r>
    <d v="2025-09-11T00:00:00"/>
    <x v="17"/>
    <n v="4"/>
    <n v="2025"/>
    <s v="2025-37"/>
    <s v="Week 37"/>
    <x v="36"/>
  </r>
  <r>
    <d v="2025-09-11T00:00:00"/>
    <x v="14"/>
    <n v="4"/>
    <n v="2025"/>
    <s v="2025-37"/>
    <s v="Week 37"/>
    <x v="36"/>
  </r>
  <r>
    <d v="2025-09-11T00:00:00"/>
    <x v="20"/>
    <n v="6"/>
    <n v="2025"/>
    <s v="2025-37"/>
    <s v="Week 37"/>
    <x v="36"/>
  </r>
  <r>
    <d v="2025-09-11T00:00:00"/>
    <x v="25"/>
    <n v="6"/>
    <n v="2025"/>
    <s v="2025-37"/>
    <s v="Week 37"/>
    <x v="36"/>
  </r>
  <r>
    <d v="2025-09-11T00:00:00"/>
    <x v="25"/>
    <n v="6"/>
    <n v="2025"/>
    <s v="2025-37"/>
    <s v="Week 37"/>
    <x v="36"/>
  </r>
  <r>
    <d v="2025-09-11T00:00:00"/>
    <x v="1"/>
    <n v="7"/>
    <n v="2025"/>
    <s v="2025-37"/>
    <s v="Week 37"/>
    <x v="36"/>
  </r>
  <r>
    <d v="2025-09-11T00:00:00"/>
    <x v="3"/>
    <n v="4"/>
    <n v="2025"/>
    <s v="2025-37"/>
    <s v="Week 37"/>
    <x v="36"/>
  </r>
  <r>
    <d v="2025-09-11T00:00:00"/>
    <x v="19"/>
    <n v="7"/>
    <n v="2025"/>
    <s v="2025-37"/>
    <s v="Week 37"/>
    <x v="36"/>
  </r>
  <r>
    <d v="2025-09-11T00:00:00"/>
    <x v="12"/>
    <n v="4"/>
    <n v="2025"/>
    <s v="2025-37"/>
    <s v="Week 37"/>
    <x v="36"/>
  </r>
  <r>
    <d v="2025-09-11T00:00:00"/>
    <x v="25"/>
    <n v="4"/>
    <n v="2025"/>
    <s v="2025-37"/>
    <s v="Week 37"/>
    <x v="36"/>
  </r>
  <r>
    <d v="2025-09-11T00:00:00"/>
    <x v="22"/>
    <n v="4"/>
    <n v="2025"/>
    <s v="2025-37"/>
    <s v="Week 37"/>
    <x v="36"/>
  </r>
  <r>
    <d v="2025-09-11T00:00:00"/>
    <x v="1"/>
    <n v="4"/>
    <n v="2025"/>
    <s v="2025-37"/>
    <s v="Week 37"/>
    <x v="36"/>
  </r>
  <r>
    <d v="2025-09-11T00:00:00"/>
    <x v="1"/>
    <n v="4"/>
    <n v="2025"/>
    <s v="2025-37"/>
    <s v="Week 37"/>
    <x v="36"/>
  </r>
  <r>
    <d v="2025-09-11T00:00:00"/>
    <x v="35"/>
    <n v="4"/>
    <n v="2025"/>
    <s v="2025-37"/>
    <s v="Week 37"/>
    <x v="36"/>
  </r>
  <r>
    <d v="2025-09-11T00:00:00"/>
    <x v="11"/>
    <n v="2"/>
    <n v="2025"/>
    <s v="2025-37"/>
    <s v="Week 37"/>
    <x v="36"/>
  </r>
  <r>
    <d v="2025-09-11T00:00:00"/>
    <x v="9"/>
    <n v="2"/>
    <n v="2025"/>
    <s v="2025-37"/>
    <s v="Week 37"/>
    <x v="36"/>
  </r>
  <r>
    <d v="2025-09-11T00:00:00"/>
    <x v="21"/>
    <n v="4"/>
    <n v="2025"/>
    <s v="2025-37"/>
    <s v="Week 37"/>
    <x v="36"/>
  </r>
  <r>
    <d v="2025-09-11T00:00:00"/>
    <x v="21"/>
    <n v="4"/>
    <n v="2025"/>
    <s v="2025-37"/>
    <s v="Week 37"/>
    <x v="36"/>
  </r>
  <r>
    <d v="2025-09-11T00:00:00"/>
    <x v="12"/>
    <n v="2"/>
    <n v="2025"/>
    <s v="2025-37"/>
    <s v="Week 37"/>
    <x v="36"/>
  </r>
  <r>
    <d v="2025-09-11T00:00:00"/>
    <x v="2"/>
    <n v="2"/>
    <n v="2025"/>
    <s v="2025-37"/>
    <s v="Week 37"/>
    <x v="36"/>
  </r>
  <r>
    <d v="2025-09-11T00:00:00"/>
    <x v="2"/>
    <n v="2"/>
    <n v="2025"/>
    <s v="2025-37"/>
    <s v="Week 37"/>
    <x v="36"/>
  </r>
  <r>
    <d v="2025-09-11T00:00:00"/>
    <x v="7"/>
    <n v="1"/>
    <n v="2025"/>
    <s v="2025-37"/>
    <s v="Week 37"/>
    <x v="36"/>
  </r>
  <r>
    <d v="2025-09-11T00:00:00"/>
    <x v="25"/>
    <n v="2"/>
    <n v="2025"/>
    <s v="2025-37"/>
    <s v="Week 37"/>
    <x v="36"/>
  </r>
  <r>
    <d v="2025-09-11T00:00:00"/>
    <x v="22"/>
    <n v="2"/>
    <n v="2025"/>
    <s v="2025-37"/>
    <s v="Week 37"/>
    <x v="36"/>
  </r>
  <r>
    <d v="2025-09-11T00:00:00"/>
    <x v="22"/>
    <n v="2"/>
    <n v="2025"/>
    <s v="2025-37"/>
    <s v="Week 37"/>
    <x v="36"/>
  </r>
  <r>
    <d v="2025-09-11T00:00:00"/>
    <x v="17"/>
    <n v="1"/>
    <n v="2025"/>
    <s v="2025-37"/>
    <s v="Week 37"/>
    <x v="36"/>
  </r>
  <r>
    <d v="2025-09-11T00:00:00"/>
    <x v="31"/>
    <n v="2"/>
    <n v="2025"/>
    <s v="2025-37"/>
    <s v="Week 37"/>
    <x v="36"/>
  </r>
  <r>
    <d v="2025-09-11T00:00:00"/>
    <x v="14"/>
    <n v="1"/>
    <n v="2025"/>
    <s v="2025-37"/>
    <s v="Week 37"/>
    <x v="36"/>
  </r>
  <r>
    <d v="2025-09-11T00:00:00"/>
    <x v="11"/>
    <n v="1"/>
    <n v="2025"/>
    <s v="2025-37"/>
    <s v="Week 37"/>
    <x v="36"/>
  </r>
  <r>
    <d v="2025-09-11T00:00:00"/>
    <x v="9"/>
    <n v="1"/>
    <n v="2025"/>
    <s v="2025-37"/>
    <s v="Week 37"/>
    <x v="36"/>
  </r>
  <r>
    <d v="2025-09-11T00:00:00"/>
    <x v="27"/>
    <n v="2"/>
    <n v="2025"/>
    <s v="2025-37"/>
    <s v="Week 37"/>
    <x v="36"/>
  </r>
  <r>
    <d v="2025-09-11T00:00:00"/>
    <x v="27"/>
    <n v="2"/>
    <n v="2025"/>
    <s v="2025-37"/>
    <s v="Week 37"/>
    <x v="36"/>
  </r>
  <r>
    <d v="2025-09-11T00:00:00"/>
    <x v="21"/>
    <n v="2"/>
    <n v="2025"/>
    <s v="2025-37"/>
    <s v="Week 37"/>
    <x v="36"/>
  </r>
  <r>
    <d v="2025-09-11T00:00:00"/>
    <x v="2"/>
    <n v="1"/>
    <n v="2025"/>
    <s v="2025-37"/>
    <s v="Week 37"/>
    <x v="36"/>
  </r>
  <r>
    <d v="2025-09-11T00:00:00"/>
    <x v="15"/>
    <n v="1"/>
    <n v="2025"/>
    <s v="2025-37"/>
    <s v="Week 37"/>
    <x v="36"/>
  </r>
  <r>
    <d v="2025-09-11T00:00:00"/>
    <x v="26"/>
    <n v="1"/>
    <n v="2025"/>
    <s v="2025-37"/>
    <s v="Week 37"/>
    <x v="36"/>
  </r>
  <r>
    <d v="2025-09-11T00:00:00"/>
    <x v="4"/>
    <n v="1"/>
    <n v="2025"/>
    <s v="2025-37"/>
    <s v="Week 37"/>
    <x v="36"/>
  </r>
  <r>
    <d v="2025-09-11T00:00:00"/>
    <x v="4"/>
    <n v="1"/>
    <n v="2025"/>
    <s v="2025-37"/>
    <s v="Week 37"/>
    <x v="36"/>
  </r>
  <r>
    <d v="2025-09-12T00:00:00"/>
    <x v="3"/>
    <n v="14"/>
    <n v="2025"/>
    <s v="2025-37"/>
    <s v="Week 37"/>
    <x v="36"/>
  </r>
  <r>
    <d v="2025-09-12T00:00:00"/>
    <x v="11"/>
    <n v="10"/>
    <n v="2025"/>
    <s v="2025-37"/>
    <s v="Week 37"/>
    <x v="36"/>
  </r>
  <r>
    <d v="2025-09-12T00:00:00"/>
    <x v="15"/>
    <n v="8"/>
    <n v="2025"/>
    <s v="2025-37"/>
    <s v="Week 37"/>
    <x v="36"/>
  </r>
  <r>
    <d v="2025-09-12T00:00:00"/>
    <x v="14"/>
    <n v="2"/>
    <n v="2025"/>
    <s v="2025-37"/>
    <s v="Week 37"/>
    <x v="36"/>
  </r>
  <r>
    <d v="2025-09-12T00:00:00"/>
    <x v="25"/>
    <n v="2"/>
    <n v="2025"/>
    <s v="2025-37"/>
    <s v="Week 37"/>
    <x v="36"/>
  </r>
  <r>
    <d v="2025-09-13T00:00:00"/>
    <x v="5"/>
    <n v="13"/>
    <n v="2025"/>
    <s v="2025-37"/>
    <s v="Week 37"/>
    <x v="36"/>
  </r>
  <r>
    <d v="2025-09-13T00:00:00"/>
    <x v="6"/>
    <n v="11"/>
    <n v="2025"/>
    <s v="2025-37"/>
    <s v="Week 37"/>
    <x v="36"/>
  </r>
  <r>
    <d v="2025-09-13T00:00:00"/>
    <x v="14"/>
    <n v="12"/>
    <n v="2025"/>
    <s v="2025-37"/>
    <s v="Week 37"/>
    <x v="36"/>
  </r>
  <r>
    <d v="2025-09-13T00:00:00"/>
    <x v="29"/>
    <n v="4"/>
    <n v="2025"/>
    <s v="2025-37"/>
    <s v="Week 37"/>
    <x v="36"/>
  </r>
  <r>
    <d v="2025-09-13T00:00:00"/>
    <x v="13"/>
    <n v="8"/>
    <n v="2025"/>
    <s v="2025-37"/>
    <s v="Week 37"/>
    <x v="36"/>
  </r>
  <r>
    <d v="2025-09-13T00:00:00"/>
    <x v="3"/>
    <n v="10"/>
    <n v="2025"/>
    <s v="2025-37"/>
    <s v="Week 37"/>
    <x v="36"/>
  </r>
  <r>
    <d v="2025-09-13T00:00:00"/>
    <x v="16"/>
    <n v="5"/>
    <n v="2025"/>
    <s v="2025-37"/>
    <s v="Week 37"/>
    <x v="36"/>
  </r>
  <r>
    <d v="2025-09-13T00:00:00"/>
    <x v="17"/>
    <n v="5"/>
    <n v="2025"/>
    <s v="2025-37"/>
    <s v="Week 37"/>
    <x v="36"/>
  </r>
  <r>
    <d v="2025-09-13T00:00:00"/>
    <x v="7"/>
    <n v="4"/>
    <n v="2025"/>
    <s v="2025-37"/>
    <s v="Week 37"/>
    <x v="36"/>
  </r>
  <r>
    <d v="2025-09-13T00:00:00"/>
    <x v="26"/>
    <n v="8"/>
    <n v="2025"/>
    <s v="2025-37"/>
    <s v="Week 37"/>
    <x v="36"/>
  </r>
  <r>
    <d v="2025-09-13T00:00:00"/>
    <x v="11"/>
    <n v="4"/>
    <n v="2025"/>
    <s v="2025-37"/>
    <s v="Week 37"/>
    <x v="36"/>
  </r>
  <r>
    <d v="2025-09-13T00:00:00"/>
    <x v="22"/>
    <n v="6"/>
    <n v="2025"/>
    <s v="2025-37"/>
    <s v="Week 37"/>
    <x v="36"/>
  </r>
  <r>
    <d v="2025-09-13T00:00:00"/>
    <x v="4"/>
    <n v="8"/>
    <n v="2025"/>
    <s v="2025-37"/>
    <s v="Week 37"/>
    <x v="36"/>
  </r>
  <r>
    <d v="2025-09-13T00:00:00"/>
    <x v="0"/>
    <n v="2"/>
    <n v="2025"/>
    <s v="2025-37"/>
    <s v="Week 37"/>
    <x v="36"/>
  </r>
  <r>
    <d v="2025-09-13T00:00:00"/>
    <x v="5"/>
    <n v="2"/>
    <n v="2025"/>
    <s v="2025-37"/>
    <s v="Week 37"/>
    <x v="36"/>
  </r>
  <r>
    <d v="2025-09-13T00:00:00"/>
    <x v="29"/>
    <n v="1"/>
    <n v="2025"/>
    <s v="2025-37"/>
    <s v="Week 37"/>
    <x v="36"/>
  </r>
  <r>
    <d v="2025-09-13T00:00:00"/>
    <x v="11"/>
    <n v="3"/>
    <n v="2025"/>
    <s v="2025-37"/>
    <s v="Week 37"/>
    <x v="36"/>
  </r>
  <r>
    <d v="2025-09-13T00:00:00"/>
    <x v="15"/>
    <n v="4"/>
    <n v="2025"/>
    <s v="2025-37"/>
    <s v="Week 37"/>
    <x v="36"/>
  </r>
  <r>
    <d v="2025-09-13T00:00:00"/>
    <x v="1"/>
    <n v="4"/>
    <n v="2025"/>
    <s v="2025-37"/>
    <s v="Week 37"/>
    <x v="36"/>
  </r>
  <r>
    <d v="2025-09-13T00:00:00"/>
    <x v="15"/>
    <n v="4"/>
    <n v="2025"/>
    <s v="2025-37"/>
    <s v="Week 37"/>
    <x v="36"/>
  </r>
  <r>
    <d v="2025-09-13T00:00:00"/>
    <x v="35"/>
    <n v="4"/>
    <n v="2025"/>
    <s v="2025-37"/>
    <s v="Week 37"/>
    <x v="36"/>
  </r>
  <r>
    <d v="2025-09-13T00:00:00"/>
    <x v="9"/>
    <n v="2"/>
    <n v="2025"/>
    <s v="2025-37"/>
    <s v="Week 37"/>
    <x v="36"/>
  </r>
  <r>
    <d v="2025-09-13T00:00:00"/>
    <x v="9"/>
    <n v="2"/>
    <n v="2025"/>
    <s v="2025-37"/>
    <s v="Week 37"/>
    <x v="36"/>
  </r>
  <r>
    <d v="2025-09-13T00:00:00"/>
    <x v="18"/>
    <n v="4"/>
    <n v="2025"/>
    <s v="2025-37"/>
    <s v="Week 37"/>
    <x v="36"/>
  </r>
  <r>
    <d v="2025-09-13T00:00:00"/>
    <x v="12"/>
    <n v="2"/>
    <n v="2025"/>
    <s v="2025-37"/>
    <s v="Week 37"/>
    <x v="36"/>
  </r>
  <r>
    <d v="2025-09-13T00:00:00"/>
    <x v="12"/>
    <n v="2"/>
    <n v="2025"/>
    <s v="2025-37"/>
    <s v="Week 37"/>
    <x v="36"/>
  </r>
  <r>
    <d v="2025-09-13T00:00:00"/>
    <x v="2"/>
    <n v="2"/>
    <n v="2025"/>
    <s v="2025-37"/>
    <s v="Week 37"/>
    <x v="36"/>
  </r>
  <r>
    <d v="2025-09-13T00:00:00"/>
    <x v="7"/>
    <n v="1"/>
    <n v="2025"/>
    <s v="2025-37"/>
    <s v="Week 37"/>
    <x v="36"/>
  </r>
  <r>
    <d v="2025-09-13T00:00:00"/>
    <x v="25"/>
    <n v="2"/>
    <n v="2025"/>
    <s v="2025-37"/>
    <s v="Week 37"/>
    <x v="36"/>
  </r>
  <r>
    <d v="2025-09-13T00:00:00"/>
    <x v="17"/>
    <n v="1"/>
    <n v="2025"/>
    <s v="2025-37"/>
    <s v="Week 37"/>
    <x v="36"/>
  </r>
  <r>
    <d v="2025-09-13T00:00:00"/>
    <x v="31"/>
    <n v="2"/>
    <n v="2025"/>
    <s v="2025-37"/>
    <s v="Week 37"/>
    <x v="36"/>
  </r>
  <r>
    <d v="2025-09-13T00:00:00"/>
    <x v="31"/>
    <n v="2"/>
    <n v="2025"/>
    <s v="2025-37"/>
    <s v="Week 37"/>
    <x v="36"/>
  </r>
  <r>
    <d v="2025-09-13T00:00:00"/>
    <x v="14"/>
    <n v="1"/>
    <n v="2025"/>
    <s v="2025-37"/>
    <s v="Week 37"/>
    <x v="36"/>
  </r>
  <r>
    <d v="2025-09-13T00:00:00"/>
    <x v="10"/>
    <n v="1"/>
    <n v="2025"/>
    <s v="2025-37"/>
    <s v="Week 37"/>
    <x v="36"/>
  </r>
  <r>
    <d v="2025-09-13T00:00:00"/>
    <x v="19"/>
    <n v="2"/>
    <n v="2025"/>
    <s v="2025-37"/>
    <s v="Week 37"/>
    <x v="36"/>
  </r>
  <r>
    <d v="2025-09-13T00:00:00"/>
    <x v="19"/>
    <n v="2"/>
    <n v="2025"/>
    <s v="2025-37"/>
    <s v="Week 37"/>
    <x v="36"/>
  </r>
  <r>
    <d v="2025-09-13T00:00:00"/>
    <x v="27"/>
    <n v="2"/>
    <n v="2025"/>
    <s v="2025-37"/>
    <s v="Week 37"/>
    <x v="36"/>
  </r>
  <r>
    <d v="2025-09-13T00:00:00"/>
    <x v="11"/>
    <n v="1"/>
    <n v="2025"/>
    <s v="2025-37"/>
    <s v="Week 37"/>
    <x v="36"/>
  </r>
  <r>
    <d v="2025-09-13T00:00:00"/>
    <x v="21"/>
    <n v="2"/>
    <n v="2025"/>
    <s v="2025-37"/>
    <s v="Week 37"/>
    <x v="36"/>
  </r>
  <r>
    <d v="2025-09-13T00:00:00"/>
    <x v="2"/>
    <n v="1"/>
    <n v="2025"/>
    <s v="2025-37"/>
    <s v="Week 37"/>
    <x v="36"/>
  </r>
  <r>
    <d v="2025-09-13T00:00:00"/>
    <x v="40"/>
    <n v="1"/>
    <n v="2025"/>
    <s v="2025-37"/>
    <s v="Week 37"/>
    <x v="36"/>
  </r>
  <r>
    <d v="2025-09-13T00:00:00"/>
    <x v="15"/>
    <n v="1"/>
    <n v="2025"/>
    <s v="2025-37"/>
    <s v="Week 37"/>
    <x v="36"/>
  </r>
  <r>
    <d v="2025-09-13T00:00:00"/>
    <x v="4"/>
    <n v="1"/>
    <n v="2025"/>
    <s v="2025-37"/>
    <s v="Week 37"/>
    <x v="36"/>
  </r>
  <r>
    <d v="2025-09-13T00:00:00"/>
    <x v="4"/>
    <n v="1"/>
    <n v="2025"/>
    <s v="2025-37"/>
    <s v="Week 37"/>
    <x v="36"/>
  </r>
  <r>
    <d v="2025-09-13T00:00:00"/>
    <x v="27"/>
    <n v="1"/>
    <n v="2025"/>
    <s v="2025-37"/>
    <s v="Week 37"/>
    <x v="36"/>
  </r>
  <r>
    <d v="2025-09-13T00:00:00"/>
    <x v="28"/>
    <n v="1"/>
    <n v="2025"/>
    <s v="2025-37"/>
    <s v="Week 37"/>
    <x v="36"/>
  </r>
  <r>
    <d v="2025-09-15T00:00:00"/>
    <x v="12"/>
    <n v="14"/>
    <n v="2025"/>
    <s v="2025-38"/>
    <s v="Week 38"/>
    <x v="37"/>
  </r>
  <r>
    <d v="2025-09-15T00:00:00"/>
    <x v="18"/>
    <n v="14"/>
    <n v="2025"/>
    <s v="2025-38"/>
    <s v="Week 38"/>
    <x v="37"/>
  </r>
  <r>
    <d v="2025-09-15T00:00:00"/>
    <x v="35"/>
    <n v="6"/>
    <n v="2025"/>
    <s v="2025-38"/>
    <s v="Week 38"/>
    <x v="37"/>
  </r>
  <r>
    <d v="2025-09-15T00:00:00"/>
    <x v="22"/>
    <n v="4"/>
    <n v="2025"/>
    <s v="2025-38"/>
    <s v="Week 38"/>
    <x v="37"/>
  </r>
  <r>
    <d v="2025-09-16T00:00:00"/>
    <x v="10"/>
    <n v="12"/>
    <n v="2025"/>
    <s v="2025-38"/>
    <s v="Week 38"/>
    <x v="37"/>
  </r>
  <r>
    <d v="2025-09-16T00:00:00"/>
    <x v="14"/>
    <n v="10"/>
    <n v="2025"/>
    <s v="2025-38"/>
    <s v="Week 38"/>
    <x v="37"/>
  </r>
  <r>
    <d v="2025-09-16T00:00:00"/>
    <x v="2"/>
    <n v="12"/>
    <n v="2025"/>
    <s v="2025-38"/>
    <s v="Week 38"/>
    <x v="37"/>
  </r>
  <r>
    <d v="2025-09-16T00:00:00"/>
    <x v="12"/>
    <n v="8"/>
    <n v="2025"/>
    <s v="2025-38"/>
    <s v="Week 38"/>
    <x v="37"/>
  </r>
  <r>
    <d v="2025-09-16T00:00:00"/>
    <x v="2"/>
    <n v="8"/>
    <n v="2025"/>
    <s v="2025-38"/>
    <s v="Week 38"/>
    <x v="37"/>
  </r>
  <r>
    <d v="2025-09-16T00:00:00"/>
    <x v="25"/>
    <n v="8"/>
    <n v="2025"/>
    <s v="2025-38"/>
    <s v="Week 38"/>
    <x v="37"/>
  </r>
  <r>
    <d v="2025-09-16T00:00:00"/>
    <x v="3"/>
    <n v="4"/>
    <n v="2025"/>
    <s v="2025-38"/>
    <s v="Week 38"/>
    <x v="37"/>
  </r>
  <r>
    <d v="2025-09-16T00:00:00"/>
    <x v="11"/>
    <n v="5"/>
    <n v="2025"/>
    <s v="2025-38"/>
    <s v="Week 38"/>
    <x v="37"/>
  </r>
  <r>
    <d v="2025-09-16T00:00:00"/>
    <x v="6"/>
    <n v="2"/>
    <n v="2025"/>
    <s v="2025-38"/>
    <s v="Week 38"/>
    <x v="37"/>
  </r>
  <r>
    <d v="2025-09-16T00:00:00"/>
    <x v="6"/>
    <n v="2"/>
    <n v="2025"/>
    <s v="2025-38"/>
    <s v="Week 38"/>
    <x v="37"/>
  </r>
  <r>
    <d v="2025-09-16T00:00:00"/>
    <x v="1"/>
    <n v="4"/>
    <n v="2025"/>
    <s v="2025-38"/>
    <s v="Week 38"/>
    <x v="37"/>
  </r>
  <r>
    <d v="2025-09-16T00:00:00"/>
    <x v="25"/>
    <n v="4"/>
    <n v="2025"/>
    <s v="2025-38"/>
    <s v="Week 38"/>
    <x v="37"/>
  </r>
  <r>
    <d v="2025-09-16T00:00:00"/>
    <x v="25"/>
    <n v="2"/>
    <n v="2025"/>
    <s v="2025-38"/>
    <s v="Week 38"/>
    <x v="37"/>
  </r>
  <r>
    <d v="2025-09-16T00:00:00"/>
    <x v="1"/>
    <n v="2"/>
    <n v="2025"/>
    <s v="2025-38"/>
    <s v="Week 38"/>
    <x v="37"/>
  </r>
  <r>
    <d v="2025-09-16T00:00:00"/>
    <x v="11"/>
    <n v="1"/>
    <n v="2025"/>
    <s v="2025-38"/>
    <s v="Week 38"/>
    <x v="37"/>
  </r>
  <r>
    <d v="2025-09-17T00:00:00"/>
    <x v="13"/>
    <n v="30"/>
    <n v="2025"/>
    <s v="2025-38"/>
    <s v="Week 38"/>
    <x v="37"/>
  </r>
  <r>
    <d v="2025-09-17T00:00:00"/>
    <x v="12"/>
    <n v="35"/>
    <n v="2025"/>
    <s v="2025-38"/>
    <s v="Week 38"/>
    <x v="37"/>
  </r>
  <r>
    <d v="2025-09-17T00:00:00"/>
    <x v="3"/>
    <n v="30"/>
    <n v="2025"/>
    <s v="2025-38"/>
    <s v="Week 38"/>
    <x v="37"/>
  </r>
  <r>
    <d v="2025-09-17T00:00:00"/>
    <x v="10"/>
    <n v="24"/>
    <n v="2025"/>
    <s v="2025-38"/>
    <s v="Week 38"/>
    <x v="37"/>
  </r>
  <r>
    <d v="2025-09-17T00:00:00"/>
    <x v="11"/>
    <n v="22"/>
    <n v="2025"/>
    <s v="2025-38"/>
    <s v="Week 38"/>
    <x v="37"/>
  </r>
  <r>
    <d v="2025-09-17T00:00:00"/>
    <x v="10"/>
    <n v="12"/>
    <n v="2025"/>
    <s v="2025-38"/>
    <s v="Week 38"/>
    <x v="37"/>
  </r>
  <r>
    <d v="2025-09-17T00:00:00"/>
    <x v="10"/>
    <n v="12"/>
    <n v="2025"/>
    <s v="2025-38"/>
    <s v="Week 38"/>
    <x v="37"/>
  </r>
  <r>
    <d v="2025-09-17T00:00:00"/>
    <x v="10"/>
    <n v="12"/>
    <n v="2025"/>
    <s v="2025-38"/>
    <s v="Week 38"/>
    <x v="37"/>
  </r>
  <r>
    <d v="2025-09-17T00:00:00"/>
    <x v="14"/>
    <n v="10"/>
    <n v="2025"/>
    <s v="2025-38"/>
    <s v="Week 38"/>
    <x v="37"/>
  </r>
  <r>
    <d v="2025-09-17T00:00:00"/>
    <x v="14"/>
    <n v="10"/>
    <n v="2025"/>
    <s v="2025-38"/>
    <s v="Week 38"/>
    <x v="37"/>
  </r>
  <r>
    <d v="2025-09-17T00:00:00"/>
    <x v="4"/>
    <n v="28"/>
    <n v="2025"/>
    <s v="2025-38"/>
    <s v="Week 38"/>
    <x v="37"/>
  </r>
  <r>
    <d v="2025-09-17T00:00:00"/>
    <x v="13"/>
    <n v="8"/>
    <n v="2025"/>
    <s v="2025-38"/>
    <s v="Week 38"/>
    <x v="37"/>
  </r>
  <r>
    <d v="2025-09-17T00:00:00"/>
    <x v="14"/>
    <n v="7"/>
    <n v="2025"/>
    <s v="2025-38"/>
    <s v="Week 38"/>
    <x v="37"/>
  </r>
  <r>
    <d v="2025-09-17T00:00:00"/>
    <x v="14"/>
    <n v="8"/>
    <n v="2025"/>
    <s v="2025-38"/>
    <s v="Week 38"/>
    <x v="37"/>
  </r>
  <r>
    <d v="2025-09-17T00:00:00"/>
    <x v="10"/>
    <n v="8"/>
    <n v="2025"/>
    <s v="2025-38"/>
    <s v="Week 38"/>
    <x v="37"/>
  </r>
  <r>
    <d v="2025-09-17T00:00:00"/>
    <x v="14"/>
    <n v="4"/>
    <n v="2025"/>
    <s v="2025-38"/>
    <s v="Week 38"/>
    <x v="37"/>
  </r>
  <r>
    <d v="2025-09-17T00:00:00"/>
    <x v="3"/>
    <n v="4"/>
    <n v="2025"/>
    <s v="2025-38"/>
    <s v="Week 38"/>
    <x v="37"/>
  </r>
  <r>
    <d v="2025-09-17T00:00:00"/>
    <x v="3"/>
    <n v="4"/>
    <n v="2025"/>
    <s v="2025-38"/>
    <s v="Week 38"/>
    <x v="37"/>
  </r>
  <r>
    <d v="2025-09-17T00:00:00"/>
    <x v="14"/>
    <n v="3"/>
    <n v="2025"/>
    <s v="2025-38"/>
    <s v="Week 38"/>
    <x v="37"/>
  </r>
  <r>
    <d v="2025-09-17T00:00:00"/>
    <x v="15"/>
    <n v="6"/>
    <n v="2025"/>
    <s v="2025-38"/>
    <s v="Week 38"/>
    <x v="37"/>
  </r>
  <r>
    <d v="2025-09-17T00:00:00"/>
    <x v="15"/>
    <n v="6"/>
    <n v="2025"/>
    <s v="2025-38"/>
    <s v="Week 38"/>
    <x v="37"/>
  </r>
  <r>
    <d v="2025-09-17T00:00:00"/>
    <x v="15"/>
    <n v="6"/>
    <n v="2025"/>
    <s v="2025-38"/>
    <s v="Week 38"/>
    <x v="37"/>
  </r>
  <r>
    <d v="2025-09-17T00:00:00"/>
    <x v="4"/>
    <n v="8"/>
    <n v="2025"/>
    <s v="2025-38"/>
    <s v="Week 38"/>
    <x v="37"/>
  </r>
  <r>
    <d v="2025-09-17T00:00:00"/>
    <x v="11"/>
    <n v="4"/>
    <n v="2025"/>
    <s v="2025-38"/>
    <s v="Week 38"/>
    <x v="37"/>
  </r>
  <r>
    <d v="2025-09-17T00:00:00"/>
    <x v="11"/>
    <n v="4"/>
    <n v="2025"/>
    <s v="2025-38"/>
    <s v="Week 38"/>
    <x v="37"/>
  </r>
  <r>
    <d v="2025-09-17T00:00:00"/>
    <x v="11"/>
    <n v="4"/>
    <n v="2025"/>
    <s v="2025-38"/>
    <s v="Week 38"/>
    <x v="37"/>
  </r>
  <r>
    <d v="2025-09-17T00:00:00"/>
    <x v="11"/>
    <n v="4"/>
    <n v="2025"/>
    <s v="2025-38"/>
    <s v="Week 38"/>
    <x v="37"/>
  </r>
  <r>
    <d v="2025-09-17T00:00:00"/>
    <x v="3"/>
    <n v="3"/>
    <n v="2025"/>
    <s v="2025-38"/>
    <s v="Week 38"/>
    <x v="37"/>
  </r>
  <r>
    <d v="2025-09-17T00:00:00"/>
    <x v="12"/>
    <n v="4"/>
    <n v="2025"/>
    <s v="2025-38"/>
    <s v="Week 38"/>
    <x v="37"/>
  </r>
  <r>
    <d v="2025-09-17T00:00:00"/>
    <x v="30"/>
    <n v="8"/>
    <n v="2025"/>
    <s v="2025-38"/>
    <s v="Week 38"/>
    <x v="37"/>
  </r>
  <r>
    <d v="2025-09-17T00:00:00"/>
    <x v="1"/>
    <n v="4"/>
    <n v="2025"/>
    <s v="2025-38"/>
    <s v="Week 38"/>
    <x v="37"/>
  </r>
  <r>
    <d v="2025-09-17T00:00:00"/>
    <x v="1"/>
    <n v="4"/>
    <n v="2025"/>
    <s v="2025-38"/>
    <s v="Week 38"/>
    <x v="37"/>
  </r>
  <r>
    <d v="2025-09-17T00:00:00"/>
    <x v="25"/>
    <n v="4"/>
    <n v="2025"/>
    <s v="2025-38"/>
    <s v="Week 38"/>
    <x v="37"/>
  </r>
  <r>
    <d v="2025-09-17T00:00:00"/>
    <x v="14"/>
    <n v="2"/>
    <n v="2025"/>
    <s v="2025-38"/>
    <s v="Week 38"/>
    <x v="37"/>
  </r>
  <r>
    <d v="2025-09-17T00:00:00"/>
    <x v="15"/>
    <n v="4"/>
    <n v="2025"/>
    <s v="2025-38"/>
    <s v="Week 38"/>
    <x v="37"/>
  </r>
  <r>
    <d v="2025-09-17T00:00:00"/>
    <x v="10"/>
    <n v="2"/>
    <n v="2025"/>
    <s v="2025-38"/>
    <s v="Week 38"/>
    <x v="37"/>
  </r>
  <r>
    <d v="2025-09-17T00:00:00"/>
    <x v="1"/>
    <n v="2"/>
    <n v="2025"/>
    <s v="2025-38"/>
    <s v="Week 38"/>
    <x v="37"/>
  </r>
  <r>
    <d v="2025-09-17T00:00:00"/>
    <x v="1"/>
    <n v="2"/>
    <n v="2025"/>
    <s v="2025-38"/>
    <s v="Week 38"/>
    <x v="37"/>
  </r>
  <r>
    <d v="2025-09-17T00:00:00"/>
    <x v="3"/>
    <n v="1"/>
    <n v="2025"/>
    <s v="2025-38"/>
    <s v="Week 38"/>
    <x v="37"/>
  </r>
  <r>
    <d v="2025-09-17T00:00:00"/>
    <x v="4"/>
    <n v="2"/>
    <n v="2025"/>
    <s v="2025-38"/>
    <s v="Week 38"/>
    <x v="37"/>
  </r>
  <r>
    <d v="2025-09-18T00:00:00"/>
    <x v="3"/>
    <n v="14"/>
    <n v="2025"/>
    <s v="2025-38"/>
    <s v="Week 38"/>
    <x v="37"/>
  </r>
  <r>
    <d v="2025-09-18T00:00:00"/>
    <x v="13"/>
    <n v="8"/>
    <n v="2025"/>
    <s v="2025-38"/>
    <s v="Week 38"/>
    <x v="37"/>
  </r>
  <r>
    <d v="2025-09-18T00:00:00"/>
    <x v="36"/>
    <n v="5"/>
    <n v="2025"/>
    <s v="2025-38"/>
    <s v="Week 38"/>
    <x v="37"/>
  </r>
  <r>
    <d v="2025-09-18T00:00:00"/>
    <x v="14"/>
    <n v="4"/>
    <n v="2025"/>
    <s v="2025-38"/>
    <s v="Week 38"/>
    <x v="37"/>
  </r>
  <r>
    <d v="2025-09-18T00:00:00"/>
    <x v="11"/>
    <n v="5"/>
    <n v="2025"/>
    <s v="2025-38"/>
    <s v="Week 38"/>
    <x v="37"/>
  </r>
  <r>
    <d v="2025-09-18T00:00:00"/>
    <x v="11"/>
    <n v="4"/>
    <n v="2025"/>
    <s v="2025-38"/>
    <s v="Week 38"/>
    <x v="37"/>
  </r>
  <r>
    <d v="2025-09-18T00:00:00"/>
    <x v="29"/>
    <n v="1"/>
    <n v="2025"/>
    <s v="2025-38"/>
    <s v="Week 38"/>
    <x v="37"/>
  </r>
  <r>
    <d v="2025-09-18T00:00:00"/>
    <x v="25"/>
    <n v="2"/>
    <n v="2025"/>
    <s v="2025-38"/>
    <s v="Week 38"/>
    <x v="37"/>
  </r>
  <r>
    <d v="2025-09-18T00:00:00"/>
    <x v="12"/>
    <n v="1"/>
    <n v="2025"/>
    <s v="2025-38"/>
    <s v="Week 38"/>
    <x v="37"/>
  </r>
  <r>
    <d v="2025-09-19T00:00:00"/>
    <x v="9"/>
    <n v="16"/>
    <n v="2025"/>
    <s v="2025-38"/>
    <s v="Week 38"/>
    <x v="37"/>
  </r>
  <r>
    <d v="2025-09-19T00:00:00"/>
    <x v="13"/>
    <n v="8"/>
    <n v="2025"/>
    <s v="2025-38"/>
    <s v="Week 38"/>
    <x v="37"/>
  </r>
  <r>
    <d v="2025-09-19T00:00:00"/>
    <x v="10"/>
    <n v="8"/>
    <n v="2025"/>
    <s v="2025-38"/>
    <s v="Week 38"/>
    <x v="37"/>
  </r>
  <r>
    <d v="2025-09-19T00:00:00"/>
    <x v="26"/>
    <n v="16"/>
    <n v="2025"/>
    <s v="2025-38"/>
    <s v="Week 38"/>
    <x v="37"/>
  </r>
  <r>
    <d v="2025-09-19T00:00:00"/>
    <x v="3"/>
    <n v="6"/>
    <n v="2025"/>
    <s v="2025-38"/>
    <s v="Week 38"/>
    <x v="37"/>
  </r>
  <r>
    <d v="2025-09-19T00:00:00"/>
    <x v="12"/>
    <n v="8"/>
    <n v="2025"/>
    <s v="2025-38"/>
    <s v="Week 38"/>
    <x v="37"/>
  </r>
  <r>
    <d v="2025-09-19T00:00:00"/>
    <x v="15"/>
    <n v="9"/>
    <n v="2025"/>
    <s v="2025-38"/>
    <s v="Week 38"/>
    <x v="37"/>
  </r>
  <r>
    <d v="2025-09-19T00:00:00"/>
    <x v="35"/>
    <n v="8"/>
    <n v="2025"/>
    <s v="2025-38"/>
    <s v="Week 38"/>
    <x v="37"/>
  </r>
  <r>
    <d v="2025-09-19T00:00:00"/>
    <x v="4"/>
    <n v="8"/>
    <n v="2025"/>
    <s v="2025-38"/>
    <s v="Week 38"/>
    <x v="37"/>
  </r>
  <r>
    <d v="2025-09-19T00:00:00"/>
    <x v="7"/>
    <n v="2"/>
    <n v="2025"/>
    <s v="2025-38"/>
    <s v="Week 38"/>
    <x v="37"/>
  </r>
  <r>
    <d v="2025-09-19T00:00:00"/>
    <x v="10"/>
    <n v="2"/>
    <n v="2025"/>
    <s v="2025-38"/>
    <s v="Week 38"/>
    <x v="37"/>
  </r>
  <r>
    <d v="2025-09-19T00:00:00"/>
    <x v="19"/>
    <n v="4"/>
    <n v="2025"/>
    <s v="2025-38"/>
    <s v="Week 38"/>
    <x v="37"/>
  </r>
  <r>
    <d v="2025-09-19T00:00:00"/>
    <x v="3"/>
    <n v="2"/>
    <n v="2025"/>
    <s v="2025-38"/>
    <s v="Week 38"/>
    <x v="37"/>
  </r>
  <r>
    <d v="2025-09-19T00:00:00"/>
    <x v="19"/>
    <n v="4"/>
    <n v="2025"/>
    <s v="2025-38"/>
    <s v="Week 38"/>
    <x v="37"/>
  </r>
  <r>
    <d v="2025-09-19T00:00:00"/>
    <x v="16"/>
    <n v="1"/>
    <n v="2025"/>
    <s v="2025-38"/>
    <s v="Week 38"/>
    <x v="37"/>
  </r>
  <r>
    <d v="2025-09-19T00:00:00"/>
    <x v="16"/>
    <n v="1"/>
    <n v="2025"/>
    <s v="2025-38"/>
    <s v="Week 38"/>
    <x v="37"/>
  </r>
  <r>
    <d v="2025-09-19T00:00:00"/>
    <x v="11"/>
    <n v="2"/>
    <n v="2025"/>
    <s v="2025-38"/>
    <s v="Week 38"/>
    <x v="37"/>
  </r>
  <r>
    <d v="2025-09-19T00:00:00"/>
    <x v="9"/>
    <n v="2"/>
    <n v="2025"/>
    <s v="2025-38"/>
    <s v="Week 38"/>
    <x v="37"/>
  </r>
  <r>
    <d v="2025-09-19T00:00:00"/>
    <x v="5"/>
    <n v="1"/>
    <n v="2025"/>
    <s v="2025-38"/>
    <s v="Week 38"/>
    <x v="37"/>
  </r>
  <r>
    <d v="2025-09-19T00:00:00"/>
    <x v="5"/>
    <n v="1"/>
    <n v="2025"/>
    <s v="2025-38"/>
    <s v="Week 38"/>
    <x v="37"/>
  </r>
  <r>
    <d v="2025-09-19T00:00:00"/>
    <x v="2"/>
    <n v="2"/>
    <n v="2025"/>
    <s v="2025-38"/>
    <s v="Week 38"/>
    <x v="37"/>
  </r>
  <r>
    <d v="2025-09-19T00:00:00"/>
    <x v="24"/>
    <n v="4"/>
    <n v="2025"/>
    <s v="2025-38"/>
    <s v="Week 38"/>
    <x v="37"/>
  </r>
  <r>
    <d v="2025-09-19T00:00:00"/>
    <x v="25"/>
    <n v="2"/>
    <n v="2025"/>
    <s v="2025-38"/>
    <s v="Week 38"/>
    <x v="37"/>
  </r>
  <r>
    <d v="2025-09-19T00:00:00"/>
    <x v="25"/>
    <n v="2"/>
    <n v="2025"/>
    <s v="2025-38"/>
    <s v="Week 38"/>
    <x v="37"/>
  </r>
  <r>
    <d v="2025-09-19T00:00:00"/>
    <x v="17"/>
    <n v="1"/>
    <n v="2025"/>
    <s v="2025-38"/>
    <s v="Week 38"/>
    <x v="37"/>
  </r>
  <r>
    <d v="2025-09-19T00:00:00"/>
    <x v="28"/>
    <n v="2"/>
    <n v="2025"/>
    <s v="2025-38"/>
    <s v="Week 38"/>
    <x v="37"/>
  </r>
  <r>
    <d v="2025-09-20T00:00:00"/>
    <x v="12"/>
    <n v="12"/>
    <n v="2025"/>
    <s v="2025-38"/>
    <s v="Week 38"/>
    <x v="37"/>
  </r>
  <r>
    <d v="2025-09-20T00:00:00"/>
    <x v="3"/>
    <n v="4"/>
    <n v="2025"/>
    <s v="2025-38"/>
    <s v="Week 38"/>
    <x v="37"/>
  </r>
  <r>
    <d v="2025-09-21T00:00:00"/>
    <x v="5"/>
    <n v="12"/>
    <n v="2025"/>
    <s v="2025-38"/>
    <s v="Week 39"/>
    <x v="38"/>
  </r>
  <r>
    <d v="2025-09-21T00:00:00"/>
    <x v="10"/>
    <n v="5"/>
    <n v="2025"/>
    <s v="2025-38"/>
    <s v="Week 39"/>
    <x v="38"/>
  </r>
  <r>
    <d v="2025-09-21T00:00:00"/>
    <x v="13"/>
    <n v="4"/>
    <n v="2025"/>
    <s v="2025-38"/>
    <s v="Week 39"/>
    <x v="38"/>
  </r>
  <r>
    <d v="2025-09-21T00:00:00"/>
    <x v="28"/>
    <n v="12"/>
    <n v="2025"/>
    <s v="2025-38"/>
    <s v="Week 39"/>
    <x v="38"/>
  </r>
  <r>
    <d v="2025-09-21T00:00:00"/>
    <x v="14"/>
    <n v="4"/>
    <n v="2025"/>
    <s v="2025-38"/>
    <s v="Week 39"/>
    <x v="38"/>
  </r>
  <r>
    <d v="2025-09-21T00:00:00"/>
    <x v="18"/>
    <n v="10"/>
    <n v="2025"/>
    <s v="2025-38"/>
    <s v="Week 39"/>
    <x v="38"/>
  </r>
  <r>
    <d v="2025-09-21T00:00:00"/>
    <x v="3"/>
    <n v="4"/>
    <n v="2025"/>
    <s v="2025-38"/>
    <s v="Week 39"/>
    <x v="38"/>
  </r>
  <r>
    <d v="2025-09-21T00:00:00"/>
    <x v="22"/>
    <n v="4"/>
    <n v="2025"/>
    <s v="2025-38"/>
    <s v="Week 39"/>
    <x v="38"/>
  </r>
  <r>
    <d v="2025-09-21T00:00:00"/>
    <x v="27"/>
    <n v="4"/>
    <n v="2025"/>
    <s v="2025-38"/>
    <s v="Week 39"/>
    <x v="38"/>
  </r>
  <r>
    <d v="2025-09-21T00:00:00"/>
    <x v="11"/>
    <n v="2"/>
    <n v="2025"/>
    <s v="2025-38"/>
    <s v="Week 39"/>
    <x v="38"/>
  </r>
  <r>
    <d v="2025-09-21T00:00:00"/>
    <x v="2"/>
    <n v="2"/>
    <n v="2025"/>
    <s v="2025-38"/>
    <s v="Week 39"/>
    <x v="38"/>
  </r>
  <r>
    <d v="2025-09-21T00:00:00"/>
    <x v="17"/>
    <n v="1"/>
    <n v="2025"/>
    <s v="2025-38"/>
    <s v="Week 39"/>
    <x v="38"/>
  </r>
  <r>
    <d v="2025-09-21T00:00:00"/>
    <x v="31"/>
    <n v="2"/>
    <n v="2025"/>
    <s v="2025-38"/>
    <s v="Week 39"/>
    <x v="38"/>
  </r>
  <r>
    <d v="2025-09-21T00:00:00"/>
    <x v="10"/>
    <n v="1"/>
    <n v="2025"/>
    <s v="2025-38"/>
    <s v="Week 39"/>
    <x v="38"/>
  </r>
  <r>
    <d v="2025-09-21T00:00:00"/>
    <x v="27"/>
    <n v="2"/>
    <n v="2025"/>
    <s v="2025-38"/>
    <s v="Week 39"/>
    <x v="38"/>
  </r>
  <r>
    <d v="2025-09-21T00:00:00"/>
    <x v="15"/>
    <n v="1"/>
    <n v="2025"/>
    <s v="2025-38"/>
    <s v="Week 39"/>
    <x v="38"/>
  </r>
  <r>
    <d v="2025-09-22T00:00:00"/>
    <x v="15"/>
    <n v="6"/>
    <n v="2025"/>
    <s v="2025-39"/>
    <s v="Week 39"/>
    <x v="38"/>
  </r>
  <r>
    <d v="2025-09-22T00:00:00"/>
    <x v="11"/>
    <n v="4"/>
    <n v="2025"/>
    <s v="2025-39"/>
    <s v="Week 39"/>
    <x v="38"/>
  </r>
  <r>
    <d v="2025-09-23T00:00:00"/>
    <x v="11"/>
    <n v="16"/>
    <n v="2025"/>
    <s v="2025-39"/>
    <s v="Week 39"/>
    <x v="38"/>
  </r>
  <r>
    <d v="2025-09-23T00:00:00"/>
    <x v="14"/>
    <n v="10"/>
    <n v="2025"/>
    <s v="2025-39"/>
    <s v="Week 39"/>
    <x v="38"/>
  </r>
  <r>
    <d v="2025-09-23T00:00:00"/>
    <x v="10"/>
    <n v="11"/>
    <n v="2025"/>
    <s v="2025-39"/>
    <s v="Week 39"/>
    <x v="38"/>
  </r>
  <r>
    <d v="2025-09-23T00:00:00"/>
    <x v="10"/>
    <n v="8"/>
    <n v="2025"/>
    <s v="2025-39"/>
    <s v="Week 39"/>
    <x v="38"/>
  </r>
  <r>
    <d v="2025-09-23T00:00:00"/>
    <x v="3"/>
    <n v="6"/>
    <n v="2025"/>
    <s v="2025-39"/>
    <s v="Week 39"/>
    <x v="38"/>
  </r>
  <r>
    <d v="2025-09-23T00:00:00"/>
    <x v="10"/>
    <n v="6"/>
    <n v="2025"/>
    <s v="2025-39"/>
    <s v="Week 39"/>
    <x v="38"/>
  </r>
  <r>
    <d v="2025-09-23T00:00:00"/>
    <x v="10"/>
    <n v="6"/>
    <n v="2025"/>
    <s v="2025-39"/>
    <s v="Week 39"/>
    <x v="38"/>
  </r>
  <r>
    <d v="2025-09-23T00:00:00"/>
    <x v="11"/>
    <n v="8"/>
    <n v="2025"/>
    <s v="2025-39"/>
    <s v="Week 39"/>
    <x v="38"/>
  </r>
  <r>
    <d v="2025-09-23T00:00:00"/>
    <x v="15"/>
    <n v="8"/>
    <n v="2025"/>
    <s v="2025-39"/>
    <s v="Week 39"/>
    <x v="38"/>
  </r>
  <r>
    <d v="2025-09-23T00:00:00"/>
    <x v="14"/>
    <n v="4"/>
    <n v="2025"/>
    <s v="2025-39"/>
    <s v="Week 39"/>
    <x v="38"/>
  </r>
  <r>
    <d v="2025-09-23T00:00:00"/>
    <x v="14"/>
    <n v="4"/>
    <n v="2025"/>
    <s v="2025-39"/>
    <s v="Week 39"/>
    <x v="38"/>
  </r>
  <r>
    <d v="2025-09-23T00:00:00"/>
    <x v="11"/>
    <n v="6"/>
    <n v="2025"/>
    <s v="2025-39"/>
    <s v="Week 39"/>
    <x v="38"/>
  </r>
  <r>
    <d v="2025-09-23T00:00:00"/>
    <x v="3"/>
    <n v="4"/>
    <n v="2025"/>
    <s v="2025-39"/>
    <s v="Week 39"/>
    <x v="38"/>
  </r>
  <r>
    <d v="2025-09-23T00:00:00"/>
    <x v="27"/>
    <n v="6"/>
    <n v="2025"/>
    <s v="2025-39"/>
    <s v="Week 39"/>
    <x v="38"/>
  </r>
  <r>
    <d v="2025-09-23T00:00:00"/>
    <x v="15"/>
    <n v="6"/>
    <n v="2025"/>
    <s v="2025-39"/>
    <s v="Week 39"/>
    <x v="38"/>
  </r>
  <r>
    <d v="2025-09-23T00:00:00"/>
    <x v="11"/>
    <n v="4"/>
    <n v="2025"/>
    <s v="2025-39"/>
    <s v="Week 39"/>
    <x v="38"/>
  </r>
  <r>
    <d v="2025-09-23T00:00:00"/>
    <x v="14"/>
    <n v="2"/>
    <n v="2025"/>
    <s v="2025-39"/>
    <s v="Week 39"/>
    <x v="38"/>
  </r>
  <r>
    <d v="2025-09-23T00:00:00"/>
    <x v="15"/>
    <n v="4"/>
    <n v="2025"/>
    <s v="2025-39"/>
    <s v="Week 39"/>
    <x v="38"/>
  </r>
  <r>
    <d v="2025-09-23T00:00:00"/>
    <x v="13"/>
    <n v="2"/>
    <n v="2025"/>
    <s v="2025-39"/>
    <s v="Week 39"/>
    <x v="38"/>
  </r>
  <r>
    <d v="2025-09-23T00:00:00"/>
    <x v="25"/>
    <n v="4"/>
    <n v="2025"/>
    <s v="2025-39"/>
    <s v="Week 39"/>
    <x v="38"/>
  </r>
  <r>
    <d v="2025-09-23T00:00:00"/>
    <x v="0"/>
    <n v="2"/>
    <n v="2025"/>
    <s v="2025-39"/>
    <s v="Week 39"/>
    <x v="38"/>
  </r>
  <r>
    <d v="2025-09-23T00:00:00"/>
    <x v="1"/>
    <n v="4"/>
    <n v="2025"/>
    <s v="2025-39"/>
    <s v="Week 39"/>
    <x v="38"/>
  </r>
  <r>
    <d v="2025-09-23T00:00:00"/>
    <x v="19"/>
    <n v="4"/>
    <n v="2025"/>
    <s v="2025-39"/>
    <s v="Week 39"/>
    <x v="38"/>
  </r>
  <r>
    <d v="2025-09-23T00:00:00"/>
    <x v="15"/>
    <n v="2"/>
    <n v="2025"/>
    <s v="2025-39"/>
    <s v="Week 39"/>
    <x v="38"/>
  </r>
  <r>
    <d v="2025-09-23T00:00:00"/>
    <x v="10"/>
    <n v="1"/>
    <n v="2025"/>
    <s v="2025-39"/>
    <s v="Week 39"/>
    <x v="38"/>
  </r>
  <r>
    <d v="2025-09-23T00:00:00"/>
    <x v="18"/>
    <n v="2"/>
    <n v="2025"/>
    <s v="2025-39"/>
    <s v="Week 39"/>
    <x v="38"/>
  </r>
  <r>
    <d v="2025-09-23T00:00:00"/>
    <x v="28"/>
    <n v="2"/>
    <n v="2025"/>
    <s v="2025-39"/>
    <s v="Week 39"/>
    <x v="38"/>
  </r>
  <r>
    <d v="2025-09-23T00:00:00"/>
    <x v="27"/>
    <n v="1"/>
    <n v="2025"/>
    <s v="2025-39"/>
    <s v="Week 39"/>
    <x v="38"/>
  </r>
  <r>
    <d v="2025-09-24T00:00:00"/>
    <x v="11"/>
    <n v="19"/>
    <n v="2025"/>
    <s v="2025-39"/>
    <s v="Week 39"/>
    <x v="38"/>
  </r>
  <r>
    <d v="2025-09-24T00:00:00"/>
    <x v="15"/>
    <n v="8"/>
    <n v="2025"/>
    <s v="2025-39"/>
    <s v="Week 39"/>
    <x v="38"/>
  </r>
  <r>
    <d v="2025-09-24T00:00:00"/>
    <x v="14"/>
    <n v="2"/>
    <n v="2025"/>
    <s v="2025-39"/>
    <s v="Week 39"/>
    <x v="38"/>
  </r>
  <r>
    <d v="2025-09-24T00:00:00"/>
    <x v="11"/>
    <n v="1"/>
    <n v="2025"/>
    <s v="2025-39"/>
    <s v="Week 39"/>
    <x v="38"/>
  </r>
  <r>
    <d v="2025-09-25T00:00:00"/>
    <x v="10"/>
    <n v="24"/>
    <n v="2025"/>
    <s v="2025-39"/>
    <s v="Week 39"/>
    <x v="38"/>
  </r>
  <r>
    <d v="2025-09-25T00:00:00"/>
    <x v="12"/>
    <n v="38"/>
    <n v="2025"/>
    <s v="2025-39"/>
    <s v="Week 39"/>
    <x v="38"/>
  </r>
  <r>
    <d v="2025-09-25T00:00:00"/>
    <x v="12"/>
    <n v="20"/>
    <n v="2025"/>
    <s v="2025-39"/>
    <s v="Week 39"/>
    <x v="38"/>
  </r>
  <r>
    <d v="2025-09-25T00:00:00"/>
    <x v="5"/>
    <n v="7"/>
    <n v="2025"/>
    <s v="2025-39"/>
    <s v="Week 39"/>
    <x v="38"/>
  </r>
  <r>
    <d v="2025-09-25T00:00:00"/>
    <x v="14"/>
    <n v="9"/>
    <n v="2025"/>
    <s v="2025-39"/>
    <s v="Week 39"/>
    <x v="38"/>
  </r>
  <r>
    <d v="2025-09-25T00:00:00"/>
    <x v="13"/>
    <n v="8"/>
    <n v="2025"/>
    <s v="2025-39"/>
    <s v="Week 39"/>
    <x v="38"/>
  </r>
  <r>
    <d v="2025-09-25T00:00:00"/>
    <x v="14"/>
    <n v="8"/>
    <n v="2025"/>
    <s v="2025-39"/>
    <s v="Week 39"/>
    <x v="38"/>
  </r>
  <r>
    <d v="2025-09-25T00:00:00"/>
    <x v="25"/>
    <n v="10"/>
    <n v="2025"/>
    <s v="2025-39"/>
    <s v="Week 39"/>
    <x v="38"/>
  </r>
  <r>
    <d v="2025-09-25T00:00:00"/>
    <x v="5"/>
    <n v="2"/>
    <n v="2025"/>
    <s v="2025-39"/>
    <s v="Week 39"/>
    <x v="38"/>
  </r>
  <r>
    <d v="2025-09-25T00:00:00"/>
    <x v="2"/>
    <n v="4"/>
    <n v="2025"/>
    <s v="2025-39"/>
    <s v="Week 39"/>
    <x v="38"/>
  </r>
  <r>
    <d v="2025-09-25T00:00:00"/>
    <x v="14"/>
    <n v="3"/>
    <n v="2025"/>
    <s v="2025-39"/>
    <s v="Week 39"/>
    <x v="38"/>
  </r>
  <r>
    <d v="2025-09-25T00:00:00"/>
    <x v="5"/>
    <n v="2"/>
    <n v="2025"/>
    <s v="2025-39"/>
    <s v="Week 39"/>
    <x v="38"/>
  </r>
  <r>
    <d v="2025-09-25T00:00:00"/>
    <x v="13"/>
    <n v="2"/>
    <n v="2025"/>
    <s v="2025-39"/>
    <s v="Week 39"/>
    <x v="38"/>
  </r>
  <r>
    <d v="2025-09-25T00:00:00"/>
    <x v="3"/>
    <n v="2"/>
    <n v="2025"/>
    <s v="2025-39"/>
    <s v="Week 39"/>
    <x v="38"/>
  </r>
  <r>
    <d v="2025-09-25T00:00:00"/>
    <x v="5"/>
    <n v="1"/>
    <n v="2025"/>
    <s v="2025-39"/>
    <s v="Week 39"/>
    <x v="38"/>
  </r>
  <r>
    <d v="2025-09-26T00:00:00"/>
    <x v="11"/>
    <n v="36"/>
    <n v="2025"/>
    <s v="2025-39"/>
    <s v="Week 39"/>
    <x v="38"/>
  </r>
  <r>
    <d v="2025-09-26T00:00:00"/>
    <x v="13"/>
    <n v="8"/>
    <n v="2025"/>
    <s v="2025-39"/>
    <s v="Week 39"/>
    <x v="38"/>
  </r>
  <r>
    <d v="2025-09-26T00:00:00"/>
    <x v="13"/>
    <n v="8"/>
    <n v="2025"/>
    <s v="2025-39"/>
    <s v="Week 39"/>
    <x v="38"/>
  </r>
  <r>
    <d v="2025-09-26T00:00:00"/>
    <x v="10"/>
    <n v="8"/>
    <n v="2025"/>
    <s v="2025-39"/>
    <s v="Week 39"/>
    <x v="38"/>
  </r>
  <r>
    <d v="2025-09-26T00:00:00"/>
    <x v="12"/>
    <n v="12"/>
    <n v="2025"/>
    <s v="2025-39"/>
    <s v="Week 39"/>
    <x v="38"/>
  </r>
  <r>
    <d v="2025-09-26T00:00:00"/>
    <x v="3"/>
    <n v="4"/>
    <n v="2025"/>
    <s v="2025-39"/>
    <s v="Week 39"/>
    <x v="38"/>
  </r>
  <r>
    <d v="2025-09-26T00:00:00"/>
    <x v="11"/>
    <n v="4"/>
    <n v="2025"/>
    <s v="2025-39"/>
    <s v="Week 39"/>
    <x v="38"/>
  </r>
  <r>
    <d v="2025-09-26T00:00:00"/>
    <x v="15"/>
    <n v="2"/>
    <n v="2025"/>
    <s v="2025-39"/>
    <s v="Week 39"/>
    <x v="38"/>
  </r>
  <r>
    <d v="2025-09-26T00:00:00"/>
    <x v="15"/>
    <n v="2"/>
    <n v="2025"/>
    <s v="2025-39"/>
    <s v="Week 39"/>
    <x v="38"/>
  </r>
  <r>
    <d v="2025-09-27T00:00:00"/>
    <x v="10"/>
    <n v="12"/>
    <n v="2025"/>
    <s v="2025-39"/>
    <s v="Week 39"/>
    <x v="38"/>
  </r>
  <r>
    <d v="2025-09-27T00:00:00"/>
    <x v="14"/>
    <n v="10"/>
    <n v="2025"/>
    <s v="2025-39"/>
    <s v="Week 39"/>
    <x v="38"/>
  </r>
  <r>
    <d v="2025-09-27T00:00:00"/>
    <x v="14"/>
    <n v="10"/>
    <n v="2025"/>
    <s v="2025-39"/>
    <s v="Week 39"/>
    <x v="38"/>
  </r>
  <r>
    <d v="2025-09-27T00:00:00"/>
    <x v="13"/>
    <n v="8"/>
    <n v="2025"/>
    <s v="2025-39"/>
    <s v="Week 39"/>
    <x v="38"/>
  </r>
  <r>
    <d v="2025-09-27T00:00:00"/>
    <x v="13"/>
    <n v="8"/>
    <n v="2025"/>
    <s v="2025-39"/>
    <s v="Week 39"/>
    <x v="38"/>
  </r>
  <r>
    <d v="2025-09-27T00:00:00"/>
    <x v="13"/>
    <n v="8"/>
    <n v="2025"/>
    <s v="2025-39"/>
    <s v="Week 39"/>
    <x v="38"/>
  </r>
  <r>
    <d v="2025-09-27T00:00:00"/>
    <x v="11"/>
    <n v="8"/>
    <n v="2025"/>
    <s v="2025-39"/>
    <s v="Week 39"/>
    <x v="38"/>
  </r>
  <r>
    <d v="2025-09-27T00:00:00"/>
    <x v="11"/>
    <n v="8"/>
    <n v="2025"/>
    <s v="2025-39"/>
    <s v="Week 39"/>
    <x v="38"/>
  </r>
  <r>
    <d v="2025-09-27T00:00:00"/>
    <x v="10"/>
    <n v="6"/>
    <n v="2025"/>
    <s v="2025-39"/>
    <s v="Week 39"/>
    <x v="38"/>
  </r>
  <r>
    <d v="2025-09-27T00:00:00"/>
    <x v="10"/>
    <n v="6"/>
    <n v="2025"/>
    <s v="2025-39"/>
    <s v="Week 39"/>
    <x v="38"/>
  </r>
  <r>
    <d v="2025-09-27T00:00:00"/>
    <x v="25"/>
    <n v="8"/>
    <n v="2025"/>
    <s v="2025-39"/>
    <s v="Week 39"/>
    <x v="38"/>
  </r>
  <r>
    <d v="2025-09-27T00:00:00"/>
    <x v="14"/>
    <n v="4"/>
    <n v="2025"/>
    <s v="2025-39"/>
    <s v="Week 39"/>
    <x v="38"/>
  </r>
  <r>
    <d v="2025-09-27T00:00:00"/>
    <x v="14"/>
    <n v="4"/>
    <n v="2025"/>
    <s v="2025-39"/>
    <s v="Week 39"/>
    <x v="38"/>
  </r>
  <r>
    <d v="2025-09-27T00:00:00"/>
    <x v="3"/>
    <n v="4"/>
    <n v="2025"/>
    <s v="2025-39"/>
    <s v="Week 39"/>
    <x v="38"/>
  </r>
  <r>
    <d v="2025-09-27T00:00:00"/>
    <x v="3"/>
    <n v="4"/>
    <n v="2025"/>
    <s v="2025-39"/>
    <s v="Week 39"/>
    <x v="38"/>
  </r>
  <r>
    <d v="2025-09-27T00:00:00"/>
    <x v="3"/>
    <n v="4"/>
    <n v="2025"/>
    <s v="2025-39"/>
    <s v="Week 39"/>
    <x v="38"/>
  </r>
  <r>
    <d v="2025-09-27T00:00:00"/>
    <x v="3"/>
    <n v="4"/>
    <n v="2025"/>
    <s v="2025-39"/>
    <s v="Week 39"/>
    <x v="38"/>
  </r>
  <r>
    <d v="2025-09-27T00:00:00"/>
    <x v="15"/>
    <n v="6"/>
    <n v="2025"/>
    <s v="2025-39"/>
    <s v="Week 39"/>
    <x v="38"/>
  </r>
  <r>
    <d v="2025-09-27T00:00:00"/>
    <x v="15"/>
    <n v="6"/>
    <n v="2025"/>
    <s v="2025-39"/>
    <s v="Week 39"/>
    <x v="38"/>
  </r>
  <r>
    <d v="2025-09-27T00:00:00"/>
    <x v="11"/>
    <n v="4"/>
    <n v="2025"/>
    <s v="2025-39"/>
    <s v="Week 39"/>
    <x v="38"/>
  </r>
  <r>
    <d v="2025-09-27T00:00:00"/>
    <x v="11"/>
    <n v="4"/>
    <n v="2025"/>
    <s v="2025-39"/>
    <s v="Week 39"/>
    <x v="38"/>
  </r>
  <r>
    <d v="2025-09-27T00:00:00"/>
    <x v="11"/>
    <n v="4"/>
    <n v="2025"/>
    <s v="2025-39"/>
    <s v="Week 39"/>
    <x v="38"/>
  </r>
  <r>
    <d v="2025-09-27T00:00:00"/>
    <x v="11"/>
    <n v="4"/>
    <n v="2025"/>
    <s v="2025-39"/>
    <s v="Week 39"/>
    <x v="38"/>
  </r>
  <r>
    <d v="2025-09-27T00:00:00"/>
    <x v="11"/>
    <n v="4"/>
    <n v="2025"/>
    <s v="2025-39"/>
    <s v="Week 39"/>
    <x v="38"/>
  </r>
  <r>
    <d v="2025-09-27T00:00:00"/>
    <x v="22"/>
    <n v="4"/>
    <n v="2025"/>
    <s v="2025-39"/>
    <s v="Week 39"/>
    <x v="38"/>
  </r>
  <r>
    <d v="2025-09-27T00:00:00"/>
    <x v="22"/>
    <n v="4"/>
    <n v="2025"/>
    <s v="2025-39"/>
    <s v="Week 39"/>
    <x v="38"/>
  </r>
  <r>
    <d v="2025-09-27T00:00:00"/>
    <x v="1"/>
    <n v="4"/>
    <n v="2025"/>
    <s v="2025-39"/>
    <s v="Week 39"/>
    <x v="38"/>
  </r>
  <r>
    <d v="2025-09-27T00:00:00"/>
    <x v="14"/>
    <n v="2"/>
    <n v="2025"/>
    <s v="2025-39"/>
    <s v="Week 39"/>
    <x v="38"/>
  </r>
  <r>
    <d v="2025-09-27T00:00:00"/>
    <x v="1"/>
    <n v="3"/>
    <n v="2025"/>
    <s v="2025-39"/>
    <s v="Week 39"/>
    <x v="38"/>
  </r>
  <r>
    <d v="2025-09-27T00:00:00"/>
    <x v="15"/>
    <n v="2"/>
    <n v="2025"/>
    <s v="2025-39"/>
    <s v="Week 39"/>
    <x v="38"/>
  </r>
  <r>
    <d v="2025-09-27T00:00:00"/>
    <x v="1"/>
    <n v="1"/>
    <n v="2025"/>
    <s v="2025-39"/>
    <s v="Week 39"/>
    <x v="38"/>
  </r>
  <r>
    <d v="2025-09-29T00:00:00"/>
    <x v="10"/>
    <n v="12"/>
    <n v="2025"/>
    <s v="2025-40"/>
    <s v="Week 40"/>
    <x v="39"/>
  </r>
  <r>
    <d v="2025-09-29T00:00:00"/>
    <x v="14"/>
    <n v="10"/>
    <n v="2025"/>
    <s v="2025-40"/>
    <s v="Week 40"/>
    <x v="39"/>
  </r>
  <r>
    <d v="2025-09-29T00:00:00"/>
    <x v="13"/>
    <n v="8"/>
    <n v="2025"/>
    <s v="2025-40"/>
    <s v="Week 40"/>
    <x v="39"/>
  </r>
  <r>
    <d v="2025-09-29T00:00:00"/>
    <x v="13"/>
    <n v="8"/>
    <n v="2025"/>
    <s v="2025-40"/>
    <s v="Week 40"/>
    <x v="39"/>
  </r>
  <r>
    <d v="2025-09-29T00:00:00"/>
    <x v="3"/>
    <n v="4"/>
    <n v="2025"/>
    <s v="2025-40"/>
    <s v="Week 40"/>
    <x v="39"/>
  </r>
  <r>
    <d v="2025-09-29T00:00:00"/>
    <x v="11"/>
    <n v="4"/>
    <n v="2025"/>
    <s v="2025-40"/>
    <s v="Week 40"/>
    <x v="39"/>
  </r>
  <r>
    <d v="2025-09-29T00:00:00"/>
    <x v="11"/>
    <n v="4"/>
    <n v="2025"/>
    <s v="2025-40"/>
    <s v="Week 40"/>
    <x v="39"/>
  </r>
  <r>
    <d v="2025-09-29T00:00:00"/>
    <x v="11"/>
    <n v="4"/>
    <n v="2025"/>
    <s v="2025-40"/>
    <s v="Week 40"/>
    <x v="39"/>
  </r>
  <r>
    <d v="2025-09-29T00:00:00"/>
    <x v="1"/>
    <n v="4"/>
    <n v="2025"/>
    <s v="2025-40"/>
    <s v="Week 40"/>
    <x v="39"/>
  </r>
  <r>
    <d v="2025-09-29T00:00:00"/>
    <x v="15"/>
    <n v="4"/>
    <n v="2025"/>
    <s v="2025-40"/>
    <s v="Week 40"/>
    <x v="39"/>
  </r>
  <r>
    <d v="2025-09-29T00:00:00"/>
    <x v="28"/>
    <n v="4"/>
    <n v="2025"/>
    <s v="2025-40"/>
    <s v="Week 40"/>
    <x v="39"/>
  </r>
  <r>
    <d v="2025-09-29T00:00:00"/>
    <x v="15"/>
    <n v="2"/>
    <n v="2025"/>
    <s v="2025-40"/>
    <s v="Week 40"/>
    <x v="39"/>
  </r>
  <r>
    <d v="2025-09-29T00:00:00"/>
    <x v="15"/>
    <n v="2"/>
    <n v="2025"/>
    <s v="2025-40"/>
    <s v="Week 40"/>
    <x v="39"/>
  </r>
  <r>
    <d v="2025-09-29T00:00:00"/>
    <x v="15"/>
    <n v="2"/>
    <n v="2025"/>
    <s v="2025-40"/>
    <s v="Week 40"/>
    <x v="39"/>
  </r>
  <r>
    <d v="2025-09-30T00:00:00"/>
    <x v="12"/>
    <n v="32"/>
    <n v="2025"/>
    <s v="2025-40"/>
    <s v="Week 40"/>
    <x v="39"/>
  </r>
  <r>
    <d v="2025-09-30T00:00:00"/>
    <x v="13"/>
    <n v="8"/>
    <n v="2025"/>
    <s v="2025-40"/>
    <s v="Week 40"/>
    <x v="39"/>
  </r>
  <r>
    <d v="2025-09-30T00:00:00"/>
    <x v="11"/>
    <n v="10"/>
    <n v="2025"/>
    <s v="2025-40"/>
    <s v="Week 40"/>
    <x v="39"/>
  </r>
  <r>
    <d v="2025-09-30T00:00:00"/>
    <x v="14"/>
    <n v="4"/>
    <n v="2025"/>
    <s v="2025-40"/>
    <s v="Week 40"/>
    <x v="39"/>
  </r>
  <r>
    <d v="2025-09-30T00:00:00"/>
    <x v="11"/>
    <n v="4"/>
    <n v="2025"/>
    <s v="2025-40"/>
    <s v="Week 40"/>
    <x v="39"/>
  </r>
  <r>
    <d v="2025-09-30T00:00:00"/>
    <x v="17"/>
    <n v="2"/>
    <n v="2025"/>
    <s v="2025-40"/>
    <s v="Week 40"/>
    <x v="39"/>
  </r>
  <r>
    <d v="2025-09-30T00:00:00"/>
    <x v="3"/>
    <n v="2"/>
    <n v="2025"/>
    <s v="2025-40"/>
    <s v="Week 40"/>
    <x v="39"/>
  </r>
  <r>
    <d v="2025-09-30T00:00:00"/>
    <x v="28"/>
    <n v="5"/>
    <n v="2025"/>
    <s v="2025-40"/>
    <s v="Week 40"/>
    <x v="39"/>
  </r>
  <r>
    <d v="2025-09-30T00:00:00"/>
    <x v="15"/>
    <n v="2"/>
    <n v="2025"/>
    <s v="2025-40"/>
    <s v="Week 40"/>
    <x v="39"/>
  </r>
  <r>
    <d v="2025-09-30T00:00:00"/>
    <x v="21"/>
    <n v="2"/>
    <n v="2025"/>
    <s v="2025-40"/>
    <s v="Week 40"/>
    <x v="39"/>
  </r>
  <r>
    <d v="2025-09-30T00:00:00"/>
    <x v="32"/>
    <n v="2"/>
    <n v="2025"/>
    <s v="2025-40"/>
    <s v="Week 40"/>
    <x v="39"/>
  </r>
  <r>
    <d v="2025-10-01T00:00:00"/>
    <x v="30"/>
    <n v="6"/>
    <n v="2025"/>
    <s v="2025-40"/>
    <s v="Week 40"/>
    <x v="39"/>
  </r>
  <r>
    <d v="2025-10-03T00:00:00"/>
    <x v="15"/>
    <n v="20"/>
    <n v="2025"/>
    <s v="2025-40"/>
    <s v="Week 40"/>
    <x v="39"/>
  </r>
  <r>
    <d v="2025-10-03T00:00:00"/>
    <x v="13"/>
    <n v="8"/>
    <n v="2025"/>
    <s v="2025-40"/>
    <s v="Week 40"/>
    <x v="39"/>
  </r>
  <r>
    <d v="2025-10-03T00:00:00"/>
    <x v="11"/>
    <n v="8"/>
    <n v="2025"/>
    <s v="2025-40"/>
    <s v="Week 40"/>
    <x v="39"/>
  </r>
  <r>
    <d v="2025-10-03T00:00:00"/>
    <x v="2"/>
    <n v="7"/>
    <n v="2025"/>
    <s v="2025-40"/>
    <s v="Week 40"/>
    <x v="39"/>
  </r>
  <r>
    <d v="2025-10-03T00:00:00"/>
    <x v="3"/>
    <n v="4"/>
    <n v="2025"/>
    <s v="2025-40"/>
    <s v="Week 40"/>
    <x v="39"/>
  </r>
  <r>
    <d v="2025-10-03T00:00:00"/>
    <x v="3"/>
    <n v="4"/>
    <n v="2025"/>
    <s v="2025-40"/>
    <s v="Week 40"/>
    <x v="39"/>
  </r>
  <r>
    <d v="2025-10-03T00:00:00"/>
    <x v="19"/>
    <n v="6"/>
    <n v="2025"/>
    <s v="2025-40"/>
    <s v="Week 40"/>
    <x v="39"/>
  </r>
  <r>
    <d v="2025-10-03T00:00:00"/>
    <x v="26"/>
    <n v="4"/>
    <n v="2025"/>
    <s v="2025-40"/>
    <s v="Week 40"/>
    <x v="39"/>
  </r>
  <r>
    <d v="2025-10-03T00:00:00"/>
    <x v="9"/>
    <n v="2"/>
    <n v="2025"/>
    <s v="2025-40"/>
    <s v="Week 40"/>
    <x v="39"/>
  </r>
  <r>
    <d v="2025-10-03T00:00:00"/>
    <x v="25"/>
    <n v="2"/>
    <n v="2025"/>
    <s v="2025-40"/>
    <s v="Week 40"/>
    <x v="39"/>
  </r>
  <r>
    <d v="2025-10-03T00:00:00"/>
    <x v="22"/>
    <n v="2"/>
    <n v="2025"/>
    <s v="2025-40"/>
    <s v="Week 40"/>
    <x v="39"/>
  </r>
  <r>
    <d v="2025-10-03T00:00:00"/>
    <x v="31"/>
    <n v="2"/>
    <n v="2025"/>
    <s v="2025-40"/>
    <s v="Week 40"/>
    <x v="39"/>
  </r>
  <r>
    <d v="2025-10-03T00:00:00"/>
    <x v="15"/>
    <n v="2"/>
    <n v="2025"/>
    <s v="2025-40"/>
    <s v="Week 40"/>
    <x v="39"/>
  </r>
  <r>
    <d v="2025-10-04T00:00:00"/>
    <x v="4"/>
    <n v="12"/>
    <n v="2025"/>
    <s v="2025-40"/>
    <s v="Week 40"/>
    <x v="39"/>
  </r>
  <r>
    <d v="2025-10-04T00:00:00"/>
    <x v="32"/>
    <n v="1"/>
    <n v="2025"/>
    <s v="2025-40"/>
    <s v="Week 40"/>
    <x v="39"/>
  </r>
  <r>
    <d v="2025-10-07T00:00:00"/>
    <x v="11"/>
    <n v="6"/>
    <n v="2025"/>
    <s v="2025-41"/>
    <s v="Week 41"/>
    <x v="40"/>
  </r>
  <r>
    <d v="2025-10-07T00:00:00"/>
    <x v="3"/>
    <n v="4"/>
    <n v="2025"/>
    <s v="2025-41"/>
    <s v="Week 41"/>
    <x v="40"/>
  </r>
  <r>
    <d v="2025-10-07T00:00:00"/>
    <x v="22"/>
    <n v="4"/>
    <n v="2025"/>
    <s v="2025-41"/>
    <s v="Week 41"/>
    <x v="40"/>
  </r>
  <r>
    <d v="2025-10-07T00:00:00"/>
    <x v="1"/>
    <n v="4"/>
    <n v="2025"/>
    <s v="2025-41"/>
    <s v="Week 41"/>
    <x v="40"/>
  </r>
  <r>
    <d v="2025-10-07T00:00:00"/>
    <x v="25"/>
    <n v="3"/>
    <n v="2025"/>
    <s v="2025-41"/>
    <s v="Week 41"/>
    <x v="40"/>
  </r>
  <r>
    <d v="2025-10-07T00:00:00"/>
    <x v="25"/>
    <n v="1"/>
    <n v="2025"/>
    <s v="2025-41"/>
    <s v="Week 41"/>
    <x v="40"/>
  </r>
  <r>
    <d v="2025-10-08T00:00:00"/>
    <x v="10"/>
    <n v="12"/>
    <n v="2025"/>
    <s v="2025-41"/>
    <s v="Week 41"/>
    <x v="40"/>
  </r>
  <r>
    <d v="2025-10-08T00:00:00"/>
    <x v="12"/>
    <n v="16"/>
    <n v="2025"/>
    <s v="2025-41"/>
    <s v="Week 41"/>
    <x v="40"/>
  </r>
  <r>
    <d v="2025-10-08T00:00:00"/>
    <x v="10"/>
    <n v="8"/>
    <n v="2025"/>
    <s v="2025-41"/>
    <s v="Week 41"/>
    <x v="40"/>
  </r>
  <r>
    <d v="2025-10-08T00:00:00"/>
    <x v="10"/>
    <n v="8"/>
    <n v="2025"/>
    <s v="2025-41"/>
    <s v="Week 41"/>
    <x v="40"/>
  </r>
  <r>
    <d v="2025-10-08T00:00:00"/>
    <x v="17"/>
    <n v="6"/>
    <n v="2025"/>
    <s v="2025-41"/>
    <s v="Week 41"/>
    <x v="40"/>
  </r>
  <r>
    <d v="2025-10-08T00:00:00"/>
    <x v="12"/>
    <n v="8"/>
    <n v="2025"/>
    <s v="2025-41"/>
    <s v="Week 41"/>
    <x v="40"/>
  </r>
  <r>
    <d v="2025-10-08T00:00:00"/>
    <x v="12"/>
    <n v="8"/>
    <n v="2025"/>
    <s v="2025-41"/>
    <s v="Week 41"/>
    <x v="40"/>
  </r>
  <r>
    <d v="2025-10-08T00:00:00"/>
    <x v="30"/>
    <n v="16"/>
    <n v="2025"/>
    <s v="2025-41"/>
    <s v="Week 41"/>
    <x v="40"/>
  </r>
  <r>
    <d v="2025-10-08T00:00:00"/>
    <x v="3"/>
    <n v="4"/>
    <n v="2025"/>
    <s v="2025-41"/>
    <s v="Week 41"/>
    <x v="40"/>
  </r>
  <r>
    <d v="2025-10-08T00:00:00"/>
    <x v="11"/>
    <n v="4"/>
    <n v="2025"/>
    <s v="2025-41"/>
    <s v="Week 41"/>
    <x v="40"/>
  </r>
  <r>
    <d v="2025-10-08T00:00:00"/>
    <x v="11"/>
    <n v="4"/>
    <n v="2025"/>
    <s v="2025-41"/>
    <s v="Week 41"/>
    <x v="40"/>
  </r>
  <r>
    <d v="2025-10-08T00:00:00"/>
    <x v="11"/>
    <n v="4"/>
    <n v="2025"/>
    <s v="2025-41"/>
    <s v="Week 41"/>
    <x v="40"/>
  </r>
  <r>
    <d v="2025-10-08T00:00:00"/>
    <x v="1"/>
    <n v="4"/>
    <n v="2025"/>
    <s v="2025-41"/>
    <s v="Week 41"/>
    <x v="40"/>
  </r>
  <r>
    <d v="2025-10-08T00:00:00"/>
    <x v="15"/>
    <n v="4"/>
    <n v="2025"/>
    <s v="2025-41"/>
    <s v="Week 41"/>
    <x v="40"/>
  </r>
  <r>
    <d v="2025-10-08T00:00:00"/>
    <x v="30"/>
    <n v="7"/>
    <n v="2025"/>
    <s v="2025-41"/>
    <s v="Week 41"/>
    <x v="40"/>
  </r>
  <r>
    <d v="2025-10-08T00:00:00"/>
    <x v="15"/>
    <n v="4"/>
    <n v="2025"/>
    <s v="2025-41"/>
    <s v="Week 41"/>
    <x v="40"/>
  </r>
  <r>
    <d v="2025-10-08T00:00:00"/>
    <x v="28"/>
    <n v="6"/>
    <n v="2025"/>
    <s v="2025-41"/>
    <s v="Week 41"/>
    <x v="40"/>
  </r>
  <r>
    <d v="2025-10-08T00:00:00"/>
    <x v="28"/>
    <n v="6"/>
    <n v="2025"/>
    <s v="2025-41"/>
    <s v="Week 41"/>
    <x v="40"/>
  </r>
  <r>
    <d v="2025-10-08T00:00:00"/>
    <x v="28"/>
    <n v="6"/>
    <n v="2025"/>
    <s v="2025-41"/>
    <s v="Week 41"/>
    <x v="40"/>
  </r>
  <r>
    <d v="2025-10-08T00:00:00"/>
    <x v="32"/>
    <n v="6"/>
    <n v="2025"/>
    <s v="2025-41"/>
    <s v="Week 41"/>
    <x v="40"/>
  </r>
  <r>
    <d v="2025-10-08T00:00:00"/>
    <x v="3"/>
    <n v="2"/>
    <n v="2025"/>
    <s v="2025-41"/>
    <s v="Week 41"/>
    <x v="40"/>
  </r>
  <r>
    <d v="2025-10-08T00:00:00"/>
    <x v="19"/>
    <n v="2"/>
    <n v="2025"/>
    <s v="2025-41"/>
    <s v="Week 41"/>
    <x v="40"/>
  </r>
  <r>
    <d v="2025-10-08T00:00:00"/>
    <x v="4"/>
    <n v="2"/>
    <n v="2025"/>
    <s v="2025-41"/>
    <s v="Week 41"/>
    <x v="40"/>
  </r>
  <r>
    <d v="2025-10-08T00:00:00"/>
    <x v="27"/>
    <n v="2"/>
    <n v="2025"/>
    <s v="2025-41"/>
    <s v="Week 41"/>
    <x v="40"/>
  </r>
  <r>
    <d v="2025-10-08T00:00:00"/>
    <x v="27"/>
    <n v="2"/>
    <n v="2025"/>
    <s v="2025-41"/>
    <s v="Week 41"/>
    <x v="40"/>
  </r>
  <r>
    <d v="2025-10-08T00:00:00"/>
    <x v="18"/>
    <n v="2"/>
    <n v="2025"/>
    <s v="2025-41"/>
    <s v="Week 41"/>
    <x v="40"/>
  </r>
  <r>
    <d v="2025-10-08T00:00:00"/>
    <x v="32"/>
    <n v="2"/>
    <n v="2025"/>
    <s v="2025-41"/>
    <s v="Week 41"/>
    <x v="40"/>
  </r>
  <r>
    <d v="2025-10-09T00:00:00"/>
    <x v="12"/>
    <n v="34"/>
    <n v="2025"/>
    <s v="2025-41"/>
    <s v="Week 41"/>
    <x v="40"/>
  </r>
  <r>
    <d v="2025-10-09T00:00:00"/>
    <x v="25"/>
    <n v="12"/>
    <n v="2025"/>
    <s v="2025-41"/>
    <s v="Week 41"/>
    <x v="40"/>
  </r>
  <r>
    <d v="2025-10-09T00:00:00"/>
    <x v="25"/>
    <n v="12"/>
    <n v="2025"/>
    <s v="2025-41"/>
    <s v="Week 41"/>
    <x v="40"/>
  </r>
  <r>
    <d v="2025-10-09T00:00:00"/>
    <x v="12"/>
    <n v="12"/>
    <n v="2025"/>
    <s v="2025-41"/>
    <s v="Week 41"/>
    <x v="40"/>
  </r>
  <r>
    <d v="2025-10-09T00:00:00"/>
    <x v="12"/>
    <n v="11"/>
    <n v="2025"/>
    <s v="2025-41"/>
    <s v="Week 41"/>
    <x v="40"/>
  </r>
  <r>
    <d v="2025-10-09T00:00:00"/>
    <x v="11"/>
    <n v="6"/>
    <n v="2025"/>
    <s v="2025-41"/>
    <s v="Week 41"/>
    <x v="40"/>
  </r>
  <r>
    <d v="2025-10-09T00:00:00"/>
    <x v="11"/>
    <n v="8"/>
    <n v="2025"/>
    <s v="2025-41"/>
    <s v="Week 41"/>
    <x v="40"/>
  </r>
  <r>
    <d v="2025-10-09T00:00:00"/>
    <x v="3"/>
    <n v="6"/>
    <n v="2025"/>
    <s v="2025-41"/>
    <s v="Week 41"/>
    <x v="40"/>
  </r>
  <r>
    <d v="2025-10-09T00:00:00"/>
    <x v="3"/>
    <n v="4"/>
    <n v="2025"/>
    <s v="2025-41"/>
    <s v="Week 41"/>
    <x v="40"/>
  </r>
  <r>
    <d v="2025-10-09T00:00:00"/>
    <x v="3"/>
    <n v="4"/>
    <n v="2025"/>
    <s v="2025-41"/>
    <s v="Week 41"/>
    <x v="40"/>
  </r>
  <r>
    <d v="2025-10-09T00:00:00"/>
    <x v="25"/>
    <n v="4"/>
    <n v="2025"/>
    <s v="2025-41"/>
    <s v="Week 41"/>
    <x v="40"/>
  </r>
  <r>
    <d v="2025-10-09T00:00:00"/>
    <x v="15"/>
    <n v="6"/>
    <n v="2025"/>
    <s v="2025-41"/>
    <s v="Week 41"/>
    <x v="40"/>
  </r>
  <r>
    <d v="2025-10-09T00:00:00"/>
    <x v="22"/>
    <n v="4"/>
    <n v="2025"/>
    <s v="2025-41"/>
    <s v="Week 41"/>
    <x v="40"/>
  </r>
  <r>
    <d v="2025-10-09T00:00:00"/>
    <x v="1"/>
    <n v="4"/>
    <n v="2025"/>
    <s v="2025-41"/>
    <s v="Week 41"/>
    <x v="40"/>
  </r>
  <r>
    <d v="2025-10-09T00:00:00"/>
    <x v="1"/>
    <n v="4"/>
    <n v="2025"/>
    <s v="2025-41"/>
    <s v="Week 41"/>
    <x v="40"/>
  </r>
  <r>
    <d v="2025-10-09T00:00:00"/>
    <x v="1"/>
    <n v="4"/>
    <n v="2025"/>
    <s v="2025-41"/>
    <s v="Week 41"/>
    <x v="40"/>
  </r>
  <r>
    <d v="2025-10-09T00:00:00"/>
    <x v="27"/>
    <n v="6"/>
    <n v="2025"/>
    <s v="2025-41"/>
    <s v="Week 41"/>
    <x v="40"/>
  </r>
  <r>
    <d v="2025-10-09T00:00:00"/>
    <x v="14"/>
    <n v="2"/>
    <n v="2025"/>
    <s v="2025-41"/>
    <s v="Week 41"/>
    <x v="40"/>
  </r>
  <r>
    <d v="2025-10-09T00:00:00"/>
    <x v="28"/>
    <n v="5"/>
    <n v="2025"/>
    <s v="2025-41"/>
    <s v="Week 41"/>
    <x v="40"/>
  </r>
  <r>
    <d v="2025-10-09T00:00:00"/>
    <x v="11"/>
    <n v="2"/>
    <n v="2025"/>
    <s v="2025-41"/>
    <s v="Week 41"/>
    <x v="40"/>
  </r>
  <r>
    <d v="2025-10-09T00:00:00"/>
    <x v="11"/>
    <n v="2"/>
    <n v="2025"/>
    <s v="2025-41"/>
    <s v="Week 41"/>
    <x v="40"/>
  </r>
  <r>
    <d v="2025-10-09T00:00:00"/>
    <x v="27"/>
    <n v="3"/>
    <n v="2025"/>
    <s v="2025-41"/>
    <s v="Week 41"/>
    <x v="40"/>
  </r>
  <r>
    <d v="2025-10-09T00:00:00"/>
    <x v="27"/>
    <n v="3"/>
    <n v="2025"/>
    <s v="2025-41"/>
    <s v="Week 41"/>
    <x v="40"/>
  </r>
  <r>
    <d v="2025-10-09T00:00:00"/>
    <x v="18"/>
    <n v="3"/>
    <n v="2025"/>
    <s v="2025-41"/>
    <s v="Week 41"/>
    <x v="40"/>
  </r>
  <r>
    <d v="2025-10-09T00:00:00"/>
    <x v="18"/>
    <n v="2"/>
    <n v="2025"/>
    <s v="2025-41"/>
    <s v="Week 41"/>
    <x v="40"/>
  </r>
  <r>
    <d v="2025-10-09T00:00:00"/>
    <x v="21"/>
    <n v="2"/>
    <n v="2025"/>
    <s v="2025-41"/>
    <s v="Week 41"/>
    <x v="40"/>
  </r>
  <r>
    <d v="2025-10-09T00:00:00"/>
    <x v="28"/>
    <n v="2"/>
    <n v="2025"/>
    <s v="2025-41"/>
    <s v="Week 41"/>
    <x v="40"/>
  </r>
  <r>
    <d v="2025-10-09T00:00:00"/>
    <x v="30"/>
    <n v="2"/>
    <n v="2025"/>
    <s v="2025-41"/>
    <s v="Week 41"/>
    <x v="40"/>
  </r>
  <r>
    <d v="2025-10-09T00:00:00"/>
    <x v="15"/>
    <n v="1"/>
    <n v="2025"/>
    <s v="2025-41"/>
    <s v="Week 41"/>
    <x v="40"/>
  </r>
  <r>
    <d v="2025-10-11T00:00:00"/>
    <x v="3"/>
    <n v="8"/>
    <n v="2025"/>
    <s v="2025-41"/>
    <s v="Week 41"/>
    <x v="40"/>
  </r>
  <r>
    <d v="2025-10-11T00:00:00"/>
    <x v="11"/>
    <n v="8"/>
    <n v="2025"/>
    <s v="2025-41"/>
    <s v="Week 41"/>
    <x v="40"/>
  </r>
  <r>
    <d v="2025-10-11T00:00:00"/>
    <x v="15"/>
    <n v="12"/>
    <n v="2025"/>
    <s v="2025-41"/>
    <s v="Week 41"/>
    <x v="40"/>
  </r>
  <r>
    <d v="2025-10-11T00:00:00"/>
    <x v="25"/>
    <n v="10"/>
    <n v="2025"/>
    <s v="2025-41"/>
    <s v="Week 41"/>
    <x v="40"/>
  </r>
  <r>
    <d v="2025-10-11T00:00:00"/>
    <x v="13"/>
    <n v="4"/>
    <n v="2025"/>
    <s v="2025-41"/>
    <s v="Week 41"/>
    <x v="40"/>
  </r>
  <r>
    <d v="2025-10-11T00:00:00"/>
    <x v="15"/>
    <n v="4"/>
    <n v="2025"/>
    <s v="2025-41"/>
    <s v="Week 41"/>
    <x v="40"/>
  </r>
  <r>
    <d v="2025-10-11T00:00:00"/>
    <x v="27"/>
    <n v="4"/>
    <n v="2025"/>
    <s v="2025-41"/>
    <s v="Week 41"/>
    <x v="40"/>
  </r>
  <r>
    <d v="2025-10-13T00:00:00"/>
    <x v="11"/>
    <n v="36"/>
    <n v="2025"/>
    <s v="2025-42"/>
    <s v="Week 42"/>
    <x v="41"/>
  </r>
  <r>
    <d v="2025-10-13T00:00:00"/>
    <x v="14"/>
    <n v="26"/>
    <n v="2025"/>
    <s v="2025-42"/>
    <s v="Week 42"/>
    <x v="41"/>
  </r>
  <r>
    <d v="2025-10-13T00:00:00"/>
    <x v="15"/>
    <n v="44"/>
    <n v="2025"/>
    <s v="2025-42"/>
    <s v="Week 42"/>
    <x v="41"/>
  </r>
  <r>
    <d v="2025-10-13T00:00:00"/>
    <x v="12"/>
    <n v="28"/>
    <n v="2025"/>
    <s v="2025-42"/>
    <s v="Week 42"/>
    <x v="41"/>
  </r>
  <r>
    <d v="2025-10-13T00:00:00"/>
    <x v="12"/>
    <n v="26"/>
    <n v="2025"/>
    <s v="2025-42"/>
    <s v="Week 42"/>
    <x v="41"/>
  </r>
  <r>
    <d v="2025-10-13T00:00:00"/>
    <x v="10"/>
    <n v="16"/>
    <n v="2025"/>
    <s v="2025-42"/>
    <s v="Week 42"/>
    <x v="41"/>
  </r>
  <r>
    <d v="2025-10-13T00:00:00"/>
    <x v="44"/>
    <n v="16"/>
    <n v="2025"/>
    <s v="2025-42"/>
    <s v="Week 42"/>
    <x v="41"/>
  </r>
  <r>
    <d v="2025-10-13T00:00:00"/>
    <x v="14"/>
    <n v="14"/>
    <n v="2025"/>
    <s v="2025-42"/>
    <s v="Week 42"/>
    <x v="41"/>
  </r>
  <r>
    <d v="2025-10-13T00:00:00"/>
    <x v="12"/>
    <n v="20"/>
    <n v="2025"/>
    <s v="2025-42"/>
    <s v="Week 42"/>
    <x v="41"/>
  </r>
  <r>
    <d v="2025-10-13T00:00:00"/>
    <x v="3"/>
    <n v="10"/>
    <n v="2025"/>
    <s v="2025-42"/>
    <s v="Week 42"/>
    <x v="41"/>
  </r>
  <r>
    <d v="2025-10-13T00:00:00"/>
    <x v="12"/>
    <n v="12"/>
    <n v="2025"/>
    <s v="2025-42"/>
    <s v="Week 42"/>
    <x v="41"/>
  </r>
  <r>
    <d v="2025-10-13T00:00:00"/>
    <x v="19"/>
    <n v="16"/>
    <n v="2025"/>
    <s v="2025-42"/>
    <s v="Week 42"/>
    <x v="41"/>
  </r>
  <r>
    <d v="2025-10-13T00:00:00"/>
    <x v="12"/>
    <n v="10"/>
    <n v="2025"/>
    <s v="2025-42"/>
    <s v="Week 42"/>
    <x v="41"/>
  </r>
  <r>
    <d v="2025-10-13T00:00:00"/>
    <x v="12"/>
    <n v="10"/>
    <n v="2025"/>
    <s v="2025-42"/>
    <s v="Week 42"/>
    <x v="41"/>
  </r>
  <r>
    <d v="2025-10-13T00:00:00"/>
    <x v="11"/>
    <n v="8"/>
    <n v="2025"/>
    <s v="2025-42"/>
    <s v="Week 42"/>
    <x v="41"/>
  </r>
  <r>
    <d v="2025-10-13T00:00:00"/>
    <x v="11"/>
    <n v="8"/>
    <n v="2025"/>
    <s v="2025-42"/>
    <s v="Week 42"/>
    <x v="41"/>
  </r>
  <r>
    <d v="2025-10-13T00:00:00"/>
    <x v="6"/>
    <n v="5"/>
    <n v="2025"/>
    <s v="2025-42"/>
    <s v="Week 42"/>
    <x v="41"/>
  </r>
  <r>
    <d v="2025-10-13T00:00:00"/>
    <x v="25"/>
    <n v="10"/>
    <n v="2025"/>
    <s v="2025-42"/>
    <s v="Week 42"/>
    <x v="41"/>
  </r>
  <r>
    <d v="2025-10-13T00:00:00"/>
    <x v="13"/>
    <n v="4"/>
    <n v="2025"/>
    <s v="2025-42"/>
    <s v="Week 42"/>
    <x v="41"/>
  </r>
  <r>
    <d v="2025-10-13T00:00:00"/>
    <x v="3"/>
    <n v="6"/>
    <n v="2025"/>
    <s v="2025-42"/>
    <s v="Week 42"/>
    <x v="41"/>
  </r>
  <r>
    <d v="2025-10-13T00:00:00"/>
    <x v="25"/>
    <n v="8"/>
    <n v="2025"/>
    <s v="2025-42"/>
    <s v="Week 42"/>
    <x v="41"/>
  </r>
  <r>
    <d v="2025-10-13T00:00:00"/>
    <x v="26"/>
    <n v="10"/>
    <n v="2025"/>
    <s v="2025-42"/>
    <s v="Week 42"/>
    <x v="41"/>
  </r>
  <r>
    <d v="2025-10-13T00:00:00"/>
    <x v="17"/>
    <n v="4"/>
    <n v="2025"/>
    <s v="2025-42"/>
    <s v="Week 42"/>
    <x v="41"/>
  </r>
  <r>
    <d v="2025-10-13T00:00:00"/>
    <x v="15"/>
    <n v="8"/>
    <n v="2025"/>
    <s v="2025-42"/>
    <s v="Week 42"/>
    <x v="41"/>
  </r>
  <r>
    <d v="2025-10-13T00:00:00"/>
    <x v="15"/>
    <n v="8"/>
    <n v="2025"/>
    <s v="2025-42"/>
    <s v="Week 42"/>
    <x v="41"/>
  </r>
  <r>
    <d v="2025-10-13T00:00:00"/>
    <x v="2"/>
    <n v="6"/>
    <n v="2025"/>
    <s v="2025-42"/>
    <s v="Week 42"/>
    <x v="41"/>
  </r>
  <r>
    <d v="2025-10-13T00:00:00"/>
    <x v="6"/>
    <n v="3"/>
    <n v="2025"/>
    <s v="2025-42"/>
    <s v="Week 42"/>
    <x v="41"/>
  </r>
  <r>
    <d v="2025-10-13T00:00:00"/>
    <x v="3"/>
    <n v="4"/>
    <n v="2025"/>
    <s v="2025-42"/>
    <s v="Week 42"/>
    <x v="41"/>
  </r>
  <r>
    <d v="2025-10-13T00:00:00"/>
    <x v="31"/>
    <n v="6"/>
    <n v="2025"/>
    <s v="2025-42"/>
    <s v="Week 42"/>
    <x v="41"/>
  </r>
  <r>
    <d v="2025-10-13T00:00:00"/>
    <x v="19"/>
    <n v="6"/>
    <n v="2025"/>
    <s v="2025-42"/>
    <s v="Week 42"/>
    <x v="41"/>
  </r>
  <r>
    <d v="2025-10-13T00:00:00"/>
    <x v="11"/>
    <n v="3"/>
    <n v="2025"/>
    <s v="2025-42"/>
    <s v="Week 42"/>
    <x v="41"/>
  </r>
  <r>
    <d v="2025-10-13T00:00:00"/>
    <x v="15"/>
    <n v="4"/>
    <n v="2025"/>
    <s v="2025-42"/>
    <s v="Week 42"/>
    <x v="41"/>
  </r>
  <r>
    <d v="2025-10-13T00:00:00"/>
    <x v="3"/>
    <n v="2"/>
    <n v="2025"/>
    <s v="2025-42"/>
    <s v="Week 42"/>
    <x v="41"/>
  </r>
  <r>
    <d v="2025-10-13T00:00:00"/>
    <x v="3"/>
    <n v="2"/>
    <n v="2025"/>
    <s v="2025-42"/>
    <s v="Week 42"/>
    <x v="41"/>
  </r>
  <r>
    <d v="2025-10-13T00:00:00"/>
    <x v="4"/>
    <n v="4"/>
    <n v="2025"/>
    <s v="2025-42"/>
    <s v="Week 42"/>
    <x v="41"/>
  </r>
  <r>
    <d v="2025-10-13T00:00:00"/>
    <x v="27"/>
    <n v="4"/>
    <n v="2025"/>
    <s v="2025-42"/>
    <s v="Week 42"/>
    <x v="41"/>
  </r>
  <r>
    <d v="2025-10-13T00:00:00"/>
    <x v="18"/>
    <n v="4"/>
    <n v="2025"/>
    <s v="2025-42"/>
    <s v="Week 42"/>
    <x v="41"/>
  </r>
  <r>
    <d v="2025-10-13T00:00:00"/>
    <x v="21"/>
    <n v="4"/>
    <n v="2025"/>
    <s v="2025-42"/>
    <s v="Week 42"/>
    <x v="41"/>
  </r>
  <r>
    <d v="2025-10-13T00:00:00"/>
    <x v="30"/>
    <n v="4"/>
    <n v="2025"/>
    <s v="2025-42"/>
    <s v="Week 42"/>
    <x v="41"/>
  </r>
  <r>
    <d v="2025-10-13T00:00:00"/>
    <x v="25"/>
    <n v="2"/>
    <n v="2025"/>
    <s v="2025-42"/>
    <s v="Week 42"/>
    <x v="41"/>
  </r>
  <r>
    <d v="2025-10-13T00:00:00"/>
    <x v="25"/>
    <n v="2"/>
    <n v="2025"/>
    <s v="2025-42"/>
    <s v="Week 42"/>
    <x v="41"/>
  </r>
  <r>
    <d v="2025-10-13T00:00:00"/>
    <x v="19"/>
    <n v="2"/>
    <n v="2025"/>
    <s v="2025-42"/>
    <s v="Week 42"/>
    <x v="41"/>
  </r>
  <r>
    <d v="2025-10-13T00:00:00"/>
    <x v="33"/>
    <n v="2"/>
    <n v="2025"/>
    <s v="2025-42"/>
    <s v="Week 42"/>
    <x v="41"/>
  </r>
  <r>
    <d v="2025-10-13T00:00:00"/>
    <x v="4"/>
    <n v="2"/>
    <n v="2025"/>
    <s v="2025-42"/>
    <s v="Week 42"/>
    <x v="41"/>
  </r>
  <r>
    <d v="2025-10-13T00:00:00"/>
    <x v="18"/>
    <n v="2"/>
    <n v="2025"/>
    <s v="2025-42"/>
    <s v="Week 42"/>
    <x v="41"/>
  </r>
  <r>
    <d v="2025-10-14T00:00:00"/>
    <x v="28"/>
    <n v="8"/>
    <n v="2025"/>
    <s v="2025-42"/>
    <s v="Week 42"/>
    <x v="41"/>
  </r>
  <r>
    <d v="2025-10-16T00:00:00"/>
    <x v="12"/>
    <n v="23"/>
    <n v="2025"/>
    <s v="2025-42"/>
    <s v="Week 42"/>
    <x v="41"/>
  </r>
  <r>
    <d v="2025-10-16T00:00:00"/>
    <x v="11"/>
    <n v="16"/>
    <n v="2025"/>
    <s v="2025-42"/>
    <s v="Week 42"/>
    <x v="41"/>
  </r>
  <r>
    <d v="2025-10-16T00:00:00"/>
    <x v="12"/>
    <n v="16"/>
    <n v="2025"/>
    <s v="2025-42"/>
    <s v="Week 42"/>
    <x v="41"/>
  </r>
  <r>
    <d v="2025-10-16T00:00:00"/>
    <x v="12"/>
    <n v="13"/>
    <n v="2025"/>
    <s v="2025-42"/>
    <s v="Week 42"/>
    <x v="41"/>
  </r>
  <r>
    <d v="2025-10-16T00:00:00"/>
    <x v="3"/>
    <n v="6"/>
    <n v="2025"/>
    <s v="2025-42"/>
    <s v="Week 42"/>
    <x v="41"/>
  </r>
  <r>
    <d v="2025-10-16T00:00:00"/>
    <x v="6"/>
    <n v="2"/>
    <n v="2025"/>
    <s v="2025-42"/>
    <s v="Week 42"/>
    <x v="41"/>
  </r>
  <r>
    <d v="2025-10-16T00:00:00"/>
    <x v="19"/>
    <n v="4"/>
    <n v="2025"/>
    <s v="2025-42"/>
    <s v="Week 42"/>
    <x v="41"/>
  </r>
  <r>
    <d v="2025-10-16T00:00:00"/>
    <x v="3"/>
    <n v="2"/>
    <n v="2025"/>
    <s v="2025-42"/>
    <s v="Week 42"/>
    <x v="41"/>
  </r>
  <r>
    <d v="2025-10-16T00:00:00"/>
    <x v="3"/>
    <n v="2"/>
    <n v="2025"/>
    <s v="2025-42"/>
    <s v="Week 42"/>
    <x v="41"/>
  </r>
  <r>
    <d v="2025-10-16T00:00:00"/>
    <x v="30"/>
    <n v="4"/>
    <n v="2025"/>
    <s v="2025-42"/>
    <s v="Week 42"/>
    <x v="41"/>
  </r>
  <r>
    <d v="2025-10-16T00:00:00"/>
    <x v="18"/>
    <n v="3"/>
    <n v="2025"/>
    <s v="2025-42"/>
    <s v="Week 42"/>
    <x v="41"/>
  </r>
  <r>
    <d v="2025-10-16T00:00:00"/>
    <x v="27"/>
    <n v="2"/>
    <n v="2025"/>
    <s v="2025-42"/>
    <s v="Week 42"/>
    <x v="41"/>
  </r>
  <r>
    <d v="2025-10-16T00:00:00"/>
    <x v="11"/>
    <n v="1"/>
    <n v="2025"/>
    <s v="2025-42"/>
    <s v="Week 42"/>
    <x v="41"/>
  </r>
  <r>
    <d v="2025-10-16T00:00:00"/>
    <x v="30"/>
    <n v="2"/>
    <n v="2025"/>
    <s v="2025-42"/>
    <s v="Week 42"/>
    <x v="41"/>
  </r>
  <r>
    <d v="2025-10-16T00:00:00"/>
    <x v="30"/>
    <n v="2"/>
    <n v="2025"/>
    <s v="2025-42"/>
    <s v="Week 42"/>
    <x v="41"/>
  </r>
  <r>
    <d v="2025-10-16T00:00:00"/>
    <x v="19"/>
    <n v="1"/>
    <n v="2025"/>
    <s v="2025-42"/>
    <s v="Week 42"/>
    <x v="41"/>
  </r>
  <r>
    <d v="2025-10-17T00:00:00"/>
    <x v="14"/>
    <n v="16"/>
    <n v="2025"/>
    <s v="2025-42"/>
    <s v="Week 42"/>
    <x v="41"/>
  </r>
  <r>
    <d v="2025-10-17T00:00:00"/>
    <x v="12"/>
    <n v="8"/>
    <n v="2025"/>
    <s v="2025-42"/>
    <s v="Week 42"/>
    <x v="41"/>
  </r>
  <r>
    <d v="2025-10-19T00:00:00"/>
    <x v="2"/>
    <n v="8"/>
    <n v="2025"/>
    <s v="2025-42"/>
    <s v="Week 43"/>
    <x v="42"/>
  </r>
  <r>
    <d v="2025-10-19T00:00:00"/>
    <x v="11"/>
    <n v="4"/>
    <n v="2025"/>
    <s v="2025-42"/>
    <s v="Week 43"/>
    <x v="42"/>
  </r>
  <r>
    <d v="2025-10-19T00:00:00"/>
    <x v="6"/>
    <n v="2"/>
    <n v="2025"/>
    <s v="2025-42"/>
    <s v="Week 43"/>
    <x v="42"/>
  </r>
  <r>
    <d v="2025-10-22T00:00:00"/>
    <x v="3"/>
    <n v="8"/>
    <n v="2025"/>
    <s v="2025-43"/>
    <s v="Week 43"/>
    <x v="42"/>
  </r>
  <r>
    <d v="2025-10-22T00:00:00"/>
    <x v="19"/>
    <n v="18"/>
    <n v="2025"/>
    <s v="2025-43"/>
    <s v="Week 43"/>
    <x v="42"/>
  </r>
  <r>
    <d v="2025-10-22T00:00:00"/>
    <x v="19"/>
    <n v="16"/>
    <n v="2025"/>
    <s v="2025-43"/>
    <s v="Week 43"/>
    <x v="42"/>
  </r>
  <r>
    <d v="2025-10-22T00:00:00"/>
    <x v="12"/>
    <n v="8"/>
    <n v="2025"/>
    <s v="2025-43"/>
    <s v="Week 43"/>
    <x v="42"/>
  </r>
  <r>
    <d v="2025-10-22T00:00:00"/>
    <x v="23"/>
    <n v="8"/>
    <n v="2025"/>
    <s v="2025-43"/>
    <s v="Week 43"/>
    <x v="42"/>
  </r>
  <r>
    <d v="2025-10-22T00:00:00"/>
    <x v="23"/>
    <n v="8"/>
    <n v="2025"/>
    <s v="2025-43"/>
    <s v="Week 43"/>
    <x v="42"/>
  </r>
  <r>
    <d v="2025-10-22T00:00:00"/>
    <x v="12"/>
    <n v="4"/>
    <n v="2025"/>
    <s v="2025-43"/>
    <s v="Week 43"/>
    <x v="42"/>
  </r>
  <r>
    <d v="2025-10-22T00:00:00"/>
    <x v="21"/>
    <n v="6"/>
    <n v="2025"/>
    <s v="2025-43"/>
    <s v="Week 43"/>
    <x v="42"/>
  </r>
  <r>
    <d v="2025-10-22T00:00:00"/>
    <x v="30"/>
    <n v="6"/>
    <n v="2025"/>
    <s v="2025-43"/>
    <s v="Week 43"/>
    <x v="42"/>
  </r>
  <r>
    <d v="2025-10-22T00:00:00"/>
    <x v="18"/>
    <n v="6"/>
    <n v="2025"/>
    <s v="2025-43"/>
    <s v="Week 43"/>
    <x v="42"/>
  </r>
  <r>
    <d v="2025-10-22T00:00:00"/>
    <x v="23"/>
    <n v="4"/>
    <n v="2025"/>
    <s v="2025-43"/>
    <s v="Week 43"/>
    <x v="42"/>
  </r>
  <r>
    <d v="2025-10-22T00:00:00"/>
    <x v="21"/>
    <n v="4"/>
    <n v="2025"/>
    <s v="2025-43"/>
    <s v="Week 43"/>
    <x v="42"/>
  </r>
  <r>
    <d v="2025-10-22T00:00:00"/>
    <x v="2"/>
    <n v="2"/>
    <n v="2025"/>
    <s v="2025-43"/>
    <s v="Week 43"/>
    <x v="42"/>
  </r>
  <r>
    <d v="2025-10-22T00:00:00"/>
    <x v="2"/>
    <n v="2"/>
    <n v="2025"/>
    <s v="2025-43"/>
    <s v="Week 43"/>
    <x v="42"/>
  </r>
  <r>
    <d v="2025-10-22T00:00:00"/>
    <x v="2"/>
    <n v="2"/>
    <n v="2025"/>
    <s v="2025-43"/>
    <s v="Week 43"/>
    <x v="42"/>
  </r>
  <r>
    <d v="2025-10-22T00:00:00"/>
    <x v="30"/>
    <n v="2"/>
    <n v="2025"/>
    <s v="2025-43"/>
    <s v="Week 43"/>
    <x v="42"/>
  </r>
  <r>
    <d v="2025-10-22T00:00:00"/>
    <x v="35"/>
    <n v="1"/>
    <n v="2025"/>
    <s v="2025-43"/>
    <s v="Week 43"/>
    <x v="42"/>
  </r>
  <r>
    <d v="2025-10-22T00:00:00"/>
    <x v="23"/>
    <n v="1"/>
    <n v="2025"/>
    <s v="2025-43"/>
    <s v="Week 43"/>
    <x v="42"/>
  </r>
  <r>
    <d v="2025-10-23T00:00:00"/>
    <x v="13"/>
    <n v="20"/>
    <n v="2025"/>
    <s v="2025-43"/>
    <s v="Week 43"/>
    <x v="42"/>
  </r>
  <r>
    <d v="2025-10-23T00:00:00"/>
    <x v="13"/>
    <n v="18"/>
    <n v="2025"/>
    <s v="2025-43"/>
    <s v="Week 43"/>
    <x v="42"/>
  </r>
  <r>
    <d v="2025-10-23T00:00:00"/>
    <x v="1"/>
    <n v="24"/>
    <n v="2025"/>
    <s v="2025-43"/>
    <s v="Week 43"/>
    <x v="42"/>
  </r>
  <r>
    <d v="2025-10-23T00:00:00"/>
    <x v="35"/>
    <n v="28"/>
    <n v="2025"/>
    <s v="2025-43"/>
    <s v="Week 43"/>
    <x v="42"/>
  </r>
  <r>
    <d v="2025-10-23T00:00:00"/>
    <x v="11"/>
    <n v="14"/>
    <n v="2025"/>
    <s v="2025-43"/>
    <s v="Week 43"/>
    <x v="42"/>
  </r>
  <r>
    <d v="2025-10-23T00:00:00"/>
    <x v="0"/>
    <n v="6"/>
    <n v="2025"/>
    <s v="2025-43"/>
    <s v="Week 43"/>
    <x v="42"/>
  </r>
  <r>
    <d v="2025-10-23T00:00:00"/>
    <x v="3"/>
    <n v="10"/>
    <n v="2025"/>
    <s v="2025-43"/>
    <s v="Week 43"/>
    <x v="42"/>
  </r>
  <r>
    <d v="2025-10-23T00:00:00"/>
    <x v="22"/>
    <n v="10"/>
    <n v="2025"/>
    <s v="2025-43"/>
    <s v="Week 43"/>
    <x v="42"/>
  </r>
  <r>
    <d v="2025-10-23T00:00:00"/>
    <x v="21"/>
    <n v="14"/>
    <n v="2025"/>
    <s v="2025-43"/>
    <s v="Week 43"/>
    <x v="42"/>
  </r>
  <r>
    <d v="2025-10-23T00:00:00"/>
    <x v="15"/>
    <n v="8"/>
    <n v="2025"/>
    <s v="2025-43"/>
    <s v="Week 43"/>
    <x v="42"/>
  </r>
  <r>
    <d v="2025-10-23T00:00:00"/>
    <x v="6"/>
    <n v="3"/>
    <n v="2025"/>
    <s v="2025-43"/>
    <s v="Week 43"/>
    <x v="42"/>
  </r>
  <r>
    <d v="2025-10-23T00:00:00"/>
    <x v="3"/>
    <n v="4"/>
    <n v="2025"/>
    <s v="2025-43"/>
    <s v="Week 43"/>
    <x v="42"/>
  </r>
  <r>
    <d v="2025-10-23T00:00:00"/>
    <x v="20"/>
    <n v="4"/>
    <n v="2025"/>
    <s v="2025-43"/>
    <s v="Week 43"/>
    <x v="42"/>
  </r>
  <r>
    <d v="2025-10-23T00:00:00"/>
    <x v="12"/>
    <n v="4"/>
    <n v="2025"/>
    <s v="2025-43"/>
    <s v="Week 43"/>
    <x v="42"/>
  </r>
  <r>
    <d v="2025-10-23T00:00:00"/>
    <x v="2"/>
    <n v="4"/>
    <n v="2025"/>
    <s v="2025-43"/>
    <s v="Week 43"/>
    <x v="42"/>
  </r>
  <r>
    <d v="2025-10-23T00:00:00"/>
    <x v="2"/>
    <n v="4"/>
    <n v="2025"/>
    <s v="2025-43"/>
    <s v="Week 43"/>
    <x v="42"/>
  </r>
  <r>
    <d v="2025-10-23T00:00:00"/>
    <x v="12"/>
    <n v="4"/>
    <n v="2025"/>
    <s v="2025-43"/>
    <s v="Week 43"/>
    <x v="42"/>
  </r>
  <r>
    <d v="2025-10-23T00:00:00"/>
    <x v="4"/>
    <n v="6"/>
    <n v="2025"/>
    <s v="2025-43"/>
    <s v="Week 43"/>
    <x v="42"/>
  </r>
  <r>
    <d v="2025-10-23T00:00:00"/>
    <x v="17"/>
    <n v="2"/>
    <n v="2025"/>
    <s v="2025-43"/>
    <s v="Week 43"/>
    <x v="42"/>
  </r>
  <r>
    <d v="2025-10-23T00:00:00"/>
    <x v="32"/>
    <n v="6"/>
    <n v="2025"/>
    <s v="2025-43"/>
    <s v="Week 43"/>
    <x v="42"/>
  </r>
  <r>
    <d v="2025-10-23T00:00:00"/>
    <x v="31"/>
    <n v="4"/>
    <n v="2025"/>
    <s v="2025-43"/>
    <s v="Week 43"/>
    <x v="42"/>
  </r>
  <r>
    <d v="2025-10-23T00:00:00"/>
    <x v="14"/>
    <n v="2"/>
    <n v="2025"/>
    <s v="2025-43"/>
    <s v="Week 43"/>
    <x v="42"/>
  </r>
  <r>
    <d v="2025-10-23T00:00:00"/>
    <x v="27"/>
    <n v="4"/>
    <n v="2025"/>
    <s v="2025-43"/>
    <s v="Week 43"/>
    <x v="42"/>
  </r>
  <r>
    <d v="2025-10-23T00:00:00"/>
    <x v="30"/>
    <n v="4"/>
    <n v="2025"/>
    <s v="2025-43"/>
    <s v="Week 43"/>
    <x v="42"/>
  </r>
  <r>
    <d v="2025-10-23T00:00:00"/>
    <x v="4"/>
    <n v="3"/>
    <n v="2025"/>
    <s v="2025-43"/>
    <s v="Week 43"/>
    <x v="42"/>
  </r>
  <r>
    <d v="2025-10-23T00:00:00"/>
    <x v="25"/>
    <n v="2"/>
    <n v="2025"/>
    <s v="2025-43"/>
    <s v="Week 43"/>
    <x v="42"/>
  </r>
  <r>
    <d v="2025-10-23T00:00:00"/>
    <x v="15"/>
    <n v="2"/>
    <n v="2025"/>
    <s v="2025-43"/>
    <s v="Week 43"/>
    <x v="42"/>
  </r>
  <r>
    <d v="2025-10-23T00:00:00"/>
    <x v="4"/>
    <n v="1"/>
    <n v="2025"/>
    <s v="2025-43"/>
    <s v="Week 43"/>
    <x v="42"/>
  </r>
  <r>
    <d v="2025-10-25T00:00:00"/>
    <x v="26"/>
    <n v="12"/>
    <n v="2025"/>
    <s v="2025-43"/>
    <s v="Week 43"/>
    <x v="42"/>
  </r>
  <r>
    <d v="2025-10-25T00:00:00"/>
    <x v="21"/>
    <n v="12"/>
    <n v="2025"/>
    <s v="2025-43"/>
    <s v="Week 43"/>
    <x v="42"/>
  </r>
  <r>
    <d v="2025-10-25T00:00:00"/>
    <x v="15"/>
    <n v="8"/>
    <n v="2025"/>
    <s v="2025-43"/>
    <s v="Week 43"/>
    <x v="42"/>
  </r>
  <r>
    <d v="2025-10-25T00:00:00"/>
    <x v="14"/>
    <n v="4"/>
    <n v="2025"/>
    <s v="2025-43"/>
    <s v="Week 43"/>
    <x v="42"/>
  </r>
  <r>
    <d v="2025-10-25T00:00:00"/>
    <x v="19"/>
    <n v="6"/>
    <n v="2025"/>
    <s v="2025-43"/>
    <s v="Week 43"/>
    <x v="42"/>
  </r>
  <r>
    <d v="2025-10-25T00:00:00"/>
    <x v="10"/>
    <n v="2"/>
    <n v="2025"/>
    <s v="2025-43"/>
    <s v="Week 43"/>
    <x v="42"/>
  </r>
  <r>
    <d v="2025-10-25T00:00:00"/>
    <x v="32"/>
    <n v="4"/>
    <n v="2025"/>
    <s v="2025-43"/>
    <s v="Week 43"/>
    <x v="42"/>
  </r>
  <r>
    <d v="2025-10-25T00:00:00"/>
    <x v="23"/>
    <n v="2"/>
    <n v="2025"/>
    <s v="2025-43"/>
    <s v="Week 43"/>
    <x v="42"/>
  </r>
  <r>
    <d v="2025-10-25T00:00:00"/>
    <x v="2"/>
    <n v="1"/>
    <n v="2025"/>
    <s v="2025-43"/>
    <s v="Week 43"/>
    <x v="42"/>
  </r>
  <r>
    <d v="2025-10-25T00:00:00"/>
    <x v="35"/>
    <n v="1"/>
    <n v="2025"/>
    <s v="2025-43"/>
    <s v="Week 43"/>
    <x v="42"/>
  </r>
  <r>
    <d v="2025-10-25T00:00:00"/>
    <x v="30"/>
    <n v="1"/>
    <n v="2025"/>
    <s v="2025-43"/>
    <s v="Week 43"/>
    <x v="42"/>
  </r>
  <r>
    <d v="2025-10-25T00:00:00"/>
    <x v="30"/>
    <n v="1"/>
    <n v="2025"/>
    <s v="2025-43"/>
    <s v="Week 43"/>
    <x v="42"/>
  </r>
  <r>
    <d v="2025-10-27T00:00:00"/>
    <x v="13"/>
    <n v="32"/>
    <n v="2025"/>
    <s v="2025-44"/>
    <s v="Week 44"/>
    <x v="43"/>
  </r>
  <r>
    <d v="2025-10-27T00:00:00"/>
    <x v="12"/>
    <n v="18"/>
    <n v="2025"/>
    <s v="2025-44"/>
    <s v="Week 44"/>
    <x v="43"/>
  </r>
  <r>
    <d v="2025-10-27T00:00:00"/>
    <x v="12"/>
    <n v="16"/>
    <n v="2025"/>
    <s v="2025-44"/>
    <s v="Week 44"/>
    <x v="43"/>
  </r>
  <r>
    <d v="2025-10-27T00:00:00"/>
    <x v="15"/>
    <n v="22"/>
    <n v="2025"/>
    <s v="2025-44"/>
    <s v="Week 44"/>
    <x v="43"/>
  </r>
  <r>
    <d v="2025-10-27T00:00:00"/>
    <x v="5"/>
    <n v="4"/>
    <n v="2025"/>
    <s v="2025-44"/>
    <s v="Week 44"/>
    <x v="43"/>
  </r>
  <r>
    <d v="2025-10-27T00:00:00"/>
    <x v="2"/>
    <n v="6"/>
    <n v="2025"/>
    <s v="2025-44"/>
    <s v="Week 44"/>
    <x v="43"/>
  </r>
  <r>
    <d v="2025-10-27T00:00:00"/>
    <x v="31"/>
    <n v="8"/>
    <n v="2025"/>
    <s v="2025-44"/>
    <s v="Week 44"/>
    <x v="43"/>
  </r>
  <r>
    <d v="2025-10-27T00:00:00"/>
    <x v="19"/>
    <n v="8"/>
    <n v="2025"/>
    <s v="2025-44"/>
    <s v="Week 44"/>
    <x v="43"/>
  </r>
  <r>
    <d v="2025-10-27T00:00:00"/>
    <x v="11"/>
    <n v="4"/>
    <n v="2025"/>
    <s v="2025-44"/>
    <s v="Week 44"/>
    <x v="43"/>
  </r>
  <r>
    <d v="2025-10-27T00:00:00"/>
    <x v="11"/>
    <n v="4"/>
    <n v="2025"/>
    <s v="2025-44"/>
    <s v="Week 44"/>
    <x v="43"/>
  </r>
  <r>
    <d v="2025-10-27T00:00:00"/>
    <x v="1"/>
    <n v="5"/>
    <n v="2025"/>
    <s v="2025-44"/>
    <s v="Week 44"/>
    <x v="43"/>
  </r>
  <r>
    <d v="2025-10-27T00:00:00"/>
    <x v="15"/>
    <n v="5"/>
    <n v="2025"/>
    <s v="2025-44"/>
    <s v="Week 44"/>
    <x v="43"/>
  </r>
  <r>
    <d v="2025-10-27T00:00:00"/>
    <x v="3"/>
    <n v="2"/>
    <n v="2025"/>
    <s v="2025-44"/>
    <s v="Week 44"/>
    <x v="43"/>
  </r>
  <r>
    <d v="2025-10-27T00:00:00"/>
    <x v="1"/>
    <n v="3"/>
    <n v="2025"/>
    <s v="2025-44"/>
    <s v="Week 44"/>
    <x v="43"/>
  </r>
  <r>
    <d v="2025-10-27T00:00:00"/>
    <x v="11"/>
    <n v="2"/>
    <n v="2025"/>
    <s v="2025-44"/>
    <s v="Week 44"/>
    <x v="43"/>
  </r>
  <r>
    <d v="2025-10-27T00:00:00"/>
    <x v="18"/>
    <n v="3"/>
    <n v="2025"/>
    <s v="2025-44"/>
    <s v="Week 44"/>
    <x v="43"/>
  </r>
  <r>
    <d v="2025-10-27T00:00:00"/>
    <x v="27"/>
    <n v="1"/>
    <n v="2025"/>
    <s v="2025-44"/>
    <s v="Week 44"/>
    <x v="43"/>
  </r>
  <r>
    <d v="2025-10-28T00:00:00"/>
    <x v="14"/>
    <n v="16"/>
    <n v="2025"/>
    <s v="2025-44"/>
    <s v="Week 44"/>
    <x v="43"/>
  </r>
  <r>
    <d v="2025-10-28T00:00:00"/>
    <x v="3"/>
    <n v="16"/>
    <n v="2025"/>
    <s v="2025-44"/>
    <s v="Week 44"/>
    <x v="43"/>
  </r>
  <r>
    <d v="2025-10-28T00:00:00"/>
    <x v="18"/>
    <n v="32"/>
    <n v="2025"/>
    <s v="2025-44"/>
    <s v="Week 44"/>
    <x v="43"/>
  </r>
  <r>
    <d v="2025-10-28T00:00:00"/>
    <x v="10"/>
    <n v="14"/>
    <n v="2025"/>
    <s v="2025-44"/>
    <s v="Week 44"/>
    <x v="43"/>
  </r>
  <r>
    <d v="2025-10-28T00:00:00"/>
    <x v="10"/>
    <n v="12"/>
    <n v="2025"/>
    <s v="2025-44"/>
    <s v="Week 44"/>
    <x v="43"/>
  </r>
  <r>
    <d v="2025-10-28T00:00:00"/>
    <x v="13"/>
    <n v="10"/>
    <n v="2025"/>
    <s v="2025-44"/>
    <s v="Week 44"/>
    <x v="43"/>
  </r>
  <r>
    <d v="2025-10-28T00:00:00"/>
    <x v="17"/>
    <n v="10"/>
    <n v="2025"/>
    <s v="2025-44"/>
    <s v="Week 44"/>
    <x v="43"/>
  </r>
  <r>
    <d v="2025-10-28T00:00:00"/>
    <x v="9"/>
    <n v="12"/>
    <n v="2025"/>
    <s v="2025-44"/>
    <s v="Week 44"/>
    <x v="43"/>
  </r>
  <r>
    <d v="2025-10-28T00:00:00"/>
    <x v="10"/>
    <n v="8"/>
    <n v="2025"/>
    <s v="2025-44"/>
    <s v="Week 44"/>
    <x v="43"/>
  </r>
  <r>
    <d v="2025-10-28T00:00:00"/>
    <x v="7"/>
    <n v="6"/>
    <n v="2025"/>
    <s v="2025-44"/>
    <s v="Week 44"/>
    <x v="43"/>
  </r>
  <r>
    <d v="2025-10-28T00:00:00"/>
    <x v="11"/>
    <n v="10"/>
    <n v="2025"/>
    <s v="2025-44"/>
    <s v="Week 44"/>
    <x v="43"/>
  </r>
  <r>
    <d v="2025-10-28T00:00:00"/>
    <x v="4"/>
    <n v="17"/>
    <n v="2025"/>
    <s v="2025-44"/>
    <s v="Week 44"/>
    <x v="43"/>
  </r>
  <r>
    <d v="2025-10-28T00:00:00"/>
    <x v="14"/>
    <n v="6"/>
    <n v="2025"/>
    <s v="2025-44"/>
    <s v="Week 44"/>
    <x v="43"/>
  </r>
  <r>
    <d v="2025-10-28T00:00:00"/>
    <x v="26"/>
    <n v="12"/>
    <n v="2025"/>
    <s v="2025-44"/>
    <s v="Week 44"/>
    <x v="43"/>
  </r>
  <r>
    <d v="2025-10-28T00:00:00"/>
    <x v="25"/>
    <n v="8"/>
    <n v="2025"/>
    <s v="2025-44"/>
    <s v="Week 44"/>
    <x v="43"/>
  </r>
  <r>
    <d v="2025-10-28T00:00:00"/>
    <x v="19"/>
    <n v="10"/>
    <n v="2025"/>
    <s v="2025-44"/>
    <s v="Week 44"/>
    <x v="43"/>
  </r>
  <r>
    <d v="2025-10-28T00:00:00"/>
    <x v="12"/>
    <n v="6"/>
    <n v="2025"/>
    <s v="2025-44"/>
    <s v="Week 44"/>
    <x v="43"/>
  </r>
  <r>
    <d v="2025-10-28T00:00:00"/>
    <x v="13"/>
    <n v="4"/>
    <n v="2025"/>
    <s v="2025-44"/>
    <s v="Week 44"/>
    <x v="43"/>
  </r>
  <r>
    <d v="2025-10-28T00:00:00"/>
    <x v="10"/>
    <n v="4"/>
    <n v="2025"/>
    <s v="2025-44"/>
    <s v="Week 44"/>
    <x v="43"/>
  </r>
  <r>
    <d v="2025-10-28T00:00:00"/>
    <x v="14"/>
    <n v="4"/>
    <n v="2025"/>
    <s v="2025-44"/>
    <s v="Week 44"/>
    <x v="43"/>
  </r>
  <r>
    <d v="2025-10-28T00:00:00"/>
    <x v="2"/>
    <n v="4"/>
    <n v="2025"/>
    <s v="2025-44"/>
    <s v="Week 44"/>
    <x v="43"/>
  </r>
  <r>
    <d v="2025-10-28T00:00:00"/>
    <x v="32"/>
    <n v="6"/>
    <n v="2025"/>
    <s v="2025-44"/>
    <s v="Week 44"/>
    <x v="43"/>
  </r>
  <r>
    <d v="2025-10-28T00:00:00"/>
    <x v="18"/>
    <n v="4"/>
    <n v="2025"/>
    <s v="2025-44"/>
    <s v="Week 44"/>
    <x v="43"/>
  </r>
  <r>
    <d v="2025-10-28T00:00:00"/>
    <x v="30"/>
    <n v="4"/>
    <n v="2025"/>
    <s v="2025-44"/>
    <s v="Week 44"/>
    <x v="43"/>
  </r>
  <r>
    <d v="2025-10-28T00:00:00"/>
    <x v="27"/>
    <n v="2"/>
    <n v="2025"/>
    <s v="2025-44"/>
    <s v="Week 44"/>
    <x v="43"/>
  </r>
  <r>
    <d v="2025-10-28T00:00:00"/>
    <x v="28"/>
    <n v="2"/>
    <n v="2025"/>
    <s v="2025-44"/>
    <s v="Week 44"/>
    <x v="43"/>
  </r>
  <r>
    <d v="2025-10-28T00:00:00"/>
    <x v="4"/>
    <n v="1"/>
    <n v="2025"/>
    <s v="2025-44"/>
    <s v="Week 44"/>
    <x v="43"/>
  </r>
  <r>
    <d v="2025-10-30T00:00:00"/>
    <x v="17"/>
    <n v="6"/>
    <n v="2025"/>
    <s v="2025-44"/>
    <s v="Week 44"/>
    <x v="43"/>
  </r>
  <r>
    <d v="2025-10-30T00:00:00"/>
    <x v="45"/>
    <n v="4"/>
    <n v="2025"/>
    <s v="2025-44"/>
    <s v="Week 44"/>
    <x v="43"/>
  </r>
  <r>
    <d v="2025-10-30T00:00:00"/>
    <x v="31"/>
    <n v="8"/>
    <n v="2025"/>
    <s v="2025-44"/>
    <s v="Week 44"/>
    <x v="43"/>
  </r>
  <r>
    <d v="2025-10-30T00:00:00"/>
    <x v="20"/>
    <n v="4"/>
    <n v="2025"/>
    <s v="2025-44"/>
    <s v="Week 44"/>
    <x v="43"/>
  </r>
  <r>
    <d v="2025-10-30T00:00:00"/>
    <x v="5"/>
    <n v="2"/>
    <n v="2025"/>
    <s v="2025-44"/>
    <s v="Week 44"/>
    <x v="43"/>
  </r>
  <r>
    <d v="2025-10-30T00:00:00"/>
    <x v="5"/>
    <n v="2"/>
    <n v="2025"/>
    <s v="2025-44"/>
    <s v="Week 44"/>
    <x v="43"/>
  </r>
  <r>
    <d v="2025-10-30T00:00:00"/>
    <x v="28"/>
    <n v="6"/>
    <n v="2025"/>
    <s v="2025-44"/>
    <s v="Week 44"/>
    <x v="43"/>
  </r>
  <r>
    <d v="2025-10-31T00:00:00"/>
    <x v="12"/>
    <n v="15"/>
    <n v="2025"/>
    <s v="2025-44"/>
    <s v="Week 44"/>
    <x v="43"/>
  </r>
  <r>
    <d v="2025-10-31T00:00:00"/>
    <x v="15"/>
    <n v="20"/>
    <n v="2025"/>
    <s v="2025-44"/>
    <s v="Week 44"/>
    <x v="43"/>
  </r>
  <r>
    <d v="2025-10-31T00:00:00"/>
    <x v="12"/>
    <n v="9"/>
    <n v="2025"/>
    <s v="2025-44"/>
    <s v="Week 44"/>
    <x v="43"/>
  </r>
  <r>
    <d v="2025-10-31T00:00:00"/>
    <x v="12"/>
    <n v="9"/>
    <n v="2025"/>
    <s v="2025-44"/>
    <s v="Week 44"/>
    <x v="43"/>
  </r>
  <r>
    <d v="2025-10-31T00:00:00"/>
    <x v="12"/>
    <n v="7"/>
    <n v="2025"/>
    <s v="2025-44"/>
    <s v="Week 44"/>
    <x v="43"/>
  </r>
  <r>
    <d v="2025-10-31T00:00:00"/>
    <x v="12"/>
    <n v="8"/>
    <n v="2025"/>
    <s v="2025-44"/>
    <s v="Week 44"/>
    <x v="43"/>
  </r>
  <r>
    <d v="2025-10-31T00:00:00"/>
    <x v="10"/>
    <n v="4"/>
    <n v="2025"/>
    <s v="2025-44"/>
    <s v="Week 44"/>
    <x v="43"/>
  </r>
  <r>
    <d v="2025-10-31T00:00:00"/>
    <x v="26"/>
    <n v="8"/>
    <n v="2025"/>
    <s v="2025-44"/>
    <s v="Week 44"/>
    <x v="43"/>
  </r>
  <r>
    <d v="2025-10-31T00:00:00"/>
    <x v="11"/>
    <n v="4"/>
    <n v="2025"/>
    <s v="2025-44"/>
    <s v="Week 44"/>
    <x v="43"/>
  </r>
  <r>
    <d v="2025-10-31T00:00:00"/>
    <x v="11"/>
    <n v="4"/>
    <n v="2025"/>
    <s v="2025-44"/>
    <s v="Week 44"/>
    <x v="43"/>
  </r>
  <r>
    <d v="2025-10-31T00:00:00"/>
    <x v="12"/>
    <n v="4"/>
    <n v="2025"/>
    <s v="2025-44"/>
    <s v="Week 44"/>
    <x v="43"/>
  </r>
  <r>
    <d v="2025-10-31T00:00:00"/>
    <x v="17"/>
    <n v="2"/>
    <n v="2025"/>
    <s v="2025-44"/>
    <s v="Week 44"/>
    <x v="43"/>
  </r>
  <r>
    <d v="2025-10-31T00:00:00"/>
    <x v="25"/>
    <n v="4"/>
    <n v="2025"/>
    <s v="2025-44"/>
    <s v="Week 44"/>
    <x v="43"/>
  </r>
  <r>
    <d v="2025-10-31T00:00:00"/>
    <x v="3"/>
    <n v="2"/>
    <n v="2025"/>
    <s v="2025-44"/>
    <s v="Week 44"/>
    <x v="43"/>
  </r>
  <r>
    <d v="2025-10-31T00:00:00"/>
    <x v="19"/>
    <n v="4"/>
    <n v="2025"/>
    <s v="2025-44"/>
    <s v="Week 44"/>
    <x v="43"/>
  </r>
  <r>
    <d v="2025-10-31T00:00:00"/>
    <x v="3"/>
    <n v="2"/>
    <n v="2025"/>
    <s v="2025-44"/>
    <s v="Week 44"/>
    <x v="43"/>
  </r>
  <r>
    <d v="2025-10-31T00:00:00"/>
    <x v="2"/>
    <n v="2"/>
    <n v="2025"/>
    <s v="2025-44"/>
    <s v="Week 44"/>
    <x v="43"/>
  </r>
  <r>
    <d v="2025-10-31T00:00:00"/>
    <x v="18"/>
    <n v="4"/>
    <n v="2025"/>
    <s v="2025-44"/>
    <s v="Week 44"/>
    <x v="43"/>
  </r>
  <r>
    <d v="2025-10-31T00:00:00"/>
    <x v="30"/>
    <n v="3"/>
    <n v="2025"/>
    <s v="2025-44"/>
    <s v="Week 44"/>
    <x v="43"/>
  </r>
  <r>
    <d v="2025-10-31T00:00:00"/>
    <x v="19"/>
    <n v="2"/>
    <n v="2025"/>
    <s v="2025-44"/>
    <s v="Week 44"/>
    <x v="43"/>
  </r>
  <r>
    <d v="2025-10-31T00:00:00"/>
    <x v="28"/>
    <n v="2"/>
    <n v="2025"/>
    <s v="2025-44"/>
    <s v="Week 44"/>
    <x v="43"/>
  </r>
  <r>
    <d v="2025-10-31T00:00:00"/>
    <x v="30"/>
    <n v="2"/>
    <n v="2025"/>
    <s v="2025-44"/>
    <s v="Week 44"/>
    <x v="43"/>
  </r>
  <r>
    <d v="2025-10-31T00:00:00"/>
    <x v="32"/>
    <n v="2"/>
    <n v="2025"/>
    <s v="2025-44"/>
    <s v="Week 44"/>
    <x v="43"/>
  </r>
  <r>
    <d v="2025-10-31T00:00:00"/>
    <x v="27"/>
    <n v="1"/>
    <n v="2025"/>
    <s v="2025-44"/>
    <s v="Week 44"/>
    <x v="43"/>
  </r>
  <r>
    <d v="2025-10-31T00:00:00"/>
    <x v="30"/>
    <n v="1"/>
    <n v="2025"/>
    <s v="2025-44"/>
    <s v="Week 44"/>
    <x v="43"/>
  </r>
  <r>
    <d v="2025-11-02T00:00:00"/>
    <x v="3"/>
    <n v="12"/>
    <n v="2025"/>
    <s v="2025-44"/>
    <s v="Week 45"/>
    <x v="44"/>
  </r>
  <r>
    <d v="2025-11-02T00:00:00"/>
    <x v="11"/>
    <n v="8"/>
    <n v="2025"/>
    <s v="2025-44"/>
    <s v="Week 45"/>
    <x v="44"/>
  </r>
  <r>
    <d v="2025-11-02T00:00:00"/>
    <x v="14"/>
    <n v="4"/>
    <n v="2025"/>
    <s v="2025-44"/>
    <s v="Week 45"/>
    <x v="44"/>
  </r>
  <r>
    <d v="2025-11-02T00:00:00"/>
    <x v="19"/>
    <n v="6"/>
    <n v="2025"/>
    <s v="2025-44"/>
    <s v="Week 45"/>
    <x v="44"/>
  </r>
  <r>
    <d v="2025-11-03T00:00:00"/>
    <x v="14"/>
    <n v="16"/>
    <n v="2025"/>
    <s v="2025-45"/>
    <s v="Week 45"/>
    <x v="44"/>
  </r>
  <r>
    <d v="2025-11-03T00:00:00"/>
    <x v="12"/>
    <n v="22"/>
    <n v="2025"/>
    <s v="2025-45"/>
    <s v="Week 45"/>
    <x v="44"/>
  </r>
  <r>
    <d v="2025-11-03T00:00:00"/>
    <x v="12"/>
    <n v="12"/>
    <n v="2025"/>
    <s v="2025-45"/>
    <s v="Week 45"/>
    <x v="44"/>
  </r>
  <r>
    <d v="2025-11-03T00:00:00"/>
    <x v="10"/>
    <n v="8"/>
    <n v="2025"/>
    <s v="2025-45"/>
    <s v="Week 45"/>
    <x v="44"/>
  </r>
  <r>
    <d v="2025-11-03T00:00:00"/>
    <x v="6"/>
    <n v="4"/>
    <n v="2025"/>
    <s v="2025-45"/>
    <s v="Week 45"/>
    <x v="44"/>
  </r>
  <r>
    <d v="2025-11-03T00:00:00"/>
    <x v="11"/>
    <n v="6"/>
    <n v="2025"/>
    <s v="2025-45"/>
    <s v="Week 45"/>
    <x v="44"/>
  </r>
  <r>
    <d v="2025-11-03T00:00:00"/>
    <x v="10"/>
    <n v="4"/>
    <n v="2025"/>
    <s v="2025-45"/>
    <s v="Week 45"/>
    <x v="44"/>
  </r>
  <r>
    <d v="2025-11-03T00:00:00"/>
    <x v="3"/>
    <n v="4"/>
    <n v="2025"/>
    <s v="2025-45"/>
    <s v="Week 45"/>
    <x v="44"/>
  </r>
  <r>
    <d v="2025-11-03T00:00:00"/>
    <x v="17"/>
    <n v="1"/>
    <n v="2025"/>
    <s v="2025-45"/>
    <s v="Week 45"/>
    <x v="44"/>
  </r>
  <r>
    <d v="2025-11-03T00:00:00"/>
    <x v="9"/>
    <n v="1"/>
    <n v="2025"/>
    <s v="2025-45"/>
    <s v="Week 45"/>
    <x v="44"/>
  </r>
  <r>
    <d v="2025-11-03T00:00:00"/>
    <x v="2"/>
    <n v="1"/>
    <n v="2025"/>
    <s v="2025-45"/>
    <s v="Week 45"/>
    <x v="44"/>
  </r>
  <r>
    <d v="2025-11-04T00:00:00"/>
    <x v="10"/>
    <n v="12"/>
    <n v="2025"/>
    <s v="2025-45"/>
    <s v="Week 45"/>
    <x v="44"/>
  </r>
  <r>
    <d v="2025-11-04T00:00:00"/>
    <x v="13"/>
    <n v="2"/>
    <n v="2025"/>
    <s v="2025-45"/>
    <s v="Week 45"/>
    <x v="44"/>
  </r>
  <r>
    <d v="2025-11-04T00:00:00"/>
    <x v="14"/>
    <n v="2"/>
    <n v="2025"/>
    <s v="2025-45"/>
    <s v="Week 45"/>
    <x v="44"/>
  </r>
  <r>
    <d v="2025-11-04T00:00:00"/>
    <x v="3"/>
    <n v="2"/>
    <n v="2025"/>
    <s v="2025-45"/>
    <s v="Week 45"/>
    <x v="44"/>
  </r>
  <r>
    <d v="2025-11-04T00:00:00"/>
    <x v="25"/>
    <n v="2"/>
    <n v="2025"/>
    <s v="2025-45"/>
    <s v="Week 45"/>
    <x v="44"/>
  </r>
  <r>
    <d v="2025-11-04T00:00:00"/>
    <x v="2"/>
    <n v="1"/>
    <n v="2025"/>
    <s v="2025-45"/>
    <s v="Week 45"/>
    <x v="44"/>
  </r>
  <r>
    <d v="2025-11-04T00:00:00"/>
    <x v="15"/>
    <n v="1"/>
    <n v="2025"/>
    <s v="2025-45"/>
    <s v="Week 45"/>
    <x v="44"/>
  </r>
  <r>
    <d v="2025-11-04T00:00:00"/>
    <x v="27"/>
    <n v="1"/>
    <n v="2025"/>
    <s v="2025-45"/>
    <s v="Week 45"/>
    <x v="44"/>
  </r>
  <r>
    <d v="2025-11-05T00:00:00"/>
    <x v="14"/>
    <n v="24"/>
    <n v="2025"/>
    <s v="2025-45"/>
    <s v="Week 45"/>
    <x v="44"/>
  </r>
  <r>
    <d v="2025-11-05T00:00:00"/>
    <x v="12"/>
    <n v="21"/>
    <n v="2025"/>
    <s v="2025-45"/>
    <s v="Week 45"/>
    <x v="44"/>
  </r>
  <r>
    <d v="2025-11-05T00:00:00"/>
    <x v="12"/>
    <n v="16"/>
    <n v="2025"/>
    <s v="2025-45"/>
    <s v="Week 45"/>
    <x v="44"/>
  </r>
  <r>
    <d v="2025-11-05T00:00:00"/>
    <x v="3"/>
    <n v="12"/>
    <n v="2025"/>
    <s v="2025-45"/>
    <s v="Week 45"/>
    <x v="44"/>
  </r>
  <r>
    <d v="2025-11-05T00:00:00"/>
    <x v="6"/>
    <n v="8"/>
    <n v="2025"/>
    <s v="2025-45"/>
    <s v="Week 45"/>
    <x v="44"/>
  </r>
  <r>
    <d v="2025-11-05T00:00:00"/>
    <x v="25"/>
    <n v="12"/>
    <n v="2025"/>
    <s v="2025-45"/>
    <s v="Week 45"/>
    <x v="44"/>
  </r>
  <r>
    <d v="2025-11-05T00:00:00"/>
    <x v="6"/>
    <n v="5"/>
    <n v="2025"/>
    <s v="2025-45"/>
    <s v="Week 45"/>
    <x v="44"/>
  </r>
  <r>
    <d v="2025-11-05T00:00:00"/>
    <x v="10"/>
    <n v="6"/>
    <n v="2025"/>
    <s v="2025-45"/>
    <s v="Week 45"/>
    <x v="44"/>
  </r>
  <r>
    <d v="2025-11-05T00:00:00"/>
    <x v="6"/>
    <n v="4"/>
    <n v="2025"/>
    <s v="2025-45"/>
    <s v="Week 45"/>
    <x v="44"/>
  </r>
  <r>
    <d v="2025-11-05T00:00:00"/>
    <x v="13"/>
    <n v="4"/>
    <n v="2025"/>
    <s v="2025-45"/>
    <s v="Week 45"/>
    <x v="44"/>
  </r>
  <r>
    <d v="2025-11-05T00:00:00"/>
    <x v="17"/>
    <n v="4"/>
    <n v="2025"/>
    <s v="2025-45"/>
    <s v="Week 45"/>
    <x v="44"/>
  </r>
  <r>
    <d v="2025-11-05T00:00:00"/>
    <x v="11"/>
    <n v="5"/>
    <n v="2025"/>
    <s v="2025-45"/>
    <s v="Week 45"/>
    <x v="44"/>
  </r>
  <r>
    <d v="2025-11-05T00:00:00"/>
    <x v="11"/>
    <n v="4"/>
    <n v="2025"/>
    <s v="2025-45"/>
    <s v="Week 45"/>
    <x v="44"/>
  </r>
  <r>
    <d v="2025-11-05T00:00:00"/>
    <x v="11"/>
    <n v="3"/>
    <n v="2025"/>
    <s v="2025-45"/>
    <s v="Week 45"/>
    <x v="44"/>
  </r>
  <r>
    <d v="2025-11-05T00:00:00"/>
    <x v="25"/>
    <n v="4"/>
    <n v="2025"/>
    <s v="2025-45"/>
    <s v="Week 45"/>
    <x v="44"/>
  </r>
  <r>
    <d v="2025-11-05T00:00:00"/>
    <x v="17"/>
    <n v="2"/>
    <n v="2025"/>
    <s v="2025-45"/>
    <s v="Week 45"/>
    <x v="44"/>
  </r>
  <r>
    <d v="2025-11-05T00:00:00"/>
    <x v="12"/>
    <n v="3"/>
    <n v="2025"/>
    <s v="2025-45"/>
    <s v="Week 45"/>
    <x v="44"/>
  </r>
  <r>
    <d v="2025-11-05T00:00:00"/>
    <x v="15"/>
    <n v="4"/>
    <n v="2025"/>
    <s v="2025-45"/>
    <s v="Week 45"/>
    <x v="44"/>
  </r>
  <r>
    <d v="2025-11-05T00:00:00"/>
    <x v="26"/>
    <n v="4"/>
    <n v="2025"/>
    <s v="2025-45"/>
    <s v="Week 45"/>
    <x v="44"/>
  </r>
  <r>
    <d v="2025-11-05T00:00:00"/>
    <x v="4"/>
    <n v="3"/>
    <n v="2025"/>
    <s v="2025-45"/>
    <s v="Week 45"/>
    <x v="44"/>
  </r>
  <r>
    <d v="2025-11-05T00:00:00"/>
    <x v="19"/>
    <n v="2"/>
    <n v="2025"/>
    <s v="2025-45"/>
    <s v="Week 45"/>
    <x v="44"/>
  </r>
  <r>
    <d v="2025-11-05T00:00:00"/>
    <x v="21"/>
    <n v="2"/>
    <n v="2025"/>
    <s v="2025-45"/>
    <s v="Week 45"/>
    <x v="44"/>
  </r>
  <r>
    <d v="2025-11-05T00:00:00"/>
    <x v="35"/>
    <n v="1"/>
    <n v="2025"/>
    <s v="2025-45"/>
    <s v="Week 45"/>
    <x v="44"/>
  </r>
  <r>
    <d v="2025-11-05T00:00:00"/>
    <x v="35"/>
    <n v="1"/>
    <n v="2025"/>
    <s v="2025-45"/>
    <s v="Week 45"/>
    <x v="44"/>
  </r>
  <r>
    <d v="2025-11-05T00:00:00"/>
    <x v="4"/>
    <n v="1"/>
    <n v="2025"/>
    <s v="2025-45"/>
    <s v="Week 45"/>
    <x v="44"/>
  </r>
  <r>
    <d v="2025-11-06T00:00:00"/>
    <x v="13"/>
    <n v="43"/>
    <n v="2025"/>
    <s v="2025-45"/>
    <s v="Week 45"/>
    <x v="44"/>
  </r>
  <r>
    <d v="2025-11-06T00:00:00"/>
    <x v="14"/>
    <n v="28"/>
    <n v="2025"/>
    <s v="2025-45"/>
    <s v="Week 45"/>
    <x v="44"/>
  </r>
  <r>
    <d v="2025-11-06T00:00:00"/>
    <x v="7"/>
    <n v="16"/>
    <n v="2025"/>
    <s v="2025-45"/>
    <s v="Week 45"/>
    <x v="44"/>
  </r>
  <r>
    <d v="2025-11-06T00:00:00"/>
    <x v="3"/>
    <n v="16"/>
    <n v="2025"/>
    <s v="2025-45"/>
    <s v="Week 45"/>
    <x v="44"/>
  </r>
  <r>
    <d v="2025-11-06T00:00:00"/>
    <x v="13"/>
    <n v="8"/>
    <n v="2025"/>
    <s v="2025-45"/>
    <s v="Week 45"/>
    <x v="44"/>
  </r>
  <r>
    <d v="2025-11-06T00:00:00"/>
    <x v="9"/>
    <n v="14"/>
    <n v="2025"/>
    <s v="2025-45"/>
    <s v="Week 45"/>
    <x v="44"/>
  </r>
  <r>
    <d v="2025-11-06T00:00:00"/>
    <x v="3"/>
    <n v="12"/>
    <n v="2025"/>
    <s v="2025-45"/>
    <s v="Week 45"/>
    <x v="44"/>
  </r>
  <r>
    <d v="2025-11-06T00:00:00"/>
    <x v="0"/>
    <n v="6"/>
    <n v="2025"/>
    <s v="2025-45"/>
    <s v="Week 45"/>
    <x v="44"/>
  </r>
  <r>
    <d v="2025-11-06T00:00:00"/>
    <x v="34"/>
    <n v="8"/>
    <n v="2025"/>
    <s v="2025-45"/>
    <s v="Week 45"/>
    <x v="44"/>
  </r>
  <r>
    <d v="2025-11-06T00:00:00"/>
    <x v="12"/>
    <n v="8"/>
    <n v="2025"/>
    <s v="2025-45"/>
    <s v="Week 45"/>
    <x v="44"/>
  </r>
  <r>
    <d v="2025-11-06T00:00:00"/>
    <x v="3"/>
    <n v="2"/>
    <n v="2025"/>
    <s v="2025-45"/>
    <s v="Week 45"/>
    <x v="44"/>
  </r>
  <r>
    <d v="2025-11-06T00:00:00"/>
    <x v="27"/>
    <n v="2"/>
    <n v="2025"/>
    <s v="2025-45"/>
    <s v="Week 45"/>
    <x v="44"/>
  </r>
  <r>
    <d v="2025-11-06T00:00:00"/>
    <x v="27"/>
    <n v="2"/>
    <n v="2025"/>
    <s v="2025-45"/>
    <s v="Week 45"/>
    <x v="44"/>
  </r>
  <r>
    <d v="2025-11-07T00:00:00"/>
    <x v="13"/>
    <n v="47"/>
    <n v="2025"/>
    <s v="2025-45"/>
    <s v="Week 45"/>
    <x v="44"/>
  </r>
  <r>
    <d v="2025-11-07T00:00:00"/>
    <x v="12"/>
    <n v="28"/>
    <n v="2025"/>
    <s v="2025-45"/>
    <s v="Week 45"/>
    <x v="44"/>
  </r>
  <r>
    <d v="2025-11-07T00:00:00"/>
    <x v="10"/>
    <n v="17"/>
    <n v="2025"/>
    <s v="2025-45"/>
    <s v="Week 45"/>
    <x v="44"/>
  </r>
  <r>
    <d v="2025-11-07T00:00:00"/>
    <x v="10"/>
    <n v="16"/>
    <n v="2025"/>
    <s v="2025-45"/>
    <s v="Week 45"/>
    <x v="44"/>
  </r>
  <r>
    <d v="2025-11-07T00:00:00"/>
    <x v="10"/>
    <n v="11"/>
    <n v="2025"/>
    <s v="2025-45"/>
    <s v="Week 45"/>
    <x v="44"/>
  </r>
  <r>
    <d v="2025-11-07T00:00:00"/>
    <x v="3"/>
    <n v="12"/>
    <n v="2025"/>
    <s v="2025-45"/>
    <s v="Week 45"/>
    <x v="44"/>
  </r>
  <r>
    <d v="2025-11-07T00:00:00"/>
    <x v="11"/>
    <n v="6"/>
    <n v="2025"/>
    <s v="2025-45"/>
    <s v="Week 45"/>
    <x v="44"/>
  </r>
  <r>
    <d v="2025-11-07T00:00:00"/>
    <x v="12"/>
    <n v="6"/>
    <n v="2025"/>
    <s v="2025-45"/>
    <s v="Week 45"/>
    <x v="44"/>
  </r>
  <r>
    <d v="2025-11-07T00:00:00"/>
    <x v="13"/>
    <n v="3"/>
    <n v="2025"/>
    <s v="2025-45"/>
    <s v="Week 45"/>
    <x v="44"/>
  </r>
  <r>
    <d v="2025-11-07T00:00:00"/>
    <x v="15"/>
    <n v="4"/>
    <n v="2025"/>
    <s v="2025-45"/>
    <s v="Week 45"/>
    <x v="44"/>
  </r>
  <r>
    <d v="2025-11-07T00:00:00"/>
    <x v="18"/>
    <n v="6"/>
    <n v="2025"/>
    <s v="2025-45"/>
    <s v="Week 45"/>
    <x v="44"/>
  </r>
  <r>
    <d v="2025-11-07T00:00:00"/>
    <x v="22"/>
    <n v="4"/>
    <n v="2025"/>
    <s v="2025-45"/>
    <s v="Week 45"/>
    <x v="44"/>
  </r>
  <r>
    <d v="2025-11-07T00:00:00"/>
    <x v="12"/>
    <n v="2"/>
    <n v="2025"/>
    <s v="2025-45"/>
    <s v="Week 45"/>
    <x v="44"/>
  </r>
  <r>
    <d v="2025-11-07T00:00:00"/>
    <x v="1"/>
    <n v="2"/>
    <n v="2025"/>
    <s v="2025-45"/>
    <s v="Week 45"/>
    <x v="44"/>
  </r>
  <r>
    <d v="2025-11-07T00:00:00"/>
    <x v="15"/>
    <n v="2"/>
    <n v="2025"/>
    <s v="2025-45"/>
    <s v="Week 45"/>
    <x v="44"/>
  </r>
  <r>
    <d v="2025-11-07T00:00:00"/>
    <x v="15"/>
    <n v="2"/>
    <n v="2025"/>
    <s v="2025-45"/>
    <s v="Week 45"/>
    <x v="44"/>
  </r>
  <r>
    <d v="2025-11-07T00:00:00"/>
    <x v="3"/>
    <n v="1"/>
    <n v="2025"/>
    <s v="2025-45"/>
    <s v="Week 45"/>
    <x v="44"/>
  </r>
  <r>
    <d v="2025-11-07T00:00:00"/>
    <x v="4"/>
    <n v="2"/>
    <n v="2025"/>
    <s v="2025-45"/>
    <s v="Week 45"/>
    <x v="44"/>
  </r>
  <r>
    <d v="2025-11-07T00:00:00"/>
    <x v="11"/>
    <n v="1"/>
    <n v="2025"/>
    <s v="2025-45"/>
    <s v="Week 45"/>
    <x v="44"/>
  </r>
  <r>
    <d v="2025-11-09T00:00:00"/>
    <x v="5"/>
    <n v="8"/>
    <n v="2025"/>
    <s v="2025-45"/>
    <s v="Week 46"/>
    <x v="45"/>
  </r>
  <r>
    <d v="2025-11-09T00:00:00"/>
    <x v="10"/>
    <n v="8"/>
    <n v="2025"/>
    <s v="2025-45"/>
    <s v="Week 46"/>
    <x v="45"/>
  </r>
  <r>
    <d v="2025-11-09T00:00:00"/>
    <x v="12"/>
    <n v="7"/>
    <n v="2025"/>
    <s v="2025-45"/>
    <s v="Week 46"/>
    <x v="45"/>
  </r>
  <r>
    <d v="2025-11-09T00:00:00"/>
    <x v="14"/>
    <n v="4"/>
    <n v="2025"/>
    <s v="2025-45"/>
    <s v="Week 46"/>
    <x v="45"/>
  </r>
  <r>
    <d v="2025-11-09T00:00:00"/>
    <x v="27"/>
    <n v="8"/>
    <n v="2025"/>
    <s v="2025-45"/>
    <s v="Week 46"/>
    <x v="45"/>
  </r>
  <r>
    <d v="2025-11-09T00:00:00"/>
    <x v="15"/>
    <n v="4"/>
    <n v="2025"/>
    <s v="2025-45"/>
    <s v="Week 46"/>
    <x v="45"/>
  </r>
  <r>
    <d v="2025-11-09T00:00:00"/>
    <x v="11"/>
    <n v="2"/>
    <n v="2025"/>
    <s v="2025-45"/>
    <s v="Week 46"/>
    <x v="45"/>
  </r>
  <r>
    <d v="2025-11-09T00:00:00"/>
    <x v="12"/>
    <n v="1"/>
    <n v="2025"/>
    <s v="2025-45"/>
    <s v="Week 46"/>
    <x v="45"/>
  </r>
  <r>
    <d v="2025-11-10T00:00:00"/>
    <x v="12"/>
    <n v="12"/>
    <n v="2025"/>
    <s v="2025-46"/>
    <s v="Week 46"/>
    <x v="45"/>
  </r>
  <r>
    <d v="2025-11-10T00:00:00"/>
    <x v="11"/>
    <n v="6"/>
    <n v="2025"/>
    <s v="2025-46"/>
    <s v="Week 46"/>
    <x v="45"/>
  </r>
  <r>
    <d v="2025-11-10T00:00:00"/>
    <x v="15"/>
    <n v="6"/>
    <n v="2025"/>
    <s v="2025-46"/>
    <s v="Week 46"/>
    <x v="45"/>
  </r>
  <r>
    <d v="2025-11-10T00:00:00"/>
    <x v="28"/>
    <n v="6"/>
    <n v="2025"/>
    <s v="2025-46"/>
    <s v="Week 46"/>
    <x v="45"/>
  </r>
  <r>
    <d v="2025-11-10T00:00:00"/>
    <x v="32"/>
    <n v="6"/>
    <n v="2025"/>
    <s v="2025-46"/>
    <s v="Week 46"/>
    <x v="45"/>
  </r>
  <r>
    <d v="2025-11-10T00:00:00"/>
    <x v="19"/>
    <n v="2"/>
    <n v="2025"/>
    <s v="2025-46"/>
    <s v="Week 46"/>
    <x v="45"/>
  </r>
  <r>
    <d v="2025-11-10T00:00:00"/>
    <x v="18"/>
    <n v="2"/>
    <n v="2025"/>
    <s v="2025-46"/>
    <s v="Week 46"/>
    <x v="45"/>
  </r>
  <r>
    <d v="2025-11-10T00:00:00"/>
    <x v="30"/>
    <n v="2"/>
    <n v="2025"/>
    <s v="2025-46"/>
    <s v="Week 46"/>
    <x v="45"/>
  </r>
  <r>
    <d v="2025-11-11T00:00:00"/>
    <x v="11"/>
    <n v="7"/>
    <n v="2025"/>
    <s v="2025-46"/>
    <s v="Week 46"/>
    <x v="45"/>
  </r>
  <r>
    <d v="2025-11-11T00:00:00"/>
    <x v="15"/>
    <n v="11"/>
    <n v="2025"/>
    <s v="2025-46"/>
    <s v="Week 46"/>
    <x v="45"/>
  </r>
  <r>
    <d v="2025-11-11T00:00:00"/>
    <x v="25"/>
    <n v="6"/>
    <n v="2025"/>
    <s v="2025-46"/>
    <s v="Week 46"/>
    <x v="45"/>
  </r>
  <r>
    <d v="2025-11-11T00:00:00"/>
    <x v="11"/>
    <n v="4"/>
    <n v="2025"/>
    <s v="2025-46"/>
    <s v="Week 46"/>
    <x v="45"/>
  </r>
  <r>
    <d v="2025-11-11T00:00:00"/>
    <x v="15"/>
    <n v="6"/>
    <n v="2025"/>
    <s v="2025-46"/>
    <s v="Week 46"/>
    <x v="45"/>
  </r>
  <r>
    <d v="2025-11-11T00:00:00"/>
    <x v="25"/>
    <n v="2"/>
    <n v="2025"/>
    <s v="2025-46"/>
    <s v="Week 46"/>
    <x v="45"/>
  </r>
  <r>
    <d v="2025-11-12T00:00:00"/>
    <x v="10"/>
    <n v="17"/>
    <n v="2025"/>
    <s v="2025-46"/>
    <s v="Week 46"/>
    <x v="45"/>
  </r>
  <r>
    <d v="2025-11-12T00:00:00"/>
    <x v="12"/>
    <n v="24"/>
    <n v="2025"/>
    <s v="2025-46"/>
    <s v="Week 46"/>
    <x v="45"/>
  </r>
  <r>
    <d v="2025-11-12T00:00:00"/>
    <x v="27"/>
    <n v="28"/>
    <n v="2025"/>
    <s v="2025-46"/>
    <s v="Week 46"/>
    <x v="45"/>
  </r>
  <r>
    <d v="2025-11-12T00:00:00"/>
    <x v="13"/>
    <n v="8"/>
    <n v="2025"/>
    <s v="2025-46"/>
    <s v="Week 46"/>
    <x v="45"/>
  </r>
  <r>
    <d v="2025-11-12T00:00:00"/>
    <x v="25"/>
    <n v="12"/>
    <n v="2025"/>
    <s v="2025-46"/>
    <s v="Week 46"/>
    <x v="45"/>
  </r>
  <r>
    <d v="2025-11-12T00:00:00"/>
    <x v="12"/>
    <n v="10"/>
    <n v="2025"/>
    <s v="2025-46"/>
    <s v="Week 46"/>
    <x v="45"/>
  </r>
  <r>
    <d v="2025-11-12T00:00:00"/>
    <x v="10"/>
    <n v="7"/>
    <n v="2025"/>
    <s v="2025-46"/>
    <s v="Week 46"/>
    <x v="45"/>
  </r>
  <r>
    <d v="2025-11-12T00:00:00"/>
    <x v="11"/>
    <n v="8"/>
    <n v="2025"/>
    <s v="2025-46"/>
    <s v="Week 46"/>
    <x v="45"/>
  </r>
  <r>
    <d v="2025-11-12T00:00:00"/>
    <x v="11"/>
    <n v="8"/>
    <n v="2025"/>
    <s v="2025-46"/>
    <s v="Week 46"/>
    <x v="45"/>
  </r>
  <r>
    <d v="2025-11-12T00:00:00"/>
    <x v="18"/>
    <n v="12"/>
    <n v="2025"/>
    <s v="2025-46"/>
    <s v="Week 46"/>
    <x v="45"/>
  </r>
  <r>
    <d v="2025-11-12T00:00:00"/>
    <x v="19"/>
    <n v="8"/>
    <n v="2025"/>
    <s v="2025-46"/>
    <s v="Week 46"/>
    <x v="45"/>
  </r>
  <r>
    <d v="2025-11-12T00:00:00"/>
    <x v="5"/>
    <n v="2"/>
    <n v="2025"/>
    <s v="2025-46"/>
    <s v="Week 46"/>
    <x v="45"/>
  </r>
  <r>
    <d v="2025-11-12T00:00:00"/>
    <x v="2"/>
    <n v="4"/>
    <n v="2025"/>
    <s v="2025-46"/>
    <s v="Week 46"/>
    <x v="45"/>
  </r>
  <r>
    <d v="2025-11-12T00:00:00"/>
    <x v="15"/>
    <n v="6"/>
    <n v="2025"/>
    <s v="2025-46"/>
    <s v="Week 46"/>
    <x v="45"/>
  </r>
  <r>
    <d v="2025-11-12T00:00:00"/>
    <x v="32"/>
    <n v="8"/>
    <n v="2025"/>
    <s v="2025-46"/>
    <s v="Week 46"/>
    <x v="45"/>
  </r>
  <r>
    <d v="2025-11-12T00:00:00"/>
    <x v="4"/>
    <n v="6"/>
    <n v="2025"/>
    <s v="2025-46"/>
    <s v="Week 46"/>
    <x v="45"/>
  </r>
  <r>
    <d v="2025-11-12T00:00:00"/>
    <x v="31"/>
    <n v="3"/>
    <n v="2025"/>
    <s v="2025-46"/>
    <s v="Week 46"/>
    <x v="45"/>
  </r>
  <r>
    <d v="2025-11-12T00:00:00"/>
    <x v="14"/>
    <n v="2"/>
    <n v="2025"/>
    <s v="2025-46"/>
    <s v="Week 46"/>
    <x v="45"/>
  </r>
  <r>
    <d v="2025-11-12T00:00:00"/>
    <x v="18"/>
    <n v="4"/>
    <n v="2025"/>
    <s v="2025-46"/>
    <s v="Week 46"/>
    <x v="45"/>
  </r>
  <r>
    <d v="2025-11-12T00:00:00"/>
    <x v="30"/>
    <n v="4"/>
    <n v="2025"/>
    <s v="2025-46"/>
    <s v="Week 46"/>
    <x v="45"/>
  </r>
  <r>
    <d v="2025-11-12T00:00:00"/>
    <x v="25"/>
    <n v="2"/>
    <n v="2025"/>
    <s v="2025-46"/>
    <s v="Week 46"/>
    <x v="45"/>
  </r>
  <r>
    <d v="2025-11-12T00:00:00"/>
    <x v="25"/>
    <n v="2"/>
    <n v="2025"/>
    <s v="2025-46"/>
    <s v="Week 46"/>
    <x v="45"/>
  </r>
  <r>
    <d v="2025-11-12T00:00:00"/>
    <x v="31"/>
    <n v="2"/>
    <n v="2025"/>
    <s v="2025-46"/>
    <s v="Week 46"/>
    <x v="45"/>
  </r>
  <r>
    <d v="2025-11-12T00:00:00"/>
    <x v="31"/>
    <n v="2"/>
    <n v="2025"/>
    <s v="2025-46"/>
    <s v="Week 46"/>
    <x v="45"/>
  </r>
  <r>
    <d v="2025-11-12T00:00:00"/>
    <x v="15"/>
    <n v="2"/>
    <n v="2025"/>
    <s v="2025-46"/>
    <s v="Week 46"/>
    <x v="45"/>
  </r>
  <r>
    <d v="2025-11-12T00:00:00"/>
    <x v="31"/>
    <n v="1"/>
    <n v="2025"/>
    <s v="2025-46"/>
    <s v="Week 46"/>
    <x v="45"/>
  </r>
  <r>
    <d v="2025-11-13T00:00:00"/>
    <x v="3"/>
    <n v="14"/>
    <n v="2025"/>
    <s v="2025-46"/>
    <s v="Week 46"/>
    <x v="45"/>
  </r>
  <r>
    <d v="2025-11-13T00:00:00"/>
    <x v="15"/>
    <n v="21"/>
    <n v="2025"/>
    <s v="2025-46"/>
    <s v="Week 46"/>
    <x v="45"/>
  </r>
  <r>
    <d v="2025-11-13T00:00:00"/>
    <x v="15"/>
    <n v="17"/>
    <n v="2025"/>
    <s v="2025-46"/>
    <s v="Week 46"/>
    <x v="45"/>
  </r>
  <r>
    <d v="2025-11-13T00:00:00"/>
    <x v="12"/>
    <n v="12"/>
    <n v="2025"/>
    <s v="2025-46"/>
    <s v="Week 46"/>
    <x v="45"/>
  </r>
  <r>
    <d v="2025-11-13T00:00:00"/>
    <x v="28"/>
    <n v="4"/>
    <n v="2025"/>
    <s v="2025-46"/>
    <s v="Week 46"/>
    <x v="45"/>
  </r>
  <r>
    <d v="2025-11-13T00:00:00"/>
    <x v="32"/>
    <n v="2"/>
    <n v="2025"/>
    <s v="2025-46"/>
    <s v="Week 46"/>
    <x v="45"/>
  </r>
  <r>
    <d v="2025-11-14T00:00:00"/>
    <x v="11"/>
    <n v="3"/>
    <n v="2025"/>
    <s v="2025-46"/>
    <s v="Week 46"/>
    <x v="45"/>
  </r>
  <r>
    <d v="2025-11-15T00:00:00"/>
    <x v="12"/>
    <n v="8"/>
    <n v="2025"/>
    <s v="2025-46"/>
    <s v="Week 46"/>
    <x v="45"/>
  </r>
  <r>
    <d v="2025-11-15T00:00:00"/>
    <x v="20"/>
    <n v="1"/>
    <n v="2025"/>
    <s v="2025-46"/>
    <s v="Week 46"/>
    <x v="45"/>
  </r>
  <r>
    <d v="2025-11-15T00:00:00"/>
    <x v="23"/>
    <n v="1"/>
    <n v="2025"/>
    <s v="2025-46"/>
    <s v="Week 46"/>
    <x v="45"/>
  </r>
  <r>
    <d v="2025-11-16T00:00:00"/>
    <x v="10"/>
    <n v="4"/>
    <n v="2025"/>
    <s v="2025-46"/>
    <s v="Week 47"/>
    <x v="46"/>
  </r>
  <r>
    <d v="2025-11-16T00:00:00"/>
    <x v="11"/>
    <n v="4"/>
    <n v="2025"/>
    <s v="2025-46"/>
    <s v="Week 47"/>
    <x v="46"/>
  </r>
  <r>
    <d v="2025-11-16T00:00:00"/>
    <x v="15"/>
    <n v="8"/>
    <n v="2025"/>
    <s v="2025-46"/>
    <s v="Week 47"/>
    <x v="46"/>
  </r>
  <r>
    <d v="2025-11-16T00:00:00"/>
    <x v="6"/>
    <n v="2"/>
    <n v="2025"/>
    <s v="2025-46"/>
    <s v="Week 47"/>
    <x v="46"/>
  </r>
  <r>
    <d v="2025-11-16T00:00:00"/>
    <x v="2"/>
    <n v="4"/>
    <n v="2025"/>
    <s v="2025-46"/>
    <s v="Week 47"/>
    <x v="46"/>
  </r>
  <r>
    <d v="2025-11-16T00:00:00"/>
    <x v="17"/>
    <n v="2"/>
    <n v="2025"/>
    <s v="2025-46"/>
    <s v="Week 47"/>
    <x v="46"/>
  </r>
  <r>
    <d v="2025-11-16T00:00:00"/>
    <x v="11"/>
    <n v="2"/>
    <n v="2025"/>
    <s v="2025-46"/>
    <s v="Week 47"/>
    <x v="46"/>
  </r>
  <r>
    <d v="2025-11-16T00:00:00"/>
    <x v="33"/>
    <n v="2"/>
    <n v="2025"/>
    <s v="2025-46"/>
    <s v="Week 47"/>
    <x v="46"/>
  </r>
  <r>
    <d v="2025-11-16T00:00:00"/>
    <x v="19"/>
    <n v="2"/>
    <n v="2025"/>
    <s v="2025-46"/>
    <s v="Week 47"/>
    <x v="46"/>
  </r>
  <r>
    <d v="2025-11-16T00:00:00"/>
    <x v="30"/>
    <n v="2"/>
    <n v="2025"/>
    <s v="2025-46"/>
    <s v="Week 47"/>
    <x v="46"/>
  </r>
  <r>
    <d v="2025-11-17T00:00:00"/>
    <x v="6"/>
    <n v="10"/>
    <n v="2025"/>
    <s v="2025-47"/>
    <s v="Week 47"/>
    <x v="46"/>
  </r>
  <r>
    <d v="2025-11-17T00:00:00"/>
    <x v="5"/>
    <n v="2"/>
    <n v="2025"/>
    <s v="2025-47"/>
    <s v="Week 47"/>
    <x v="46"/>
  </r>
  <r>
    <d v="2025-11-18T00:00:00"/>
    <x v="3"/>
    <n v="50"/>
    <n v="2025"/>
    <s v="2025-47"/>
    <s v="Week 47"/>
    <x v="46"/>
  </r>
  <r>
    <d v="2025-11-18T00:00:00"/>
    <x v="11"/>
    <n v="56"/>
    <n v="2025"/>
    <s v="2025-47"/>
    <s v="Week 47"/>
    <x v="46"/>
  </r>
  <r>
    <d v="2025-11-18T00:00:00"/>
    <x v="10"/>
    <n v="32"/>
    <n v="2025"/>
    <s v="2025-47"/>
    <s v="Week 47"/>
    <x v="46"/>
  </r>
  <r>
    <d v="2025-11-18T00:00:00"/>
    <x v="12"/>
    <n v="30"/>
    <n v="2025"/>
    <s v="2025-47"/>
    <s v="Week 47"/>
    <x v="46"/>
  </r>
  <r>
    <d v="2025-11-18T00:00:00"/>
    <x v="12"/>
    <n v="22"/>
    <n v="2025"/>
    <s v="2025-47"/>
    <s v="Week 47"/>
    <x v="46"/>
  </r>
  <r>
    <d v="2025-11-18T00:00:00"/>
    <x v="15"/>
    <n v="25"/>
    <n v="2025"/>
    <s v="2025-47"/>
    <s v="Week 47"/>
    <x v="46"/>
  </r>
  <r>
    <d v="2025-11-18T00:00:00"/>
    <x v="17"/>
    <n v="11"/>
    <n v="2025"/>
    <s v="2025-47"/>
    <s v="Week 47"/>
    <x v="46"/>
  </r>
  <r>
    <d v="2025-11-18T00:00:00"/>
    <x v="17"/>
    <n v="5"/>
    <n v="2025"/>
    <s v="2025-47"/>
    <s v="Week 47"/>
    <x v="46"/>
  </r>
  <r>
    <d v="2025-11-18T00:00:00"/>
    <x v="13"/>
    <n v="4"/>
    <n v="2025"/>
    <s v="2025-47"/>
    <s v="Week 47"/>
    <x v="46"/>
  </r>
  <r>
    <d v="2025-11-18T00:00:00"/>
    <x v="3"/>
    <n v="4"/>
    <n v="2025"/>
    <s v="2025-47"/>
    <s v="Week 47"/>
    <x v="46"/>
  </r>
  <r>
    <d v="2025-11-18T00:00:00"/>
    <x v="15"/>
    <n v="8"/>
    <n v="2025"/>
    <s v="2025-47"/>
    <s v="Week 47"/>
    <x v="46"/>
  </r>
  <r>
    <d v="2025-11-18T00:00:00"/>
    <x v="25"/>
    <n v="6"/>
    <n v="2025"/>
    <s v="2025-47"/>
    <s v="Week 47"/>
    <x v="46"/>
  </r>
  <r>
    <d v="2025-11-18T00:00:00"/>
    <x v="9"/>
    <n v="4"/>
    <n v="2025"/>
    <s v="2025-47"/>
    <s v="Week 47"/>
    <x v="46"/>
  </r>
  <r>
    <d v="2025-11-18T00:00:00"/>
    <x v="1"/>
    <n v="4"/>
    <n v="2025"/>
    <s v="2025-47"/>
    <s v="Week 47"/>
    <x v="46"/>
  </r>
  <r>
    <d v="2025-11-18T00:00:00"/>
    <x v="25"/>
    <n v="4"/>
    <n v="2025"/>
    <s v="2025-47"/>
    <s v="Week 47"/>
    <x v="46"/>
  </r>
  <r>
    <d v="2025-11-18T00:00:00"/>
    <x v="1"/>
    <n v="4"/>
    <n v="2025"/>
    <s v="2025-47"/>
    <s v="Week 47"/>
    <x v="46"/>
  </r>
  <r>
    <d v="2025-11-18T00:00:00"/>
    <x v="14"/>
    <n v="2"/>
    <n v="2025"/>
    <s v="2025-47"/>
    <s v="Week 47"/>
    <x v="46"/>
  </r>
  <r>
    <d v="2025-11-18T00:00:00"/>
    <x v="19"/>
    <n v="4"/>
    <n v="2025"/>
    <s v="2025-47"/>
    <s v="Week 47"/>
    <x v="46"/>
  </r>
  <r>
    <d v="2025-11-18T00:00:00"/>
    <x v="3"/>
    <n v="2"/>
    <n v="2025"/>
    <s v="2025-47"/>
    <s v="Week 47"/>
    <x v="46"/>
  </r>
  <r>
    <d v="2025-11-18T00:00:00"/>
    <x v="25"/>
    <n v="2"/>
    <n v="2025"/>
    <s v="2025-47"/>
    <s v="Week 47"/>
    <x v="46"/>
  </r>
  <r>
    <d v="2025-11-18T00:00:00"/>
    <x v="19"/>
    <n v="2"/>
    <n v="2025"/>
    <s v="2025-47"/>
    <s v="Week 47"/>
    <x v="46"/>
  </r>
  <r>
    <d v="2025-11-18T00:00:00"/>
    <x v="28"/>
    <n v="2"/>
    <n v="2025"/>
    <s v="2025-47"/>
    <s v="Week 47"/>
    <x v="46"/>
  </r>
  <r>
    <d v="2025-11-18T00:00:00"/>
    <x v="1"/>
    <n v="1"/>
    <n v="2025"/>
    <s v="2025-47"/>
    <s v="Week 47"/>
    <x v="46"/>
  </r>
  <r>
    <d v="2025-11-19T00:00:00"/>
    <x v="6"/>
    <n v="16"/>
    <n v="2025"/>
    <s v="2025-47"/>
    <s v="Week 47"/>
    <x v="46"/>
  </r>
  <r>
    <d v="2025-11-19T00:00:00"/>
    <x v="13"/>
    <n v="16"/>
    <n v="2025"/>
    <s v="2025-47"/>
    <s v="Week 47"/>
    <x v="46"/>
  </r>
  <r>
    <d v="2025-11-19T00:00:00"/>
    <x v="11"/>
    <n v="17"/>
    <n v="2025"/>
    <s v="2025-47"/>
    <s v="Week 47"/>
    <x v="46"/>
  </r>
  <r>
    <d v="2025-11-19T00:00:00"/>
    <x v="11"/>
    <n v="16"/>
    <n v="2025"/>
    <s v="2025-47"/>
    <s v="Week 47"/>
    <x v="46"/>
  </r>
  <r>
    <d v="2025-11-19T00:00:00"/>
    <x v="11"/>
    <n v="13"/>
    <n v="2025"/>
    <s v="2025-47"/>
    <s v="Week 47"/>
    <x v="46"/>
  </r>
  <r>
    <d v="2025-11-19T00:00:00"/>
    <x v="14"/>
    <n v="10"/>
    <n v="2025"/>
    <s v="2025-47"/>
    <s v="Week 47"/>
    <x v="46"/>
  </r>
  <r>
    <d v="2025-11-19T00:00:00"/>
    <x v="11"/>
    <n v="8"/>
    <n v="2025"/>
    <s v="2025-47"/>
    <s v="Week 47"/>
    <x v="46"/>
  </r>
  <r>
    <d v="2025-11-19T00:00:00"/>
    <x v="12"/>
    <n v="10"/>
    <n v="2025"/>
    <s v="2025-47"/>
    <s v="Week 47"/>
    <x v="46"/>
  </r>
  <r>
    <d v="2025-11-19T00:00:00"/>
    <x v="25"/>
    <n v="8"/>
    <n v="2025"/>
    <s v="2025-47"/>
    <s v="Week 47"/>
    <x v="46"/>
  </r>
  <r>
    <d v="2025-11-19T00:00:00"/>
    <x v="12"/>
    <n v="4"/>
    <n v="2025"/>
    <s v="2025-47"/>
    <s v="Week 47"/>
    <x v="46"/>
  </r>
  <r>
    <d v="2025-11-19T00:00:00"/>
    <x v="3"/>
    <n v="3"/>
    <n v="2025"/>
    <s v="2025-47"/>
    <s v="Week 47"/>
    <x v="46"/>
  </r>
  <r>
    <d v="2025-11-19T00:00:00"/>
    <x v="11"/>
    <n v="3"/>
    <n v="2025"/>
    <s v="2025-47"/>
    <s v="Week 47"/>
    <x v="46"/>
  </r>
  <r>
    <d v="2025-11-19T00:00:00"/>
    <x v="11"/>
    <n v="2"/>
    <n v="2025"/>
    <s v="2025-47"/>
    <s v="Week 47"/>
    <x v="46"/>
  </r>
  <r>
    <d v="2025-11-19T00:00:00"/>
    <x v="19"/>
    <n v="4"/>
    <n v="2025"/>
    <s v="2025-47"/>
    <s v="Week 47"/>
    <x v="46"/>
  </r>
  <r>
    <d v="2025-11-19T00:00:00"/>
    <x v="35"/>
    <n v="4"/>
    <n v="2025"/>
    <s v="2025-47"/>
    <s v="Week 47"/>
    <x v="46"/>
  </r>
  <r>
    <d v="2025-11-19T00:00:00"/>
    <x v="12"/>
    <n v="2"/>
    <n v="2025"/>
    <s v="2025-47"/>
    <s v="Week 47"/>
    <x v="46"/>
  </r>
  <r>
    <d v="2025-11-19T00:00:00"/>
    <x v="15"/>
    <n v="2"/>
    <n v="2025"/>
    <s v="2025-47"/>
    <s v="Week 47"/>
    <x v="46"/>
  </r>
  <r>
    <d v="2025-11-19T00:00:00"/>
    <x v="19"/>
    <n v="2"/>
    <n v="2025"/>
    <s v="2025-47"/>
    <s v="Week 47"/>
    <x v="46"/>
  </r>
  <r>
    <d v="2025-11-20T00:00:00"/>
    <x v="11"/>
    <n v="20"/>
    <n v="2025"/>
    <s v="2025-47"/>
    <s v="Week 47"/>
    <x v="46"/>
  </r>
  <r>
    <d v="2025-11-20T00:00:00"/>
    <x v="12"/>
    <n v="28"/>
    <n v="2025"/>
    <s v="2025-47"/>
    <s v="Week 47"/>
    <x v="46"/>
  </r>
  <r>
    <d v="2025-11-20T00:00:00"/>
    <x v="27"/>
    <n v="22"/>
    <n v="2025"/>
    <s v="2025-47"/>
    <s v="Week 47"/>
    <x v="46"/>
  </r>
  <r>
    <d v="2025-11-20T00:00:00"/>
    <x v="11"/>
    <n v="16"/>
    <n v="2025"/>
    <s v="2025-47"/>
    <s v="Week 47"/>
    <x v="46"/>
  </r>
  <r>
    <d v="2025-11-20T00:00:00"/>
    <x v="12"/>
    <n v="16"/>
    <n v="2025"/>
    <s v="2025-47"/>
    <s v="Week 47"/>
    <x v="46"/>
  </r>
  <r>
    <d v="2025-11-20T00:00:00"/>
    <x v="3"/>
    <n v="8"/>
    <n v="2025"/>
    <s v="2025-47"/>
    <s v="Week 47"/>
    <x v="46"/>
  </r>
  <r>
    <d v="2025-11-20T00:00:00"/>
    <x v="19"/>
    <n v="22"/>
    <n v="2025"/>
    <s v="2025-47"/>
    <s v="Week 47"/>
    <x v="46"/>
  </r>
  <r>
    <d v="2025-11-20T00:00:00"/>
    <x v="3"/>
    <n v="8"/>
    <n v="2025"/>
    <s v="2025-47"/>
    <s v="Week 47"/>
    <x v="46"/>
  </r>
  <r>
    <d v="2025-11-20T00:00:00"/>
    <x v="12"/>
    <n v="8"/>
    <n v="2025"/>
    <s v="2025-47"/>
    <s v="Week 47"/>
    <x v="46"/>
  </r>
  <r>
    <d v="2025-11-20T00:00:00"/>
    <x v="11"/>
    <n v="10"/>
    <n v="2025"/>
    <s v="2025-47"/>
    <s v="Week 47"/>
    <x v="46"/>
  </r>
  <r>
    <d v="2025-11-20T00:00:00"/>
    <x v="11"/>
    <n v="9"/>
    <n v="2025"/>
    <s v="2025-47"/>
    <s v="Week 47"/>
    <x v="46"/>
  </r>
  <r>
    <d v="2025-11-20T00:00:00"/>
    <x v="25"/>
    <n v="8"/>
    <n v="2025"/>
    <s v="2025-47"/>
    <s v="Week 47"/>
    <x v="46"/>
  </r>
  <r>
    <d v="2025-11-20T00:00:00"/>
    <x v="11"/>
    <n v="8"/>
    <n v="2025"/>
    <s v="2025-47"/>
    <s v="Week 47"/>
    <x v="46"/>
  </r>
  <r>
    <d v="2025-11-20T00:00:00"/>
    <x v="11"/>
    <n v="8"/>
    <n v="2025"/>
    <s v="2025-47"/>
    <s v="Week 47"/>
    <x v="46"/>
  </r>
  <r>
    <d v="2025-11-20T00:00:00"/>
    <x v="17"/>
    <n v="4"/>
    <n v="2025"/>
    <s v="2025-47"/>
    <s v="Week 47"/>
    <x v="46"/>
  </r>
  <r>
    <d v="2025-11-20T00:00:00"/>
    <x v="12"/>
    <n v="9"/>
    <n v="2025"/>
    <s v="2025-47"/>
    <s v="Week 47"/>
    <x v="46"/>
  </r>
  <r>
    <d v="2025-11-20T00:00:00"/>
    <x v="3"/>
    <n v="6"/>
    <n v="2025"/>
    <s v="2025-47"/>
    <s v="Week 47"/>
    <x v="46"/>
  </r>
  <r>
    <d v="2025-11-20T00:00:00"/>
    <x v="3"/>
    <n v="6"/>
    <n v="2025"/>
    <s v="2025-47"/>
    <s v="Week 47"/>
    <x v="46"/>
  </r>
  <r>
    <d v="2025-11-20T00:00:00"/>
    <x v="14"/>
    <n v="4"/>
    <n v="2025"/>
    <s v="2025-47"/>
    <s v="Week 47"/>
    <x v="46"/>
  </r>
  <r>
    <d v="2025-11-20T00:00:00"/>
    <x v="15"/>
    <n v="8"/>
    <n v="2025"/>
    <s v="2025-47"/>
    <s v="Week 47"/>
    <x v="46"/>
  </r>
  <r>
    <d v="2025-11-20T00:00:00"/>
    <x v="15"/>
    <n v="8"/>
    <n v="2025"/>
    <s v="2025-47"/>
    <s v="Week 47"/>
    <x v="46"/>
  </r>
  <r>
    <d v="2025-11-20T00:00:00"/>
    <x v="10"/>
    <n v="4"/>
    <n v="2025"/>
    <s v="2025-47"/>
    <s v="Week 47"/>
    <x v="46"/>
  </r>
  <r>
    <d v="2025-11-20T00:00:00"/>
    <x v="10"/>
    <n v="4"/>
    <n v="2025"/>
    <s v="2025-47"/>
    <s v="Week 47"/>
    <x v="46"/>
  </r>
  <r>
    <d v="2025-11-20T00:00:00"/>
    <x v="18"/>
    <n v="10"/>
    <n v="2025"/>
    <s v="2025-47"/>
    <s v="Week 47"/>
    <x v="46"/>
  </r>
  <r>
    <d v="2025-11-20T00:00:00"/>
    <x v="11"/>
    <n v="4"/>
    <n v="2025"/>
    <s v="2025-47"/>
    <s v="Week 47"/>
    <x v="46"/>
  </r>
  <r>
    <d v="2025-11-20T00:00:00"/>
    <x v="6"/>
    <n v="2"/>
    <n v="2025"/>
    <s v="2025-47"/>
    <s v="Week 47"/>
    <x v="46"/>
  </r>
  <r>
    <d v="2025-11-20T00:00:00"/>
    <x v="6"/>
    <n v="2"/>
    <n v="2025"/>
    <s v="2025-47"/>
    <s v="Week 47"/>
    <x v="46"/>
  </r>
  <r>
    <d v="2025-11-20T00:00:00"/>
    <x v="6"/>
    <n v="2"/>
    <n v="2025"/>
    <s v="2025-47"/>
    <s v="Week 47"/>
    <x v="46"/>
  </r>
  <r>
    <d v="2025-11-20T00:00:00"/>
    <x v="15"/>
    <n v="6"/>
    <n v="2025"/>
    <s v="2025-47"/>
    <s v="Week 47"/>
    <x v="46"/>
  </r>
  <r>
    <d v="2025-11-20T00:00:00"/>
    <x v="10"/>
    <n v="3"/>
    <n v="2025"/>
    <s v="2025-47"/>
    <s v="Week 47"/>
    <x v="46"/>
  </r>
  <r>
    <d v="2025-11-20T00:00:00"/>
    <x v="20"/>
    <n v="4"/>
    <n v="2025"/>
    <s v="2025-47"/>
    <s v="Week 47"/>
    <x v="46"/>
  </r>
  <r>
    <d v="2025-11-20T00:00:00"/>
    <x v="18"/>
    <n v="6"/>
    <n v="2025"/>
    <s v="2025-47"/>
    <s v="Week 47"/>
    <x v="46"/>
  </r>
  <r>
    <d v="2025-11-20T00:00:00"/>
    <x v="12"/>
    <n v="3"/>
    <n v="2025"/>
    <s v="2025-47"/>
    <s v="Week 47"/>
    <x v="46"/>
  </r>
  <r>
    <d v="2025-11-20T00:00:00"/>
    <x v="31"/>
    <n v="4"/>
    <n v="2025"/>
    <s v="2025-47"/>
    <s v="Week 47"/>
    <x v="46"/>
  </r>
  <r>
    <d v="2025-11-20T00:00:00"/>
    <x v="15"/>
    <n v="4"/>
    <n v="2025"/>
    <s v="2025-47"/>
    <s v="Week 47"/>
    <x v="46"/>
  </r>
  <r>
    <d v="2025-11-20T00:00:00"/>
    <x v="25"/>
    <n v="3"/>
    <n v="2025"/>
    <s v="2025-47"/>
    <s v="Week 47"/>
    <x v="46"/>
  </r>
  <r>
    <d v="2025-11-20T00:00:00"/>
    <x v="4"/>
    <n v="4"/>
    <n v="2025"/>
    <s v="2025-47"/>
    <s v="Week 47"/>
    <x v="46"/>
  </r>
  <r>
    <d v="2025-11-20T00:00:00"/>
    <x v="4"/>
    <n v="2"/>
    <n v="2025"/>
    <s v="2025-47"/>
    <s v="Week 47"/>
    <x v="46"/>
  </r>
  <r>
    <d v="2025-11-20T00:00:00"/>
    <x v="24"/>
    <n v="2"/>
    <n v="2025"/>
    <s v="2025-47"/>
    <s v="Week 47"/>
    <x v="46"/>
  </r>
  <r>
    <d v="2025-11-20T00:00:00"/>
    <x v="15"/>
    <n v="1"/>
    <n v="2025"/>
    <s v="2025-47"/>
    <s v="Week 47"/>
    <x v="46"/>
  </r>
  <r>
    <d v="2025-11-21T00:00:00"/>
    <x v="12"/>
    <n v="48"/>
    <n v="2025"/>
    <s v="2025-47"/>
    <s v="Week 47"/>
    <x v="46"/>
  </r>
  <r>
    <d v="2025-11-21T00:00:00"/>
    <x v="11"/>
    <n v="40"/>
    <n v="2025"/>
    <s v="2025-47"/>
    <s v="Week 47"/>
    <x v="46"/>
  </r>
  <r>
    <d v="2025-11-21T00:00:00"/>
    <x v="3"/>
    <n v="25"/>
    <n v="2025"/>
    <s v="2025-47"/>
    <s v="Week 47"/>
    <x v="46"/>
  </r>
  <r>
    <d v="2025-11-21T00:00:00"/>
    <x v="15"/>
    <n v="32"/>
    <n v="2025"/>
    <s v="2025-47"/>
    <s v="Week 47"/>
    <x v="46"/>
  </r>
  <r>
    <d v="2025-11-21T00:00:00"/>
    <x v="13"/>
    <n v="8"/>
    <n v="2025"/>
    <s v="2025-47"/>
    <s v="Week 47"/>
    <x v="46"/>
  </r>
  <r>
    <d v="2025-11-21T00:00:00"/>
    <x v="13"/>
    <n v="8"/>
    <n v="2025"/>
    <s v="2025-47"/>
    <s v="Week 47"/>
    <x v="46"/>
  </r>
  <r>
    <d v="2025-11-21T00:00:00"/>
    <x v="10"/>
    <n v="10"/>
    <n v="2025"/>
    <s v="2025-47"/>
    <s v="Week 47"/>
    <x v="46"/>
  </r>
  <r>
    <d v="2025-11-21T00:00:00"/>
    <x v="14"/>
    <n v="6"/>
    <n v="2025"/>
    <s v="2025-47"/>
    <s v="Week 47"/>
    <x v="46"/>
  </r>
  <r>
    <d v="2025-11-21T00:00:00"/>
    <x v="12"/>
    <n v="7"/>
    <n v="2025"/>
    <s v="2025-47"/>
    <s v="Week 47"/>
    <x v="46"/>
  </r>
  <r>
    <d v="2025-11-21T00:00:00"/>
    <x v="15"/>
    <n v="8"/>
    <n v="2025"/>
    <s v="2025-47"/>
    <s v="Week 47"/>
    <x v="46"/>
  </r>
  <r>
    <d v="2025-11-21T00:00:00"/>
    <x v="19"/>
    <n v="9"/>
    <n v="2025"/>
    <s v="2025-47"/>
    <s v="Week 47"/>
    <x v="46"/>
  </r>
  <r>
    <d v="2025-11-21T00:00:00"/>
    <x v="12"/>
    <n v="5"/>
    <n v="2025"/>
    <s v="2025-47"/>
    <s v="Week 47"/>
    <x v="46"/>
  </r>
  <r>
    <d v="2025-11-21T00:00:00"/>
    <x v="12"/>
    <n v="4"/>
    <n v="2025"/>
    <s v="2025-47"/>
    <s v="Week 47"/>
    <x v="46"/>
  </r>
  <r>
    <d v="2025-11-21T00:00:00"/>
    <x v="17"/>
    <n v="2"/>
    <n v="2025"/>
    <s v="2025-47"/>
    <s v="Week 47"/>
    <x v="46"/>
  </r>
  <r>
    <d v="2025-11-21T00:00:00"/>
    <x v="11"/>
    <n v="2"/>
    <n v="2025"/>
    <s v="2025-47"/>
    <s v="Week 47"/>
    <x v="46"/>
  </r>
  <r>
    <d v="2025-11-21T00:00:00"/>
    <x v="11"/>
    <n v="2"/>
    <n v="2025"/>
    <s v="2025-47"/>
    <s v="Week 47"/>
    <x v="46"/>
  </r>
  <r>
    <d v="2025-11-21T00:00:00"/>
    <x v="18"/>
    <n v="4"/>
    <n v="2025"/>
    <s v="2025-47"/>
    <s v="Week 47"/>
    <x v="46"/>
  </r>
  <r>
    <d v="2025-11-21T00:00:00"/>
    <x v="28"/>
    <n v="2"/>
    <n v="2025"/>
    <s v="2025-47"/>
    <s v="Week 47"/>
    <x v="46"/>
  </r>
  <r>
    <d v="2025-11-22T00:00:00"/>
    <x v="12"/>
    <n v="33"/>
    <n v="2025"/>
    <s v="2025-47"/>
    <s v="Week 47"/>
    <x v="46"/>
  </r>
  <r>
    <d v="2025-11-22T00:00:00"/>
    <x v="25"/>
    <n v="8"/>
    <n v="2025"/>
    <s v="2025-47"/>
    <s v="Week 47"/>
    <x v="46"/>
  </r>
  <r>
    <d v="2025-11-22T00:00:00"/>
    <x v="15"/>
    <n v="9"/>
    <n v="2025"/>
    <s v="2025-47"/>
    <s v="Week 47"/>
    <x v="46"/>
  </r>
  <r>
    <d v="2025-11-22T00:00:00"/>
    <x v="17"/>
    <n v="2"/>
    <n v="2025"/>
    <s v="2025-47"/>
    <s v="Week 47"/>
    <x v="46"/>
  </r>
  <r>
    <d v="2025-11-22T00:00:00"/>
    <x v="19"/>
    <n v="4"/>
    <n v="2025"/>
    <s v="2025-47"/>
    <s v="Week 47"/>
    <x v="46"/>
  </r>
  <r>
    <d v="2025-11-22T00:00:00"/>
    <x v="19"/>
    <n v="4"/>
    <n v="2025"/>
    <s v="2025-47"/>
    <s v="Week 47"/>
    <x v="46"/>
  </r>
  <r>
    <d v="2025-11-22T00:00:00"/>
    <x v="22"/>
    <n v="2"/>
    <n v="2025"/>
    <s v="2025-47"/>
    <s v="Week 47"/>
    <x v="46"/>
  </r>
  <r>
    <d v="2025-11-22T00:00:00"/>
    <x v="3"/>
    <n v="1"/>
    <n v="2025"/>
    <s v="2025-47"/>
    <s v="Week 47"/>
    <x v="46"/>
  </r>
  <r>
    <d v="2025-11-22T00:00:00"/>
    <x v="11"/>
    <n v="1"/>
    <n v="2025"/>
    <s v="2025-47"/>
    <s v="Week 47"/>
    <x v="46"/>
  </r>
  <r>
    <d v="2025-11-23T00:00:00"/>
    <x v="15"/>
    <n v="8"/>
    <n v="2025"/>
    <s v="2025-47"/>
    <s v="Week 48"/>
    <x v="47"/>
  </r>
  <r>
    <d v="2025-11-23T00:00:00"/>
    <x v="13"/>
    <n v="1"/>
    <n v="2025"/>
    <s v="2025-47"/>
    <s v="Week 48"/>
    <x v="47"/>
  </r>
  <r>
    <d v="2025-11-23T00:00:00"/>
    <x v="19"/>
    <n v="2"/>
    <n v="2025"/>
    <s v="2025-47"/>
    <s v="Week 48"/>
    <x v="47"/>
  </r>
  <r>
    <d v="2025-11-24T00:00:00"/>
    <x v="12"/>
    <n v="12"/>
    <n v="2025"/>
    <s v="2025-48"/>
    <s v="Week 48"/>
    <x v="47"/>
  </r>
  <r>
    <d v="2025-11-24T00:00:00"/>
    <x v="11"/>
    <n v="6"/>
    <n v="2025"/>
    <s v="2025-48"/>
    <s v="Week 48"/>
    <x v="47"/>
  </r>
  <r>
    <d v="2025-11-24T00:00:00"/>
    <x v="25"/>
    <n v="6"/>
    <n v="2025"/>
    <s v="2025-48"/>
    <s v="Week 48"/>
    <x v="47"/>
  </r>
  <r>
    <d v="2025-11-24T00:00:00"/>
    <x v="11"/>
    <n v="4"/>
    <n v="2025"/>
    <s v="2025-48"/>
    <s v="Week 48"/>
    <x v="47"/>
  </r>
  <r>
    <d v="2025-11-24T00:00:00"/>
    <x v="11"/>
    <n v="4"/>
    <n v="2025"/>
    <s v="2025-48"/>
    <s v="Week 48"/>
    <x v="47"/>
  </r>
  <r>
    <d v="2025-11-24T00:00:00"/>
    <x v="12"/>
    <n v="4"/>
    <n v="2025"/>
    <s v="2025-48"/>
    <s v="Week 48"/>
    <x v="47"/>
  </r>
  <r>
    <d v="2025-11-24T00:00:00"/>
    <x v="12"/>
    <n v="4"/>
    <n v="2025"/>
    <s v="2025-48"/>
    <s v="Week 48"/>
    <x v="47"/>
  </r>
  <r>
    <d v="2025-11-24T00:00:00"/>
    <x v="1"/>
    <n v="4"/>
    <n v="2025"/>
    <s v="2025-48"/>
    <s v="Week 48"/>
    <x v="47"/>
  </r>
  <r>
    <d v="2025-11-24T00:00:00"/>
    <x v="22"/>
    <n v="4"/>
    <n v="2025"/>
    <s v="2025-48"/>
    <s v="Week 48"/>
    <x v="47"/>
  </r>
  <r>
    <d v="2025-11-24T00:00:00"/>
    <x v="22"/>
    <n v="4"/>
    <n v="2025"/>
    <s v="2025-48"/>
    <s v="Week 48"/>
    <x v="47"/>
  </r>
  <r>
    <d v="2025-11-24T00:00:00"/>
    <x v="15"/>
    <n v="4"/>
    <n v="2025"/>
    <s v="2025-48"/>
    <s v="Week 48"/>
    <x v="47"/>
  </r>
  <r>
    <d v="2025-11-24T00:00:00"/>
    <x v="18"/>
    <n v="2"/>
    <n v="2025"/>
    <s v="2025-48"/>
    <s v="Week 48"/>
    <x v="47"/>
  </r>
  <r>
    <d v="2025-11-24T00:00:00"/>
    <x v="25"/>
    <n v="1"/>
    <n v="2025"/>
    <s v="2025-48"/>
    <s v="Week 48"/>
    <x v="47"/>
  </r>
  <r>
    <d v="2025-11-24T00:00:00"/>
    <x v="25"/>
    <n v="1"/>
    <n v="2025"/>
    <s v="2025-48"/>
    <s v="Week 48"/>
    <x v="47"/>
  </r>
  <r>
    <d v="2025-11-24T00:00:00"/>
    <x v="25"/>
    <n v="1"/>
    <n v="2025"/>
    <s v="2025-48"/>
    <s v="Week 48"/>
    <x v="47"/>
  </r>
  <r>
    <d v="2025-11-24T00:00:00"/>
    <x v="25"/>
    <n v="1"/>
    <n v="2025"/>
    <s v="2025-48"/>
    <s v="Week 48"/>
    <x v="47"/>
  </r>
  <r>
    <d v="2025-11-25T00:00:00"/>
    <x v="12"/>
    <n v="100"/>
    <n v="2025"/>
    <s v="2025-48"/>
    <s v="Week 48"/>
    <x v="47"/>
  </r>
  <r>
    <d v="2025-11-25T00:00:00"/>
    <x v="14"/>
    <n v="21"/>
    <n v="2025"/>
    <s v="2025-48"/>
    <s v="Week 48"/>
    <x v="47"/>
  </r>
  <r>
    <d v="2025-11-25T00:00:00"/>
    <x v="12"/>
    <n v="20"/>
    <n v="2025"/>
    <s v="2025-48"/>
    <s v="Week 48"/>
    <x v="47"/>
  </r>
  <r>
    <d v="2025-11-25T00:00:00"/>
    <x v="3"/>
    <n v="23"/>
    <n v="2025"/>
    <s v="2025-48"/>
    <s v="Week 48"/>
    <x v="47"/>
  </r>
  <r>
    <d v="2025-11-25T00:00:00"/>
    <x v="2"/>
    <n v="30"/>
    <n v="2025"/>
    <s v="2025-48"/>
    <s v="Week 48"/>
    <x v="47"/>
  </r>
  <r>
    <d v="2025-11-25T00:00:00"/>
    <x v="15"/>
    <n v="30"/>
    <n v="2025"/>
    <s v="2025-48"/>
    <s v="Week 48"/>
    <x v="47"/>
  </r>
  <r>
    <d v="2025-11-25T00:00:00"/>
    <x v="11"/>
    <n v="8"/>
    <n v="2025"/>
    <s v="2025-48"/>
    <s v="Week 48"/>
    <x v="47"/>
  </r>
  <r>
    <d v="2025-11-25T00:00:00"/>
    <x v="14"/>
    <n v="9"/>
    <n v="2025"/>
    <s v="2025-48"/>
    <s v="Week 48"/>
    <x v="47"/>
  </r>
  <r>
    <d v="2025-11-25T00:00:00"/>
    <x v="3"/>
    <n v="7"/>
    <n v="2025"/>
    <s v="2025-48"/>
    <s v="Week 48"/>
    <x v="47"/>
  </r>
  <r>
    <d v="2025-11-25T00:00:00"/>
    <x v="3"/>
    <n v="4"/>
    <n v="2025"/>
    <s v="2025-48"/>
    <s v="Week 48"/>
    <x v="47"/>
  </r>
  <r>
    <d v="2025-11-25T00:00:00"/>
    <x v="15"/>
    <n v="7"/>
    <n v="2025"/>
    <s v="2025-48"/>
    <s v="Week 48"/>
    <x v="47"/>
  </r>
  <r>
    <d v="2025-11-25T00:00:00"/>
    <x v="10"/>
    <n v="5"/>
    <n v="2025"/>
    <s v="2025-48"/>
    <s v="Week 48"/>
    <x v="47"/>
  </r>
  <r>
    <d v="2025-11-25T00:00:00"/>
    <x v="10"/>
    <n v="3"/>
    <n v="2025"/>
    <s v="2025-48"/>
    <s v="Week 48"/>
    <x v="47"/>
  </r>
  <r>
    <d v="2025-11-25T00:00:00"/>
    <x v="15"/>
    <n v="1"/>
    <n v="2025"/>
    <s v="2025-48"/>
    <s v="Week 48"/>
    <x v="47"/>
  </r>
  <r>
    <d v="2025-11-26T00:00:00"/>
    <x v="13"/>
    <n v="11"/>
    <n v="2025"/>
    <s v="2025-48"/>
    <s v="Week 48"/>
    <x v="47"/>
  </r>
  <r>
    <d v="2025-11-26T00:00:00"/>
    <x v="11"/>
    <n v="8"/>
    <n v="2025"/>
    <s v="2025-48"/>
    <s v="Week 48"/>
    <x v="47"/>
  </r>
  <r>
    <d v="2025-11-26T00:00:00"/>
    <x v="11"/>
    <n v="8"/>
    <n v="2025"/>
    <s v="2025-48"/>
    <s v="Week 48"/>
    <x v="47"/>
  </r>
  <r>
    <d v="2025-11-26T00:00:00"/>
    <x v="12"/>
    <n v="4"/>
    <n v="2025"/>
    <s v="2025-48"/>
    <s v="Week 48"/>
    <x v="47"/>
  </r>
  <r>
    <d v="2025-11-26T00:00:00"/>
    <x v="12"/>
    <n v="4"/>
    <n v="2025"/>
    <s v="2025-48"/>
    <s v="Week 48"/>
    <x v="47"/>
  </r>
  <r>
    <d v="2025-11-26T00:00:00"/>
    <x v="3"/>
    <n v="2"/>
    <n v="2025"/>
    <s v="2025-48"/>
    <s v="Week 48"/>
    <x v="47"/>
  </r>
  <r>
    <d v="2025-11-26T00:00:00"/>
    <x v="3"/>
    <n v="2"/>
    <n v="2025"/>
    <s v="2025-48"/>
    <s v="Week 48"/>
    <x v="47"/>
  </r>
  <r>
    <d v="2025-11-26T00:00:00"/>
    <x v="12"/>
    <n v="1"/>
    <n v="2025"/>
    <s v="2025-48"/>
    <s v="Week 48"/>
    <x v="47"/>
  </r>
  <r>
    <d v="2025-11-27T00:00:00"/>
    <x v="12"/>
    <n v="30"/>
    <n v="2025"/>
    <s v="2025-48"/>
    <s v="Week 48"/>
    <x v="47"/>
  </r>
  <r>
    <d v="2025-11-27T00:00:00"/>
    <x v="13"/>
    <n v="13"/>
    <n v="2025"/>
    <s v="2025-48"/>
    <s v="Week 48"/>
    <x v="47"/>
  </r>
  <r>
    <d v="2025-11-27T00:00:00"/>
    <x v="11"/>
    <n v="21"/>
    <n v="2025"/>
    <s v="2025-48"/>
    <s v="Week 48"/>
    <x v="47"/>
  </r>
  <r>
    <d v="2025-11-27T00:00:00"/>
    <x v="3"/>
    <n v="8"/>
    <n v="2025"/>
    <s v="2025-48"/>
    <s v="Week 48"/>
    <x v="47"/>
  </r>
  <r>
    <d v="2025-11-27T00:00:00"/>
    <x v="12"/>
    <n v="10"/>
    <n v="2025"/>
    <s v="2025-48"/>
    <s v="Week 48"/>
    <x v="47"/>
  </r>
  <r>
    <d v="2025-11-27T00:00:00"/>
    <x v="20"/>
    <n v="8"/>
    <n v="2025"/>
    <s v="2025-48"/>
    <s v="Week 48"/>
    <x v="47"/>
  </r>
  <r>
    <d v="2025-11-27T00:00:00"/>
    <x v="11"/>
    <n v="8"/>
    <n v="2025"/>
    <s v="2025-48"/>
    <s v="Week 48"/>
    <x v="47"/>
  </r>
  <r>
    <d v="2025-11-27T00:00:00"/>
    <x v="12"/>
    <n v="8"/>
    <n v="2025"/>
    <s v="2025-48"/>
    <s v="Week 48"/>
    <x v="47"/>
  </r>
  <r>
    <d v="2025-11-27T00:00:00"/>
    <x v="13"/>
    <n v="4"/>
    <n v="2025"/>
    <s v="2025-48"/>
    <s v="Week 48"/>
    <x v="47"/>
  </r>
  <r>
    <d v="2025-11-27T00:00:00"/>
    <x v="2"/>
    <n v="8"/>
    <n v="2025"/>
    <s v="2025-48"/>
    <s v="Week 48"/>
    <x v="47"/>
  </r>
  <r>
    <d v="2025-11-27T00:00:00"/>
    <x v="15"/>
    <n v="8"/>
    <n v="2025"/>
    <s v="2025-48"/>
    <s v="Week 48"/>
    <x v="47"/>
  </r>
  <r>
    <d v="2025-11-27T00:00:00"/>
    <x v="15"/>
    <n v="8"/>
    <n v="2025"/>
    <s v="2025-48"/>
    <s v="Week 48"/>
    <x v="47"/>
  </r>
  <r>
    <d v="2025-11-27T00:00:00"/>
    <x v="19"/>
    <n v="8"/>
    <n v="2025"/>
    <s v="2025-48"/>
    <s v="Week 48"/>
    <x v="47"/>
  </r>
  <r>
    <d v="2025-11-27T00:00:00"/>
    <x v="3"/>
    <n v="4"/>
    <n v="2025"/>
    <s v="2025-48"/>
    <s v="Week 48"/>
    <x v="47"/>
  </r>
  <r>
    <d v="2025-11-27T00:00:00"/>
    <x v="3"/>
    <n v="4"/>
    <n v="2025"/>
    <s v="2025-48"/>
    <s v="Week 48"/>
    <x v="47"/>
  </r>
  <r>
    <d v="2025-11-27T00:00:00"/>
    <x v="12"/>
    <n v="5"/>
    <n v="2025"/>
    <s v="2025-48"/>
    <s v="Week 48"/>
    <x v="47"/>
  </r>
  <r>
    <d v="2025-11-27T00:00:00"/>
    <x v="11"/>
    <n v="4"/>
    <n v="2025"/>
    <s v="2025-48"/>
    <s v="Week 48"/>
    <x v="47"/>
  </r>
  <r>
    <d v="2025-11-27T00:00:00"/>
    <x v="1"/>
    <n v="4"/>
    <n v="2025"/>
    <s v="2025-48"/>
    <s v="Week 48"/>
    <x v="47"/>
  </r>
  <r>
    <d v="2025-11-27T00:00:00"/>
    <x v="11"/>
    <n v="3"/>
    <n v="2025"/>
    <s v="2025-48"/>
    <s v="Week 48"/>
    <x v="47"/>
  </r>
  <r>
    <d v="2025-11-27T00:00:00"/>
    <x v="15"/>
    <n v="4"/>
    <n v="2025"/>
    <s v="2025-48"/>
    <s v="Week 48"/>
    <x v="47"/>
  </r>
  <r>
    <d v="2025-11-27T00:00:00"/>
    <x v="15"/>
    <n v="4"/>
    <n v="2025"/>
    <s v="2025-48"/>
    <s v="Week 48"/>
    <x v="47"/>
  </r>
  <r>
    <d v="2025-11-27T00:00:00"/>
    <x v="15"/>
    <n v="4"/>
    <n v="2025"/>
    <s v="2025-48"/>
    <s v="Week 48"/>
    <x v="47"/>
  </r>
  <r>
    <d v="2025-11-27T00:00:00"/>
    <x v="15"/>
    <n v="4"/>
    <n v="2025"/>
    <s v="2025-48"/>
    <s v="Week 48"/>
    <x v="47"/>
  </r>
  <r>
    <d v="2025-11-27T00:00:00"/>
    <x v="10"/>
    <n v="2"/>
    <n v="2025"/>
    <s v="2025-48"/>
    <s v="Week 48"/>
    <x v="47"/>
  </r>
  <r>
    <d v="2025-11-27T00:00:00"/>
    <x v="4"/>
    <n v="4"/>
    <n v="2025"/>
    <s v="2025-48"/>
    <s v="Week 48"/>
    <x v="47"/>
  </r>
  <r>
    <d v="2025-11-27T00:00:00"/>
    <x v="5"/>
    <n v="1"/>
    <n v="2025"/>
    <s v="2025-48"/>
    <s v="Week 48"/>
    <x v="47"/>
  </r>
  <r>
    <d v="2025-11-27T00:00:00"/>
    <x v="5"/>
    <n v="1"/>
    <n v="2025"/>
    <s v="2025-48"/>
    <s v="Week 48"/>
    <x v="47"/>
  </r>
  <r>
    <d v="2025-11-27T00:00:00"/>
    <x v="12"/>
    <n v="2"/>
    <n v="2025"/>
    <s v="2025-48"/>
    <s v="Week 48"/>
    <x v="47"/>
  </r>
  <r>
    <d v="2025-11-27T00:00:00"/>
    <x v="25"/>
    <n v="2"/>
    <n v="2025"/>
    <s v="2025-48"/>
    <s v="Week 48"/>
    <x v="47"/>
  </r>
  <r>
    <d v="2025-11-27T00:00:00"/>
    <x v="12"/>
    <n v="1"/>
    <n v="2025"/>
    <s v="2025-48"/>
    <s v="Week 48"/>
    <x v="47"/>
  </r>
  <r>
    <d v="2025-11-27T00:00:00"/>
    <x v="32"/>
    <n v="2"/>
    <n v="2025"/>
    <s v="2025-48"/>
    <s v="Week 48"/>
    <x v="47"/>
  </r>
  <r>
    <d v="2025-11-27T00:00:00"/>
    <x v="15"/>
    <n v="1"/>
    <n v="2025"/>
    <s v="2025-48"/>
    <s v="Week 48"/>
    <x v="47"/>
  </r>
  <r>
    <d v="2025-11-29T00:00:00"/>
    <x v="12"/>
    <n v="14"/>
    <n v="2025"/>
    <s v="2025-48"/>
    <s v="Week 48"/>
    <x v="47"/>
  </r>
  <r>
    <d v="2025-11-29T00:00:00"/>
    <x v="10"/>
    <n v="8"/>
    <n v="2025"/>
    <s v="2025-48"/>
    <s v="Week 48"/>
    <x v="47"/>
  </r>
  <r>
    <d v="2025-11-29T00:00:00"/>
    <x v="17"/>
    <n v="8"/>
    <n v="2025"/>
    <s v="2025-48"/>
    <s v="Week 48"/>
    <x v="47"/>
  </r>
  <r>
    <d v="2025-11-29T00:00:00"/>
    <x v="3"/>
    <n v="8"/>
    <n v="2025"/>
    <s v="2025-48"/>
    <s v="Week 48"/>
    <x v="47"/>
  </r>
  <r>
    <d v="2025-11-29T00:00:00"/>
    <x v="18"/>
    <n v="2"/>
    <n v="2025"/>
    <s v="2025-48"/>
    <s v="Week 48"/>
    <x v="47"/>
  </r>
  <r>
    <d v="2025-12-01T00:00:00"/>
    <x v="17"/>
    <n v="12"/>
    <n v="2025"/>
    <s v="2025-49"/>
    <s v="Week 49"/>
    <x v="48"/>
  </r>
  <r>
    <d v="2025-12-01T00:00:00"/>
    <x v="17"/>
    <n v="2"/>
    <n v="2025"/>
    <s v="2025-49"/>
    <s v="Week 49"/>
    <x v="48"/>
  </r>
  <r>
    <d v="2025-12-02T00:00:00"/>
    <x v="12"/>
    <n v="44"/>
    <n v="2025"/>
    <s v="2025-49"/>
    <s v="Week 49"/>
    <x v="48"/>
  </r>
  <r>
    <d v="2025-12-02T00:00:00"/>
    <x v="10"/>
    <n v="16"/>
    <n v="2025"/>
    <s v="2025-49"/>
    <s v="Week 49"/>
    <x v="48"/>
  </r>
  <r>
    <d v="2025-12-02T00:00:00"/>
    <x v="3"/>
    <n v="13"/>
    <n v="2025"/>
    <s v="2025-49"/>
    <s v="Week 49"/>
    <x v="48"/>
  </r>
  <r>
    <d v="2025-12-02T00:00:00"/>
    <x v="12"/>
    <n v="14"/>
    <n v="2025"/>
    <s v="2025-49"/>
    <s v="Week 49"/>
    <x v="48"/>
  </r>
  <r>
    <d v="2025-12-02T00:00:00"/>
    <x v="12"/>
    <n v="10"/>
    <n v="2025"/>
    <s v="2025-49"/>
    <s v="Week 49"/>
    <x v="48"/>
  </r>
  <r>
    <d v="2025-12-02T00:00:00"/>
    <x v="11"/>
    <n v="8"/>
    <n v="2025"/>
    <s v="2025-49"/>
    <s v="Week 49"/>
    <x v="48"/>
  </r>
  <r>
    <d v="2025-12-02T00:00:00"/>
    <x v="11"/>
    <n v="6"/>
    <n v="2025"/>
    <s v="2025-49"/>
    <s v="Week 49"/>
    <x v="48"/>
  </r>
  <r>
    <d v="2025-12-02T00:00:00"/>
    <x v="3"/>
    <n v="5"/>
    <n v="2025"/>
    <s v="2025-49"/>
    <s v="Week 49"/>
    <x v="48"/>
  </r>
  <r>
    <d v="2025-12-02T00:00:00"/>
    <x v="15"/>
    <n v="8"/>
    <n v="2025"/>
    <s v="2025-49"/>
    <s v="Week 49"/>
    <x v="48"/>
  </r>
  <r>
    <d v="2025-12-02T00:00:00"/>
    <x v="26"/>
    <n v="8"/>
    <n v="2025"/>
    <s v="2025-49"/>
    <s v="Week 49"/>
    <x v="48"/>
  </r>
  <r>
    <d v="2025-12-02T00:00:00"/>
    <x v="33"/>
    <n v="8"/>
    <n v="2025"/>
    <s v="2025-49"/>
    <s v="Week 49"/>
    <x v="48"/>
  </r>
  <r>
    <d v="2025-12-02T00:00:00"/>
    <x v="3"/>
    <n v="4"/>
    <n v="2025"/>
    <s v="2025-49"/>
    <s v="Week 49"/>
    <x v="48"/>
  </r>
  <r>
    <d v="2025-12-02T00:00:00"/>
    <x v="25"/>
    <n v="6"/>
    <n v="2025"/>
    <s v="2025-49"/>
    <s v="Week 49"/>
    <x v="48"/>
  </r>
  <r>
    <d v="2025-12-02T00:00:00"/>
    <x v="15"/>
    <n v="6"/>
    <n v="2025"/>
    <s v="2025-49"/>
    <s v="Week 49"/>
    <x v="48"/>
  </r>
  <r>
    <d v="2025-12-02T00:00:00"/>
    <x v="5"/>
    <n v="2"/>
    <n v="2025"/>
    <s v="2025-49"/>
    <s v="Week 49"/>
    <x v="48"/>
  </r>
  <r>
    <d v="2025-12-02T00:00:00"/>
    <x v="28"/>
    <n v="7"/>
    <n v="2025"/>
    <s v="2025-49"/>
    <s v="Week 49"/>
    <x v="48"/>
  </r>
  <r>
    <d v="2025-12-02T00:00:00"/>
    <x v="13"/>
    <n v="2"/>
    <n v="2025"/>
    <s v="2025-49"/>
    <s v="Week 49"/>
    <x v="48"/>
  </r>
  <r>
    <d v="2025-12-02T00:00:00"/>
    <x v="22"/>
    <n v="4"/>
    <n v="2025"/>
    <s v="2025-49"/>
    <s v="Week 49"/>
    <x v="48"/>
  </r>
  <r>
    <d v="2025-12-02T00:00:00"/>
    <x v="14"/>
    <n v="2"/>
    <n v="2025"/>
    <s v="2025-49"/>
    <s v="Week 49"/>
    <x v="48"/>
  </r>
  <r>
    <d v="2025-12-02T00:00:00"/>
    <x v="10"/>
    <n v="2"/>
    <n v="2025"/>
    <s v="2025-49"/>
    <s v="Week 49"/>
    <x v="48"/>
  </r>
  <r>
    <d v="2025-12-02T00:00:00"/>
    <x v="19"/>
    <n v="4"/>
    <n v="2025"/>
    <s v="2025-49"/>
    <s v="Week 49"/>
    <x v="48"/>
  </r>
  <r>
    <d v="2025-12-02T00:00:00"/>
    <x v="3"/>
    <n v="2"/>
    <n v="2025"/>
    <s v="2025-49"/>
    <s v="Week 49"/>
    <x v="48"/>
  </r>
  <r>
    <d v="2025-12-02T00:00:00"/>
    <x v="18"/>
    <n v="4"/>
    <n v="2025"/>
    <s v="2025-49"/>
    <s v="Week 49"/>
    <x v="48"/>
  </r>
  <r>
    <d v="2025-12-02T00:00:00"/>
    <x v="28"/>
    <n v="1"/>
    <n v="2025"/>
    <s v="2025-49"/>
    <s v="Week 49"/>
    <x v="48"/>
  </r>
  <r>
    <d v="2025-12-03T00:00:00"/>
    <x v="12"/>
    <n v="22"/>
    <n v="2025"/>
    <s v="2025-49"/>
    <s v="Week 49"/>
    <x v="48"/>
  </r>
  <r>
    <d v="2025-12-03T00:00:00"/>
    <x v="15"/>
    <n v="21"/>
    <n v="2025"/>
    <s v="2025-49"/>
    <s v="Week 49"/>
    <x v="48"/>
  </r>
  <r>
    <d v="2025-12-03T00:00:00"/>
    <x v="12"/>
    <n v="13"/>
    <n v="2025"/>
    <s v="2025-49"/>
    <s v="Week 49"/>
    <x v="48"/>
  </r>
  <r>
    <d v="2025-12-03T00:00:00"/>
    <x v="12"/>
    <n v="12"/>
    <n v="2025"/>
    <s v="2025-49"/>
    <s v="Week 49"/>
    <x v="48"/>
  </r>
  <r>
    <d v="2025-12-03T00:00:00"/>
    <x v="11"/>
    <n v="8"/>
    <n v="2025"/>
    <s v="2025-49"/>
    <s v="Week 49"/>
    <x v="48"/>
  </r>
  <r>
    <d v="2025-12-03T00:00:00"/>
    <x v="3"/>
    <n v="4"/>
    <n v="2025"/>
    <s v="2025-49"/>
    <s v="Week 49"/>
    <x v="48"/>
  </r>
  <r>
    <d v="2025-12-03T00:00:00"/>
    <x v="17"/>
    <n v="2"/>
    <n v="2025"/>
    <s v="2025-49"/>
    <s v="Week 49"/>
    <x v="48"/>
  </r>
  <r>
    <d v="2025-12-03T00:00:00"/>
    <x v="15"/>
    <n v="3"/>
    <n v="2025"/>
    <s v="2025-49"/>
    <s v="Week 49"/>
    <x v="48"/>
  </r>
  <r>
    <d v="2025-12-03T00:00:00"/>
    <x v="19"/>
    <n v="2"/>
    <n v="2025"/>
    <s v="2025-49"/>
    <s v="Week 49"/>
    <x v="48"/>
  </r>
  <r>
    <d v="2025-12-04T00:00:00"/>
    <x v="13"/>
    <n v="26"/>
    <n v="2025"/>
    <s v="2025-49"/>
    <s v="Week 49"/>
    <x v="48"/>
  </r>
  <r>
    <d v="2025-12-04T00:00:00"/>
    <x v="3"/>
    <n v="28"/>
    <n v="2025"/>
    <s v="2025-49"/>
    <s v="Week 49"/>
    <x v="48"/>
  </r>
  <r>
    <d v="2025-12-04T00:00:00"/>
    <x v="13"/>
    <n v="20"/>
    <n v="2025"/>
    <s v="2025-49"/>
    <s v="Week 49"/>
    <x v="48"/>
  </r>
  <r>
    <d v="2025-12-04T00:00:00"/>
    <x v="13"/>
    <n v="12"/>
    <n v="2025"/>
    <s v="2025-49"/>
    <s v="Week 49"/>
    <x v="48"/>
  </r>
  <r>
    <d v="2025-12-04T00:00:00"/>
    <x v="13"/>
    <n v="12"/>
    <n v="2025"/>
    <s v="2025-49"/>
    <s v="Week 49"/>
    <x v="48"/>
  </r>
  <r>
    <d v="2025-12-04T00:00:00"/>
    <x v="3"/>
    <n v="6"/>
    <n v="2025"/>
    <s v="2025-49"/>
    <s v="Week 49"/>
    <x v="48"/>
  </r>
  <r>
    <d v="2025-12-04T00:00:00"/>
    <x v="10"/>
    <n v="4"/>
    <n v="2025"/>
    <s v="2025-49"/>
    <s v="Week 49"/>
    <x v="48"/>
  </r>
  <r>
    <d v="2025-12-04T00:00:00"/>
    <x v="9"/>
    <n v="2"/>
    <n v="2025"/>
    <s v="2025-49"/>
    <s v="Week 49"/>
    <x v="48"/>
  </r>
  <r>
    <d v="2025-12-04T00:00:00"/>
    <x v="2"/>
    <n v="2"/>
    <n v="2025"/>
    <s v="2025-49"/>
    <s v="Week 49"/>
    <x v="48"/>
  </r>
  <r>
    <d v="2025-12-05T00:00:00"/>
    <x v="14"/>
    <n v="12"/>
    <n v="2025"/>
    <s v="2025-49"/>
    <s v="Week 49"/>
    <x v="48"/>
  </r>
  <r>
    <d v="2025-12-05T00:00:00"/>
    <x v="10"/>
    <n v="13"/>
    <n v="2025"/>
    <s v="2025-49"/>
    <s v="Week 49"/>
    <x v="48"/>
  </r>
  <r>
    <d v="2025-12-05T00:00:00"/>
    <x v="13"/>
    <n v="8"/>
    <n v="2025"/>
    <s v="2025-49"/>
    <s v="Week 49"/>
    <x v="48"/>
  </r>
  <r>
    <d v="2025-12-05T00:00:00"/>
    <x v="2"/>
    <n v="15"/>
    <n v="2025"/>
    <s v="2025-49"/>
    <s v="Week 49"/>
    <x v="48"/>
  </r>
  <r>
    <d v="2025-12-05T00:00:00"/>
    <x v="5"/>
    <n v="5"/>
    <n v="2025"/>
    <s v="2025-49"/>
    <s v="Week 49"/>
    <x v="48"/>
  </r>
  <r>
    <d v="2025-12-05T00:00:00"/>
    <x v="5"/>
    <n v="4"/>
    <n v="2025"/>
    <s v="2025-49"/>
    <s v="Week 49"/>
    <x v="48"/>
  </r>
  <r>
    <d v="2025-12-05T00:00:00"/>
    <x v="13"/>
    <n v="5"/>
    <n v="2025"/>
    <s v="2025-49"/>
    <s v="Week 49"/>
    <x v="48"/>
  </r>
  <r>
    <d v="2025-12-05T00:00:00"/>
    <x v="7"/>
    <n v="4"/>
    <n v="2025"/>
    <s v="2025-49"/>
    <s v="Week 49"/>
    <x v="48"/>
  </r>
  <r>
    <d v="2025-12-05T00:00:00"/>
    <x v="13"/>
    <n v="4"/>
    <n v="2025"/>
    <s v="2025-49"/>
    <s v="Week 49"/>
    <x v="48"/>
  </r>
  <r>
    <d v="2025-12-05T00:00:00"/>
    <x v="13"/>
    <n v="4"/>
    <n v="2025"/>
    <s v="2025-49"/>
    <s v="Week 49"/>
    <x v="48"/>
  </r>
  <r>
    <d v="2025-12-05T00:00:00"/>
    <x v="14"/>
    <n v="4"/>
    <n v="2025"/>
    <s v="2025-49"/>
    <s v="Week 49"/>
    <x v="48"/>
  </r>
  <r>
    <d v="2025-12-05T00:00:00"/>
    <x v="3"/>
    <n v="5"/>
    <n v="2025"/>
    <s v="2025-49"/>
    <s v="Week 49"/>
    <x v="48"/>
  </r>
  <r>
    <d v="2025-12-05T00:00:00"/>
    <x v="0"/>
    <n v="3"/>
    <n v="2025"/>
    <s v="2025-49"/>
    <s v="Week 49"/>
    <x v="48"/>
  </r>
  <r>
    <d v="2025-12-05T00:00:00"/>
    <x v="11"/>
    <n v="6"/>
    <n v="2025"/>
    <s v="2025-49"/>
    <s v="Week 49"/>
    <x v="48"/>
  </r>
  <r>
    <d v="2025-12-05T00:00:00"/>
    <x v="15"/>
    <n v="8"/>
    <n v="2025"/>
    <s v="2025-49"/>
    <s v="Week 49"/>
    <x v="48"/>
  </r>
  <r>
    <d v="2025-12-05T00:00:00"/>
    <x v="9"/>
    <n v="4"/>
    <n v="2025"/>
    <s v="2025-49"/>
    <s v="Week 49"/>
    <x v="48"/>
  </r>
  <r>
    <d v="2025-12-05T00:00:00"/>
    <x v="10"/>
    <n v="3"/>
    <n v="2025"/>
    <s v="2025-49"/>
    <s v="Week 49"/>
    <x v="48"/>
  </r>
  <r>
    <d v="2025-12-05T00:00:00"/>
    <x v="11"/>
    <n v="4"/>
    <n v="2025"/>
    <s v="2025-49"/>
    <s v="Week 49"/>
    <x v="48"/>
  </r>
  <r>
    <d v="2025-12-05T00:00:00"/>
    <x v="6"/>
    <n v="2"/>
    <n v="2025"/>
    <s v="2025-49"/>
    <s v="Week 49"/>
    <x v="48"/>
  </r>
  <r>
    <d v="2025-12-05T00:00:00"/>
    <x v="1"/>
    <n v="4"/>
    <n v="2025"/>
    <s v="2025-49"/>
    <s v="Week 49"/>
    <x v="48"/>
  </r>
  <r>
    <d v="2025-12-05T00:00:00"/>
    <x v="14"/>
    <n v="2"/>
    <n v="2025"/>
    <s v="2025-49"/>
    <s v="Week 49"/>
    <x v="48"/>
  </r>
  <r>
    <d v="2025-12-05T00:00:00"/>
    <x v="15"/>
    <n v="3"/>
    <n v="2025"/>
    <s v="2025-49"/>
    <s v="Week 49"/>
    <x v="48"/>
  </r>
  <r>
    <d v="2025-12-05T00:00:00"/>
    <x v="26"/>
    <n v="3"/>
    <n v="2025"/>
    <s v="2025-49"/>
    <s v="Week 49"/>
    <x v="48"/>
  </r>
  <r>
    <d v="2025-12-05T00:00:00"/>
    <x v="25"/>
    <n v="2"/>
    <n v="2025"/>
    <s v="2025-49"/>
    <s v="Week 49"/>
    <x v="48"/>
  </r>
  <r>
    <d v="2025-12-05T00:00:00"/>
    <x v="22"/>
    <n v="2"/>
    <n v="2025"/>
    <s v="2025-49"/>
    <s v="Week 49"/>
    <x v="48"/>
  </r>
  <r>
    <d v="2025-12-05T00:00:00"/>
    <x v="1"/>
    <n v="1"/>
    <n v="2025"/>
    <s v="2025-49"/>
    <s v="Week 49"/>
    <x v="48"/>
  </r>
  <r>
    <d v="2025-12-05T00:00:00"/>
    <x v="4"/>
    <n v="1"/>
    <n v="2025"/>
    <s v="2025-49"/>
    <s v="Week 49"/>
    <x v="48"/>
  </r>
  <r>
    <d v="2025-12-06T00:00:00"/>
    <x v="12"/>
    <n v="30"/>
    <n v="2025"/>
    <s v="2025-49"/>
    <s v="Week 49"/>
    <x v="48"/>
  </r>
  <r>
    <d v="2025-12-06T00:00:00"/>
    <x v="15"/>
    <n v="22"/>
    <n v="2025"/>
    <s v="2025-49"/>
    <s v="Week 49"/>
    <x v="48"/>
  </r>
  <r>
    <d v="2025-12-06T00:00:00"/>
    <x v="11"/>
    <n v="8"/>
    <n v="2025"/>
    <s v="2025-49"/>
    <s v="Week 49"/>
    <x v="48"/>
  </r>
  <r>
    <d v="2025-12-06T00:00:00"/>
    <x v="26"/>
    <n v="10"/>
    <n v="2025"/>
    <s v="2025-49"/>
    <s v="Week 49"/>
    <x v="48"/>
  </r>
  <r>
    <d v="2025-12-06T00:00:00"/>
    <x v="12"/>
    <n v="6"/>
    <n v="2025"/>
    <s v="2025-49"/>
    <s v="Week 49"/>
    <x v="48"/>
  </r>
  <r>
    <d v="2025-12-06T00:00:00"/>
    <x v="28"/>
    <n v="13"/>
    <n v="2025"/>
    <s v="2025-49"/>
    <s v="Week 49"/>
    <x v="48"/>
  </r>
  <r>
    <d v="2025-12-06T00:00:00"/>
    <x v="10"/>
    <n v="4"/>
    <n v="2025"/>
    <s v="2025-49"/>
    <s v="Week 49"/>
    <x v="48"/>
  </r>
  <r>
    <d v="2025-12-06T00:00:00"/>
    <x v="15"/>
    <n v="7"/>
    <n v="2025"/>
    <s v="2025-49"/>
    <s v="Week 49"/>
    <x v="48"/>
  </r>
  <r>
    <d v="2025-12-06T00:00:00"/>
    <x v="19"/>
    <n v="6"/>
    <n v="2025"/>
    <s v="2025-49"/>
    <s v="Week 49"/>
    <x v="48"/>
  </r>
  <r>
    <d v="2025-12-06T00:00:00"/>
    <x v="18"/>
    <n v="7"/>
    <n v="2025"/>
    <s v="2025-49"/>
    <s v="Week 49"/>
    <x v="48"/>
  </r>
  <r>
    <d v="2025-12-06T00:00:00"/>
    <x v="4"/>
    <n v="8"/>
    <n v="2025"/>
    <s v="2025-49"/>
    <s v="Week 49"/>
    <x v="48"/>
  </r>
  <r>
    <d v="2025-12-06T00:00:00"/>
    <x v="15"/>
    <n v="5"/>
    <n v="2025"/>
    <s v="2025-49"/>
    <s v="Week 49"/>
    <x v="48"/>
  </r>
  <r>
    <d v="2025-12-06T00:00:00"/>
    <x v="19"/>
    <n v="5"/>
    <n v="2025"/>
    <s v="2025-49"/>
    <s v="Week 49"/>
    <x v="48"/>
  </r>
  <r>
    <d v="2025-12-06T00:00:00"/>
    <x v="1"/>
    <n v="4"/>
    <n v="2025"/>
    <s v="2025-49"/>
    <s v="Week 49"/>
    <x v="48"/>
  </r>
  <r>
    <d v="2025-12-06T00:00:00"/>
    <x v="3"/>
    <n v="2"/>
    <n v="2025"/>
    <s v="2025-49"/>
    <s v="Week 49"/>
    <x v="48"/>
  </r>
  <r>
    <d v="2025-12-06T00:00:00"/>
    <x v="14"/>
    <n v="2"/>
    <n v="2025"/>
    <s v="2025-49"/>
    <s v="Week 49"/>
    <x v="48"/>
  </r>
  <r>
    <d v="2025-12-06T00:00:00"/>
    <x v="11"/>
    <n v="2"/>
    <n v="2025"/>
    <s v="2025-49"/>
    <s v="Week 49"/>
    <x v="48"/>
  </r>
  <r>
    <d v="2025-12-06T00:00:00"/>
    <x v="30"/>
    <n v="4"/>
    <n v="2025"/>
    <s v="2025-49"/>
    <s v="Week 49"/>
    <x v="48"/>
  </r>
  <r>
    <d v="2025-12-06T00:00:00"/>
    <x v="32"/>
    <n v="4"/>
    <n v="2025"/>
    <s v="2025-49"/>
    <s v="Week 49"/>
    <x v="48"/>
  </r>
  <r>
    <d v="2025-12-06T00:00:00"/>
    <x v="27"/>
    <n v="3"/>
    <n v="2025"/>
    <s v="2025-49"/>
    <s v="Week 49"/>
    <x v="48"/>
  </r>
  <r>
    <d v="2025-12-06T00:00:00"/>
    <x v="19"/>
    <n v="2"/>
    <n v="2025"/>
    <s v="2025-49"/>
    <s v="Week 49"/>
    <x v="48"/>
  </r>
  <r>
    <d v="2025-12-06T00:00:00"/>
    <x v="28"/>
    <n v="2"/>
    <n v="2025"/>
    <s v="2025-49"/>
    <s v="Week 49"/>
    <x v="48"/>
  </r>
  <r>
    <d v="2025-12-06T00:00:00"/>
    <x v="28"/>
    <n v="2"/>
    <n v="2025"/>
    <s v="2025-49"/>
    <s v="Week 49"/>
    <x v="48"/>
  </r>
  <r>
    <d v="2025-12-06T00:00:00"/>
    <x v="30"/>
    <n v="2"/>
    <n v="2025"/>
    <s v="2025-49"/>
    <s v="Week 49"/>
    <x v="48"/>
  </r>
  <r>
    <d v="2025-12-07T00:00:00"/>
    <x v="10"/>
    <n v="44"/>
    <n v="2025"/>
    <s v="2025-49"/>
    <s v="Week 50"/>
    <x v="49"/>
  </r>
  <r>
    <d v="2025-12-07T00:00:00"/>
    <x v="12"/>
    <n v="54"/>
    <n v="2025"/>
    <s v="2025-49"/>
    <s v="Week 50"/>
    <x v="49"/>
  </r>
  <r>
    <d v="2025-12-07T00:00:00"/>
    <x v="12"/>
    <n v="37"/>
    <n v="2025"/>
    <s v="2025-49"/>
    <s v="Week 50"/>
    <x v="49"/>
  </r>
  <r>
    <d v="2025-12-07T00:00:00"/>
    <x v="12"/>
    <n v="20"/>
    <n v="2025"/>
    <s v="2025-49"/>
    <s v="Week 50"/>
    <x v="49"/>
  </r>
  <r>
    <d v="2025-12-07T00:00:00"/>
    <x v="13"/>
    <n v="15"/>
    <n v="2025"/>
    <s v="2025-49"/>
    <s v="Week 50"/>
    <x v="49"/>
  </r>
  <r>
    <d v="2025-12-07T00:00:00"/>
    <x v="13"/>
    <n v="15"/>
    <n v="2025"/>
    <s v="2025-49"/>
    <s v="Week 50"/>
    <x v="49"/>
  </r>
  <r>
    <d v="2025-12-07T00:00:00"/>
    <x v="15"/>
    <n v="22"/>
    <n v="2025"/>
    <s v="2025-49"/>
    <s v="Week 50"/>
    <x v="49"/>
  </r>
  <r>
    <d v="2025-12-07T00:00:00"/>
    <x v="17"/>
    <n v="12"/>
    <n v="2025"/>
    <s v="2025-49"/>
    <s v="Week 50"/>
    <x v="49"/>
  </r>
  <r>
    <d v="2025-12-07T00:00:00"/>
    <x v="9"/>
    <n v="16"/>
    <n v="2025"/>
    <s v="2025-49"/>
    <s v="Week 50"/>
    <x v="49"/>
  </r>
  <r>
    <d v="2025-12-07T00:00:00"/>
    <x v="15"/>
    <n v="27"/>
    <n v="2025"/>
    <s v="2025-49"/>
    <s v="Week 50"/>
    <x v="49"/>
  </r>
  <r>
    <d v="2025-12-07T00:00:00"/>
    <x v="13"/>
    <n v="10"/>
    <n v="2025"/>
    <s v="2025-49"/>
    <s v="Week 50"/>
    <x v="49"/>
  </r>
  <r>
    <d v="2025-12-07T00:00:00"/>
    <x v="13"/>
    <n v="10"/>
    <n v="2025"/>
    <s v="2025-49"/>
    <s v="Week 50"/>
    <x v="49"/>
  </r>
  <r>
    <d v="2025-12-07T00:00:00"/>
    <x v="11"/>
    <n v="15"/>
    <n v="2025"/>
    <s v="2025-49"/>
    <s v="Week 50"/>
    <x v="49"/>
  </r>
  <r>
    <d v="2025-12-07T00:00:00"/>
    <x v="13"/>
    <n v="10"/>
    <n v="2025"/>
    <s v="2025-49"/>
    <s v="Week 50"/>
    <x v="49"/>
  </r>
  <r>
    <d v="2025-12-07T00:00:00"/>
    <x v="6"/>
    <n v="8"/>
    <n v="2025"/>
    <s v="2025-49"/>
    <s v="Week 50"/>
    <x v="49"/>
  </r>
  <r>
    <d v="2025-12-07T00:00:00"/>
    <x v="2"/>
    <n v="15"/>
    <n v="2025"/>
    <s v="2025-49"/>
    <s v="Week 50"/>
    <x v="49"/>
  </r>
  <r>
    <d v="2025-12-07T00:00:00"/>
    <x v="6"/>
    <n v="7"/>
    <n v="2025"/>
    <s v="2025-49"/>
    <s v="Week 50"/>
    <x v="49"/>
  </r>
  <r>
    <d v="2025-12-07T00:00:00"/>
    <x v="11"/>
    <n v="9"/>
    <n v="2025"/>
    <s v="2025-49"/>
    <s v="Week 50"/>
    <x v="49"/>
  </r>
  <r>
    <d v="2025-12-07T00:00:00"/>
    <x v="9"/>
    <n v="11"/>
    <n v="2025"/>
    <s v="2025-49"/>
    <s v="Week 50"/>
    <x v="49"/>
  </r>
  <r>
    <d v="2025-12-07T00:00:00"/>
    <x v="11"/>
    <n v="11"/>
    <n v="2025"/>
    <s v="2025-49"/>
    <s v="Week 50"/>
    <x v="49"/>
  </r>
  <r>
    <d v="2025-12-07T00:00:00"/>
    <x v="14"/>
    <n v="8"/>
    <n v="2025"/>
    <s v="2025-49"/>
    <s v="Week 50"/>
    <x v="49"/>
  </r>
  <r>
    <d v="2025-12-07T00:00:00"/>
    <x v="3"/>
    <n v="6"/>
    <n v="2025"/>
    <s v="2025-49"/>
    <s v="Week 50"/>
    <x v="49"/>
  </r>
  <r>
    <d v="2025-12-07T00:00:00"/>
    <x v="13"/>
    <n v="6"/>
    <n v="2025"/>
    <s v="2025-49"/>
    <s v="Week 50"/>
    <x v="49"/>
  </r>
  <r>
    <d v="2025-12-07T00:00:00"/>
    <x v="19"/>
    <n v="11"/>
    <n v="2025"/>
    <s v="2025-49"/>
    <s v="Week 50"/>
    <x v="49"/>
  </r>
  <r>
    <d v="2025-12-07T00:00:00"/>
    <x v="2"/>
    <n v="9"/>
    <n v="2025"/>
    <s v="2025-49"/>
    <s v="Week 50"/>
    <x v="49"/>
  </r>
  <r>
    <d v="2025-12-07T00:00:00"/>
    <x v="2"/>
    <n v="9"/>
    <n v="2025"/>
    <s v="2025-49"/>
    <s v="Week 50"/>
    <x v="49"/>
  </r>
  <r>
    <d v="2025-12-07T00:00:00"/>
    <x v="13"/>
    <n v="5"/>
    <n v="2025"/>
    <s v="2025-49"/>
    <s v="Week 50"/>
    <x v="49"/>
  </r>
  <r>
    <d v="2025-12-07T00:00:00"/>
    <x v="17"/>
    <n v="4"/>
    <n v="2025"/>
    <s v="2025-49"/>
    <s v="Week 50"/>
    <x v="49"/>
  </r>
  <r>
    <d v="2025-12-07T00:00:00"/>
    <x v="17"/>
    <n v="5"/>
    <n v="2025"/>
    <s v="2025-49"/>
    <s v="Week 50"/>
    <x v="49"/>
  </r>
  <r>
    <d v="2025-12-07T00:00:00"/>
    <x v="17"/>
    <n v="5"/>
    <n v="2025"/>
    <s v="2025-49"/>
    <s v="Week 50"/>
    <x v="49"/>
  </r>
  <r>
    <d v="2025-12-07T00:00:00"/>
    <x v="12"/>
    <n v="8"/>
    <n v="2025"/>
    <s v="2025-49"/>
    <s v="Week 50"/>
    <x v="49"/>
  </r>
  <r>
    <d v="2025-12-07T00:00:00"/>
    <x v="7"/>
    <n v="4"/>
    <n v="2025"/>
    <s v="2025-49"/>
    <s v="Week 50"/>
    <x v="49"/>
  </r>
  <r>
    <d v="2025-12-07T00:00:00"/>
    <x v="11"/>
    <n v="6"/>
    <n v="2025"/>
    <s v="2025-49"/>
    <s v="Week 50"/>
    <x v="49"/>
  </r>
  <r>
    <d v="2025-12-07T00:00:00"/>
    <x v="19"/>
    <n v="6"/>
    <n v="2025"/>
    <s v="2025-49"/>
    <s v="Week 50"/>
    <x v="49"/>
  </r>
  <r>
    <d v="2025-12-07T00:00:00"/>
    <x v="22"/>
    <n v="6"/>
    <n v="2025"/>
    <s v="2025-49"/>
    <s v="Week 50"/>
    <x v="49"/>
  </r>
  <r>
    <d v="2025-12-07T00:00:00"/>
    <x v="22"/>
    <n v="6"/>
    <n v="2025"/>
    <s v="2025-49"/>
    <s v="Week 50"/>
    <x v="49"/>
  </r>
  <r>
    <d v="2025-12-07T00:00:00"/>
    <x v="22"/>
    <n v="6"/>
    <n v="2025"/>
    <s v="2025-49"/>
    <s v="Week 50"/>
    <x v="49"/>
  </r>
  <r>
    <d v="2025-12-07T00:00:00"/>
    <x v="22"/>
    <n v="6"/>
    <n v="2025"/>
    <s v="2025-49"/>
    <s v="Week 50"/>
    <x v="49"/>
  </r>
  <r>
    <d v="2025-12-07T00:00:00"/>
    <x v="3"/>
    <n v="4"/>
    <n v="2025"/>
    <s v="2025-49"/>
    <s v="Week 50"/>
    <x v="49"/>
  </r>
  <r>
    <d v="2025-12-07T00:00:00"/>
    <x v="9"/>
    <n v="4"/>
    <n v="2025"/>
    <s v="2025-49"/>
    <s v="Week 50"/>
    <x v="49"/>
  </r>
  <r>
    <d v="2025-12-07T00:00:00"/>
    <x v="9"/>
    <n v="4"/>
    <n v="2025"/>
    <s v="2025-49"/>
    <s v="Week 50"/>
    <x v="49"/>
  </r>
  <r>
    <d v="2025-12-07T00:00:00"/>
    <x v="9"/>
    <n v="4"/>
    <n v="2025"/>
    <s v="2025-49"/>
    <s v="Week 50"/>
    <x v="49"/>
  </r>
  <r>
    <d v="2025-12-07T00:00:00"/>
    <x v="11"/>
    <n v="3"/>
    <n v="2025"/>
    <s v="2025-49"/>
    <s v="Week 50"/>
    <x v="49"/>
  </r>
  <r>
    <d v="2025-12-07T00:00:00"/>
    <x v="11"/>
    <n v="4"/>
    <n v="2025"/>
    <s v="2025-49"/>
    <s v="Week 50"/>
    <x v="49"/>
  </r>
  <r>
    <d v="2025-12-07T00:00:00"/>
    <x v="5"/>
    <n v="2"/>
    <n v="2025"/>
    <s v="2025-49"/>
    <s v="Week 50"/>
    <x v="49"/>
  </r>
  <r>
    <d v="2025-12-07T00:00:00"/>
    <x v="12"/>
    <n v="4"/>
    <n v="2025"/>
    <s v="2025-49"/>
    <s v="Week 50"/>
    <x v="49"/>
  </r>
  <r>
    <d v="2025-12-07T00:00:00"/>
    <x v="12"/>
    <n v="4"/>
    <n v="2025"/>
    <s v="2025-49"/>
    <s v="Week 50"/>
    <x v="49"/>
  </r>
  <r>
    <d v="2025-12-07T00:00:00"/>
    <x v="6"/>
    <n v="2"/>
    <n v="2025"/>
    <s v="2025-49"/>
    <s v="Week 50"/>
    <x v="49"/>
  </r>
  <r>
    <d v="2025-12-07T00:00:00"/>
    <x v="6"/>
    <n v="2"/>
    <n v="2025"/>
    <s v="2025-49"/>
    <s v="Week 50"/>
    <x v="49"/>
  </r>
  <r>
    <d v="2025-12-07T00:00:00"/>
    <x v="15"/>
    <n v="4"/>
    <n v="2025"/>
    <s v="2025-49"/>
    <s v="Week 50"/>
    <x v="49"/>
  </r>
  <r>
    <d v="2025-12-07T00:00:00"/>
    <x v="14"/>
    <n v="2"/>
    <n v="2025"/>
    <s v="2025-49"/>
    <s v="Week 50"/>
    <x v="49"/>
  </r>
  <r>
    <d v="2025-12-07T00:00:00"/>
    <x v="14"/>
    <n v="2"/>
    <n v="2025"/>
    <s v="2025-49"/>
    <s v="Week 50"/>
    <x v="49"/>
  </r>
  <r>
    <d v="2025-12-07T00:00:00"/>
    <x v="14"/>
    <n v="2"/>
    <n v="2025"/>
    <s v="2025-49"/>
    <s v="Week 50"/>
    <x v="49"/>
  </r>
  <r>
    <d v="2025-12-07T00:00:00"/>
    <x v="2"/>
    <n v="3"/>
    <n v="2025"/>
    <s v="2025-49"/>
    <s v="Week 50"/>
    <x v="49"/>
  </r>
  <r>
    <d v="2025-12-07T00:00:00"/>
    <x v="2"/>
    <n v="3"/>
    <n v="2025"/>
    <s v="2025-49"/>
    <s v="Week 50"/>
    <x v="49"/>
  </r>
  <r>
    <d v="2025-12-07T00:00:00"/>
    <x v="3"/>
    <n v="2"/>
    <n v="2025"/>
    <s v="2025-49"/>
    <s v="Week 50"/>
    <x v="49"/>
  </r>
  <r>
    <d v="2025-12-07T00:00:00"/>
    <x v="11"/>
    <n v="2"/>
    <n v="2025"/>
    <s v="2025-49"/>
    <s v="Week 50"/>
    <x v="49"/>
  </r>
  <r>
    <d v="2025-12-07T00:00:00"/>
    <x v="11"/>
    <n v="2"/>
    <n v="2025"/>
    <s v="2025-49"/>
    <s v="Week 50"/>
    <x v="49"/>
  </r>
  <r>
    <d v="2025-12-07T00:00:00"/>
    <x v="9"/>
    <n v="2"/>
    <n v="2025"/>
    <s v="2025-49"/>
    <s v="Week 50"/>
    <x v="49"/>
  </r>
  <r>
    <d v="2025-12-07T00:00:00"/>
    <x v="15"/>
    <n v="3"/>
    <n v="2025"/>
    <s v="2025-49"/>
    <s v="Week 50"/>
    <x v="49"/>
  </r>
  <r>
    <d v="2025-12-07T00:00:00"/>
    <x v="15"/>
    <n v="3"/>
    <n v="2025"/>
    <s v="2025-49"/>
    <s v="Week 50"/>
    <x v="49"/>
  </r>
  <r>
    <d v="2025-12-07T00:00:00"/>
    <x v="26"/>
    <n v="3"/>
    <n v="2025"/>
    <s v="2025-49"/>
    <s v="Week 50"/>
    <x v="49"/>
  </r>
  <r>
    <d v="2025-12-07T00:00:00"/>
    <x v="19"/>
    <n v="3"/>
    <n v="2025"/>
    <s v="2025-49"/>
    <s v="Week 50"/>
    <x v="49"/>
  </r>
  <r>
    <d v="2025-12-07T00:00:00"/>
    <x v="15"/>
    <n v="2"/>
    <n v="2025"/>
    <s v="2025-49"/>
    <s v="Week 50"/>
    <x v="49"/>
  </r>
  <r>
    <d v="2025-12-07T00:00:00"/>
    <x v="15"/>
    <n v="2"/>
    <n v="2025"/>
    <s v="2025-49"/>
    <s v="Week 50"/>
    <x v="49"/>
  </r>
  <r>
    <d v="2025-12-07T00:00:00"/>
    <x v="25"/>
    <n v="2"/>
    <n v="2025"/>
    <s v="2025-49"/>
    <s v="Week 50"/>
    <x v="49"/>
  </r>
  <r>
    <d v="2025-12-07T00:00:00"/>
    <x v="22"/>
    <n v="2"/>
    <n v="2025"/>
    <s v="2025-49"/>
    <s v="Week 50"/>
    <x v="49"/>
  </r>
  <r>
    <d v="2025-12-07T00:00:00"/>
    <x v="15"/>
    <n v="2"/>
    <n v="2025"/>
    <s v="2025-49"/>
    <s v="Week 50"/>
    <x v="49"/>
  </r>
  <r>
    <d v="2025-12-07T00:00:00"/>
    <x v="26"/>
    <n v="2"/>
    <n v="2025"/>
    <s v="2025-49"/>
    <s v="Week 50"/>
    <x v="49"/>
  </r>
  <r>
    <d v="2025-12-07T00:00:00"/>
    <x v="26"/>
    <n v="2"/>
    <n v="2025"/>
    <s v="2025-49"/>
    <s v="Week 50"/>
    <x v="49"/>
  </r>
  <r>
    <d v="2025-12-07T00:00:00"/>
    <x v="28"/>
    <n v="2"/>
    <n v="2025"/>
    <s v="2025-49"/>
    <s v="Week 50"/>
    <x v="49"/>
  </r>
  <r>
    <d v="2025-12-07T00:00:00"/>
    <x v="15"/>
    <n v="1"/>
    <n v="2025"/>
    <s v="2025-49"/>
    <s v="Week 50"/>
    <x v="49"/>
  </r>
  <r>
    <d v="2025-12-07T00:00:00"/>
    <x v="28"/>
    <n v="2"/>
    <n v="2025"/>
    <s v="2025-49"/>
    <s v="Week 50"/>
    <x v="49"/>
  </r>
  <r>
    <d v="2025-12-07T00:00:00"/>
    <x v="28"/>
    <n v="2"/>
    <n v="2025"/>
    <s v="2025-49"/>
    <s v="Week 50"/>
    <x v="49"/>
  </r>
  <r>
    <d v="2025-12-07T00:00:00"/>
    <x v="25"/>
    <n v="1"/>
    <n v="2025"/>
    <s v="2025-49"/>
    <s v="Week 50"/>
    <x v="49"/>
  </r>
  <r>
    <d v="2025-12-07T00:00:00"/>
    <x v="25"/>
    <n v="1"/>
    <n v="2025"/>
    <s v="2025-49"/>
    <s v="Week 50"/>
    <x v="49"/>
  </r>
  <r>
    <d v="2025-12-07T00:00:00"/>
    <x v="22"/>
    <n v="1"/>
    <n v="2025"/>
    <s v="2025-49"/>
    <s v="Week 50"/>
    <x v="49"/>
  </r>
  <r>
    <d v="2025-12-07T00:00:00"/>
    <x v="22"/>
    <n v="1"/>
    <n v="2025"/>
    <s v="2025-49"/>
    <s v="Week 50"/>
    <x v="49"/>
  </r>
  <r>
    <d v="2025-12-07T00:00:00"/>
    <x v="30"/>
    <n v="1"/>
    <n v="2025"/>
    <s v="2025-49"/>
    <s v="Week 50"/>
    <x v="49"/>
  </r>
  <r>
    <d v="2025-12-07T00:00:00"/>
    <x v="30"/>
    <n v="1"/>
    <n v="2025"/>
    <s v="2025-49"/>
    <s v="Week 50"/>
    <x v="49"/>
  </r>
  <r>
    <d v="2025-12-08T00:00:00"/>
    <x v="22"/>
    <n v="4"/>
    <n v="2025"/>
    <s v="2025-50"/>
    <s v="Week 50"/>
    <x v="49"/>
  </r>
  <r>
    <d v="2025-12-10T00:00:00"/>
    <x v="5"/>
    <n v="19"/>
    <n v="2025"/>
    <s v="2025-50"/>
    <s v="Week 50"/>
    <x v="49"/>
  </r>
  <r>
    <d v="2025-12-10T00:00:00"/>
    <x v="5"/>
    <n v="12"/>
    <n v="2025"/>
    <s v="2025-50"/>
    <s v="Week 50"/>
    <x v="49"/>
  </r>
  <r>
    <d v="2025-12-10T00:00:00"/>
    <x v="3"/>
    <n v="20"/>
    <n v="2025"/>
    <s v="2025-50"/>
    <s v="Week 50"/>
    <x v="49"/>
  </r>
  <r>
    <d v="2025-12-10T00:00:00"/>
    <x v="0"/>
    <n v="10"/>
    <n v="2025"/>
    <s v="2025-50"/>
    <s v="Week 50"/>
    <x v="49"/>
  </r>
  <r>
    <d v="2025-12-10T00:00:00"/>
    <x v="0"/>
    <n v="10"/>
    <n v="2025"/>
    <s v="2025-50"/>
    <s v="Week 50"/>
    <x v="49"/>
  </r>
  <r>
    <d v="2025-12-10T00:00:00"/>
    <x v="12"/>
    <n v="23"/>
    <n v="2025"/>
    <s v="2025-50"/>
    <s v="Week 50"/>
    <x v="49"/>
  </r>
  <r>
    <d v="2025-12-10T00:00:00"/>
    <x v="11"/>
    <n v="20"/>
    <n v="2025"/>
    <s v="2025-50"/>
    <s v="Week 50"/>
    <x v="49"/>
  </r>
  <r>
    <d v="2025-12-10T00:00:00"/>
    <x v="5"/>
    <n v="10"/>
    <n v="2025"/>
    <s v="2025-50"/>
    <s v="Week 50"/>
    <x v="49"/>
  </r>
  <r>
    <d v="2025-12-10T00:00:00"/>
    <x v="14"/>
    <n v="12"/>
    <n v="2025"/>
    <s v="2025-50"/>
    <s v="Week 50"/>
    <x v="49"/>
  </r>
  <r>
    <d v="2025-12-10T00:00:00"/>
    <x v="3"/>
    <n v="11"/>
    <n v="2025"/>
    <s v="2025-50"/>
    <s v="Week 50"/>
    <x v="49"/>
  </r>
  <r>
    <d v="2025-12-10T00:00:00"/>
    <x v="12"/>
    <n v="15"/>
    <n v="2025"/>
    <s v="2025-50"/>
    <s v="Week 50"/>
    <x v="49"/>
  </r>
  <r>
    <d v="2025-12-10T00:00:00"/>
    <x v="10"/>
    <n v="10"/>
    <n v="2025"/>
    <s v="2025-50"/>
    <s v="Week 50"/>
    <x v="49"/>
  </r>
  <r>
    <d v="2025-12-10T00:00:00"/>
    <x v="17"/>
    <n v="8"/>
    <n v="2025"/>
    <s v="2025-50"/>
    <s v="Week 50"/>
    <x v="49"/>
  </r>
  <r>
    <d v="2025-12-10T00:00:00"/>
    <x v="14"/>
    <n v="8"/>
    <n v="2025"/>
    <s v="2025-50"/>
    <s v="Week 50"/>
    <x v="49"/>
  </r>
  <r>
    <d v="2025-12-10T00:00:00"/>
    <x v="16"/>
    <n v="4"/>
    <n v="2025"/>
    <s v="2025-50"/>
    <s v="Week 50"/>
    <x v="49"/>
  </r>
  <r>
    <d v="2025-12-10T00:00:00"/>
    <x v="16"/>
    <n v="4"/>
    <n v="2025"/>
    <s v="2025-50"/>
    <s v="Week 50"/>
    <x v="49"/>
  </r>
  <r>
    <d v="2025-12-10T00:00:00"/>
    <x v="4"/>
    <n v="16"/>
    <n v="2025"/>
    <s v="2025-50"/>
    <s v="Week 50"/>
    <x v="49"/>
  </r>
  <r>
    <d v="2025-12-10T00:00:00"/>
    <x v="3"/>
    <n v="7"/>
    <n v="2025"/>
    <s v="2025-50"/>
    <s v="Week 50"/>
    <x v="49"/>
  </r>
  <r>
    <d v="2025-12-10T00:00:00"/>
    <x v="17"/>
    <n v="5"/>
    <n v="2025"/>
    <s v="2025-50"/>
    <s v="Week 50"/>
    <x v="49"/>
  </r>
  <r>
    <d v="2025-12-10T00:00:00"/>
    <x v="17"/>
    <n v="5"/>
    <n v="2025"/>
    <s v="2025-50"/>
    <s v="Week 50"/>
    <x v="49"/>
  </r>
  <r>
    <d v="2025-12-10T00:00:00"/>
    <x v="10"/>
    <n v="6"/>
    <n v="2025"/>
    <s v="2025-50"/>
    <s v="Week 50"/>
    <x v="49"/>
  </r>
  <r>
    <d v="2025-12-10T00:00:00"/>
    <x v="3"/>
    <n v="5"/>
    <n v="2025"/>
    <s v="2025-50"/>
    <s v="Week 50"/>
    <x v="49"/>
  </r>
  <r>
    <d v="2025-12-10T00:00:00"/>
    <x v="0"/>
    <n v="3"/>
    <n v="2025"/>
    <s v="2025-50"/>
    <s v="Week 50"/>
    <x v="49"/>
  </r>
  <r>
    <d v="2025-12-10T00:00:00"/>
    <x v="2"/>
    <n v="6"/>
    <n v="2025"/>
    <s v="2025-50"/>
    <s v="Week 50"/>
    <x v="49"/>
  </r>
  <r>
    <d v="2025-12-10T00:00:00"/>
    <x v="17"/>
    <n v="4"/>
    <n v="2025"/>
    <s v="2025-50"/>
    <s v="Week 50"/>
    <x v="49"/>
  </r>
  <r>
    <d v="2025-12-10T00:00:00"/>
    <x v="5"/>
    <n v="3"/>
    <n v="2025"/>
    <s v="2025-50"/>
    <s v="Week 50"/>
    <x v="49"/>
  </r>
  <r>
    <d v="2025-12-10T00:00:00"/>
    <x v="5"/>
    <n v="3"/>
    <n v="2025"/>
    <s v="2025-50"/>
    <s v="Week 50"/>
    <x v="49"/>
  </r>
  <r>
    <d v="2025-12-10T00:00:00"/>
    <x v="5"/>
    <n v="3"/>
    <n v="2025"/>
    <s v="2025-50"/>
    <s v="Week 50"/>
    <x v="49"/>
  </r>
  <r>
    <d v="2025-12-10T00:00:00"/>
    <x v="4"/>
    <n v="10"/>
    <n v="2025"/>
    <s v="2025-50"/>
    <s v="Week 50"/>
    <x v="49"/>
  </r>
  <r>
    <d v="2025-12-10T00:00:00"/>
    <x v="14"/>
    <n v="4"/>
    <n v="2025"/>
    <s v="2025-50"/>
    <s v="Week 50"/>
    <x v="49"/>
  </r>
  <r>
    <d v="2025-12-10T00:00:00"/>
    <x v="15"/>
    <n v="8"/>
    <n v="2025"/>
    <s v="2025-50"/>
    <s v="Week 50"/>
    <x v="49"/>
  </r>
  <r>
    <d v="2025-12-10T00:00:00"/>
    <x v="15"/>
    <n v="8"/>
    <n v="2025"/>
    <s v="2025-50"/>
    <s v="Week 50"/>
    <x v="49"/>
  </r>
  <r>
    <d v="2025-12-10T00:00:00"/>
    <x v="1"/>
    <n v="7"/>
    <n v="2025"/>
    <s v="2025-50"/>
    <s v="Week 50"/>
    <x v="49"/>
  </r>
  <r>
    <d v="2025-12-10T00:00:00"/>
    <x v="3"/>
    <n v="4"/>
    <n v="2025"/>
    <s v="2025-50"/>
    <s v="Week 50"/>
    <x v="49"/>
  </r>
  <r>
    <d v="2025-12-10T00:00:00"/>
    <x v="33"/>
    <n v="8"/>
    <n v="2025"/>
    <s v="2025-50"/>
    <s v="Week 50"/>
    <x v="49"/>
  </r>
  <r>
    <d v="2025-12-10T00:00:00"/>
    <x v="33"/>
    <n v="8"/>
    <n v="2025"/>
    <s v="2025-50"/>
    <s v="Week 50"/>
    <x v="49"/>
  </r>
  <r>
    <d v="2025-12-10T00:00:00"/>
    <x v="12"/>
    <n v="5"/>
    <n v="2025"/>
    <s v="2025-50"/>
    <s v="Week 50"/>
    <x v="49"/>
  </r>
  <r>
    <d v="2025-12-10T00:00:00"/>
    <x v="1"/>
    <n v="6"/>
    <n v="2025"/>
    <s v="2025-50"/>
    <s v="Week 50"/>
    <x v="49"/>
  </r>
  <r>
    <d v="2025-12-10T00:00:00"/>
    <x v="5"/>
    <n v="2"/>
    <n v="2025"/>
    <s v="2025-50"/>
    <s v="Week 50"/>
    <x v="49"/>
  </r>
  <r>
    <d v="2025-12-10T00:00:00"/>
    <x v="1"/>
    <n v="5"/>
    <n v="2025"/>
    <s v="2025-50"/>
    <s v="Week 50"/>
    <x v="49"/>
  </r>
  <r>
    <d v="2025-12-10T00:00:00"/>
    <x v="1"/>
    <n v="5"/>
    <n v="2025"/>
    <s v="2025-50"/>
    <s v="Week 50"/>
    <x v="49"/>
  </r>
  <r>
    <d v="2025-12-10T00:00:00"/>
    <x v="19"/>
    <n v="6"/>
    <n v="2025"/>
    <s v="2025-50"/>
    <s v="Week 50"/>
    <x v="49"/>
  </r>
  <r>
    <d v="2025-12-10T00:00:00"/>
    <x v="19"/>
    <n v="6"/>
    <n v="2025"/>
    <s v="2025-50"/>
    <s v="Week 50"/>
    <x v="49"/>
  </r>
  <r>
    <d v="2025-12-10T00:00:00"/>
    <x v="4"/>
    <n v="5"/>
    <n v="2025"/>
    <s v="2025-50"/>
    <s v="Week 50"/>
    <x v="49"/>
  </r>
  <r>
    <d v="2025-12-10T00:00:00"/>
    <x v="35"/>
    <n v="4"/>
    <n v="2025"/>
    <s v="2025-50"/>
    <s v="Week 50"/>
    <x v="49"/>
  </r>
  <r>
    <d v="2025-12-10T00:00:00"/>
    <x v="3"/>
    <n v="2"/>
    <n v="2025"/>
    <s v="2025-50"/>
    <s v="Week 50"/>
    <x v="49"/>
  </r>
  <r>
    <d v="2025-12-10T00:00:00"/>
    <x v="27"/>
    <n v="4"/>
    <n v="2025"/>
    <s v="2025-50"/>
    <s v="Week 50"/>
    <x v="49"/>
  </r>
  <r>
    <d v="2025-12-10T00:00:00"/>
    <x v="40"/>
    <n v="2"/>
    <n v="2025"/>
    <s v="2025-50"/>
    <s v="Week 50"/>
    <x v="49"/>
  </r>
  <r>
    <d v="2025-12-10T00:00:00"/>
    <x v="21"/>
    <n v="3"/>
    <n v="2025"/>
    <s v="2025-50"/>
    <s v="Week 50"/>
    <x v="49"/>
  </r>
  <r>
    <d v="2025-12-10T00:00:00"/>
    <x v="3"/>
    <n v="1"/>
    <n v="2025"/>
    <s v="2025-50"/>
    <s v="Week 50"/>
    <x v="49"/>
  </r>
  <r>
    <d v="2025-12-10T00:00:00"/>
    <x v="35"/>
    <n v="2"/>
    <n v="2025"/>
    <s v="2025-50"/>
    <s v="Week 50"/>
    <x v="49"/>
  </r>
  <r>
    <d v="2025-12-10T00:00:00"/>
    <x v="33"/>
    <n v="2"/>
    <n v="2025"/>
    <s v="2025-50"/>
    <s v="Week 50"/>
    <x v="49"/>
  </r>
  <r>
    <d v="2025-12-10T00:00:00"/>
    <x v="33"/>
    <n v="2"/>
    <n v="2025"/>
    <s v="2025-50"/>
    <s v="Week 50"/>
    <x v="49"/>
  </r>
  <r>
    <d v="2025-12-10T00:00:00"/>
    <x v="4"/>
    <n v="2"/>
    <n v="2025"/>
    <s v="2025-50"/>
    <s v="Week 50"/>
    <x v="49"/>
  </r>
  <r>
    <d v="2025-12-10T00:00:00"/>
    <x v="12"/>
    <n v="1"/>
    <n v="2025"/>
    <s v="2025-50"/>
    <s v="Week 50"/>
    <x v="49"/>
  </r>
  <r>
    <d v="2025-12-10T00:00:00"/>
    <x v="12"/>
    <n v="1"/>
    <n v="2025"/>
    <s v="2025-50"/>
    <s v="Week 50"/>
    <x v="49"/>
  </r>
  <r>
    <d v="2025-12-10T00:00:00"/>
    <x v="12"/>
    <n v="1"/>
    <n v="2025"/>
    <s v="2025-50"/>
    <s v="Week 50"/>
    <x v="49"/>
  </r>
  <r>
    <d v="2025-12-10T00:00:00"/>
    <x v="28"/>
    <n v="2"/>
    <n v="2025"/>
    <s v="2025-50"/>
    <s v="Week 50"/>
    <x v="49"/>
  </r>
  <r>
    <d v="2025-12-10T00:00:00"/>
    <x v="30"/>
    <n v="2"/>
    <n v="2025"/>
    <s v="2025-50"/>
    <s v="Week 50"/>
    <x v="49"/>
  </r>
  <r>
    <d v="2025-12-10T00:00:00"/>
    <x v="1"/>
    <n v="1"/>
    <n v="2025"/>
    <s v="2025-50"/>
    <s v="Week 50"/>
    <x v="49"/>
  </r>
  <r>
    <d v="2025-12-10T00:00:00"/>
    <x v="1"/>
    <n v="1"/>
    <n v="2025"/>
    <s v="2025-50"/>
    <s v="Week 50"/>
    <x v="49"/>
  </r>
  <r>
    <d v="2025-12-10T00:00:00"/>
    <x v="4"/>
    <n v="1"/>
    <n v="2025"/>
    <s v="2025-50"/>
    <s v="Week 50"/>
    <x v="49"/>
  </r>
  <r>
    <d v="2025-12-10T00:00:00"/>
    <x v="4"/>
    <n v="1"/>
    <n v="2025"/>
    <s v="2025-50"/>
    <s v="Week 50"/>
    <x v="49"/>
  </r>
  <r>
    <d v="2025-12-11T00:00:00"/>
    <x v="12"/>
    <n v="18"/>
    <n v="2025"/>
    <s v="2025-50"/>
    <s v="Week 50"/>
    <x v="49"/>
  </r>
  <r>
    <d v="2025-12-11T00:00:00"/>
    <x v="11"/>
    <n v="11"/>
    <n v="2025"/>
    <s v="2025-50"/>
    <s v="Week 50"/>
    <x v="49"/>
  </r>
  <r>
    <d v="2025-12-11T00:00:00"/>
    <x v="3"/>
    <n v="2"/>
    <n v="2025"/>
    <s v="2025-50"/>
    <s v="Week 50"/>
    <x v="49"/>
  </r>
  <r>
    <d v="2025-12-11T00:00:00"/>
    <x v="3"/>
    <n v="2"/>
    <n v="2025"/>
    <s v="2025-50"/>
    <s v="Week 50"/>
    <x v="49"/>
  </r>
  <r>
    <d v="2025-12-11T00:00:00"/>
    <x v="19"/>
    <n v="1"/>
    <n v="2025"/>
    <s v="2025-50"/>
    <s v="Week 50"/>
    <x v="49"/>
  </r>
  <r>
    <d v="2025-12-12T00:00:00"/>
    <x v="12"/>
    <n v="32"/>
    <n v="2025"/>
    <s v="2025-50"/>
    <s v="Week 50"/>
    <x v="49"/>
  </r>
  <r>
    <d v="2025-12-12T00:00:00"/>
    <x v="3"/>
    <n v="22"/>
    <n v="2025"/>
    <s v="2025-50"/>
    <s v="Week 50"/>
    <x v="49"/>
  </r>
  <r>
    <d v="2025-12-12T00:00:00"/>
    <x v="3"/>
    <n v="16"/>
    <n v="2025"/>
    <s v="2025-50"/>
    <s v="Week 50"/>
    <x v="49"/>
  </r>
  <r>
    <d v="2025-12-12T00:00:00"/>
    <x v="13"/>
    <n v="8"/>
    <n v="2025"/>
    <s v="2025-50"/>
    <s v="Week 50"/>
    <x v="49"/>
  </r>
  <r>
    <d v="2025-12-12T00:00:00"/>
    <x v="11"/>
    <n v="10"/>
    <n v="2025"/>
    <s v="2025-50"/>
    <s v="Week 50"/>
    <x v="49"/>
  </r>
  <r>
    <d v="2025-12-12T00:00:00"/>
    <x v="15"/>
    <n v="13"/>
    <n v="2025"/>
    <s v="2025-50"/>
    <s v="Week 50"/>
    <x v="49"/>
  </r>
  <r>
    <d v="2025-12-12T00:00:00"/>
    <x v="12"/>
    <n v="6"/>
    <n v="2025"/>
    <s v="2025-50"/>
    <s v="Week 50"/>
    <x v="49"/>
  </r>
  <r>
    <d v="2025-12-12T00:00:00"/>
    <x v="4"/>
    <n v="9"/>
    <n v="2025"/>
    <s v="2025-50"/>
    <s v="Week 50"/>
    <x v="49"/>
  </r>
  <r>
    <d v="2025-12-12T00:00:00"/>
    <x v="11"/>
    <n v="4"/>
    <n v="2025"/>
    <s v="2025-50"/>
    <s v="Week 50"/>
    <x v="49"/>
  </r>
  <r>
    <d v="2025-12-12T00:00:00"/>
    <x v="10"/>
    <n v="2"/>
    <n v="2025"/>
    <s v="2025-50"/>
    <s v="Week 50"/>
    <x v="49"/>
  </r>
  <r>
    <d v="2025-12-12T00:00:00"/>
    <x v="18"/>
    <n v="4"/>
    <n v="2025"/>
    <s v="2025-50"/>
    <s v="Week 50"/>
    <x v="49"/>
  </r>
  <r>
    <d v="2025-12-12T00:00:00"/>
    <x v="30"/>
    <n v="4"/>
    <n v="2025"/>
    <s v="2025-50"/>
    <s v="Week 50"/>
    <x v="49"/>
  </r>
  <r>
    <d v="2025-12-12T00:00:00"/>
    <x v="32"/>
    <n v="4"/>
    <n v="2025"/>
    <s v="2025-50"/>
    <s v="Week 50"/>
    <x v="49"/>
  </r>
  <r>
    <d v="2025-12-12T00:00:00"/>
    <x v="4"/>
    <n v="3"/>
    <n v="2025"/>
    <s v="2025-50"/>
    <s v="Week 50"/>
    <x v="49"/>
  </r>
  <r>
    <d v="2025-12-12T00:00:00"/>
    <x v="30"/>
    <n v="1"/>
    <n v="2025"/>
    <s v="2025-50"/>
    <s v="Week 50"/>
    <x v="49"/>
  </r>
  <r>
    <d v="2025-12-12T00:00:00"/>
    <x v="32"/>
    <n v="1"/>
    <n v="2025"/>
    <s v="2025-50"/>
    <s v="Week 50"/>
    <x v="49"/>
  </r>
  <r>
    <d v="2025-12-13T00:00:00"/>
    <x v="5"/>
    <n v="19"/>
    <n v="2025"/>
    <s v="2025-50"/>
    <s v="Week 50"/>
    <x v="49"/>
  </r>
  <r>
    <d v="2025-12-13T00:00:00"/>
    <x v="5"/>
    <n v="12"/>
    <n v="2025"/>
    <s v="2025-50"/>
    <s v="Week 50"/>
    <x v="49"/>
  </r>
  <r>
    <d v="2025-12-13T00:00:00"/>
    <x v="5"/>
    <n v="12"/>
    <n v="2025"/>
    <s v="2025-50"/>
    <s v="Week 50"/>
    <x v="49"/>
  </r>
  <r>
    <d v="2025-12-13T00:00:00"/>
    <x v="12"/>
    <n v="16"/>
    <n v="2025"/>
    <s v="2025-50"/>
    <s v="Week 50"/>
    <x v="49"/>
  </r>
  <r>
    <d v="2025-12-13T00:00:00"/>
    <x v="6"/>
    <n v="7"/>
    <n v="2025"/>
    <s v="2025-50"/>
    <s v="Week 50"/>
    <x v="49"/>
  </r>
  <r>
    <d v="2025-12-13T00:00:00"/>
    <x v="6"/>
    <n v="5"/>
    <n v="2025"/>
    <s v="2025-50"/>
    <s v="Week 50"/>
    <x v="49"/>
  </r>
  <r>
    <d v="2025-12-13T00:00:00"/>
    <x v="16"/>
    <n v="3"/>
    <n v="2025"/>
    <s v="2025-50"/>
    <s v="Week 50"/>
    <x v="49"/>
  </r>
  <r>
    <d v="2025-12-13T00:00:00"/>
    <x v="16"/>
    <n v="3"/>
    <n v="2025"/>
    <s v="2025-50"/>
    <s v="Week 50"/>
    <x v="49"/>
  </r>
  <r>
    <d v="2025-12-13T00:00:00"/>
    <x v="29"/>
    <n v="2"/>
    <n v="2025"/>
    <s v="2025-50"/>
    <s v="Week 50"/>
    <x v="49"/>
  </r>
  <r>
    <d v="2025-12-13T00:00:00"/>
    <x v="29"/>
    <n v="2"/>
    <n v="2025"/>
    <s v="2025-50"/>
    <s v="Week 50"/>
    <x v="49"/>
  </r>
  <r>
    <d v="2025-12-13T00:00:00"/>
    <x v="14"/>
    <n v="5"/>
    <n v="2025"/>
    <s v="2025-50"/>
    <s v="Week 50"/>
    <x v="49"/>
  </r>
  <r>
    <d v="2025-12-13T00:00:00"/>
    <x v="6"/>
    <n v="4"/>
    <n v="2025"/>
    <s v="2025-50"/>
    <s v="Week 50"/>
    <x v="49"/>
  </r>
  <r>
    <d v="2025-12-13T00:00:00"/>
    <x v="11"/>
    <n v="6"/>
    <n v="2025"/>
    <s v="2025-50"/>
    <s v="Week 50"/>
    <x v="49"/>
  </r>
  <r>
    <d v="2025-12-13T00:00:00"/>
    <x v="17"/>
    <n v="4"/>
    <n v="2025"/>
    <s v="2025-50"/>
    <s v="Week 50"/>
    <x v="49"/>
  </r>
  <r>
    <d v="2025-12-13T00:00:00"/>
    <x v="17"/>
    <n v="4"/>
    <n v="2025"/>
    <s v="2025-50"/>
    <s v="Week 50"/>
    <x v="49"/>
  </r>
  <r>
    <d v="2025-12-13T00:00:00"/>
    <x v="14"/>
    <n v="4"/>
    <n v="2025"/>
    <s v="2025-50"/>
    <s v="Week 50"/>
    <x v="49"/>
  </r>
  <r>
    <d v="2025-12-13T00:00:00"/>
    <x v="14"/>
    <n v="4"/>
    <n v="2025"/>
    <s v="2025-50"/>
    <s v="Week 50"/>
    <x v="49"/>
  </r>
  <r>
    <d v="2025-12-13T00:00:00"/>
    <x v="3"/>
    <n v="4"/>
    <n v="2025"/>
    <s v="2025-50"/>
    <s v="Week 50"/>
    <x v="49"/>
  </r>
  <r>
    <d v="2025-12-13T00:00:00"/>
    <x v="3"/>
    <n v="4"/>
    <n v="2025"/>
    <s v="2025-50"/>
    <s v="Week 50"/>
    <x v="49"/>
  </r>
  <r>
    <d v="2025-12-13T00:00:00"/>
    <x v="3"/>
    <n v="4"/>
    <n v="2025"/>
    <s v="2025-50"/>
    <s v="Week 50"/>
    <x v="49"/>
  </r>
  <r>
    <d v="2025-12-13T00:00:00"/>
    <x v="3"/>
    <n v="4"/>
    <n v="2025"/>
    <s v="2025-50"/>
    <s v="Week 50"/>
    <x v="49"/>
  </r>
  <r>
    <d v="2025-12-13T00:00:00"/>
    <x v="22"/>
    <n v="6"/>
    <n v="2025"/>
    <s v="2025-50"/>
    <s v="Week 50"/>
    <x v="49"/>
  </r>
  <r>
    <d v="2025-12-13T00:00:00"/>
    <x v="22"/>
    <n v="6"/>
    <n v="2025"/>
    <s v="2025-50"/>
    <s v="Week 50"/>
    <x v="49"/>
  </r>
  <r>
    <d v="2025-12-13T00:00:00"/>
    <x v="4"/>
    <n v="8"/>
    <n v="2025"/>
    <s v="2025-50"/>
    <s v="Week 50"/>
    <x v="49"/>
  </r>
  <r>
    <d v="2025-12-13T00:00:00"/>
    <x v="4"/>
    <n v="8"/>
    <n v="2025"/>
    <s v="2025-50"/>
    <s v="Week 50"/>
    <x v="49"/>
  </r>
  <r>
    <d v="2025-12-13T00:00:00"/>
    <x v="4"/>
    <n v="8"/>
    <n v="2025"/>
    <s v="2025-50"/>
    <s v="Week 50"/>
    <x v="49"/>
  </r>
  <r>
    <d v="2025-12-13T00:00:00"/>
    <x v="11"/>
    <n v="4"/>
    <n v="2025"/>
    <s v="2025-50"/>
    <s v="Week 50"/>
    <x v="49"/>
  </r>
  <r>
    <d v="2025-12-13T00:00:00"/>
    <x v="1"/>
    <n v="6"/>
    <n v="2025"/>
    <s v="2025-50"/>
    <s v="Week 50"/>
    <x v="49"/>
  </r>
  <r>
    <d v="2025-12-13T00:00:00"/>
    <x v="1"/>
    <n v="6"/>
    <n v="2025"/>
    <s v="2025-50"/>
    <s v="Week 50"/>
    <x v="49"/>
  </r>
  <r>
    <d v="2025-12-13T00:00:00"/>
    <x v="14"/>
    <n v="3"/>
    <n v="2025"/>
    <s v="2025-50"/>
    <s v="Week 50"/>
    <x v="49"/>
  </r>
  <r>
    <d v="2025-12-13T00:00:00"/>
    <x v="15"/>
    <n v="6"/>
    <n v="2025"/>
    <s v="2025-50"/>
    <s v="Week 50"/>
    <x v="49"/>
  </r>
  <r>
    <d v="2025-12-13T00:00:00"/>
    <x v="4"/>
    <n v="6"/>
    <n v="2025"/>
    <s v="2025-50"/>
    <s v="Week 50"/>
    <x v="49"/>
  </r>
  <r>
    <d v="2025-12-13T00:00:00"/>
    <x v="9"/>
    <n v="3"/>
    <n v="2025"/>
    <s v="2025-50"/>
    <s v="Week 50"/>
    <x v="49"/>
  </r>
  <r>
    <d v="2025-12-13T00:00:00"/>
    <x v="9"/>
    <n v="3"/>
    <n v="2025"/>
    <s v="2025-50"/>
    <s v="Week 50"/>
    <x v="49"/>
  </r>
  <r>
    <d v="2025-12-13T00:00:00"/>
    <x v="19"/>
    <n v="5"/>
    <n v="2025"/>
    <s v="2025-50"/>
    <s v="Week 50"/>
    <x v="49"/>
  </r>
  <r>
    <d v="2025-12-13T00:00:00"/>
    <x v="13"/>
    <n v="2"/>
    <n v="2025"/>
    <s v="2025-50"/>
    <s v="Week 50"/>
    <x v="49"/>
  </r>
  <r>
    <d v="2025-12-13T00:00:00"/>
    <x v="13"/>
    <n v="2"/>
    <n v="2025"/>
    <s v="2025-50"/>
    <s v="Week 50"/>
    <x v="49"/>
  </r>
  <r>
    <d v="2025-12-13T00:00:00"/>
    <x v="13"/>
    <n v="2"/>
    <n v="2025"/>
    <s v="2025-50"/>
    <s v="Week 50"/>
    <x v="49"/>
  </r>
  <r>
    <d v="2025-12-13T00:00:00"/>
    <x v="13"/>
    <n v="2"/>
    <n v="2025"/>
    <s v="2025-50"/>
    <s v="Week 50"/>
    <x v="49"/>
  </r>
  <r>
    <d v="2025-12-13T00:00:00"/>
    <x v="27"/>
    <n v="6"/>
    <n v="2025"/>
    <s v="2025-50"/>
    <s v="Week 50"/>
    <x v="49"/>
  </r>
  <r>
    <d v="2025-12-13T00:00:00"/>
    <x v="17"/>
    <n v="2"/>
    <n v="2025"/>
    <s v="2025-50"/>
    <s v="Week 50"/>
    <x v="49"/>
  </r>
  <r>
    <d v="2025-12-13T00:00:00"/>
    <x v="17"/>
    <n v="2"/>
    <n v="2025"/>
    <s v="2025-50"/>
    <s v="Week 50"/>
    <x v="49"/>
  </r>
  <r>
    <d v="2025-12-13T00:00:00"/>
    <x v="12"/>
    <n v="3"/>
    <n v="2025"/>
    <s v="2025-50"/>
    <s v="Week 50"/>
    <x v="49"/>
  </r>
  <r>
    <d v="2025-12-13T00:00:00"/>
    <x v="12"/>
    <n v="3"/>
    <n v="2025"/>
    <s v="2025-50"/>
    <s v="Week 50"/>
    <x v="49"/>
  </r>
  <r>
    <d v="2025-12-13T00:00:00"/>
    <x v="14"/>
    <n v="2"/>
    <n v="2025"/>
    <s v="2025-50"/>
    <s v="Week 50"/>
    <x v="49"/>
  </r>
  <r>
    <d v="2025-12-13T00:00:00"/>
    <x v="14"/>
    <n v="2"/>
    <n v="2025"/>
    <s v="2025-50"/>
    <s v="Week 50"/>
    <x v="49"/>
  </r>
  <r>
    <d v="2025-12-13T00:00:00"/>
    <x v="14"/>
    <n v="2"/>
    <n v="2025"/>
    <s v="2025-50"/>
    <s v="Week 50"/>
    <x v="49"/>
  </r>
  <r>
    <d v="2025-12-13T00:00:00"/>
    <x v="28"/>
    <n v="6"/>
    <n v="2025"/>
    <s v="2025-50"/>
    <s v="Week 50"/>
    <x v="49"/>
  </r>
  <r>
    <d v="2025-12-13T00:00:00"/>
    <x v="28"/>
    <n v="6"/>
    <n v="2025"/>
    <s v="2025-50"/>
    <s v="Week 50"/>
    <x v="49"/>
  </r>
  <r>
    <d v="2025-12-13T00:00:00"/>
    <x v="10"/>
    <n v="2"/>
    <n v="2025"/>
    <s v="2025-50"/>
    <s v="Week 50"/>
    <x v="49"/>
  </r>
  <r>
    <d v="2025-12-13T00:00:00"/>
    <x v="26"/>
    <n v="4"/>
    <n v="2025"/>
    <s v="2025-50"/>
    <s v="Week 50"/>
    <x v="49"/>
  </r>
  <r>
    <d v="2025-12-13T00:00:00"/>
    <x v="26"/>
    <n v="4"/>
    <n v="2025"/>
    <s v="2025-50"/>
    <s v="Week 50"/>
    <x v="49"/>
  </r>
  <r>
    <d v="2025-12-13T00:00:00"/>
    <x v="19"/>
    <n v="4"/>
    <n v="2025"/>
    <s v="2025-50"/>
    <s v="Week 50"/>
    <x v="49"/>
  </r>
  <r>
    <d v="2025-12-13T00:00:00"/>
    <x v="16"/>
    <n v="1"/>
    <n v="2025"/>
    <s v="2025-50"/>
    <s v="Week 50"/>
    <x v="49"/>
  </r>
  <r>
    <d v="2025-12-13T00:00:00"/>
    <x v="16"/>
    <n v="1"/>
    <n v="2025"/>
    <s v="2025-50"/>
    <s v="Week 50"/>
    <x v="49"/>
  </r>
  <r>
    <d v="2025-12-13T00:00:00"/>
    <x v="22"/>
    <n v="3"/>
    <n v="2025"/>
    <s v="2025-50"/>
    <s v="Week 50"/>
    <x v="49"/>
  </r>
  <r>
    <d v="2025-12-13T00:00:00"/>
    <x v="22"/>
    <n v="3"/>
    <n v="2025"/>
    <s v="2025-50"/>
    <s v="Week 50"/>
    <x v="49"/>
  </r>
  <r>
    <d v="2025-12-13T00:00:00"/>
    <x v="19"/>
    <n v="3"/>
    <n v="2025"/>
    <s v="2025-50"/>
    <s v="Week 50"/>
    <x v="49"/>
  </r>
  <r>
    <d v="2025-12-13T00:00:00"/>
    <x v="19"/>
    <n v="3"/>
    <n v="2025"/>
    <s v="2025-50"/>
    <s v="Week 50"/>
    <x v="49"/>
  </r>
  <r>
    <d v="2025-12-13T00:00:00"/>
    <x v="6"/>
    <n v="1"/>
    <n v="2025"/>
    <s v="2025-50"/>
    <s v="Week 50"/>
    <x v="49"/>
  </r>
  <r>
    <d v="2025-12-13T00:00:00"/>
    <x v="25"/>
    <n v="2"/>
    <n v="2025"/>
    <s v="2025-50"/>
    <s v="Week 50"/>
    <x v="49"/>
  </r>
  <r>
    <d v="2025-12-13T00:00:00"/>
    <x v="18"/>
    <n v="3"/>
    <n v="2025"/>
    <s v="2025-50"/>
    <s v="Week 50"/>
    <x v="49"/>
  </r>
  <r>
    <d v="2025-12-13T00:00:00"/>
    <x v="15"/>
    <n v="2"/>
    <n v="2025"/>
    <s v="2025-50"/>
    <s v="Week 50"/>
    <x v="49"/>
  </r>
  <r>
    <d v="2025-12-13T00:00:00"/>
    <x v="15"/>
    <n v="2"/>
    <n v="2025"/>
    <s v="2025-50"/>
    <s v="Week 50"/>
    <x v="49"/>
  </r>
  <r>
    <d v="2025-12-13T00:00:00"/>
    <x v="19"/>
    <n v="2"/>
    <n v="2025"/>
    <s v="2025-50"/>
    <s v="Week 50"/>
    <x v="49"/>
  </r>
  <r>
    <d v="2025-12-13T00:00:00"/>
    <x v="19"/>
    <n v="2"/>
    <n v="2025"/>
    <s v="2025-50"/>
    <s v="Week 50"/>
    <x v="49"/>
  </r>
  <r>
    <d v="2025-12-13T00:00:00"/>
    <x v="35"/>
    <n v="2"/>
    <n v="2025"/>
    <s v="2025-50"/>
    <s v="Week 50"/>
    <x v="49"/>
  </r>
  <r>
    <d v="2025-12-13T00:00:00"/>
    <x v="4"/>
    <n v="2"/>
    <n v="2025"/>
    <s v="2025-50"/>
    <s v="Week 50"/>
    <x v="49"/>
  </r>
  <r>
    <d v="2025-12-13T00:00:00"/>
    <x v="9"/>
    <n v="1"/>
    <n v="2025"/>
    <s v="2025-50"/>
    <s v="Week 50"/>
    <x v="49"/>
  </r>
  <r>
    <d v="2025-12-13T00:00:00"/>
    <x v="9"/>
    <n v="1"/>
    <n v="2025"/>
    <s v="2025-50"/>
    <s v="Week 50"/>
    <x v="49"/>
  </r>
  <r>
    <d v="2025-12-13T00:00:00"/>
    <x v="27"/>
    <n v="2"/>
    <n v="2025"/>
    <s v="2025-50"/>
    <s v="Week 50"/>
    <x v="49"/>
  </r>
  <r>
    <d v="2025-12-13T00:00:00"/>
    <x v="2"/>
    <n v="1"/>
    <n v="2025"/>
    <s v="2025-50"/>
    <s v="Week 50"/>
    <x v="49"/>
  </r>
  <r>
    <d v="2025-12-13T00:00:00"/>
    <x v="2"/>
    <n v="1"/>
    <n v="2025"/>
    <s v="2025-50"/>
    <s v="Week 50"/>
    <x v="49"/>
  </r>
  <r>
    <d v="2025-12-13T00:00:00"/>
    <x v="30"/>
    <n v="2"/>
    <n v="2025"/>
    <s v="2025-50"/>
    <s v="Week 50"/>
    <x v="49"/>
  </r>
  <r>
    <d v="2025-12-13T00:00:00"/>
    <x v="30"/>
    <n v="2"/>
    <n v="2025"/>
    <s v="2025-50"/>
    <s v="Week 50"/>
    <x v="49"/>
  </r>
  <r>
    <d v="2025-12-13T00:00:00"/>
    <x v="19"/>
    <n v="1"/>
    <n v="2025"/>
    <s v="2025-50"/>
    <s v="Week 50"/>
    <x v="49"/>
  </r>
  <r>
    <d v="2025-12-13T00:00:00"/>
    <x v="35"/>
    <n v="1"/>
    <n v="2025"/>
    <s v="2025-50"/>
    <s v="Week 50"/>
    <x v="49"/>
  </r>
  <r>
    <d v="2025-12-13T00:00:00"/>
    <x v="35"/>
    <n v="1"/>
    <n v="2025"/>
    <s v="2025-50"/>
    <s v="Week 50"/>
    <x v="49"/>
  </r>
  <r>
    <d v="2025-12-13T00:00:00"/>
    <x v="18"/>
    <n v="1"/>
    <n v="2025"/>
    <s v="2025-50"/>
    <s v="Week 50"/>
    <x v="49"/>
  </r>
  <r>
    <d v="2025-12-14T00:00:00"/>
    <x v="13"/>
    <n v="14"/>
    <n v="2025"/>
    <s v="2025-50"/>
    <s v="Week 51"/>
    <x v="50"/>
  </r>
  <r>
    <d v="2025-12-14T00:00:00"/>
    <x v="10"/>
    <n v="6"/>
    <n v="2025"/>
    <s v="2025-50"/>
    <s v="Week 51"/>
    <x v="50"/>
  </r>
  <r>
    <d v="2025-12-15T00:00:00"/>
    <x v="27"/>
    <n v="9"/>
    <n v="2025"/>
    <s v="2025-51"/>
    <s v="Week 51"/>
    <x v="50"/>
  </r>
  <r>
    <d v="2025-12-15T00:00:00"/>
    <x v="27"/>
    <n v="1"/>
    <n v="2025"/>
    <s v="2025-51"/>
    <s v="Week 51"/>
    <x v="50"/>
  </r>
  <r>
    <d v="2025-12-16T00:00:00"/>
    <x v="3"/>
    <n v="6"/>
    <n v="2025"/>
    <s v="2025-51"/>
    <s v="Week 51"/>
    <x v="50"/>
  </r>
  <r>
    <d v="2025-12-16T00:00:00"/>
    <x v="35"/>
    <n v="2"/>
    <n v="2025"/>
    <s v="2025-51"/>
    <s v="Week 51"/>
    <x v="50"/>
  </r>
  <r>
    <d v="2025-12-17T00:00:00"/>
    <x v="12"/>
    <n v="31"/>
    <n v="2025"/>
    <s v="2025-51"/>
    <s v="Week 51"/>
    <x v="50"/>
  </r>
  <r>
    <d v="2025-12-17T00:00:00"/>
    <x v="3"/>
    <n v="18"/>
    <n v="2025"/>
    <s v="2025-51"/>
    <s v="Week 51"/>
    <x v="50"/>
  </r>
  <r>
    <d v="2025-12-17T00:00:00"/>
    <x v="17"/>
    <n v="12"/>
    <n v="2025"/>
    <s v="2025-51"/>
    <s v="Week 51"/>
    <x v="50"/>
  </r>
  <r>
    <d v="2025-12-17T00:00:00"/>
    <x v="4"/>
    <n v="24"/>
    <n v="2025"/>
    <s v="2025-51"/>
    <s v="Week 51"/>
    <x v="50"/>
  </r>
  <r>
    <d v="2025-12-17T00:00:00"/>
    <x v="12"/>
    <n v="14"/>
    <n v="2025"/>
    <s v="2025-51"/>
    <s v="Week 51"/>
    <x v="50"/>
  </r>
  <r>
    <d v="2025-12-17T00:00:00"/>
    <x v="10"/>
    <n v="7"/>
    <n v="2025"/>
    <s v="2025-51"/>
    <s v="Week 51"/>
    <x v="50"/>
  </r>
  <r>
    <d v="2025-12-17T00:00:00"/>
    <x v="9"/>
    <n v="8"/>
    <n v="2025"/>
    <s v="2025-51"/>
    <s v="Week 51"/>
    <x v="50"/>
  </r>
  <r>
    <d v="2025-12-17T00:00:00"/>
    <x v="10"/>
    <n v="5"/>
    <n v="2025"/>
    <s v="2025-51"/>
    <s v="Week 51"/>
    <x v="50"/>
  </r>
  <r>
    <d v="2025-12-17T00:00:00"/>
    <x v="14"/>
    <n v="4"/>
    <n v="2025"/>
    <s v="2025-51"/>
    <s v="Week 51"/>
    <x v="50"/>
  </r>
  <r>
    <d v="2025-12-17T00:00:00"/>
    <x v="15"/>
    <n v="8"/>
    <n v="2025"/>
    <s v="2025-51"/>
    <s v="Week 51"/>
    <x v="50"/>
  </r>
  <r>
    <d v="2025-12-17T00:00:00"/>
    <x v="11"/>
    <n v="4"/>
    <n v="2025"/>
    <s v="2025-51"/>
    <s v="Week 51"/>
    <x v="50"/>
  </r>
  <r>
    <d v="2025-12-17T00:00:00"/>
    <x v="19"/>
    <n v="3"/>
    <n v="2025"/>
    <s v="2025-51"/>
    <s v="Week 51"/>
    <x v="50"/>
  </r>
  <r>
    <d v="2025-12-17T00:00:00"/>
    <x v="19"/>
    <n v="3"/>
    <n v="2025"/>
    <s v="2025-51"/>
    <s v="Week 51"/>
    <x v="50"/>
  </r>
  <r>
    <d v="2025-12-17T00:00:00"/>
    <x v="4"/>
    <n v="4"/>
    <n v="2025"/>
    <s v="2025-51"/>
    <s v="Week 51"/>
    <x v="50"/>
  </r>
  <r>
    <d v="2025-12-17T00:00:00"/>
    <x v="15"/>
    <n v="3"/>
    <n v="2025"/>
    <s v="2025-51"/>
    <s v="Week 51"/>
    <x v="50"/>
  </r>
  <r>
    <d v="2025-12-17T00:00:00"/>
    <x v="28"/>
    <n v="4"/>
    <n v="2025"/>
    <s v="2025-51"/>
    <s v="Week 51"/>
    <x v="50"/>
  </r>
  <r>
    <d v="2025-12-17T00:00:00"/>
    <x v="19"/>
    <n v="2"/>
    <n v="2025"/>
    <s v="2025-51"/>
    <s v="Week 51"/>
    <x v="50"/>
  </r>
  <r>
    <d v="2025-12-17T00:00:00"/>
    <x v="15"/>
    <n v="2"/>
    <n v="2025"/>
    <s v="2025-51"/>
    <s v="Week 51"/>
    <x v="50"/>
  </r>
  <r>
    <d v="2025-12-17T00:00:00"/>
    <x v="27"/>
    <n v="2"/>
    <n v="2025"/>
    <s v="2025-51"/>
    <s v="Week 51"/>
    <x v="50"/>
  </r>
  <r>
    <d v="2025-12-19T00:00:00"/>
    <x v="6"/>
    <n v="6"/>
    <n v="2025"/>
    <s v="2025-51"/>
    <s v="Week 51"/>
    <x v="50"/>
  </r>
  <r>
    <d v="2025-12-19T00:00:00"/>
    <x v="2"/>
    <n v="8"/>
    <n v="2025"/>
    <s v="2025-51"/>
    <s v="Week 51"/>
    <x v="50"/>
  </r>
  <r>
    <d v="2025-12-19T00:00:00"/>
    <x v="12"/>
    <n v="8"/>
    <n v="2025"/>
    <s v="2025-51"/>
    <s v="Week 51"/>
    <x v="50"/>
  </r>
  <r>
    <d v="2025-12-19T00:00:00"/>
    <x v="14"/>
    <n v="4"/>
    <n v="2025"/>
    <s v="2025-51"/>
    <s v="Week 51"/>
    <x v="50"/>
  </r>
  <r>
    <d v="2025-12-19T00:00:00"/>
    <x v="17"/>
    <n v="4"/>
    <n v="2025"/>
    <s v="2025-51"/>
    <s v="Week 51"/>
    <x v="50"/>
  </r>
  <r>
    <d v="2025-12-19T00:00:00"/>
    <x v="22"/>
    <n v="8"/>
    <n v="2025"/>
    <s v="2025-51"/>
    <s v="Week 51"/>
    <x v="50"/>
  </r>
  <r>
    <d v="2025-12-19T00:00:00"/>
    <x v="11"/>
    <n v="6"/>
    <n v="2025"/>
    <s v="2025-51"/>
    <s v="Week 51"/>
    <x v="50"/>
  </r>
  <r>
    <d v="2025-12-19T00:00:00"/>
    <x v="28"/>
    <n v="5"/>
    <n v="2025"/>
    <s v="2025-51"/>
    <s v="Week 51"/>
    <x v="50"/>
  </r>
  <r>
    <d v="2025-12-19T00:00:00"/>
    <x v="25"/>
    <n v="2"/>
    <n v="2025"/>
    <s v="2025-51"/>
    <s v="Week 51"/>
    <x v="50"/>
  </r>
  <r>
    <d v="2025-12-19T00:00:00"/>
    <x v="28"/>
    <n v="3"/>
    <n v="2025"/>
    <s v="2025-51"/>
    <s v="Week 51"/>
    <x v="50"/>
  </r>
  <r>
    <d v="2025-12-19T00:00:00"/>
    <x v="12"/>
    <n v="1"/>
    <n v="2025"/>
    <s v="2025-51"/>
    <s v="Week 51"/>
    <x v="50"/>
  </r>
  <r>
    <d v="2025-12-19T00:00:00"/>
    <x v="8"/>
    <n v="1"/>
    <n v="2025"/>
    <s v="2025-51"/>
    <s v="Week 51"/>
    <x v="50"/>
  </r>
  <r>
    <d v="2025-12-19T00:00:00"/>
    <x v="8"/>
    <n v="1"/>
    <n v="2025"/>
    <s v="2025-51"/>
    <s v="Week 51"/>
    <x v="50"/>
  </r>
  <r>
    <d v="2025-12-19T00:00:00"/>
    <x v="8"/>
    <n v="1"/>
    <n v="2025"/>
    <s v="2025-51"/>
    <s v="Week 51"/>
    <x v="50"/>
  </r>
  <r>
    <d v="2025-12-19T00:00:00"/>
    <x v="8"/>
    <n v="1"/>
    <n v="2025"/>
    <s v="2025-51"/>
    <s v="Week 51"/>
    <x v="50"/>
  </r>
  <r>
    <d v="2025-12-19T00:00:00"/>
    <x v="46"/>
    <n v="1"/>
    <n v="2025"/>
    <s v="2025-51"/>
    <s v="Week 51"/>
    <x v="50"/>
  </r>
  <r>
    <d v="2025-12-19T00:00:00"/>
    <x v="46"/>
    <n v="1"/>
    <n v="2025"/>
    <s v="2025-51"/>
    <s v="Week 51"/>
    <x v="50"/>
  </r>
  <r>
    <d v="2025-12-20T00:00:00"/>
    <x v="12"/>
    <n v="44"/>
    <n v="2025"/>
    <s v="2025-51"/>
    <s v="Week 51"/>
    <x v="50"/>
  </r>
  <r>
    <d v="2025-12-20T00:00:00"/>
    <x v="11"/>
    <n v="22"/>
    <n v="2025"/>
    <s v="2025-51"/>
    <s v="Week 51"/>
    <x v="50"/>
  </r>
  <r>
    <d v="2025-12-20T00:00:00"/>
    <x v="15"/>
    <n v="24"/>
    <n v="2025"/>
    <s v="2025-51"/>
    <s v="Week 51"/>
    <x v="50"/>
  </r>
  <r>
    <d v="2025-12-20T00:00:00"/>
    <x v="3"/>
    <n v="11"/>
    <n v="2025"/>
    <s v="2025-51"/>
    <s v="Week 51"/>
    <x v="50"/>
  </r>
  <r>
    <d v="2025-12-20T00:00:00"/>
    <x v="12"/>
    <n v="14"/>
    <n v="2025"/>
    <s v="2025-51"/>
    <s v="Week 51"/>
    <x v="50"/>
  </r>
  <r>
    <d v="2025-12-20T00:00:00"/>
    <x v="11"/>
    <n v="6"/>
    <n v="2025"/>
    <s v="2025-51"/>
    <s v="Week 51"/>
    <x v="50"/>
  </r>
  <r>
    <d v="2025-12-20T00:00:00"/>
    <x v="15"/>
    <n v="8"/>
    <n v="2025"/>
    <s v="2025-51"/>
    <s v="Week 51"/>
    <x v="50"/>
  </r>
  <r>
    <d v="2025-12-20T00:00:00"/>
    <x v="10"/>
    <n v="4"/>
    <n v="2025"/>
    <s v="2025-51"/>
    <s v="Week 51"/>
    <x v="50"/>
  </r>
  <r>
    <d v="2025-12-20T00:00:00"/>
    <x v="3"/>
    <n v="4"/>
    <n v="2025"/>
    <s v="2025-51"/>
    <s v="Week 51"/>
    <x v="50"/>
  </r>
  <r>
    <d v="2025-12-20T00:00:00"/>
    <x v="2"/>
    <n v="4"/>
    <n v="2025"/>
    <s v="2025-51"/>
    <s v="Week 51"/>
    <x v="50"/>
  </r>
  <r>
    <d v="2025-12-20T00:00:00"/>
    <x v="15"/>
    <n v="5"/>
    <n v="2025"/>
    <s v="2025-51"/>
    <s v="Week 51"/>
    <x v="50"/>
  </r>
  <r>
    <d v="2025-12-20T00:00:00"/>
    <x v="22"/>
    <n v="4"/>
    <n v="2025"/>
    <s v="2025-51"/>
    <s v="Week 51"/>
    <x v="50"/>
  </r>
  <r>
    <d v="2025-12-20T00:00:00"/>
    <x v="13"/>
    <n v="2"/>
    <n v="2025"/>
    <s v="2025-51"/>
    <s v="Week 51"/>
    <x v="50"/>
  </r>
  <r>
    <d v="2025-12-20T00:00:00"/>
    <x v="11"/>
    <n v="2"/>
    <n v="2025"/>
    <s v="2025-51"/>
    <s v="Week 51"/>
    <x v="50"/>
  </r>
  <r>
    <d v="2025-12-20T00:00:00"/>
    <x v="15"/>
    <n v="3"/>
    <n v="2025"/>
    <s v="2025-51"/>
    <s v="Week 51"/>
    <x v="50"/>
  </r>
  <r>
    <d v="2025-12-20T00:00:00"/>
    <x v="25"/>
    <n v="2"/>
    <n v="2025"/>
    <s v="2025-51"/>
    <s v="Week 51"/>
    <x v="50"/>
  </r>
  <r>
    <d v="2025-12-20T00:00:00"/>
    <x v="21"/>
    <n v="2"/>
    <n v="2025"/>
    <s v="2025-51"/>
    <s v="Week 51"/>
    <x v="50"/>
  </r>
  <r>
    <d v="2025-12-23T00:00:00"/>
    <x v="14"/>
    <n v="10"/>
    <n v="2025"/>
    <s v="2025-52"/>
    <s v="Week 52"/>
    <x v="51"/>
  </r>
  <r>
    <d v="2025-12-23T00:00:00"/>
    <x v="10"/>
    <n v="8"/>
    <n v="2025"/>
    <s v="2025-52"/>
    <s v="Week 52"/>
    <x v="51"/>
  </r>
  <r>
    <d v="2025-12-23T00:00:00"/>
    <x v="11"/>
    <n v="8"/>
    <n v="2025"/>
    <s v="2025-52"/>
    <s v="Week 52"/>
    <x v="51"/>
  </r>
  <r>
    <d v="2025-12-23T00:00:00"/>
    <x v="3"/>
    <n v="8"/>
    <n v="2025"/>
    <s v="2025-52"/>
    <s v="Week 52"/>
    <x v="51"/>
  </r>
  <r>
    <d v="2025-12-23T00:00:00"/>
    <x v="2"/>
    <n v="10"/>
    <n v="2025"/>
    <s v="2025-52"/>
    <s v="Week 52"/>
    <x v="51"/>
  </r>
  <r>
    <d v="2025-12-23T00:00:00"/>
    <x v="11"/>
    <n v="6"/>
    <n v="2025"/>
    <s v="2025-52"/>
    <s v="Week 52"/>
    <x v="51"/>
  </r>
  <r>
    <d v="2025-12-23T00:00:00"/>
    <x v="9"/>
    <n v="6"/>
    <n v="2025"/>
    <s v="2025-52"/>
    <s v="Week 52"/>
    <x v="51"/>
  </r>
  <r>
    <d v="2025-12-23T00:00:00"/>
    <x v="17"/>
    <n v="3"/>
    <n v="2025"/>
    <s v="2025-52"/>
    <s v="Week 52"/>
    <x v="51"/>
  </r>
  <r>
    <d v="2025-12-23T00:00:00"/>
    <x v="17"/>
    <n v="3"/>
    <n v="2025"/>
    <s v="2025-52"/>
    <s v="Week 52"/>
    <x v="51"/>
  </r>
  <r>
    <d v="2025-12-23T00:00:00"/>
    <x v="15"/>
    <n v="7"/>
    <n v="2025"/>
    <s v="2025-52"/>
    <s v="Week 52"/>
    <x v="51"/>
  </r>
  <r>
    <d v="2025-12-23T00:00:00"/>
    <x v="7"/>
    <n v="2"/>
    <n v="2025"/>
    <s v="2025-52"/>
    <s v="Week 52"/>
    <x v="51"/>
  </r>
  <r>
    <d v="2025-12-23T00:00:00"/>
    <x v="6"/>
    <n v="2"/>
    <n v="2025"/>
    <s v="2025-52"/>
    <s v="Week 52"/>
    <x v="51"/>
  </r>
  <r>
    <d v="2025-12-23T00:00:00"/>
    <x v="11"/>
    <n v="2"/>
    <n v="2025"/>
    <s v="2025-52"/>
    <s v="Week 52"/>
    <x v="51"/>
  </r>
  <r>
    <d v="2025-12-23T00:00:00"/>
    <x v="12"/>
    <n v="2"/>
    <n v="2025"/>
    <s v="2025-52"/>
    <s v="Week 52"/>
    <x v="51"/>
  </r>
  <r>
    <d v="2025-12-23T00:00:00"/>
    <x v="13"/>
    <n v="1"/>
    <n v="2025"/>
    <s v="2025-52"/>
    <s v="Week 52"/>
    <x v="51"/>
  </r>
  <r>
    <d v="2025-12-23T00:00:00"/>
    <x v="3"/>
    <n v="1"/>
    <n v="2025"/>
    <s v="2025-52"/>
    <s v="Week 52"/>
    <x v="51"/>
  </r>
  <r>
    <d v="2025-12-23T00:00:00"/>
    <x v="19"/>
    <n v="2"/>
    <n v="2025"/>
    <s v="2025-52"/>
    <s v="Week 52"/>
    <x v="51"/>
  </r>
  <r>
    <d v="2025-12-23T00:00:00"/>
    <x v="4"/>
    <n v="2"/>
    <n v="2025"/>
    <s v="2025-52"/>
    <s v="Week 52"/>
    <x v="51"/>
  </r>
  <r>
    <d v="2025-12-23T00:00:00"/>
    <x v="12"/>
    <n v="1"/>
    <n v="2025"/>
    <s v="2025-52"/>
    <s v="Week 52"/>
    <x v="51"/>
  </r>
  <r>
    <d v="2025-12-24T00:00:00"/>
    <x v="11"/>
    <n v="8"/>
    <n v="2025"/>
    <s v="2025-52"/>
    <s v="Week 52"/>
    <x v="51"/>
  </r>
  <r>
    <d v="2025-12-24T00:00:00"/>
    <x v="12"/>
    <n v="9"/>
    <n v="2025"/>
    <s v="2025-52"/>
    <s v="Week 52"/>
    <x v="51"/>
  </r>
  <r>
    <d v="2025-12-24T00:00:00"/>
    <x v="3"/>
    <n v="6"/>
    <n v="2025"/>
    <s v="2025-52"/>
    <s v="Week 52"/>
    <x v="51"/>
  </r>
  <r>
    <d v="2025-12-24T00:00:00"/>
    <x v="15"/>
    <n v="9"/>
    <n v="2025"/>
    <s v="2025-52"/>
    <s v="Week 52"/>
    <x v="51"/>
  </r>
  <r>
    <d v="2025-12-24T00:00:00"/>
    <x v="12"/>
    <n v="6"/>
    <n v="2025"/>
    <s v="2025-52"/>
    <s v="Week 52"/>
    <x v="51"/>
  </r>
  <r>
    <d v="2025-12-24T00:00:00"/>
    <x v="47"/>
    <n v="1"/>
    <n v="2025"/>
    <s v="2025-52"/>
    <s v="Week 52"/>
    <x v="51"/>
  </r>
  <r>
    <d v="2025-12-24T00:00:00"/>
    <x v="12"/>
    <n v="3"/>
    <n v="2025"/>
    <s v="2025-52"/>
    <s v="Week 52"/>
    <x v="51"/>
  </r>
  <r>
    <d v="2025-12-24T00:00:00"/>
    <x v="4"/>
    <n v="4"/>
    <n v="2025"/>
    <s v="2025-52"/>
    <s v="Week 52"/>
    <x v="51"/>
  </r>
  <r>
    <d v="2025-12-25T00:00:00"/>
    <x v="15"/>
    <n v="32"/>
    <n v="2025"/>
    <s v="2025-52"/>
    <s v="Week 52"/>
    <x v="51"/>
  </r>
  <r>
    <d v="2025-12-25T00:00:00"/>
    <x v="12"/>
    <n v="16"/>
    <n v="2025"/>
    <s v="2025-52"/>
    <s v="Week 52"/>
    <x v="51"/>
  </r>
  <r>
    <d v="2025-12-25T00:00:00"/>
    <x v="25"/>
    <n v="7"/>
    <n v="2025"/>
    <s v="2025-52"/>
    <s v="Week 52"/>
    <x v="51"/>
  </r>
  <r>
    <d v="2025-12-25T00:00:00"/>
    <x v="47"/>
    <n v="1"/>
    <n v="2025"/>
    <s v="2025-52"/>
    <s v="Week 52"/>
    <x v="51"/>
  </r>
  <r>
    <d v="2025-12-25T00:00:00"/>
    <x v="10"/>
    <n v="3"/>
    <n v="2025"/>
    <s v="2025-52"/>
    <s v="Week 52"/>
    <x v="51"/>
  </r>
  <r>
    <d v="2025-12-25T00:00:00"/>
    <x v="7"/>
    <n v="2"/>
    <n v="2025"/>
    <s v="2025-52"/>
    <s v="Week 52"/>
    <x v="51"/>
  </r>
  <r>
    <d v="2025-12-25T00:00:00"/>
    <x v="6"/>
    <n v="2"/>
    <n v="2025"/>
    <s v="2025-52"/>
    <s v="Week 52"/>
    <x v="51"/>
  </r>
  <r>
    <d v="2025-12-25T00:00:00"/>
    <x v="17"/>
    <n v="2"/>
    <n v="2025"/>
    <s v="2025-52"/>
    <s v="Week 52"/>
    <x v="51"/>
  </r>
  <r>
    <d v="2025-12-25T00:00:00"/>
    <x v="17"/>
    <n v="2"/>
    <n v="2025"/>
    <s v="2025-52"/>
    <s v="Week 52"/>
    <x v="51"/>
  </r>
  <r>
    <d v="2025-12-25T00:00:00"/>
    <x v="15"/>
    <n v="4"/>
    <n v="2025"/>
    <s v="2025-52"/>
    <s v="Week 52"/>
    <x v="51"/>
  </r>
  <r>
    <d v="2025-12-25T00:00:00"/>
    <x v="13"/>
    <n v="1"/>
    <n v="2025"/>
    <s v="2025-52"/>
    <s v="Week 52"/>
    <x v="51"/>
  </r>
  <r>
    <d v="2025-12-25T00:00:00"/>
    <x v="3"/>
    <n v="1"/>
    <n v="2025"/>
    <s v="2025-52"/>
    <s v="Week 52"/>
    <x v="51"/>
  </r>
  <r>
    <d v="2025-12-25T00:00:00"/>
    <x v="12"/>
    <n v="1"/>
    <n v="2025"/>
    <s v="2025-52"/>
    <s v="Week 52"/>
    <x v="51"/>
  </r>
  <r>
    <d v="2025-12-25T00:00:00"/>
    <x v="25"/>
    <n v="1"/>
    <n v="2025"/>
    <s v="2025-52"/>
    <s v="Week 52"/>
    <x v="51"/>
  </r>
  <r>
    <d v="2025-12-25T00:00:00"/>
    <x v="15"/>
    <n v="1"/>
    <n v="2025"/>
    <s v="2025-52"/>
    <s v="Week 52"/>
    <x v="51"/>
  </r>
  <r>
    <d v="2025-12-26T00:00:00"/>
    <x v="27"/>
    <n v="2"/>
    <n v="2025"/>
    <s v="2025-52"/>
    <s v="Week 52"/>
    <x v="51"/>
  </r>
  <r>
    <d v="2025-12-27T00:00:00"/>
    <x v="12"/>
    <n v="13"/>
    <n v="2025"/>
    <s v="2025-52"/>
    <s v="Week 52"/>
    <x v="51"/>
  </r>
  <r>
    <d v="2025-12-27T00:00:00"/>
    <x v="12"/>
    <n v="12"/>
    <n v="2025"/>
    <s v="2025-52"/>
    <s v="Week 52"/>
    <x v="51"/>
  </r>
  <r>
    <d v="2025-12-27T00:00:00"/>
    <x v="15"/>
    <n v="13"/>
    <n v="2025"/>
    <s v="2025-52"/>
    <s v="Week 52"/>
    <x v="51"/>
  </r>
  <r>
    <d v="2025-12-27T00:00:00"/>
    <x v="11"/>
    <n v="8"/>
    <n v="2025"/>
    <s v="2025-52"/>
    <s v="Week 52"/>
    <x v="51"/>
  </r>
  <r>
    <d v="2025-12-27T00:00:00"/>
    <x v="12"/>
    <n v="8"/>
    <n v="2025"/>
    <s v="2025-52"/>
    <s v="Week 52"/>
    <x v="51"/>
  </r>
  <r>
    <d v="2025-12-27T00:00:00"/>
    <x v="3"/>
    <n v="6"/>
    <n v="2025"/>
    <s v="2025-52"/>
    <s v="Week 52"/>
    <x v="51"/>
  </r>
  <r>
    <d v="2025-12-27T00:00:00"/>
    <x v="15"/>
    <n v="6"/>
    <n v="2025"/>
    <s v="2025-52"/>
    <s v="Week 52"/>
    <x v="51"/>
  </r>
  <r>
    <d v="2025-12-27T00:00:00"/>
    <x v="11"/>
    <n v="4"/>
    <n v="2025"/>
    <s v="2025-52"/>
    <s v="Week 52"/>
    <x v="51"/>
  </r>
  <r>
    <d v="2025-12-27T00:00:00"/>
    <x v="11"/>
    <n v="4"/>
    <n v="2025"/>
    <s v="2025-52"/>
    <s v="Week 52"/>
    <x v="51"/>
  </r>
  <r>
    <d v="2025-12-27T00:00:00"/>
    <x v="1"/>
    <n v="4"/>
    <n v="2025"/>
    <s v="2025-52"/>
    <s v="Week 52"/>
    <x v="51"/>
  </r>
  <r>
    <d v="2025-12-27T00:00:00"/>
    <x v="1"/>
    <n v="4"/>
    <n v="2025"/>
    <s v="2025-52"/>
    <s v="Week 52"/>
    <x v="51"/>
  </r>
  <r>
    <d v="2025-12-27T00:00:00"/>
    <x v="19"/>
    <n v="5"/>
    <n v="2025"/>
    <s v="2025-52"/>
    <s v="Week 52"/>
    <x v="51"/>
  </r>
  <r>
    <d v="2025-12-27T00:00:00"/>
    <x v="17"/>
    <n v="2"/>
    <n v="2025"/>
    <s v="2025-52"/>
    <s v="Week 52"/>
    <x v="51"/>
  </r>
  <r>
    <d v="2025-12-27T00:00:00"/>
    <x v="11"/>
    <n v="2"/>
    <n v="2025"/>
    <s v="2025-52"/>
    <s v="Week 52"/>
    <x v="51"/>
  </r>
  <r>
    <d v="2025-12-27T00:00:00"/>
    <x v="19"/>
    <n v="3"/>
    <n v="2025"/>
    <s v="2025-52"/>
    <s v="Week 52"/>
    <x v="51"/>
  </r>
  <r>
    <d v="2025-12-27T00:00:00"/>
    <x v="24"/>
    <n v="4"/>
    <n v="2025"/>
    <s v="2025-52"/>
    <s v="Week 52"/>
    <x v="51"/>
  </r>
  <r>
    <d v="2025-12-27T00:00:00"/>
    <x v="13"/>
    <n v="1"/>
    <n v="2025"/>
    <s v="2025-52"/>
    <s v="Week 52"/>
    <x v="51"/>
  </r>
  <r>
    <d v="2025-12-27T00:00:00"/>
    <x v="4"/>
    <n v="2"/>
    <n v="2025"/>
    <s v="2025-52"/>
    <s v="Week 52"/>
    <x v="51"/>
  </r>
  <r>
    <d v="2025-12-27T00:00:00"/>
    <x v="27"/>
    <n v="2"/>
    <n v="2025"/>
    <s v="2025-52"/>
    <s v="Week 52"/>
    <x v="51"/>
  </r>
  <r>
    <d v="2025-12-31T00:00:00"/>
    <x v="10"/>
    <n v="31"/>
    <n v="2025"/>
    <s v="2025-1"/>
    <s v="Week 53"/>
    <x v="52"/>
  </r>
  <r>
    <d v="2025-12-31T00:00:00"/>
    <x v="11"/>
    <n v="20"/>
    <n v="2025"/>
    <s v="2025-1"/>
    <s v="Week 53"/>
    <x v="52"/>
  </r>
  <r>
    <d v="2025-12-31T00:00:00"/>
    <x v="3"/>
    <n v="12"/>
    <n v="2025"/>
    <s v="2025-1"/>
    <s v="Week 53"/>
    <x v="52"/>
  </r>
  <r>
    <d v="2025-12-31T00:00:00"/>
    <x v="5"/>
    <n v="6"/>
    <n v="2025"/>
    <s v="2025-1"/>
    <s v="Week 53"/>
    <x v="52"/>
  </r>
  <r>
    <d v="2025-12-31T00:00:00"/>
    <x v="11"/>
    <n v="8"/>
    <n v="2025"/>
    <s v="2025-1"/>
    <s v="Week 53"/>
    <x v="52"/>
  </r>
  <r>
    <d v="2025-12-31T00:00:00"/>
    <x v="11"/>
    <n v="4"/>
    <n v="2025"/>
    <s v="2025-1"/>
    <s v="Week 53"/>
    <x v="52"/>
  </r>
  <r>
    <d v="2025-12-31T00:00:00"/>
    <x v="6"/>
    <n v="2"/>
    <n v="2025"/>
    <s v="2025-1"/>
    <s v="Week 53"/>
    <x v="52"/>
  </r>
  <r>
    <d v="2025-12-31T00:00:00"/>
    <x v="22"/>
    <n v="4"/>
    <n v="2025"/>
    <s v="2025-1"/>
    <s v="Week 53"/>
    <x v="52"/>
  </r>
  <r>
    <d v="2025-12-31T00:00:00"/>
    <x v="6"/>
    <n v="1"/>
    <n v="2025"/>
    <s v="2025-1"/>
    <s v="Week 53"/>
    <x v="52"/>
  </r>
  <r>
    <d v="2025-12-31T00:00:00"/>
    <x v="6"/>
    <n v="1"/>
    <n v="2025"/>
    <s v="2025-1"/>
    <s v="Week 53"/>
    <x v="52"/>
  </r>
  <r>
    <d v="2025-12-31T00:00:00"/>
    <x v="18"/>
    <n v="2"/>
    <n v="2025"/>
    <s v="2025-1"/>
    <s v="Week 53"/>
    <x v="52"/>
  </r>
  <r>
    <d v="2026-01-02T00:00:00"/>
    <x v="48"/>
    <n v="16"/>
    <n v="2026"/>
    <s v="2026-1"/>
    <s v="Week 1"/>
    <x v="53"/>
  </r>
  <r>
    <d v="2026-01-03T00:00:00"/>
    <x v="12"/>
    <n v="36"/>
    <n v="2026"/>
    <s v="2026-1"/>
    <s v="Week 1"/>
    <x v="53"/>
  </r>
  <r>
    <d v="2026-01-03T00:00:00"/>
    <x v="15"/>
    <n v="18"/>
    <n v="2026"/>
    <s v="2026-1"/>
    <s v="Week 1"/>
    <x v="53"/>
  </r>
  <r>
    <d v="2026-01-03T00:00:00"/>
    <x v="12"/>
    <n v="7"/>
    <n v="2026"/>
    <s v="2026-1"/>
    <s v="Week 1"/>
    <x v="53"/>
  </r>
  <r>
    <d v="2026-01-03T00:00:00"/>
    <x v="10"/>
    <n v="4"/>
    <n v="2026"/>
    <s v="2026-1"/>
    <s v="Week 1"/>
    <x v="53"/>
  </r>
  <r>
    <d v="2026-01-03T00:00:00"/>
    <x v="3"/>
    <n v="4"/>
    <n v="2026"/>
    <s v="2026-1"/>
    <s v="Week 1"/>
    <x v="53"/>
  </r>
  <r>
    <d v="2026-01-03T00:00:00"/>
    <x v="11"/>
    <n v="3"/>
    <n v="2026"/>
    <s v="2026-1"/>
    <s v="Week 1"/>
    <x v="53"/>
  </r>
  <r>
    <d v="2026-01-03T00:00:00"/>
    <x v="19"/>
    <n v="4"/>
    <n v="2026"/>
    <s v="2026-1"/>
    <s v="Week 1"/>
    <x v="53"/>
  </r>
  <r>
    <d v="2026-01-03T00:00:00"/>
    <x v="11"/>
    <n v="1"/>
    <n v="2026"/>
    <s v="2026-1"/>
    <s v="Week 1"/>
    <x v="53"/>
  </r>
  <r>
    <d v="2026-01-06T00:00:00"/>
    <x v="10"/>
    <n v="4"/>
    <n v="2026"/>
    <s v="2026-2"/>
    <s v="Week 2"/>
    <x v="54"/>
  </r>
  <r>
    <d v="2026-01-06T00:00:00"/>
    <x v="15"/>
    <n v="6"/>
    <n v="2026"/>
    <s v="2026-2"/>
    <s v="Week 2"/>
    <x v="54"/>
  </r>
  <r>
    <d v="2026-01-06T00:00:00"/>
    <x v="22"/>
    <n v="4"/>
    <n v="2026"/>
    <s v="2026-2"/>
    <s v="Week 2"/>
    <x v="54"/>
  </r>
  <r>
    <d v="2026-01-06T00:00:00"/>
    <x v="25"/>
    <n v="2"/>
    <n v="2026"/>
    <s v="2026-2"/>
    <s v="Week 2"/>
    <x v="54"/>
  </r>
  <r>
    <d v="2026-01-06T00:00:00"/>
    <x v="15"/>
    <n v="2"/>
    <n v="2026"/>
    <s v="2026-2"/>
    <s v="Week 2"/>
    <x v="54"/>
  </r>
  <r>
    <d v="2026-01-06T00:00:00"/>
    <x v="27"/>
    <n v="1"/>
    <n v="2026"/>
    <s v="2026-2"/>
    <s v="Week 2"/>
    <x v="54"/>
  </r>
  <r>
    <d v="2026-01-06T00:00:00"/>
    <x v="28"/>
    <n v="1"/>
    <n v="2026"/>
    <s v="2026-2"/>
    <s v="Week 2"/>
    <x v="54"/>
  </r>
  <r>
    <d v="2026-01-06T00:00:00"/>
    <x v="27"/>
    <n v="1"/>
    <n v="2026"/>
    <s v="2026-2"/>
    <s v="Week 2"/>
    <x v="54"/>
  </r>
  <r>
    <d v="2026-01-06T00:00:00"/>
    <x v="27"/>
    <n v="1"/>
    <n v="2026"/>
    <s v="2026-2"/>
    <s v="Week 2"/>
    <x v="54"/>
  </r>
  <r>
    <d v="2026-01-07T00:00:00"/>
    <x v="12"/>
    <n v="24"/>
    <n v="2026"/>
    <s v="2026-2"/>
    <s v="Week 2"/>
    <x v="54"/>
  </r>
  <r>
    <d v="2026-01-07T00:00:00"/>
    <x v="10"/>
    <n v="12"/>
    <n v="2026"/>
    <s v="2026-2"/>
    <s v="Week 2"/>
    <x v="54"/>
  </r>
  <r>
    <d v="2026-01-07T00:00:00"/>
    <x v="22"/>
    <n v="16"/>
    <n v="2026"/>
    <s v="2026-2"/>
    <s v="Week 2"/>
    <x v="54"/>
  </r>
  <r>
    <d v="2026-01-07T00:00:00"/>
    <x v="14"/>
    <n v="8"/>
    <n v="2026"/>
    <s v="2026-2"/>
    <s v="Week 2"/>
    <x v="54"/>
  </r>
  <r>
    <d v="2026-01-07T00:00:00"/>
    <x v="11"/>
    <n v="8"/>
    <n v="2026"/>
    <s v="2026-2"/>
    <s v="Week 2"/>
    <x v="54"/>
  </r>
  <r>
    <d v="2026-01-07T00:00:00"/>
    <x v="25"/>
    <n v="9"/>
    <n v="2026"/>
    <s v="2026-2"/>
    <s v="Week 2"/>
    <x v="54"/>
  </r>
  <r>
    <d v="2026-01-07T00:00:00"/>
    <x v="11"/>
    <n v="6"/>
    <n v="2026"/>
    <s v="2026-2"/>
    <s v="Week 2"/>
    <x v="54"/>
  </r>
  <r>
    <d v="2026-01-07T00:00:00"/>
    <x v="15"/>
    <n v="8"/>
    <n v="2026"/>
    <s v="2026-2"/>
    <s v="Week 2"/>
    <x v="54"/>
  </r>
  <r>
    <d v="2026-01-07T00:00:00"/>
    <x v="3"/>
    <n v="3"/>
    <n v="2026"/>
    <s v="2026-2"/>
    <s v="Week 2"/>
    <x v="54"/>
  </r>
  <r>
    <d v="2026-01-07T00:00:00"/>
    <x v="33"/>
    <n v="2"/>
    <n v="2026"/>
    <s v="2026-2"/>
    <s v="Week 2"/>
    <x v="54"/>
  </r>
  <r>
    <d v="2026-01-07T00:00:00"/>
    <x v="35"/>
    <n v="2"/>
    <n v="2026"/>
    <s v="2026-2"/>
    <s v="Week 2"/>
    <x v="54"/>
  </r>
  <r>
    <d v="2026-01-07T00:00:00"/>
    <x v="25"/>
    <n v="1"/>
    <n v="2026"/>
    <s v="2026-2"/>
    <s v="Week 2"/>
    <x v="54"/>
  </r>
  <r>
    <d v="2026-01-08T00:00:00"/>
    <x v="11"/>
    <n v="4"/>
    <n v="2026"/>
    <s v="2026-2"/>
    <s v="Week 2"/>
    <x v="54"/>
  </r>
  <r>
    <d v="2026-01-08T00:00:00"/>
    <x v="12"/>
    <n v="4"/>
    <n v="2026"/>
    <s v="2026-2"/>
    <s v="Week 2"/>
    <x v="54"/>
  </r>
  <r>
    <d v="2026-01-08T00:00:00"/>
    <x v="4"/>
    <n v="6"/>
    <n v="2026"/>
    <s v="2026-2"/>
    <s v="Week 2"/>
    <x v="54"/>
  </r>
  <r>
    <d v="2026-01-08T00:00:00"/>
    <x v="25"/>
    <n v="4"/>
    <n v="2026"/>
    <s v="2026-2"/>
    <s v="Week 2"/>
    <x v="54"/>
  </r>
  <r>
    <d v="2026-01-08T00:00:00"/>
    <x v="30"/>
    <n v="4"/>
    <n v="2026"/>
    <s v="2026-2"/>
    <s v="Week 2"/>
    <x v="54"/>
  </r>
  <r>
    <d v="2026-01-08T00:00:00"/>
    <x v="4"/>
    <n v="2"/>
    <n v="2026"/>
    <s v="2026-2"/>
    <s v="Week 2"/>
    <x v="54"/>
  </r>
  <r>
    <d v="2026-01-08T00:00:00"/>
    <x v="27"/>
    <n v="2"/>
    <n v="2026"/>
    <s v="2026-2"/>
    <s v="Week 2"/>
    <x v="54"/>
  </r>
  <r>
    <d v="2026-01-09T00:00:00"/>
    <x v="11"/>
    <n v="4"/>
    <n v="2026"/>
    <s v="2026-2"/>
    <s v="Week 2"/>
    <x v="54"/>
  </r>
  <r>
    <d v="2026-01-09T00:00:00"/>
    <x v="12"/>
    <n v="4"/>
    <n v="2026"/>
    <s v="2026-2"/>
    <s v="Week 2"/>
    <x v="54"/>
  </r>
  <r>
    <d v="2026-01-09T00:00:00"/>
    <x v="31"/>
    <n v="4"/>
    <n v="2026"/>
    <s v="2026-2"/>
    <s v="Week 2"/>
    <x v="54"/>
  </r>
  <r>
    <d v="2026-01-09T00:00:00"/>
    <x v="25"/>
    <n v="2"/>
    <n v="2026"/>
    <s v="2026-2"/>
    <s v="Week 2"/>
    <x v="54"/>
  </r>
  <r>
    <d v="2026-01-10T00:00:00"/>
    <x v="13"/>
    <n v="16"/>
    <n v="2026"/>
    <s v="2026-2"/>
    <s v="Week 2"/>
    <x v="54"/>
  </r>
  <r>
    <d v="2026-01-12T00:00:00"/>
    <x v="3"/>
    <n v="26"/>
    <n v="2026"/>
    <s v="2026-3"/>
    <s v="Week 3"/>
    <x v="55"/>
  </r>
  <r>
    <d v="2026-01-12T00:00:00"/>
    <x v="15"/>
    <n v="40"/>
    <n v="2026"/>
    <s v="2026-3"/>
    <s v="Week 3"/>
    <x v="55"/>
  </r>
  <r>
    <d v="2026-01-12T00:00:00"/>
    <x v="12"/>
    <n v="24"/>
    <n v="2026"/>
    <s v="2026-3"/>
    <s v="Week 3"/>
    <x v="55"/>
  </r>
  <r>
    <d v="2026-01-12T00:00:00"/>
    <x v="11"/>
    <n v="20"/>
    <n v="2026"/>
    <s v="2026-3"/>
    <s v="Week 3"/>
    <x v="55"/>
  </r>
  <r>
    <d v="2026-01-12T00:00:00"/>
    <x v="12"/>
    <n v="14"/>
    <n v="2026"/>
    <s v="2026-3"/>
    <s v="Week 3"/>
    <x v="55"/>
  </r>
  <r>
    <d v="2026-01-12T00:00:00"/>
    <x v="10"/>
    <n v="8"/>
    <n v="2026"/>
    <s v="2026-3"/>
    <s v="Week 3"/>
    <x v="55"/>
  </r>
  <r>
    <d v="2026-01-12T00:00:00"/>
    <x v="28"/>
    <n v="10"/>
    <n v="2026"/>
    <s v="2026-3"/>
    <s v="Week 3"/>
    <x v="55"/>
  </r>
  <r>
    <d v="2026-01-12T00:00:00"/>
    <x v="30"/>
    <n v="10"/>
    <n v="2026"/>
    <s v="2026-3"/>
    <s v="Week 3"/>
    <x v="55"/>
  </r>
  <r>
    <d v="2026-01-12T00:00:00"/>
    <x v="15"/>
    <n v="5"/>
    <n v="2026"/>
    <s v="2026-3"/>
    <s v="Week 3"/>
    <x v="55"/>
  </r>
  <r>
    <d v="2026-01-12T00:00:00"/>
    <x v="25"/>
    <n v="4"/>
    <n v="2026"/>
    <s v="2026-3"/>
    <s v="Week 3"/>
    <x v="55"/>
  </r>
  <r>
    <d v="2026-01-12T00:00:00"/>
    <x v="18"/>
    <n v="4"/>
    <n v="2026"/>
    <s v="2026-3"/>
    <s v="Week 3"/>
    <x v="55"/>
  </r>
  <r>
    <d v="2026-01-12T00:00:00"/>
    <x v="20"/>
    <n v="2"/>
    <n v="2026"/>
    <s v="2026-3"/>
    <s v="Week 3"/>
    <x v="55"/>
  </r>
  <r>
    <d v="2026-01-12T00:00:00"/>
    <x v="4"/>
    <n v="4"/>
    <n v="2026"/>
    <s v="2026-3"/>
    <s v="Week 3"/>
    <x v="55"/>
  </r>
  <r>
    <d v="2026-01-12T00:00:00"/>
    <x v="2"/>
    <n v="2"/>
    <n v="2026"/>
    <s v="2026-3"/>
    <s v="Week 3"/>
    <x v="55"/>
  </r>
  <r>
    <d v="2026-01-12T00:00:00"/>
    <x v="18"/>
    <n v="2"/>
    <n v="2026"/>
    <s v="2026-3"/>
    <s v="Week 3"/>
    <x v="55"/>
  </r>
  <r>
    <d v="2026-01-12T00:00:00"/>
    <x v="19"/>
    <n v="2"/>
    <n v="2026"/>
    <s v="2026-3"/>
    <s v="Week 3"/>
    <x v="55"/>
  </r>
  <r>
    <d v="2026-01-14T00:00:00"/>
    <x v="12"/>
    <n v="14"/>
    <n v="2026"/>
    <s v="2026-3"/>
    <s v="Week 3"/>
    <x v="55"/>
  </r>
  <r>
    <d v="2026-01-14T00:00:00"/>
    <x v="3"/>
    <n v="10"/>
    <n v="2026"/>
    <s v="2026-3"/>
    <s v="Week 3"/>
    <x v="55"/>
  </r>
  <r>
    <d v="2026-01-14T00:00:00"/>
    <x v="3"/>
    <n v="10"/>
    <n v="2026"/>
    <s v="2026-3"/>
    <s v="Week 3"/>
    <x v="55"/>
  </r>
  <r>
    <d v="2026-01-14T00:00:00"/>
    <x v="11"/>
    <n v="8"/>
    <n v="2026"/>
    <s v="2026-3"/>
    <s v="Week 3"/>
    <x v="55"/>
  </r>
  <r>
    <d v="2026-01-14T00:00:00"/>
    <x v="11"/>
    <n v="8"/>
    <n v="2026"/>
    <s v="2026-3"/>
    <s v="Week 3"/>
    <x v="55"/>
  </r>
  <r>
    <d v="2026-01-14T00:00:00"/>
    <x v="12"/>
    <n v="8"/>
    <n v="2026"/>
    <s v="2026-3"/>
    <s v="Week 3"/>
    <x v="55"/>
  </r>
  <r>
    <d v="2026-01-14T00:00:00"/>
    <x v="12"/>
    <n v="8"/>
    <n v="2026"/>
    <s v="2026-3"/>
    <s v="Week 3"/>
    <x v="55"/>
  </r>
  <r>
    <d v="2026-01-14T00:00:00"/>
    <x v="12"/>
    <n v="8"/>
    <n v="2026"/>
    <s v="2026-3"/>
    <s v="Week 3"/>
    <x v="55"/>
  </r>
  <r>
    <d v="2026-01-14T00:00:00"/>
    <x v="12"/>
    <n v="6"/>
    <n v="2026"/>
    <s v="2026-3"/>
    <s v="Week 3"/>
    <x v="55"/>
  </r>
  <r>
    <d v="2026-01-14T00:00:00"/>
    <x v="3"/>
    <n v="4"/>
    <n v="2026"/>
    <s v="2026-3"/>
    <s v="Week 3"/>
    <x v="55"/>
  </r>
  <r>
    <d v="2026-01-14T00:00:00"/>
    <x v="41"/>
    <n v="4"/>
    <n v="2026"/>
    <s v="2026-3"/>
    <s v="Week 3"/>
    <x v="55"/>
  </r>
  <r>
    <d v="2026-01-14T00:00:00"/>
    <x v="40"/>
    <n v="4"/>
    <n v="2026"/>
    <s v="2026-3"/>
    <s v="Week 3"/>
    <x v="55"/>
  </r>
  <r>
    <d v="2026-01-14T00:00:00"/>
    <x v="22"/>
    <n v="4"/>
    <n v="2026"/>
    <s v="2026-3"/>
    <s v="Week 3"/>
    <x v="55"/>
  </r>
  <r>
    <d v="2026-01-14T00:00:00"/>
    <x v="19"/>
    <n v="4"/>
    <n v="2026"/>
    <s v="2026-3"/>
    <s v="Week 3"/>
    <x v="55"/>
  </r>
  <r>
    <d v="2026-01-14T00:00:00"/>
    <x v="18"/>
    <n v="4"/>
    <n v="2026"/>
    <s v="2026-3"/>
    <s v="Week 3"/>
    <x v="55"/>
  </r>
  <r>
    <d v="2026-01-14T00:00:00"/>
    <x v="19"/>
    <n v="3"/>
    <n v="2026"/>
    <s v="2026-3"/>
    <s v="Week 3"/>
    <x v="55"/>
  </r>
  <r>
    <d v="2026-01-14T00:00:00"/>
    <x v="18"/>
    <n v="4"/>
    <n v="2026"/>
    <s v="2026-3"/>
    <s v="Week 3"/>
    <x v="55"/>
  </r>
  <r>
    <d v="2026-01-14T00:00:00"/>
    <x v="18"/>
    <n v="3"/>
    <n v="2026"/>
    <s v="2026-3"/>
    <s v="Week 3"/>
    <x v="55"/>
  </r>
  <r>
    <d v="2026-01-14T00:00:00"/>
    <x v="28"/>
    <n v="2"/>
    <n v="2026"/>
    <s v="2026-3"/>
    <s v="Week 3"/>
    <x v="55"/>
  </r>
  <r>
    <d v="2026-01-14T00:00:00"/>
    <x v="19"/>
    <n v="1"/>
    <n v="2026"/>
    <s v="2026-3"/>
    <s v="Week 3"/>
    <x v="55"/>
  </r>
  <r>
    <d v="2026-01-14T00:00:00"/>
    <x v="18"/>
    <n v="1"/>
    <n v="2026"/>
    <s v="2026-3"/>
    <s v="Week 3"/>
    <x v="55"/>
  </r>
  <r>
    <d v="2026-01-15T00:00:00"/>
    <x v="12"/>
    <n v="26"/>
    <n v="2026"/>
    <s v="2026-3"/>
    <s v="Week 3"/>
    <x v="55"/>
  </r>
  <r>
    <d v="2026-01-15T00:00:00"/>
    <x v="11"/>
    <n v="16"/>
    <n v="2026"/>
    <s v="2026-3"/>
    <s v="Week 3"/>
    <x v="55"/>
  </r>
  <r>
    <d v="2026-01-15T00:00:00"/>
    <x v="10"/>
    <n v="8"/>
    <n v="2026"/>
    <s v="2026-3"/>
    <s v="Week 3"/>
    <x v="55"/>
  </r>
  <r>
    <d v="2026-01-15T00:00:00"/>
    <x v="15"/>
    <n v="15"/>
    <n v="2026"/>
    <s v="2026-3"/>
    <s v="Week 3"/>
    <x v="55"/>
  </r>
  <r>
    <d v="2026-01-15T00:00:00"/>
    <x v="12"/>
    <n v="8"/>
    <n v="2026"/>
    <s v="2026-3"/>
    <s v="Week 3"/>
    <x v="55"/>
  </r>
  <r>
    <d v="2026-01-15T00:00:00"/>
    <x v="15"/>
    <n v="11"/>
    <n v="2026"/>
    <s v="2026-3"/>
    <s v="Week 3"/>
    <x v="55"/>
  </r>
  <r>
    <d v="2026-01-15T00:00:00"/>
    <x v="19"/>
    <n v="10"/>
    <n v="2026"/>
    <s v="2026-3"/>
    <s v="Week 3"/>
    <x v="55"/>
  </r>
  <r>
    <d v="2026-01-15T00:00:00"/>
    <x v="3"/>
    <n v="4"/>
    <n v="2026"/>
    <s v="2026-3"/>
    <s v="Week 3"/>
    <x v="55"/>
  </r>
  <r>
    <d v="2026-01-15T00:00:00"/>
    <x v="15"/>
    <n v="6"/>
    <n v="2026"/>
    <s v="2026-3"/>
    <s v="Week 3"/>
    <x v="55"/>
  </r>
  <r>
    <d v="2026-01-15T00:00:00"/>
    <x v="0"/>
    <n v="2"/>
    <n v="2026"/>
    <s v="2026-3"/>
    <s v="Week 3"/>
    <x v="55"/>
  </r>
  <r>
    <d v="2026-01-15T00:00:00"/>
    <x v="12"/>
    <n v="4"/>
    <n v="2026"/>
    <s v="2026-3"/>
    <s v="Week 3"/>
    <x v="55"/>
  </r>
  <r>
    <d v="2026-01-15T00:00:00"/>
    <x v="14"/>
    <n v="2"/>
    <n v="2026"/>
    <s v="2026-3"/>
    <s v="Week 3"/>
    <x v="55"/>
  </r>
  <r>
    <d v="2026-01-15T00:00:00"/>
    <x v="26"/>
    <n v="4"/>
    <n v="2026"/>
    <s v="2026-3"/>
    <s v="Week 3"/>
    <x v="55"/>
  </r>
  <r>
    <d v="2026-01-15T00:00:00"/>
    <x v="15"/>
    <n v="2"/>
    <n v="2026"/>
    <s v="2026-3"/>
    <s v="Week 3"/>
    <x v="55"/>
  </r>
  <r>
    <d v="2026-01-15T00:00:00"/>
    <x v="18"/>
    <n v="2"/>
    <n v="2026"/>
    <s v="2026-3"/>
    <s v="Week 3"/>
    <x v="55"/>
  </r>
  <r>
    <d v="2026-01-16T00:00:00"/>
    <x v="15"/>
    <n v="14"/>
    <n v="2026"/>
    <s v="2026-3"/>
    <s v="Week 3"/>
    <x v="55"/>
  </r>
  <r>
    <d v="2026-01-16T00:00:00"/>
    <x v="30"/>
    <n v="2"/>
    <n v="2026"/>
    <s v="2026-3"/>
    <s v="Week 3"/>
    <x v="55"/>
  </r>
  <r>
    <d v="2026-01-19T00:00:00"/>
    <x v="13"/>
    <n v="24"/>
    <n v="2026"/>
    <s v="2026-4"/>
    <s v="Week 4"/>
    <x v="56"/>
  </r>
  <r>
    <d v="2026-01-19T00:00:00"/>
    <x v="12"/>
    <n v="34"/>
    <n v="2026"/>
    <s v="2026-4"/>
    <s v="Week 4"/>
    <x v="56"/>
  </r>
  <r>
    <d v="2026-01-19T00:00:00"/>
    <x v="3"/>
    <n v="18"/>
    <n v="2026"/>
    <s v="2026-4"/>
    <s v="Week 4"/>
    <x v="56"/>
  </r>
  <r>
    <d v="2026-01-19T00:00:00"/>
    <x v="5"/>
    <n v="8"/>
    <n v="2026"/>
    <s v="2026-4"/>
    <s v="Week 4"/>
    <x v="56"/>
  </r>
  <r>
    <d v="2026-01-19T00:00:00"/>
    <x v="11"/>
    <n v="16"/>
    <n v="2026"/>
    <s v="2026-4"/>
    <s v="Week 4"/>
    <x v="56"/>
  </r>
  <r>
    <d v="2026-01-19T00:00:00"/>
    <x v="1"/>
    <n v="24"/>
    <n v="2026"/>
    <s v="2026-4"/>
    <s v="Week 4"/>
    <x v="56"/>
  </r>
  <r>
    <d v="2026-01-19T00:00:00"/>
    <x v="3"/>
    <n v="10"/>
    <n v="2026"/>
    <s v="2026-4"/>
    <s v="Week 4"/>
    <x v="56"/>
  </r>
  <r>
    <d v="2026-01-19T00:00:00"/>
    <x v="3"/>
    <n v="10"/>
    <n v="2026"/>
    <s v="2026-4"/>
    <s v="Week 4"/>
    <x v="56"/>
  </r>
  <r>
    <d v="2026-01-19T00:00:00"/>
    <x v="13"/>
    <n v="8"/>
    <n v="2026"/>
    <s v="2026-4"/>
    <s v="Week 4"/>
    <x v="56"/>
  </r>
  <r>
    <d v="2026-01-19T00:00:00"/>
    <x v="7"/>
    <n v="6"/>
    <n v="2026"/>
    <s v="2026-4"/>
    <s v="Week 4"/>
    <x v="56"/>
  </r>
  <r>
    <d v="2026-01-19T00:00:00"/>
    <x v="20"/>
    <n v="2"/>
    <n v="2026"/>
    <s v="2026-4"/>
    <s v="Week 4"/>
    <x v="56"/>
  </r>
  <r>
    <d v="2026-01-19T00:00:00"/>
    <x v="26"/>
    <n v="16"/>
    <n v="2026"/>
    <s v="2026-4"/>
    <s v="Week 4"/>
    <x v="56"/>
  </r>
  <r>
    <d v="2026-01-19T00:00:00"/>
    <x v="12"/>
    <n v="8"/>
    <n v="2026"/>
    <s v="2026-4"/>
    <s v="Week 4"/>
    <x v="56"/>
  </r>
  <r>
    <d v="2026-01-19T00:00:00"/>
    <x v="12"/>
    <n v="8"/>
    <n v="2026"/>
    <s v="2026-4"/>
    <s v="Week 4"/>
    <x v="56"/>
  </r>
  <r>
    <d v="2026-01-19T00:00:00"/>
    <x v="12"/>
    <n v="6"/>
    <n v="2026"/>
    <s v="2026-4"/>
    <s v="Week 4"/>
    <x v="56"/>
  </r>
  <r>
    <d v="2026-01-19T00:00:00"/>
    <x v="12"/>
    <n v="6"/>
    <n v="2026"/>
    <s v="2026-4"/>
    <s v="Week 4"/>
    <x v="56"/>
  </r>
  <r>
    <d v="2026-01-19T00:00:00"/>
    <x v="25"/>
    <n v="8"/>
    <n v="2026"/>
    <s v="2026-4"/>
    <s v="Week 4"/>
    <x v="56"/>
  </r>
  <r>
    <d v="2026-01-19T00:00:00"/>
    <x v="22"/>
    <n v="8"/>
    <n v="2026"/>
    <s v="2026-4"/>
    <s v="Week 4"/>
    <x v="56"/>
  </r>
  <r>
    <d v="2026-01-19T00:00:00"/>
    <x v="1"/>
    <n v="8"/>
    <n v="2026"/>
    <s v="2026-4"/>
    <s v="Week 4"/>
    <x v="56"/>
  </r>
  <r>
    <d v="2026-01-19T00:00:00"/>
    <x v="2"/>
    <n v="6"/>
    <n v="2026"/>
    <s v="2026-4"/>
    <s v="Week 4"/>
    <x v="56"/>
  </r>
  <r>
    <d v="2026-01-19T00:00:00"/>
    <x v="15"/>
    <n v="6"/>
    <n v="2026"/>
    <s v="2026-4"/>
    <s v="Week 4"/>
    <x v="56"/>
  </r>
  <r>
    <d v="2026-01-19T00:00:00"/>
    <x v="15"/>
    <n v="6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2"/>
    <n v="4"/>
    <n v="2026"/>
    <s v="2026-4"/>
    <s v="Week 4"/>
    <x v="56"/>
  </r>
  <r>
    <d v="2026-01-19T00:00:00"/>
    <x v="15"/>
    <n v="6"/>
    <n v="2026"/>
    <s v="2026-4"/>
    <s v="Week 4"/>
    <x v="56"/>
  </r>
  <r>
    <d v="2026-01-19T00:00:00"/>
    <x v="3"/>
    <n v="4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17"/>
    <n v="2"/>
    <n v="2026"/>
    <s v="2026-4"/>
    <s v="Week 4"/>
    <x v="56"/>
  </r>
  <r>
    <d v="2026-01-19T00:00:00"/>
    <x v="2"/>
    <n v="4"/>
    <n v="2026"/>
    <s v="2026-4"/>
    <s v="Week 4"/>
    <x v="56"/>
  </r>
  <r>
    <d v="2026-01-19T00:00:00"/>
    <x v="15"/>
    <n v="4"/>
    <n v="2026"/>
    <s v="2026-4"/>
    <s v="Week 4"/>
    <x v="56"/>
  </r>
  <r>
    <d v="2026-01-19T00:00:00"/>
    <x v="15"/>
    <n v="4"/>
    <n v="2026"/>
    <s v="2026-4"/>
    <s v="Week 4"/>
    <x v="56"/>
  </r>
  <r>
    <d v="2026-01-19T00:00:00"/>
    <x v="15"/>
    <n v="4"/>
    <n v="2026"/>
    <s v="2026-4"/>
    <s v="Week 4"/>
    <x v="56"/>
  </r>
  <r>
    <d v="2026-01-19T00:00:00"/>
    <x v="15"/>
    <n v="4"/>
    <n v="2026"/>
    <s v="2026-4"/>
    <s v="Week 4"/>
    <x v="56"/>
  </r>
  <r>
    <d v="2026-01-19T00:00:00"/>
    <x v="15"/>
    <n v="5"/>
    <n v="2026"/>
    <s v="2026-4"/>
    <s v="Week 4"/>
    <x v="56"/>
  </r>
  <r>
    <d v="2026-01-19T00:00:00"/>
    <x v="19"/>
    <n v="4"/>
    <n v="2026"/>
    <s v="2026-4"/>
    <s v="Week 4"/>
    <x v="56"/>
  </r>
  <r>
    <d v="2026-01-19T00:00:00"/>
    <x v="19"/>
    <n v="4"/>
    <n v="2026"/>
    <s v="2026-4"/>
    <s v="Week 4"/>
    <x v="56"/>
  </r>
  <r>
    <d v="2026-01-19T00:00:00"/>
    <x v="18"/>
    <n v="4"/>
    <n v="2026"/>
    <s v="2026-4"/>
    <s v="Week 4"/>
    <x v="56"/>
  </r>
  <r>
    <d v="2026-01-19T00:00:00"/>
    <x v="19"/>
    <n v="3"/>
    <n v="2026"/>
    <s v="2026-4"/>
    <s v="Week 4"/>
    <x v="56"/>
  </r>
  <r>
    <d v="2026-01-19T00:00:00"/>
    <x v="9"/>
    <n v="2"/>
    <n v="2026"/>
    <s v="2026-4"/>
    <s v="Week 4"/>
    <x v="56"/>
  </r>
  <r>
    <d v="2026-01-19T00:00:00"/>
    <x v="18"/>
    <n v="3"/>
    <n v="2026"/>
    <s v="2026-4"/>
    <s v="Week 4"/>
    <x v="56"/>
  </r>
  <r>
    <d v="2026-01-19T00:00:00"/>
    <x v="28"/>
    <n v="4"/>
    <n v="2026"/>
    <s v="2026-4"/>
    <s v="Week 4"/>
    <x v="56"/>
  </r>
  <r>
    <d v="2026-01-19T00:00:00"/>
    <x v="19"/>
    <n v="2"/>
    <n v="2026"/>
    <s v="2026-4"/>
    <s v="Week 4"/>
    <x v="56"/>
  </r>
  <r>
    <d v="2026-01-19T00:00:00"/>
    <x v="22"/>
    <n v="2"/>
    <n v="2026"/>
    <s v="2026-4"/>
    <s v="Week 4"/>
    <x v="56"/>
  </r>
  <r>
    <d v="2026-01-19T00:00:00"/>
    <x v="15"/>
    <n v="2"/>
    <n v="2026"/>
    <s v="2026-4"/>
    <s v="Week 4"/>
    <x v="56"/>
  </r>
  <r>
    <d v="2026-01-19T00:00:00"/>
    <x v="35"/>
    <n v="2"/>
    <n v="2026"/>
    <s v="2026-4"/>
    <s v="Week 4"/>
    <x v="56"/>
  </r>
  <r>
    <d v="2026-01-19T00:00:00"/>
    <x v="35"/>
    <n v="2"/>
    <n v="2026"/>
    <s v="2026-4"/>
    <s v="Week 4"/>
    <x v="56"/>
  </r>
  <r>
    <d v="2026-01-19T00:00:00"/>
    <x v="21"/>
    <n v="2"/>
    <n v="2026"/>
    <s v="2026-4"/>
    <s v="Week 4"/>
    <x v="56"/>
  </r>
  <r>
    <d v="2026-01-19T00:00:00"/>
    <x v="19"/>
    <n v="1"/>
    <n v="2026"/>
    <s v="2026-4"/>
    <s v="Week 4"/>
    <x v="56"/>
  </r>
  <r>
    <d v="2026-01-19T00:00:00"/>
    <x v="18"/>
    <n v="1"/>
    <n v="2026"/>
    <s v="2026-4"/>
    <s v="Week 4"/>
    <x v="56"/>
  </r>
  <r>
    <d v="2026-01-21T00:00:00"/>
    <x v="12"/>
    <n v="37"/>
    <n v="2026"/>
    <s v="2026-4"/>
    <s v="Week 4"/>
    <x v="56"/>
  </r>
  <r>
    <d v="2026-01-21T00:00:00"/>
    <x v="12"/>
    <n v="34"/>
    <n v="2026"/>
    <s v="2026-4"/>
    <s v="Week 4"/>
    <x v="56"/>
  </r>
  <r>
    <d v="2026-01-21T00:00:00"/>
    <x v="10"/>
    <n v="12"/>
    <n v="2026"/>
    <s v="2026-4"/>
    <s v="Week 4"/>
    <x v="56"/>
  </r>
  <r>
    <d v="2026-01-21T00:00:00"/>
    <x v="3"/>
    <n v="12"/>
    <n v="2026"/>
    <s v="2026-4"/>
    <s v="Week 4"/>
    <x v="56"/>
  </r>
  <r>
    <d v="2026-01-21T00:00:00"/>
    <x v="3"/>
    <n v="12"/>
    <n v="2026"/>
    <s v="2026-4"/>
    <s v="Week 4"/>
    <x v="56"/>
  </r>
  <r>
    <d v="2026-01-21T00:00:00"/>
    <x v="12"/>
    <n v="15"/>
    <n v="2026"/>
    <s v="2026-4"/>
    <s v="Week 4"/>
    <x v="56"/>
  </r>
  <r>
    <d v="2026-01-21T00:00:00"/>
    <x v="14"/>
    <n v="10"/>
    <n v="2026"/>
    <s v="2026-4"/>
    <s v="Week 4"/>
    <x v="56"/>
  </r>
  <r>
    <d v="2026-01-21T00:00:00"/>
    <x v="11"/>
    <n v="11"/>
    <n v="2026"/>
    <s v="2026-4"/>
    <s v="Week 4"/>
    <x v="56"/>
  </r>
  <r>
    <d v="2026-01-21T00:00:00"/>
    <x v="11"/>
    <n v="10"/>
    <n v="2026"/>
    <s v="2026-4"/>
    <s v="Week 4"/>
    <x v="56"/>
  </r>
  <r>
    <d v="2026-01-21T00:00:00"/>
    <x v="11"/>
    <n v="7"/>
    <n v="2026"/>
    <s v="2026-4"/>
    <s v="Week 4"/>
    <x v="56"/>
  </r>
  <r>
    <d v="2026-01-21T00:00:00"/>
    <x v="10"/>
    <n v="4"/>
    <n v="2026"/>
    <s v="2026-4"/>
    <s v="Week 4"/>
    <x v="56"/>
  </r>
  <r>
    <d v="2026-01-21T00:00:00"/>
    <x v="15"/>
    <n v="6"/>
    <n v="2026"/>
    <s v="2026-4"/>
    <s v="Week 4"/>
    <x v="56"/>
  </r>
  <r>
    <d v="2026-01-21T00:00:00"/>
    <x v="6"/>
    <n v="2"/>
    <n v="2026"/>
    <s v="2026-4"/>
    <s v="Week 4"/>
    <x v="56"/>
  </r>
  <r>
    <d v="2026-01-21T00:00:00"/>
    <x v="25"/>
    <n v="4"/>
    <n v="2026"/>
    <s v="2026-4"/>
    <s v="Week 4"/>
    <x v="56"/>
  </r>
  <r>
    <d v="2026-01-21T00:00:00"/>
    <x v="17"/>
    <n v="2"/>
    <n v="2026"/>
    <s v="2026-4"/>
    <s v="Week 4"/>
    <x v="56"/>
  </r>
  <r>
    <d v="2026-01-21T00:00:00"/>
    <x v="14"/>
    <n v="2"/>
    <n v="2026"/>
    <s v="2026-4"/>
    <s v="Week 4"/>
    <x v="56"/>
  </r>
  <r>
    <d v="2026-01-21T00:00:00"/>
    <x v="4"/>
    <n v="4"/>
    <n v="2026"/>
    <s v="2026-4"/>
    <s v="Week 4"/>
    <x v="56"/>
  </r>
  <r>
    <d v="2026-01-21T00:00:00"/>
    <x v="12"/>
    <n v="2"/>
    <n v="2026"/>
    <s v="2026-4"/>
    <s v="Week 4"/>
    <x v="56"/>
  </r>
  <r>
    <d v="2026-01-21T00:00:00"/>
    <x v="40"/>
    <n v="2"/>
    <n v="2026"/>
    <s v="2026-4"/>
    <s v="Week 4"/>
    <x v="56"/>
  </r>
  <r>
    <d v="2026-01-21T00:00:00"/>
    <x v="19"/>
    <n v="2"/>
    <n v="2026"/>
    <s v="2026-4"/>
    <s v="Week 4"/>
    <x v="56"/>
  </r>
  <r>
    <d v="2026-01-21T00:00:00"/>
    <x v="35"/>
    <n v="2"/>
    <n v="2026"/>
    <s v="2026-4"/>
    <s v="Week 4"/>
    <x v="56"/>
  </r>
  <r>
    <d v="2026-01-21T00:00:00"/>
    <x v="18"/>
    <n v="2"/>
    <n v="2026"/>
    <s v="2026-4"/>
    <s v="Week 4"/>
    <x v="56"/>
  </r>
  <r>
    <d v="2026-01-21T00:00:00"/>
    <x v="21"/>
    <n v="2"/>
    <n v="2026"/>
    <s v="2026-4"/>
    <s v="Week 4"/>
    <x v="56"/>
  </r>
  <r>
    <d v="2026-01-21T00:00:00"/>
    <x v="28"/>
    <n v="2"/>
    <n v="2026"/>
    <s v="2026-4"/>
    <s v="Week 4"/>
    <x v="56"/>
  </r>
  <r>
    <d v="2026-01-21T00:00:00"/>
    <x v="32"/>
    <n v="2"/>
    <n v="2026"/>
    <s v="2026-4"/>
    <s v="Week 4"/>
    <x v="56"/>
  </r>
  <r>
    <d v="2026-01-21T00:00:00"/>
    <x v="19"/>
    <n v="1"/>
    <n v="2026"/>
    <s v="2026-4"/>
    <s v="Week 4"/>
    <x v="56"/>
  </r>
  <r>
    <d v="2026-01-22T00:00:00"/>
    <x v="19"/>
    <n v="2"/>
    <n v="2026"/>
    <s v="2026-4"/>
    <s v="Week 4"/>
    <x v="56"/>
  </r>
  <r>
    <d v="2026-01-23T00:00:00"/>
    <x v="11"/>
    <n v="18"/>
    <n v="2026"/>
    <s v="2026-4"/>
    <s v="Week 4"/>
    <x v="56"/>
  </r>
  <r>
    <d v="2026-01-23T00:00:00"/>
    <x v="12"/>
    <n v="16"/>
    <n v="2026"/>
    <s v="2026-4"/>
    <s v="Week 4"/>
    <x v="56"/>
  </r>
  <r>
    <d v="2026-01-23T00:00:00"/>
    <x v="12"/>
    <n v="12"/>
    <n v="2026"/>
    <s v="2026-4"/>
    <s v="Week 4"/>
    <x v="56"/>
  </r>
  <r>
    <d v="2026-01-23T00:00:00"/>
    <x v="12"/>
    <n v="14"/>
    <n v="2026"/>
    <s v="2026-4"/>
    <s v="Week 4"/>
    <x v="56"/>
  </r>
  <r>
    <d v="2026-01-23T00:00:00"/>
    <x v="15"/>
    <n v="17"/>
    <n v="2026"/>
    <s v="2026-4"/>
    <s v="Week 4"/>
    <x v="56"/>
  </r>
  <r>
    <d v="2026-01-23T00:00:00"/>
    <x v="3"/>
    <n v="7"/>
    <n v="2026"/>
    <s v="2026-4"/>
    <s v="Week 4"/>
    <x v="56"/>
  </r>
  <r>
    <d v="2026-01-23T00:00:00"/>
    <x v="15"/>
    <n v="10"/>
    <n v="2026"/>
    <s v="2026-4"/>
    <s v="Week 4"/>
    <x v="56"/>
  </r>
  <r>
    <d v="2026-01-23T00:00:00"/>
    <x v="3"/>
    <n v="5"/>
    <n v="2026"/>
    <s v="2026-4"/>
    <s v="Week 4"/>
    <x v="56"/>
  </r>
  <r>
    <d v="2026-01-23T00:00:00"/>
    <x v="14"/>
    <n v="4"/>
    <n v="2026"/>
    <s v="2026-4"/>
    <s v="Week 4"/>
    <x v="56"/>
  </r>
  <r>
    <d v="2026-01-23T00:00:00"/>
    <x v="12"/>
    <n v="4"/>
    <n v="2026"/>
    <s v="2026-4"/>
    <s v="Week 4"/>
    <x v="56"/>
  </r>
  <r>
    <d v="2026-01-23T00:00:00"/>
    <x v="3"/>
    <n v="4"/>
    <n v="2026"/>
    <s v="2026-4"/>
    <s v="Week 4"/>
    <x v="56"/>
  </r>
  <r>
    <d v="2026-01-23T00:00:00"/>
    <x v="3"/>
    <n v="2"/>
    <n v="2026"/>
    <s v="2026-4"/>
    <s v="Week 4"/>
    <x v="56"/>
  </r>
  <r>
    <d v="2026-01-23T00:00:00"/>
    <x v="3"/>
    <n v="2"/>
    <n v="2026"/>
    <s v="2026-4"/>
    <s v="Week 4"/>
    <x v="56"/>
  </r>
  <r>
    <d v="2026-01-23T00:00:00"/>
    <x v="25"/>
    <n v="4"/>
    <n v="2026"/>
    <s v="2026-4"/>
    <s v="Week 4"/>
    <x v="56"/>
  </r>
  <r>
    <d v="2026-01-23T00:00:00"/>
    <x v="26"/>
    <n v="4"/>
    <n v="2026"/>
    <s v="2026-4"/>
    <s v="Week 4"/>
    <x v="56"/>
  </r>
  <r>
    <d v="2026-01-23T00:00:00"/>
    <x v="27"/>
    <n v="2"/>
    <n v="2026"/>
    <s v="2026-4"/>
    <s v="Week 4"/>
    <x v="56"/>
  </r>
  <r>
    <d v="2026-01-23T00:00:00"/>
    <x v="27"/>
    <n v="2"/>
    <n v="2026"/>
    <s v="2026-4"/>
    <s v="Week 4"/>
    <x v="56"/>
  </r>
  <r>
    <d v="2026-01-23T00:00:00"/>
    <x v="18"/>
    <n v="2"/>
    <n v="2026"/>
    <s v="2026-4"/>
    <s v="Week 4"/>
    <x v="56"/>
  </r>
  <r>
    <d v="2026-01-23T00:00:00"/>
    <x v="18"/>
    <n v="2"/>
    <n v="2026"/>
    <s v="2026-4"/>
    <s v="Week 4"/>
    <x v="56"/>
  </r>
  <r>
    <d v="2026-01-23T00:00:00"/>
    <x v="19"/>
    <n v="1"/>
    <n v="2026"/>
    <s v="2026-4"/>
    <s v="Week 4"/>
    <x v="56"/>
  </r>
  <r>
    <d v="2026-01-24T00:00:00"/>
    <x v="4"/>
    <n v="4"/>
    <n v="2026"/>
    <s v="2026-4"/>
    <s v="Week 4"/>
    <x v="56"/>
  </r>
  <r>
    <d v="2026-01-24T00:00:00"/>
    <x v="15"/>
    <n v="2"/>
    <n v="2026"/>
    <s v="2026-4"/>
    <s v="Week 4"/>
    <x v="56"/>
  </r>
  <r>
    <d v="2026-01-27T00:00:00"/>
    <x v="15"/>
    <n v="16"/>
    <n v="2026"/>
    <s v="2026-5"/>
    <s v="Week 5"/>
    <x v="57"/>
  </r>
  <r>
    <d v="2026-01-27T00:00:00"/>
    <x v="5"/>
    <n v="2"/>
    <n v="2026"/>
    <s v="2026-5"/>
    <s v="Week 5"/>
    <x v="57"/>
  </r>
  <r>
    <d v="2026-01-27T00:00:00"/>
    <x v="3"/>
    <n v="1"/>
    <n v="2026"/>
    <s v="2026-5"/>
    <s v="Week 5"/>
    <x v="57"/>
  </r>
  <r>
    <d v="2026-01-27T00:00:00"/>
    <x v="3"/>
    <n v="1"/>
    <n v="2026"/>
    <s v="2026-5"/>
    <s v="Week 5"/>
    <x v="57"/>
  </r>
  <r>
    <d v="2026-01-28T00:00:00"/>
    <x v="5"/>
    <n v="18"/>
    <n v="2026"/>
    <s v="2026-5"/>
    <s v="Week 5"/>
    <x v="57"/>
  </r>
  <r>
    <d v="2026-01-28T00:00:00"/>
    <x v="13"/>
    <n v="16"/>
    <n v="2026"/>
    <s v="2026-5"/>
    <s v="Week 5"/>
    <x v="57"/>
  </r>
  <r>
    <d v="2026-01-28T00:00:00"/>
    <x v="3"/>
    <n v="17"/>
    <n v="2026"/>
    <s v="2026-5"/>
    <s v="Week 5"/>
    <x v="57"/>
  </r>
  <r>
    <d v="2026-01-28T00:00:00"/>
    <x v="13"/>
    <n v="12"/>
    <n v="2026"/>
    <s v="2026-5"/>
    <s v="Week 5"/>
    <x v="57"/>
  </r>
  <r>
    <d v="2026-01-28T00:00:00"/>
    <x v="17"/>
    <n v="10"/>
    <n v="2026"/>
    <s v="2026-5"/>
    <s v="Week 5"/>
    <x v="57"/>
  </r>
  <r>
    <d v="2026-01-28T00:00:00"/>
    <x v="13"/>
    <n v="9"/>
    <n v="2026"/>
    <s v="2026-5"/>
    <s v="Week 5"/>
    <x v="57"/>
  </r>
  <r>
    <d v="2026-01-28T00:00:00"/>
    <x v="22"/>
    <n v="16"/>
    <n v="2026"/>
    <s v="2026-5"/>
    <s v="Week 5"/>
    <x v="57"/>
  </r>
  <r>
    <d v="2026-01-28T00:00:00"/>
    <x v="13"/>
    <n v="7"/>
    <n v="2026"/>
    <s v="2026-5"/>
    <s v="Week 5"/>
    <x v="57"/>
  </r>
  <r>
    <d v="2026-01-28T00:00:00"/>
    <x v="9"/>
    <n v="10"/>
    <n v="2026"/>
    <s v="2026-5"/>
    <s v="Week 5"/>
    <x v="57"/>
  </r>
  <r>
    <d v="2026-01-28T00:00:00"/>
    <x v="12"/>
    <n v="12"/>
    <n v="2026"/>
    <s v="2026-5"/>
    <s v="Week 5"/>
    <x v="57"/>
  </r>
  <r>
    <d v="2026-01-28T00:00:00"/>
    <x v="3"/>
    <n v="8"/>
    <n v="2026"/>
    <s v="2026-5"/>
    <s v="Week 5"/>
    <x v="57"/>
  </r>
  <r>
    <d v="2026-01-28T00:00:00"/>
    <x v="17"/>
    <n v="6"/>
    <n v="2026"/>
    <s v="2026-5"/>
    <s v="Week 5"/>
    <x v="57"/>
  </r>
  <r>
    <d v="2026-01-28T00:00:00"/>
    <x v="17"/>
    <n v="6"/>
    <n v="2026"/>
    <s v="2026-5"/>
    <s v="Week 5"/>
    <x v="57"/>
  </r>
  <r>
    <d v="2026-01-28T00:00:00"/>
    <x v="11"/>
    <n v="8"/>
    <n v="2026"/>
    <s v="2026-5"/>
    <s v="Week 5"/>
    <x v="57"/>
  </r>
  <r>
    <d v="2026-01-28T00:00:00"/>
    <x v="14"/>
    <n v="6"/>
    <n v="2026"/>
    <s v="2026-5"/>
    <s v="Week 5"/>
    <x v="57"/>
  </r>
  <r>
    <d v="2026-01-28T00:00:00"/>
    <x v="20"/>
    <n v="8"/>
    <n v="2026"/>
    <s v="2026-5"/>
    <s v="Week 5"/>
    <x v="57"/>
  </r>
  <r>
    <d v="2026-01-28T00:00:00"/>
    <x v="2"/>
    <n v="8"/>
    <n v="2026"/>
    <s v="2026-5"/>
    <s v="Week 5"/>
    <x v="57"/>
  </r>
  <r>
    <d v="2026-01-28T00:00:00"/>
    <x v="6"/>
    <n v="4"/>
    <n v="2026"/>
    <s v="2026-5"/>
    <s v="Week 5"/>
    <x v="57"/>
  </r>
  <r>
    <d v="2026-01-28T00:00:00"/>
    <x v="22"/>
    <n v="8"/>
    <n v="2026"/>
    <s v="2026-5"/>
    <s v="Week 5"/>
    <x v="57"/>
  </r>
  <r>
    <d v="2026-01-28T00:00:00"/>
    <x v="17"/>
    <n v="4"/>
    <n v="2026"/>
    <s v="2026-5"/>
    <s v="Week 5"/>
    <x v="57"/>
  </r>
  <r>
    <d v="2026-01-28T00:00:00"/>
    <x v="12"/>
    <n v="6"/>
    <n v="2026"/>
    <s v="2026-5"/>
    <s v="Week 5"/>
    <x v="57"/>
  </r>
  <r>
    <d v="2026-01-28T00:00:00"/>
    <x v="1"/>
    <n v="8"/>
    <n v="2026"/>
    <s v="2026-5"/>
    <s v="Week 5"/>
    <x v="57"/>
  </r>
  <r>
    <d v="2026-01-28T00:00:00"/>
    <x v="31"/>
    <n v="8"/>
    <n v="2026"/>
    <s v="2026-5"/>
    <s v="Week 5"/>
    <x v="57"/>
  </r>
  <r>
    <d v="2026-01-28T00:00:00"/>
    <x v="19"/>
    <n v="8"/>
    <n v="2026"/>
    <s v="2026-5"/>
    <s v="Week 5"/>
    <x v="57"/>
  </r>
  <r>
    <d v="2026-01-28T00:00:00"/>
    <x v="19"/>
    <n v="8"/>
    <n v="2026"/>
    <s v="2026-5"/>
    <s v="Week 5"/>
    <x v="57"/>
  </r>
  <r>
    <d v="2026-01-28T00:00:00"/>
    <x v="3"/>
    <n v="4"/>
    <n v="2026"/>
    <s v="2026-5"/>
    <s v="Week 5"/>
    <x v="57"/>
  </r>
  <r>
    <d v="2026-01-28T00:00:00"/>
    <x v="25"/>
    <n v="6"/>
    <n v="2026"/>
    <s v="2026-5"/>
    <s v="Week 5"/>
    <x v="57"/>
  </r>
  <r>
    <d v="2026-01-28T00:00:00"/>
    <x v="33"/>
    <n v="8"/>
    <n v="2026"/>
    <s v="2026-5"/>
    <s v="Week 5"/>
    <x v="57"/>
  </r>
  <r>
    <d v="2026-01-28T00:00:00"/>
    <x v="20"/>
    <n v="4"/>
    <n v="2026"/>
    <s v="2026-5"/>
    <s v="Week 5"/>
    <x v="57"/>
  </r>
  <r>
    <d v="2026-01-28T00:00:00"/>
    <x v="26"/>
    <n v="6"/>
    <n v="2026"/>
    <s v="2026-5"/>
    <s v="Week 5"/>
    <x v="57"/>
  </r>
  <r>
    <d v="2026-01-28T00:00:00"/>
    <x v="12"/>
    <n v="4"/>
    <n v="2026"/>
    <s v="2026-5"/>
    <s v="Week 5"/>
    <x v="57"/>
  </r>
  <r>
    <d v="2026-01-28T00:00:00"/>
    <x v="12"/>
    <n v="4"/>
    <n v="2026"/>
    <s v="2026-5"/>
    <s v="Week 5"/>
    <x v="57"/>
  </r>
  <r>
    <d v="2026-01-28T00:00:00"/>
    <x v="2"/>
    <n v="4"/>
    <n v="2026"/>
    <s v="2026-5"/>
    <s v="Week 5"/>
    <x v="57"/>
  </r>
  <r>
    <d v="2026-01-28T00:00:00"/>
    <x v="4"/>
    <n v="6"/>
    <n v="2026"/>
    <s v="2026-5"/>
    <s v="Week 5"/>
    <x v="57"/>
  </r>
  <r>
    <d v="2026-01-28T00:00:00"/>
    <x v="13"/>
    <n v="2"/>
    <n v="2026"/>
    <s v="2026-5"/>
    <s v="Week 5"/>
    <x v="57"/>
  </r>
  <r>
    <d v="2026-01-28T00:00:00"/>
    <x v="17"/>
    <n v="2"/>
    <n v="2026"/>
    <s v="2026-5"/>
    <s v="Week 5"/>
    <x v="57"/>
  </r>
  <r>
    <d v="2026-01-28T00:00:00"/>
    <x v="14"/>
    <n v="2"/>
    <n v="2026"/>
    <s v="2026-5"/>
    <s v="Week 5"/>
    <x v="57"/>
  </r>
  <r>
    <d v="2026-01-28T00:00:00"/>
    <x v="15"/>
    <n v="4"/>
    <n v="2026"/>
    <s v="2026-5"/>
    <s v="Week 5"/>
    <x v="57"/>
  </r>
  <r>
    <d v="2026-01-28T00:00:00"/>
    <x v="15"/>
    <n v="4"/>
    <n v="2026"/>
    <s v="2026-5"/>
    <s v="Week 5"/>
    <x v="57"/>
  </r>
  <r>
    <d v="2026-01-28T00:00:00"/>
    <x v="3"/>
    <n v="2"/>
    <n v="2026"/>
    <s v="2026-5"/>
    <s v="Week 5"/>
    <x v="57"/>
  </r>
  <r>
    <d v="2026-01-28T00:00:00"/>
    <x v="3"/>
    <n v="2"/>
    <n v="2026"/>
    <s v="2026-5"/>
    <s v="Week 5"/>
    <x v="57"/>
  </r>
  <r>
    <d v="2026-01-28T00:00:00"/>
    <x v="35"/>
    <n v="4"/>
    <n v="2026"/>
    <s v="2026-5"/>
    <s v="Week 5"/>
    <x v="57"/>
  </r>
  <r>
    <d v="2026-01-28T00:00:00"/>
    <x v="35"/>
    <n v="4"/>
    <n v="2026"/>
    <s v="2026-5"/>
    <s v="Week 5"/>
    <x v="57"/>
  </r>
  <r>
    <d v="2026-01-28T00:00:00"/>
    <x v="4"/>
    <n v="4"/>
    <n v="2026"/>
    <s v="2026-5"/>
    <s v="Week 5"/>
    <x v="57"/>
  </r>
  <r>
    <d v="2026-01-28T00:00:00"/>
    <x v="9"/>
    <n v="2"/>
    <n v="2026"/>
    <s v="2026-5"/>
    <s v="Week 5"/>
    <x v="57"/>
  </r>
  <r>
    <d v="2026-01-28T00:00:00"/>
    <x v="30"/>
    <n v="4"/>
    <n v="2026"/>
    <s v="2026-5"/>
    <s v="Week 5"/>
    <x v="57"/>
  </r>
  <r>
    <d v="2026-01-28T00:00:00"/>
    <x v="3"/>
    <n v="1"/>
    <n v="2026"/>
    <s v="2026-5"/>
    <s v="Week 5"/>
    <x v="57"/>
  </r>
  <r>
    <d v="2026-01-28T00:00:00"/>
    <x v="4"/>
    <n v="2"/>
    <n v="2026"/>
    <s v="2026-5"/>
    <s v="Week 5"/>
    <x v="57"/>
  </r>
  <r>
    <d v="2026-01-28T00:00:00"/>
    <x v="27"/>
    <n v="2"/>
    <n v="2026"/>
    <s v="2026-5"/>
    <s v="Week 5"/>
    <x v="57"/>
  </r>
  <r>
    <d v="2026-01-28T00:00:00"/>
    <x v="27"/>
    <n v="2"/>
    <n v="2026"/>
    <s v="2026-5"/>
    <s v="Week 5"/>
    <x v="57"/>
  </r>
  <r>
    <d v="2026-01-29T00:00:00"/>
    <x v="5"/>
    <n v="8"/>
    <n v="2026"/>
    <s v="2026-5"/>
    <s v="Week 5"/>
    <x v="57"/>
  </r>
  <r>
    <d v="2026-01-29T00:00:00"/>
    <x v="9"/>
    <n v="9"/>
    <n v="2026"/>
    <s v="2026-5"/>
    <s v="Week 5"/>
    <x v="57"/>
  </r>
  <r>
    <d v="2026-01-29T00:00:00"/>
    <x v="2"/>
    <n v="6"/>
    <n v="2026"/>
    <s v="2026-5"/>
    <s v="Week 5"/>
    <x v="57"/>
  </r>
  <r>
    <d v="2026-01-29T00:00:00"/>
    <x v="12"/>
    <n v="4"/>
    <n v="2026"/>
    <s v="2026-5"/>
    <s v="Week 5"/>
    <x v="57"/>
  </r>
  <r>
    <d v="2026-01-29T00:00:00"/>
    <x v="9"/>
    <n v="1"/>
    <n v="2026"/>
    <s v="2026-5"/>
    <s v="Week 5"/>
    <x v="57"/>
  </r>
  <r>
    <d v="2026-01-30T00:00:00"/>
    <x v="12"/>
    <n v="48"/>
    <n v="2026"/>
    <s v="2026-5"/>
    <s v="Week 5"/>
    <x v="57"/>
  </r>
  <r>
    <d v="2026-01-30T00:00:00"/>
    <x v="10"/>
    <n v="32"/>
    <n v="2026"/>
    <s v="2026-5"/>
    <s v="Week 5"/>
    <x v="57"/>
  </r>
  <r>
    <d v="2026-01-30T00:00:00"/>
    <x v="12"/>
    <n v="22"/>
    <n v="2026"/>
    <s v="2026-5"/>
    <s v="Week 5"/>
    <x v="57"/>
  </r>
  <r>
    <d v="2026-01-30T00:00:00"/>
    <x v="3"/>
    <n v="14"/>
    <n v="2026"/>
    <s v="2026-5"/>
    <s v="Week 5"/>
    <x v="57"/>
  </r>
  <r>
    <d v="2026-01-30T00:00:00"/>
    <x v="15"/>
    <n v="12"/>
    <n v="2026"/>
    <s v="2026-5"/>
    <s v="Week 5"/>
    <x v="57"/>
  </r>
  <r>
    <d v="2026-01-30T00:00:00"/>
    <x v="11"/>
    <n v="5"/>
    <n v="2026"/>
    <s v="2026-5"/>
    <s v="Week 5"/>
    <x v="57"/>
  </r>
  <r>
    <d v="2026-01-30T00:00:00"/>
    <x v="11"/>
    <n v="3"/>
    <n v="2026"/>
    <s v="2026-5"/>
    <s v="Week 5"/>
    <x v="57"/>
  </r>
  <r>
    <d v="2026-01-30T00:00:00"/>
    <x v="24"/>
    <n v="4"/>
    <n v="2026"/>
    <s v="2026-5"/>
    <s v="Week 5"/>
    <x v="57"/>
  </r>
  <r>
    <d v="2026-01-31T00:00:00"/>
    <x v="12"/>
    <n v="49"/>
    <n v="2026"/>
    <s v="2026-5"/>
    <s v="Week 5"/>
    <x v="57"/>
  </r>
  <r>
    <d v="2026-01-31T00:00:00"/>
    <x v="12"/>
    <n v="48"/>
    <n v="2026"/>
    <s v="2026-5"/>
    <s v="Week 5"/>
    <x v="57"/>
  </r>
  <r>
    <d v="2026-01-31T00:00:00"/>
    <x v="11"/>
    <n v="26"/>
    <n v="2026"/>
    <s v="2026-5"/>
    <s v="Week 5"/>
    <x v="57"/>
  </r>
  <r>
    <d v="2026-01-31T00:00:00"/>
    <x v="15"/>
    <n v="26"/>
    <n v="2026"/>
    <s v="2026-5"/>
    <s v="Week 5"/>
    <x v="57"/>
  </r>
  <r>
    <d v="2026-01-31T00:00:00"/>
    <x v="12"/>
    <n v="12"/>
    <n v="2026"/>
    <s v="2026-5"/>
    <s v="Week 5"/>
    <x v="57"/>
  </r>
  <r>
    <d v="2026-01-31T00:00:00"/>
    <x v="10"/>
    <n v="8"/>
    <n v="2026"/>
    <s v="2026-5"/>
    <s v="Week 5"/>
    <x v="57"/>
  </r>
  <r>
    <d v="2026-01-31T00:00:00"/>
    <x v="12"/>
    <n v="8"/>
    <n v="2026"/>
    <s v="2026-5"/>
    <s v="Week 5"/>
    <x v="57"/>
  </r>
  <r>
    <d v="2026-01-31T00:00:00"/>
    <x v="15"/>
    <n v="10"/>
    <n v="2026"/>
    <s v="2026-5"/>
    <s v="Week 5"/>
    <x v="57"/>
  </r>
  <r>
    <d v="2026-01-31T00:00:00"/>
    <x v="2"/>
    <n v="10"/>
    <n v="2026"/>
    <s v="2026-5"/>
    <s v="Week 5"/>
    <x v="57"/>
  </r>
  <r>
    <d v="2026-01-31T00:00:00"/>
    <x v="3"/>
    <n v="7"/>
    <n v="2026"/>
    <s v="2026-5"/>
    <s v="Week 5"/>
    <x v="57"/>
  </r>
  <r>
    <d v="2026-01-31T00:00:00"/>
    <x v="10"/>
    <n v="6"/>
    <n v="2026"/>
    <s v="2026-5"/>
    <s v="Week 5"/>
    <x v="57"/>
  </r>
  <r>
    <d v="2026-01-31T00:00:00"/>
    <x v="15"/>
    <n v="8"/>
    <n v="2026"/>
    <s v="2026-5"/>
    <s v="Week 5"/>
    <x v="57"/>
  </r>
  <r>
    <d v="2026-01-31T00:00:00"/>
    <x v="15"/>
    <n v="8"/>
    <n v="2026"/>
    <s v="2026-5"/>
    <s v="Week 5"/>
    <x v="57"/>
  </r>
  <r>
    <d v="2026-01-31T00:00:00"/>
    <x v="18"/>
    <n v="8"/>
    <n v="2026"/>
    <s v="2026-5"/>
    <s v="Week 5"/>
    <x v="57"/>
  </r>
  <r>
    <d v="2026-01-31T00:00:00"/>
    <x v="19"/>
    <n v="8"/>
    <n v="2026"/>
    <s v="2026-5"/>
    <s v="Week 5"/>
    <x v="57"/>
  </r>
  <r>
    <d v="2026-01-31T00:00:00"/>
    <x v="2"/>
    <n v="4"/>
    <n v="2026"/>
    <s v="2026-5"/>
    <s v="Week 5"/>
    <x v="57"/>
  </r>
  <r>
    <d v="2026-01-31T00:00:00"/>
    <x v="1"/>
    <n v="6"/>
    <n v="2026"/>
    <s v="2026-5"/>
    <s v="Week 5"/>
    <x v="57"/>
  </r>
  <r>
    <d v="2026-01-31T00:00:00"/>
    <x v="13"/>
    <n v="2"/>
    <n v="2026"/>
    <s v="2026-5"/>
    <s v="Week 5"/>
    <x v="57"/>
  </r>
  <r>
    <d v="2026-01-31T00:00:00"/>
    <x v="25"/>
    <n v="4"/>
    <n v="2026"/>
    <s v="2026-5"/>
    <s v="Week 5"/>
    <x v="57"/>
  </r>
  <r>
    <d v="2026-01-31T00:00:00"/>
    <x v="15"/>
    <n v="4"/>
    <n v="2026"/>
    <s v="2026-5"/>
    <s v="Week 5"/>
    <x v="57"/>
  </r>
  <r>
    <d v="2026-01-31T00:00:00"/>
    <x v="10"/>
    <n v="2"/>
    <n v="2026"/>
    <s v="2026-5"/>
    <s v="Week 5"/>
    <x v="57"/>
  </r>
  <r>
    <d v="2026-01-31T00:00:00"/>
    <x v="3"/>
    <n v="2"/>
    <n v="2026"/>
    <s v="2026-5"/>
    <s v="Week 5"/>
    <x v="57"/>
  </r>
  <r>
    <d v="2026-01-31T00:00:00"/>
    <x v="4"/>
    <n v="4"/>
    <n v="2026"/>
    <s v="2026-5"/>
    <s v="Week 5"/>
    <x v="57"/>
  </r>
  <r>
    <d v="2026-01-31T00:00:00"/>
    <x v="28"/>
    <n v="4"/>
    <n v="2026"/>
    <s v="2026-5"/>
    <s v="Week 5"/>
    <x v="57"/>
  </r>
  <r>
    <d v="2026-01-31T00:00:00"/>
    <x v="21"/>
    <n v="2"/>
    <n v="2026"/>
    <s v="2026-5"/>
    <s v="Week 5"/>
    <x v="57"/>
  </r>
  <r>
    <d v="2026-02-02T00:00:00"/>
    <x v="12"/>
    <n v="39"/>
    <n v="2026"/>
    <s v="2026-6"/>
    <s v="Week 6"/>
    <x v="58"/>
  </r>
  <r>
    <d v="2026-02-02T00:00:00"/>
    <x v="4"/>
    <n v="14"/>
    <n v="2026"/>
    <s v="2026-6"/>
    <s v="Week 6"/>
    <x v="58"/>
  </r>
  <r>
    <d v="2026-02-02T00:00:00"/>
    <x v="18"/>
    <n v="15"/>
    <n v="2026"/>
    <s v="2026-6"/>
    <s v="Week 6"/>
    <x v="58"/>
  </r>
  <r>
    <d v="2026-02-02T00:00:00"/>
    <x v="19"/>
    <n v="10"/>
    <n v="2026"/>
    <s v="2026-6"/>
    <s v="Week 6"/>
    <x v="58"/>
  </r>
  <r>
    <d v="2026-02-02T00:00:00"/>
    <x v="11"/>
    <n v="6"/>
    <n v="2026"/>
    <s v="2026-6"/>
    <s v="Week 6"/>
    <x v="58"/>
  </r>
  <r>
    <d v="2026-02-02T00:00:00"/>
    <x v="12"/>
    <n v="4"/>
    <n v="2026"/>
    <s v="2026-6"/>
    <s v="Week 6"/>
    <x v="58"/>
  </r>
  <r>
    <d v="2026-02-02T00:00:00"/>
    <x v="12"/>
    <n v="4"/>
    <n v="2026"/>
    <s v="2026-6"/>
    <s v="Week 6"/>
    <x v="58"/>
  </r>
  <r>
    <d v="2026-02-02T00:00:00"/>
    <x v="15"/>
    <n v="6"/>
    <n v="2026"/>
    <s v="2026-6"/>
    <s v="Week 6"/>
    <x v="58"/>
  </r>
  <r>
    <d v="2026-02-02T00:00:00"/>
    <x v="19"/>
    <n v="4"/>
    <n v="2026"/>
    <s v="2026-6"/>
    <s v="Week 6"/>
    <x v="58"/>
  </r>
  <r>
    <d v="2026-02-02T00:00:00"/>
    <x v="19"/>
    <n v="4"/>
    <n v="2026"/>
    <s v="2026-6"/>
    <s v="Week 6"/>
    <x v="58"/>
  </r>
  <r>
    <d v="2026-02-02T00:00:00"/>
    <x v="12"/>
    <n v="4"/>
    <n v="2026"/>
    <s v="2026-6"/>
    <s v="Week 6"/>
    <x v="58"/>
  </r>
  <r>
    <d v="2026-02-02T00:00:00"/>
    <x v="15"/>
    <n v="5"/>
    <n v="2026"/>
    <s v="2026-6"/>
    <s v="Week 6"/>
    <x v="58"/>
  </r>
  <r>
    <d v="2026-02-02T00:00:00"/>
    <x v="12"/>
    <n v="2"/>
    <n v="2026"/>
    <s v="2026-6"/>
    <s v="Week 6"/>
    <x v="58"/>
  </r>
  <r>
    <d v="2026-02-02T00:00:00"/>
    <x v="4"/>
    <n v="5"/>
    <n v="2026"/>
    <s v="2026-6"/>
    <s v="Week 6"/>
    <x v="58"/>
  </r>
  <r>
    <d v="2026-02-02T00:00:00"/>
    <x v="3"/>
    <n v="2"/>
    <n v="2026"/>
    <s v="2026-6"/>
    <s v="Week 6"/>
    <x v="58"/>
  </r>
  <r>
    <d v="2026-02-02T00:00:00"/>
    <x v="3"/>
    <n v="2"/>
    <n v="2026"/>
    <s v="2026-6"/>
    <s v="Week 6"/>
    <x v="58"/>
  </r>
  <r>
    <d v="2026-02-02T00:00:00"/>
    <x v="11"/>
    <n v="2"/>
    <n v="2026"/>
    <s v="2026-6"/>
    <s v="Week 6"/>
    <x v="58"/>
  </r>
  <r>
    <d v="2026-02-02T00:00:00"/>
    <x v="15"/>
    <n v="2"/>
    <n v="2026"/>
    <s v="2026-6"/>
    <s v="Week 6"/>
    <x v="58"/>
  </r>
  <r>
    <d v="2026-02-02T00:00:00"/>
    <x v="25"/>
    <n v="2"/>
    <n v="2026"/>
    <s v="2026-6"/>
    <s v="Week 6"/>
    <x v="58"/>
  </r>
  <r>
    <d v="2026-02-02T00:00:00"/>
    <x v="15"/>
    <n v="2"/>
    <n v="2026"/>
    <s v="2026-6"/>
    <s v="Week 6"/>
    <x v="58"/>
  </r>
  <r>
    <d v="2026-02-02T00:00:00"/>
    <x v="28"/>
    <n v="2"/>
    <n v="2026"/>
    <s v="2026-6"/>
    <s v="Week 6"/>
    <x v="58"/>
  </r>
  <r>
    <d v="2026-02-02T00:00:00"/>
    <x v="15"/>
    <n v="1"/>
    <n v="2026"/>
    <s v="2026-6"/>
    <s v="Week 6"/>
    <x v="58"/>
  </r>
  <r>
    <d v="2026-02-02T00:00:00"/>
    <x v="15"/>
    <n v="1"/>
    <n v="2026"/>
    <s v="2026-6"/>
    <s v="Week 6"/>
    <x v="58"/>
  </r>
  <r>
    <d v="2026-02-03T00:00:00"/>
    <x v="10"/>
    <n v="24"/>
    <n v="2026"/>
    <s v="2026-6"/>
    <s v="Week 6"/>
    <x v="58"/>
  </r>
  <r>
    <d v="2026-02-03T00:00:00"/>
    <x v="0"/>
    <n v="4"/>
    <n v="2026"/>
    <s v="2026-6"/>
    <s v="Week 6"/>
    <x v="58"/>
  </r>
  <r>
    <d v="2026-02-03T00:00:00"/>
    <x v="10"/>
    <n v="4"/>
    <n v="2026"/>
    <s v="2026-6"/>
    <s v="Week 6"/>
    <x v="58"/>
  </r>
  <r>
    <d v="2026-02-03T00:00:00"/>
    <x v="25"/>
    <n v="8"/>
    <n v="2026"/>
    <s v="2026-6"/>
    <s v="Week 6"/>
    <x v="58"/>
  </r>
  <r>
    <d v="2026-02-03T00:00:00"/>
    <x v="14"/>
    <n v="1"/>
    <n v="2026"/>
    <s v="2026-6"/>
    <s v="Week 6"/>
    <x v="58"/>
  </r>
  <r>
    <d v="2026-02-03T00:00:00"/>
    <x v="28"/>
    <n v="2"/>
    <n v="2026"/>
    <s v="2026-6"/>
    <s v="Week 6"/>
    <x v="58"/>
  </r>
  <r>
    <d v="2026-02-04T00:00:00"/>
    <x v="12"/>
    <n v="8"/>
    <n v="2026"/>
    <s v="2026-6"/>
    <s v="Week 6"/>
    <x v="58"/>
  </r>
  <r>
    <d v="2026-02-04T00:00:00"/>
    <x v="3"/>
    <n v="4"/>
    <n v="2026"/>
    <s v="2026-6"/>
    <s v="Week 6"/>
    <x v="58"/>
  </r>
  <r>
    <d v="2026-02-04T00:00:00"/>
    <x v="28"/>
    <n v="4"/>
    <n v="2026"/>
    <s v="2026-6"/>
    <s v="Week 6"/>
    <x v="58"/>
  </r>
  <r>
    <d v="2026-02-05T00:00:00"/>
    <x v="25"/>
    <n v="2"/>
    <n v="2026"/>
    <s v="2026-6"/>
    <s v="Week 6"/>
    <x v="58"/>
  </r>
  <r>
    <d v="2026-02-06T00:00:00"/>
    <x v="12"/>
    <n v="16"/>
    <n v="2026"/>
    <s v="2026-6"/>
    <s v="Week 6"/>
    <x v="58"/>
  </r>
  <r>
    <d v="2026-02-06T00:00:00"/>
    <x v="12"/>
    <n v="12"/>
    <n v="2026"/>
    <s v="2026-6"/>
    <s v="Week 6"/>
    <x v="58"/>
  </r>
  <r>
    <d v="2026-02-06T00:00:00"/>
    <x v="12"/>
    <n v="12"/>
    <n v="2026"/>
    <s v="2026-6"/>
    <s v="Week 6"/>
    <x v="58"/>
  </r>
  <r>
    <d v="2026-02-06T00:00:00"/>
    <x v="12"/>
    <n v="6"/>
    <n v="2026"/>
    <s v="2026-6"/>
    <s v="Week 6"/>
    <x v="58"/>
  </r>
  <r>
    <d v="2026-02-06T00:00:00"/>
    <x v="15"/>
    <n v="6"/>
    <n v="2026"/>
    <s v="2026-6"/>
    <s v="Week 6"/>
    <x v="58"/>
  </r>
  <r>
    <d v="2026-02-06T00:00:00"/>
    <x v="3"/>
    <n v="2"/>
    <n v="2026"/>
    <s v="2026-6"/>
    <s v="Week 6"/>
    <x v="58"/>
  </r>
  <r>
    <d v="2026-02-06T00:00:00"/>
    <x v="11"/>
    <n v="2"/>
    <n v="2026"/>
    <s v="2026-6"/>
    <s v="Week 6"/>
    <x v="58"/>
  </r>
  <r>
    <d v="2026-02-06T00:00:00"/>
    <x v="11"/>
    <n v="2"/>
    <n v="2026"/>
    <s v="2026-6"/>
    <s v="Week 6"/>
    <x v="58"/>
  </r>
  <r>
    <d v="2026-02-06T00:00:00"/>
    <x v="30"/>
    <n v="3"/>
    <n v="2026"/>
    <s v="2026-6"/>
    <s v="Week 6"/>
    <x v="58"/>
  </r>
  <r>
    <d v="2026-02-06T00:00:00"/>
    <x v="28"/>
    <n v="2"/>
    <n v="2026"/>
    <s v="2026-6"/>
    <s v="Week 6"/>
    <x v="58"/>
  </r>
  <r>
    <d v="2026-02-06T00:00:00"/>
    <x v="27"/>
    <n v="1"/>
    <n v="2026"/>
    <s v="2026-6"/>
    <s v="Week 6"/>
    <x v="58"/>
  </r>
  <r>
    <d v="2026-02-06T00:00:00"/>
    <x v="18"/>
    <n v="1"/>
    <n v="2026"/>
    <s v="2026-6"/>
    <s v="Week 6"/>
    <x v="58"/>
  </r>
  <r>
    <d v="2026-02-06T00:00:00"/>
    <x v="30"/>
    <n v="1"/>
    <n v="2026"/>
    <s v="2026-6"/>
    <s v="Week 6"/>
    <x v="58"/>
  </r>
  <r>
    <d v="2026-02-07T00:00:00"/>
    <x v="15"/>
    <n v="16"/>
    <n v="2026"/>
    <s v="2026-6"/>
    <s v="Week 6"/>
    <x v="58"/>
  </r>
  <r>
    <d v="2026-02-07T00:00:00"/>
    <x v="13"/>
    <n v="6"/>
    <n v="2026"/>
    <s v="2026-6"/>
    <s v="Week 6"/>
    <x v="58"/>
  </r>
  <r>
    <d v="2026-02-07T00:00:00"/>
    <x v="10"/>
    <n v="4"/>
    <n v="2026"/>
    <s v="2026-6"/>
    <s v="Week 6"/>
    <x v="58"/>
  </r>
  <r>
    <d v="2026-02-07T00:00:00"/>
    <x v="3"/>
    <n v="4"/>
    <n v="2026"/>
    <s v="2026-6"/>
    <s v="Week 6"/>
    <x v="58"/>
  </r>
  <r>
    <d v="2026-02-07T00:00:00"/>
    <x v="25"/>
    <n v="4"/>
    <n v="2026"/>
    <s v="2026-6"/>
    <s v="Week 6"/>
    <x v="58"/>
  </r>
  <r>
    <d v="2026-02-07T00:00:00"/>
    <x v="13"/>
    <n v="2"/>
    <n v="2026"/>
    <s v="2026-6"/>
    <s v="Week 6"/>
    <x v="58"/>
  </r>
  <r>
    <d v="2026-02-07T00:00:00"/>
    <x v="2"/>
    <n v="3"/>
    <n v="2026"/>
    <s v="2026-6"/>
    <s v="Week 6"/>
    <x v="58"/>
  </r>
  <r>
    <d v="2026-02-07T00:00:00"/>
    <x v="3"/>
    <n v="2"/>
    <n v="2026"/>
    <s v="2026-6"/>
    <s v="Week 6"/>
    <x v="58"/>
  </r>
  <r>
    <d v="2026-02-07T00:00:00"/>
    <x v="9"/>
    <n v="1"/>
    <n v="2026"/>
    <s v="2026-6"/>
    <s v="Week 6"/>
    <x v="58"/>
  </r>
  <r>
    <d v="2026-02-09T00:00:00"/>
    <x v="12"/>
    <n v="29"/>
    <n v="2026"/>
    <s v="2026-7"/>
    <s v="Week 7"/>
    <x v="59"/>
  </r>
  <r>
    <d v="2026-02-09T00:00:00"/>
    <x v="12"/>
    <n v="12"/>
    <n v="2026"/>
    <s v="2026-7"/>
    <s v="Week 7"/>
    <x v="59"/>
  </r>
  <r>
    <d v="2026-02-09T00:00:00"/>
    <x v="15"/>
    <n v="22"/>
    <n v="2026"/>
    <s v="2026-7"/>
    <s v="Week 7"/>
    <x v="59"/>
  </r>
  <r>
    <d v="2026-02-09T00:00:00"/>
    <x v="19"/>
    <n v="20"/>
    <n v="2026"/>
    <s v="2026-7"/>
    <s v="Week 7"/>
    <x v="59"/>
  </r>
  <r>
    <d v="2026-02-09T00:00:00"/>
    <x v="15"/>
    <n v="16"/>
    <n v="2026"/>
    <s v="2026-7"/>
    <s v="Week 7"/>
    <x v="59"/>
  </r>
  <r>
    <d v="2026-02-09T00:00:00"/>
    <x v="12"/>
    <n v="10"/>
    <n v="2026"/>
    <s v="2026-7"/>
    <s v="Week 7"/>
    <x v="59"/>
  </r>
  <r>
    <d v="2026-02-09T00:00:00"/>
    <x v="11"/>
    <n v="6"/>
    <n v="2026"/>
    <s v="2026-7"/>
    <s v="Week 7"/>
    <x v="59"/>
  </r>
  <r>
    <d v="2026-02-09T00:00:00"/>
    <x v="11"/>
    <n v="6"/>
    <n v="2026"/>
    <s v="2026-7"/>
    <s v="Week 7"/>
    <x v="59"/>
  </r>
  <r>
    <d v="2026-02-09T00:00:00"/>
    <x v="3"/>
    <n v="5"/>
    <n v="2026"/>
    <s v="2026-7"/>
    <s v="Week 7"/>
    <x v="59"/>
  </r>
  <r>
    <d v="2026-02-09T00:00:00"/>
    <x v="12"/>
    <n v="6"/>
    <n v="2026"/>
    <s v="2026-7"/>
    <s v="Week 7"/>
    <x v="59"/>
  </r>
  <r>
    <d v="2026-02-09T00:00:00"/>
    <x v="12"/>
    <n v="4"/>
    <n v="2026"/>
    <s v="2026-7"/>
    <s v="Week 7"/>
    <x v="59"/>
  </r>
  <r>
    <d v="2026-02-09T00:00:00"/>
    <x v="15"/>
    <n v="6"/>
    <n v="2026"/>
    <s v="2026-7"/>
    <s v="Week 7"/>
    <x v="59"/>
  </r>
  <r>
    <d v="2026-02-09T00:00:00"/>
    <x v="3"/>
    <n v="2"/>
    <n v="2026"/>
    <s v="2026-7"/>
    <s v="Week 7"/>
    <x v="59"/>
  </r>
  <r>
    <d v="2026-02-09T00:00:00"/>
    <x v="11"/>
    <n v="2"/>
    <n v="2026"/>
    <s v="2026-7"/>
    <s v="Week 7"/>
    <x v="59"/>
  </r>
  <r>
    <d v="2026-02-09T00:00:00"/>
    <x v="14"/>
    <n v="2"/>
    <n v="2026"/>
    <s v="2026-7"/>
    <s v="Week 7"/>
    <x v="59"/>
  </r>
  <r>
    <d v="2026-02-09T00:00:00"/>
    <x v="18"/>
    <n v="4"/>
    <n v="2026"/>
    <s v="2026-7"/>
    <s v="Week 7"/>
    <x v="59"/>
  </r>
  <r>
    <d v="2026-02-09T00:00:00"/>
    <x v="26"/>
    <n v="4"/>
    <n v="2026"/>
    <s v="2026-7"/>
    <s v="Week 7"/>
    <x v="59"/>
  </r>
  <r>
    <d v="2026-02-09T00:00:00"/>
    <x v="3"/>
    <n v="2"/>
    <n v="2026"/>
    <s v="2026-7"/>
    <s v="Week 7"/>
    <x v="59"/>
  </r>
  <r>
    <d v="2026-02-09T00:00:00"/>
    <x v="4"/>
    <n v="4"/>
    <n v="2026"/>
    <s v="2026-7"/>
    <s v="Week 7"/>
    <x v="59"/>
  </r>
  <r>
    <d v="2026-02-10T00:00:00"/>
    <x v="13"/>
    <n v="4"/>
    <n v="2026"/>
    <s v="2026-7"/>
    <s v="Week 7"/>
    <x v="59"/>
  </r>
  <r>
    <d v="2026-02-10T00:00:00"/>
    <x v="17"/>
    <n v="4"/>
    <n v="2026"/>
    <s v="2026-7"/>
    <s v="Week 7"/>
    <x v="59"/>
  </r>
  <r>
    <d v="2026-02-10T00:00:00"/>
    <x v="11"/>
    <n v="4"/>
    <n v="2026"/>
    <s v="2026-7"/>
    <s v="Week 7"/>
    <x v="59"/>
  </r>
  <r>
    <d v="2026-02-10T00:00:00"/>
    <x v="19"/>
    <n v="6"/>
    <n v="2026"/>
    <s v="2026-7"/>
    <s v="Week 7"/>
    <x v="59"/>
  </r>
  <r>
    <d v="2026-02-10T00:00:00"/>
    <x v="15"/>
    <n v="4"/>
    <n v="2026"/>
    <s v="2026-7"/>
    <s v="Week 7"/>
    <x v="59"/>
  </r>
  <r>
    <d v="2026-02-10T00:00:00"/>
    <x v="3"/>
    <n v="2"/>
    <n v="2026"/>
    <s v="2026-7"/>
    <s v="Week 7"/>
    <x v="59"/>
  </r>
  <r>
    <d v="2026-02-10T00:00:00"/>
    <x v="19"/>
    <n v="4"/>
    <n v="2026"/>
    <s v="2026-7"/>
    <s v="Week 7"/>
    <x v="59"/>
  </r>
  <r>
    <d v="2026-02-10T00:00:00"/>
    <x v="11"/>
    <n v="2"/>
    <n v="2026"/>
    <s v="2026-7"/>
    <s v="Week 7"/>
    <x v="59"/>
  </r>
  <r>
    <d v="2026-02-11T00:00:00"/>
    <x v="5"/>
    <n v="4"/>
    <n v="2026"/>
    <s v="2026-7"/>
    <s v="Week 7"/>
    <x v="59"/>
  </r>
  <r>
    <d v="2026-02-11T00:00:00"/>
    <x v="13"/>
    <n v="4"/>
    <n v="2026"/>
    <s v="2026-7"/>
    <s v="Week 7"/>
    <x v="59"/>
  </r>
  <r>
    <d v="2026-02-11T00:00:00"/>
    <x v="23"/>
    <n v="8"/>
    <n v="2026"/>
    <s v="2026-7"/>
    <s v="Week 7"/>
    <x v="59"/>
  </r>
  <r>
    <d v="2026-02-11T00:00:00"/>
    <x v="25"/>
    <n v="4"/>
    <n v="2026"/>
    <s v="2026-7"/>
    <s v="Week 7"/>
    <x v="59"/>
  </r>
  <r>
    <d v="2026-02-11T00:00:00"/>
    <x v="13"/>
    <n v="2"/>
    <n v="2026"/>
    <s v="2026-7"/>
    <s v="Week 7"/>
    <x v="59"/>
  </r>
  <r>
    <d v="2026-02-11T00:00:00"/>
    <x v="2"/>
    <n v="3"/>
    <n v="2026"/>
    <s v="2026-7"/>
    <s v="Week 7"/>
    <x v="59"/>
  </r>
  <r>
    <d v="2026-02-11T00:00:00"/>
    <x v="3"/>
    <n v="2"/>
    <n v="2026"/>
    <s v="2026-7"/>
    <s v="Week 7"/>
    <x v="59"/>
  </r>
  <r>
    <d v="2026-02-11T00:00:00"/>
    <x v="9"/>
    <n v="1"/>
    <n v="2026"/>
    <s v="2026-7"/>
    <s v="Week 7"/>
    <x v="59"/>
  </r>
  <r>
    <d v="2026-02-11T00:00:00"/>
    <x v="18"/>
    <n v="2"/>
    <n v="2026"/>
    <s v="2026-7"/>
    <s v="Week 7"/>
    <x v="59"/>
  </r>
  <r>
    <d v="2026-02-12T00:00:00"/>
    <x v="12"/>
    <n v="8"/>
    <n v="2026"/>
    <s v="2026-7"/>
    <s v="Week 7"/>
    <x v="59"/>
  </r>
  <r>
    <d v="2026-02-12T00:00:00"/>
    <x v="3"/>
    <n v="4"/>
    <n v="2026"/>
    <s v="2026-7"/>
    <s v="Week 7"/>
    <x v="59"/>
  </r>
  <r>
    <d v="2026-02-12T00:00:00"/>
    <x v="32"/>
    <n v="5"/>
    <n v="2026"/>
    <s v="2026-7"/>
    <s v="Week 7"/>
    <x v="59"/>
  </r>
  <r>
    <d v="2026-02-14T00:00:00"/>
    <x v="12"/>
    <n v="11"/>
    <n v="2026"/>
    <s v="2026-7"/>
    <s v="Week 7"/>
    <x v="59"/>
  </r>
  <r>
    <d v="2026-02-14T00:00:00"/>
    <x v="27"/>
    <n v="16"/>
    <n v="2026"/>
    <s v="2026-7"/>
    <s v="Week 7"/>
    <x v="59"/>
  </r>
  <r>
    <d v="2026-02-14T00:00:00"/>
    <x v="11"/>
    <n v="8"/>
    <n v="2026"/>
    <s v="2026-7"/>
    <s v="Week 7"/>
    <x v="59"/>
  </r>
  <r>
    <d v="2026-02-14T00:00:00"/>
    <x v="17"/>
    <n v="4"/>
    <n v="2026"/>
    <s v="2026-7"/>
    <s v="Week 7"/>
    <x v="59"/>
  </r>
  <r>
    <d v="2026-02-14T00:00:00"/>
    <x v="12"/>
    <n v="5"/>
    <n v="2026"/>
    <s v="2026-7"/>
    <s v="Week 7"/>
    <x v="59"/>
  </r>
  <r>
    <d v="2026-02-16T00:00:00"/>
    <x v="10"/>
    <n v="13"/>
    <n v="2026"/>
    <s v="2026-8"/>
    <s v="Week 8"/>
    <x v="60"/>
  </r>
  <r>
    <d v="2026-02-16T00:00:00"/>
    <x v="35"/>
    <n v="28"/>
    <n v="2026"/>
    <s v="2026-8"/>
    <s v="Week 8"/>
    <x v="60"/>
  </r>
  <r>
    <d v="2026-02-16T00:00:00"/>
    <x v="13"/>
    <n v="10"/>
    <n v="2026"/>
    <s v="2026-8"/>
    <s v="Week 8"/>
    <x v="60"/>
  </r>
  <r>
    <d v="2026-02-16T00:00:00"/>
    <x v="6"/>
    <n v="9"/>
    <n v="2026"/>
    <s v="2026-8"/>
    <s v="Week 8"/>
    <x v="60"/>
  </r>
  <r>
    <d v="2026-02-16T00:00:00"/>
    <x v="0"/>
    <n v="6"/>
    <n v="2026"/>
    <s v="2026-8"/>
    <s v="Week 8"/>
    <x v="60"/>
  </r>
  <r>
    <d v="2026-02-16T00:00:00"/>
    <x v="10"/>
    <n v="9"/>
    <n v="2026"/>
    <s v="2026-8"/>
    <s v="Week 8"/>
    <x v="60"/>
  </r>
  <r>
    <d v="2026-02-16T00:00:00"/>
    <x v="6"/>
    <n v="7"/>
    <n v="2026"/>
    <s v="2026-8"/>
    <s v="Week 8"/>
    <x v="60"/>
  </r>
  <r>
    <d v="2026-02-16T00:00:00"/>
    <x v="9"/>
    <n v="11"/>
    <n v="2026"/>
    <s v="2026-8"/>
    <s v="Week 8"/>
    <x v="60"/>
  </r>
  <r>
    <d v="2026-02-16T00:00:00"/>
    <x v="14"/>
    <n v="6"/>
    <n v="2026"/>
    <s v="2026-8"/>
    <s v="Week 8"/>
    <x v="60"/>
  </r>
  <r>
    <d v="2026-02-16T00:00:00"/>
    <x v="2"/>
    <n v="8"/>
    <n v="2026"/>
    <s v="2026-8"/>
    <s v="Week 8"/>
    <x v="60"/>
  </r>
  <r>
    <d v="2026-02-16T00:00:00"/>
    <x v="2"/>
    <n v="8"/>
    <n v="2026"/>
    <s v="2026-8"/>
    <s v="Week 8"/>
    <x v="60"/>
  </r>
  <r>
    <d v="2026-02-16T00:00:00"/>
    <x v="32"/>
    <n v="14"/>
    <n v="2026"/>
    <s v="2026-8"/>
    <s v="Week 8"/>
    <x v="60"/>
  </r>
  <r>
    <d v="2026-02-16T00:00:00"/>
    <x v="21"/>
    <n v="12"/>
    <n v="2026"/>
    <s v="2026-8"/>
    <s v="Week 8"/>
    <x v="60"/>
  </r>
  <r>
    <d v="2026-02-16T00:00:00"/>
    <x v="13"/>
    <n v="4"/>
    <n v="2026"/>
    <s v="2026-8"/>
    <s v="Week 8"/>
    <x v="60"/>
  </r>
  <r>
    <d v="2026-02-16T00:00:00"/>
    <x v="3"/>
    <n v="4"/>
    <n v="2026"/>
    <s v="2026-8"/>
    <s v="Week 8"/>
    <x v="60"/>
  </r>
  <r>
    <d v="2026-02-16T00:00:00"/>
    <x v="12"/>
    <n v="4"/>
    <n v="2026"/>
    <s v="2026-8"/>
    <s v="Week 8"/>
    <x v="60"/>
  </r>
  <r>
    <d v="2026-02-16T00:00:00"/>
    <x v="30"/>
    <n v="8"/>
    <n v="2026"/>
    <s v="2026-8"/>
    <s v="Week 8"/>
    <x v="60"/>
  </r>
  <r>
    <d v="2026-02-16T00:00:00"/>
    <x v="4"/>
    <n v="6"/>
    <n v="2026"/>
    <s v="2026-8"/>
    <s v="Week 8"/>
    <x v="60"/>
  </r>
  <r>
    <d v="2026-02-16T00:00:00"/>
    <x v="11"/>
    <n v="3"/>
    <n v="2026"/>
    <s v="2026-8"/>
    <s v="Week 8"/>
    <x v="60"/>
  </r>
  <r>
    <d v="2026-02-16T00:00:00"/>
    <x v="25"/>
    <n v="4"/>
    <n v="2026"/>
    <s v="2026-8"/>
    <s v="Week 8"/>
    <x v="60"/>
  </r>
  <r>
    <d v="2026-02-16T00:00:00"/>
    <x v="28"/>
    <n v="6"/>
    <n v="2026"/>
    <s v="2026-8"/>
    <s v="Week 8"/>
    <x v="60"/>
  </r>
  <r>
    <d v="2026-02-16T00:00:00"/>
    <x v="10"/>
    <n v="2"/>
    <n v="2026"/>
    <s v="2026-8"/>
    <s v="Week 8"/>
    <x v="60"/>
  </r>
  <r>
    <d v="2026-02-16T00:00:00"/>
    <x v="22"/>
    <n v="4"/>
    <n v="2026"/>
    <s v="2026-8"/>
    <s v="Week 8"/>
    <x v="60"/>
  </r>
  <r>
    <d v="2026-02-16T00:00:00"/>
    <x v="3"/>
    <n v="2"/>
    <n v="2026"/>
    <s v="2026-8"/>
    <s v="Week 8"/>
    <x v="60"/>
  </r>
  <r>
    <d v="2026-02-16T00:00:00"/>
    <x v="32"/>
    <n v="4"/>
    <n v="2026"/>
    <s v="2026-8"/>
    <s v="Week 8"/>
    <x v="60"/>
  </r>
  <r>
    <d v="2026-02-16T00:00:00"/>
    <x v="19"/>
    <n v="2"/>
    <n v="2026"/>
    <s v="2026-8"/>
    <s v="Week 8"/>
    <x v="60"/>
  </r>
  <r>
    <d v="2026-02-16T00:00:00"/>
    <x v="19"/>
    <n v="2"/>
    <n v="2026"/>
    <s v="2026-8"/>
    <s v="Week 8"/>
    <x v="60"/>
  </r>
  <r>
    <d v="2026-02-16T00:00:00"/>
    <x v="35"/>
    <n v="2"/>
    <n v="2026"/>
    <s v="2026-8"/>
    <s v="Week 8"/>
    <x v="60"/>
  </r>
  <r>
    <d v="2026-02-16T00:00:00"/>
    <x v="9"/>
    <n v="1"/>
    <n v="2026"/>
    <s v="2026-8"/>
    <s v="Week 8"/>
    <x v="60"/>
  </r>
  <r>
    <d v="2026-02-16T00:00:00"/>
    <x v="21"/>
    <n v="2"/>
    <n v="2026"/>
    <s v="2026-8"/>
    <s v="Week 8"/>
    <x v="60"/>
  </r>
  <r>
    <d v="2026-02-16T00:00:00"/>
    <x v="30"/>
    <n v="2"/>
    <n v="2026"/>
    <s v="2026-8"/>
    <s v="Week 8"/>
    <x v="60"/>
  </r>
  <r>
    <d v="2026-02-16T00:00:00"/>
    <x v="30"/>
    <n v="2"/>
    <n v="2026"/>
    <s v="2026-8"/>
    <s v="Week 8"/>
    <x v="60"/>
  </r>
  <r>
    <d v="2026-02-16T00:00:00"/>
    <x v="30"/>
    <n v="2"/>
    <n v="2026"/>
    <s v="2026-8"/>
    <s v="Week 8"/>
    <x v="60"/>
  </r>
  <r>
    <d v="2026-02-17T00:00:00"/>
    <x v="12"/>
    <n v="28"/>
    <n v="2026"/>
    <s v="2026-8"/>
    <s v="Week 8"/>
    <x v="60"/>
  </r>
  <r>
    <d v="2026-02-17T00:00:00"/>
    <x v="3"/>
    <n v="12"/>
    <n v="2026"/>
    <s v="2026-8"/>
    <s v="Week 8"/>
    <x v="60"/>
  </r>
  <r>
    <d v="2026-02-17T00:00:00"/>
    <x v="12"/>
    <n v="13"/>
    <n v="2026"/>
    <s v="2026-8"/>
    <s v="Week 8"/>
    <x v="60"/>
  </r>
  <r>
    <d v="2026-02-17T00:00:00"/>
    <x v="12"/>
    <n v="13"/>
    <n v="2026"/>
    <s v="2026-8"/>
    <s v="Week 8"/>
    <x v="60"/>
  </r>
  <r>
    <d v="2026-02-17T00:00:00"/>
    <x v="10"/>
    <n v="8"/>
    <n v="2026"/>
    <s v="2026-8"/>
    <s v="Week 8"/>
    <x v="60"/>
  </r>
  <r>
    <d v="2026-02-17T00:00:00"/>
    <x v="11"/>
    <n v="8"/>
    <n v="2026"/>
    <s v="2026-8"/>
    <s v="Week 8"/>
    <x v="60"/>
  </r>
  <r>
    <d v="2026-02-17T00:00:00"/>
    <x v="11"/>
    <n v="6"/>
    <n v="2026"/>
    <s v="2026-8"/>
    <s v="Week 8"/>
    <x v="60"/>
  </r>
  <r>
    <d v="2026-02-17T00:00:00"/>
    <x v="25"/>
    <n v="8"/>
    <n v="2026"/>
    <s v="2026-8"/>
    <s v="Week 8"/>
    <x v="60"/>
  </r>
  <r>
    <d v="2026-02-17T00:00:00"/>
    <x v="27"/>
    <n v="11"/>
    <n v="2026"/>
    <s v="2026-8"/>
    <s v="Week 8"/>
    <x v="60"/>
  </r>
  <r>
    <d v="2026-02-17T00:00:00"/>
    <x v="15"/>
    <n v="8"/>
    <n v="2026"/>
    <s v="2026-8"/>
    <s v="Week 8"/>
    <x v="60"/>
  </r>
  <r>
    <d v="2026-02-17T00:00:00"/>
    <x v="30"/>
    <n v="6"/>
    <n v="2026"/>
    <s v="2026-8"/>
    <s v="Week 8"/>
    <x v="60"/>
  </r>
  <r>
    <d v="2026-02-17T00:00:00"/>
    <x v="19"/>
    <n v="4"/>
    <n v="2026"/>
    <s v="2026-8"/>
    <s v="Week 8"/>
    <x v="60"/>
  </r>
  <r>
    <d v="2026-02-17T00:00:00"/>
    <x v="4"/>
    <n v="4"/>
    <n v="2026"/>
    <s v="2026-8"/>
    <s v="Week 8"/>
    <x v="60"/>
  </r>
  <r>
    <d v="2026-02-17T00:00:00"/>
    <x v="4"/>
    <n v="2"/>
    <n v="2026"/>
    <s v="2026-8"/>
    <s v="Week 8"/>
    <x v="60"/>
  </r>
  <r>
    <d v="2026-02-17T00:00:00"/>
    <x v="27"/>
    <n v="2"/>
    <n v="2026"/>
    <s v="2026-8"/>
    <s v="Week 8"/>
    <x v="60"/>
  </r>
  <r>
    <d v="2026-02-17T00:00:00"/>
    <x v="28"/>
    <n v="2"/>
    <n v="2026"/>
    <s v="2026-8"/>
    <s v="Week 8"/>
    <x v="60"/>
  </r>
  <r>
    <d v="2026-02-18T00:00:00"/>
    <x v="3"/>
    <n v="8"/>
    <n v="2026"/>
    <s v="2026-8"/>
    <s v="Week 8"/>
    <x v="60"/>
  </r>
  <r>
    <d v="2026-02-18T00:00:00"/>
    <x v="11"/>
    <n v="8"/>
    <n v="2026"/>
    <s v="2026-8"/>
    <s v="Week 8"/>
    <x v="60"/>
  </r>
  <r>
    <d v="2026-02-18T00:00:00"/>
    <x v="12"/>
    <n v="8"/>
    <n v="2026"/>
    <s v="2026-8"/>
    <s v="Week 8"/>
    <x v="60"/>
  </r>
  <r>
    <d v="2026-02-18T00:00:00"/>
    <x v="15"/>
    <n v="4"/>
    <n v="2026"/>
    <s v="2026-8"/>
    <s v="Week 8"/>
    <x v="60"/>
  </r>
  <r>
    <d v="2026-02-18T00:00:00"/>
    <x v="12"/>
    <n v="2"/>
    <n v="2026"/>
    <s v="2026-8"/>
    <s v="Week 8"/>
    <x v="60"/>
  </r>
  <r>
    <d v="2026-02-19T00:00:00"/>
    <x v="11"/>
    <n v="10"/>
    <n v="2026"/>
    <s v="2026-8"/>
    <s v="Week 8"/>
    <x v="60"/>
  </r>
  <r>
    <d v="2026-02-19T00:00:00"/>
    <x v="11"/>
    <n v="6"/>
    <n v="2026"/>
    <s v="2026-8"/>
    <s v="Week 8"/>
    <x v="60"/>
  </r>
  <r>
    <d v="2026-02-20T00:00:00"/>
    <x v="11"/>
    <n v="8"/>
    <n v="2026"/>
    <s v="2026-8"/>
    <s v="Week 8"/>
    <x v="60"/>
  </r>
  <r>
    <d v="2026-02-20T00:00:00"/>
    <x v="12"/>
    <n v="8"/>
    <n v="2026"/>
    <s v="2026-8"/>
    <s v="Week 8"/>
    <x v="60"/>
  </r>
  <r>
    <d v="2026-02-20T00:00:00"/>
    <x v="18"/>
    <n v="12"/>
    <n v="2026"/>
    <s v="2026-8"/>
    <s v="Week 8"/>
    <x v="60"/>
  </r>
  <r>
    <d v="2026-02-20T00:00:00"/>
    <x v="12"/>
    <n v="6"/>
    <n v="2026"/>
    <s v="2026-8"/>
    <s v="Week 8"/>
    <x v="60"/>
  </r>
  <r>
    <d v="2026-02-20T00:00:00"/>
    <x v="12"/>
    <n v="4"/>
    <n v="2026"/>
    <s v="2026-8"/>
    <s v="Week 8"/>
    <x v="60"/>
  </r>
  <r>
    <d v="2026-02-20T00:00:00"/>
    <x v="15"/>
    <n v="6"/>
    <n v="2026"/>
    <s v="2026-8"/>
    <s v="Week 8"/>
    <x v="60"/>
  </r>
  <r>
    <d v="2026-02-20T00:00:00"/>
    <x v="15"/>
    <n v="6"/>
    <n v="2026"/>
    <s v="2026-8"/>
    <s v="Week 8"/>
    <x v="60"/>
  </r>
  <r>
    <d v="2026-02-20T00:00:00"/>
    <x v="15"/>
    <n v="6"/>
    <n v="2026"/>
    <s v="2026-8"/>
    <s v="Week 8"/>
    <x v="60"/>
  </r>
  <r>
    <d v="2026-02-20T00:00:00"/>
    <x v="15"/>
    <n v="6"/>
    <n v="2026"/>
    <s v="2026-8"/>
    <s v="Week 8"/>
    <x v="60"/>
  </r>
  <r>
    <d v="2026-02-20T00:00:00"/>
    <x v="12"/>
    <n v="4"/>
    <n v="2026"/>
    <s v="2026-8"/>
    <s v="Week 8"/>
    <x v="60"/>
  </r>
  <r>
    <d v="2026-02-20T00:00:00"/>
    <x v="12"/>
    <n v="4"/>
    <n v="2026"/>
    <s v="2026-8"/>
    <s v="Week 8"/>
    <x v="60"/>
  </r>
  <r>
    <d v="2026-02-20T00:00:00"/>
    <x v="12"/>
    <n v="4"/>
    <n v="2026"/>
    <s v="2026-8"/>
    <s v="Week 8"/>
    <x v="60"/>
  </r>
  <r>
    <d v="2026-02-20T00:00:00"/>
    <x v="12"/>
    <n v="4"/>
    <n v="2026"/>
    <s v="2026-8"/>
    <s v="Week 8"/>
    <x v="60"/>
  </r>
  <r>
    <d v="2026-02-20T00:00:00"/>
    <x v="15"/>
    <n v="4"/>
    <n v="2026"/>
    <s v="2026-8"/>
    <s v="Week 8"/>
    <x v="60"/>
  </r>
  <r>
    <d v="2026-02-20T00:00:00"/>
    <x v="3"/>
    <n v="2"/>
    <n v="2026"/>
    <s v="2026-8"/>
    <s v="Week 8"/>
    <x v="60"/>
  </r>
  <r>
    <d v="2026-02-20T00:00:00"/>
    <x v="11"/>
    <n v="2"/>
    <n v="2026"/>
    <s v="2026-8"/>
    <s v="Week 8"/>
    <x v="60"/>
  </r>
  <r>
    <d v="2026-02-20T00:00:00"/>
    <x v="15"/>
    <n v="4"/>
    <n v="2026"/>
    <s v="2026-8"/>
    <s v="Week 8"/>
    <x v="60"/>
  </r>
  <r>
    <d v="2026-02-20T00:00:00"/>
    <x v="3"/>
    <n v="2"/>
    <n v="2026"/>
    <s v="2026-8"/>
    <s v="Week 8"/>
    <x v="60"/>
  </r>
  <r>
    <d v="2026-02-20T00:00:00"/>
    <x v="3"/>
    <n v="2"/>
    <n v="2026"/>
    <s v="2026-8"/>
    <s v="Week 8"/>
    <x v="60"/>
  </r>
  <r>
    <d v="2026-02-20T00:00:00"/>
    <x v="11"/>
    <n v="2"/>
    <n v="2026"/>
    <s v="2026-8"/>
    <s v="Week 8"/>
    <x v="60"/>
  </r>
  <r>
    <d v="2026-02-20T00:00:00"/>
    <x v="11"/>
    <n v="2"/>
    <n v="2026"/>
    <s v="2026-8"/>
    <s v="Week 8"/>
    <x v="60"/>
  </r>
  <r>
    <d v="2026-02-20T00:00:00"/>
    <x v="12"/>
    <n v="2"/>
    <n v="2026"/>
    <s v="2026-8"/>
    <s v="Week 8"/>
    <x v="60"/>
  </r>
  <r>
    <d v="2026-02-20T00:00:00"/>
    <x v="32"/>
    <n v="2"/>
    <n v="2026"/>
    <s v="2026-8"/>
    <s v="Week 8"/>
    <x v="60"/>
  </r>
  <r>
    <d v="2026-02-20T00:00:00"/>
    <x v="32"/>
    <n v="2"/>
    <n v="2026"/>
    <s v="2026-8"/>
    <s v="Week 8"/>
    <x v="60"/>
  </r>
  <r>
    <d v="2026-02-21T00:00:00"/>
    <x v="10"/>
    <n v="25"/>
    <n v="2026"/>
    <s v="2026-8"/>
    <s v="Week 8"/>
    <x v="60"/>
  </r>
  <r>
    <d v="2026-02-21T00:00:00"/>
    <x v="13"/>
    <n v="12"/>
    <n v="2026"/>
    <s v="2026-8"/>
    <s v="Week 8"/>
    <x v="60"/>
  </r>
  <r>
    <d v="2026-02-21T00:00:00"/>
    <x v="3"/>
    <n v="16"/>
    <n v="2026"/>
    <s v="2026-8"/>
    <s v="Week 8"/>
    <x v="60"/>
  </r>
  <r>
    <d v="2026-02-21T00:00:00"/>
    <x v="12"/>
    <n v="18"/>
    <n v="2026"/>
    <s v="2026-8"/>
    <s v="Week 8"/>
    <x v="60"/>
  </r>
  <r>
    <d v="2026-02-21T00:00:00"/>
    <x v="13"/>
    <n v="10"/>
    <n v="2026"/>
    <s v="2026-8"/>
    <s v="Week 8"/>
    <x v="60"/>
  </r>
  <r>
    <d v="2026-02-21T00:00:00"/>
    <x v="14"/>
    <n v="10"/>
    <n v="2026"/>
    <s v="2026-8"/>
    <s v="Week 8"/>
    <x v="60"/>
  </r>
  <r>
    <d v="2026-02-21T00:00:00"/>
    <x v="3"/>
    <n v="8"/>
    <n v="2026"/>
    <s v="2026-8"/>
    <s v="Week 8"/>
    <x v="60"/>
  </r>
  <r>
    <d v="2026-02-21T00:00:00"/>
    <x v="25"/>
    <n v="10"/>
    <n v="2026"/>
    <s v="2026-8"/>
    <s v="Week 8"/>
    <x v="60"/>
  </r>
  <r>
    <d v="2026-02-21T00:00:00"/>
    <x v="14"/>
    <n v="4"/>
    <n v="2026"/>
    <s v="2026-8"/>
    <s v="Week 8"/>
    <x v="60"/>
  </r>
  <r>
    <d v="2026-02-21T00:00:00"/>
    <x v="10"/>
    <n v="4"/>
    <n v="2026"/>
    <s v="2026-8"/>
    <s v="Week 8"/>
    <x v="60"/>
  </r>
  <r>
    <d v="2026-02-21T00:00:00"/>
    <x v="11"/>
    <n v="4"/>
    <n v="2026"/>
    <s v="2026-8"/>
    <s v="Week 8"/>
    <x v="60"/>
  </r>
  <r>
    <d v="2026-02-21T00:00:00"/>
    <x v="5"/>
    <n v="2"/>
    <n v="2026"/>
    <s v="2026-8"/>
    <s v="Week 8"/>
    <x v="60"/>
  </r>
  <r>
    <d v="2026-02-21T00:00:00"/>
    <x v="15"/>
    <n v="2"/>
    <n v="2026"/>
    <s v="2026-8"/>
    <s v="Week 8"/>
    <x v="60"/>
  </r>
  <r>
    <d v="2026-02-23T00:00:00"/>
    <x v="22"/>
    <n v="7"/>
    <n v="2026"/>
    <s v="2026-9"/>
    <s v="Week 9"/>
    <x v="61"/>
  </r>
  <r>
    <d v="2026-02-23T00:00:00"/>
    <x v="22"/>
    <n v="3"/>
    <n v="2026"/>
    <s v="2026-9"/>
    <s v="Week 9"/>
    <x v="61"/>
  </r>
  <r>
    <d v="2026-02-24T00:00:00"/>
    <x v="25"/>
    <n v="9"/>
    <n v="2026"/>
    <s v="2026-9"/>
    <s v="Week 9"/>
    <x v="61"/>
  </r>
  <r>
    <d v="2026-02-24T00:00:00"/>
    <x v="13"/>
    <n v="4"/>
    <n v="2026"/>
    <s v="2026-9"/>
    <s v="Week 9"/>
    <x v="61"/>
  </r>
  <r>
    <d v="2026-02-24T00:00:00"/>
    <x v="15"/>
    <n v="8"/>
    <n v="2026"/>
    <s v="2026-9"/>
    <s v="Week 9"/>
    <x v="61"/>
  </r>
  <r>
    <d v="2026-02-24T00:00:00"/>
    <x v="2"/>
    <n v="6"/>
    <n v="2026"/>
    <s v="2026-9"/>
    <s v="Week 9"/>
    <x v="61"/>
  </r>
  <r>
    <d v="2026-02-24T00:00:00"/>
    <x v="28"/>
    <n v="12"/>
    <n v="2026"/>
    <s v="2026-9"/>
    <s v="Week 9"/>
    <x v="61"/>
  </r>
  <r>
    <d v="2026-02-24T00:00:00"/>
    <x v="3"/>
    <n v="4"/>
    <n v="2026"/>
    <s v="2026-9"/>
    <s v="Week 9"/>
    <x v="61"/>
  </r>
  <r>
    <d v="2026-02-24T00:00:00"/>
    <x v="25"/>
    <n v="5"/>
    <n v="2026"/>
    <s v="2026-9"/>
    <s v="Week 9"/>
    <x v="61"/>
  </r>
  <r>
    <d v="2026-02-24T00:00:00"/>
    <x v="32"/>
    <n v="8"/>
    <n v="2026"/>
    <s v="2026-9"/>
    <s v="Week 9"/>
    <x v="61"/>
  </r>
  <r>
    <d v="2026-02-25T00:00:00"/>
    <x v="15"/>
    <n v="20"/>
    <n v="2026"/>
    <s v="2026-9"/>
    <s v="Week 9"/>
    <x v="61"/>
  </r>
  <r>
    <d v="2026-02-25T00:00:00"/>
    <x v="12"/>
    <n v="12"/>
    <n v="2026"/>
    <s v="2026-9"/>
    <s v="Week 9"/>
    <x v="61"/>
  </r>
  <r>
    <d v="2026-02-25T00:00:00"/>
    <x v="12"/>
    <n v="12"/>
    <n v="2026"/>
    <s v="2026-9"/>
    <s v="Week 9"/>
    <x v="61"/>
  </r>
  <r>
    <d v="2026-02-25T00:00:00"/>
    <x v="3"/>
    <n v="8"/>
    <n v="2026"/>
    <s v="2026-9"/>
    <s v="Week 9"/>
    <x v="61"/>
  </r>
  <r>
    <d v="2026-02-25T00:00:00"/>
    <x v="15"/>
    <n v="12"/>
    <n v="2026"/>
    <s v="2026-9"/>
    <s v="Week 9"/>
    <x v="61"/>
  </r>
  <r>
    <d v="2026-02-25T00:00:00"/>
    <x v="10"/>
    <n v="5"/>
    <n v="2026"/>
    <s v="2026-9"/>
    <s v="Week 9"/>
    <x v="61"/>
  </r>
  <r>
    <d v="2026-02-25T00:00:00"/>
    <x v="12"/>
    <n v="6"/>
    <n v="2026"/>
    <s v="2026-9"/>
    <s v="Week 9"/>
    <x v="61"/>
  </r>
  <r>
    <d v="2026-02-25T00:00:00"/>
    <x v="14"/>
    <n v="4"/>
    <n v="2026"/>
    <s v="2026-9"/>
    <s v="Week 9"/>
    <x v="61"/>
  </r>
  <r>
    <d v="2026-02-25T00:00:00"/>
    <x v="12"/>
    <n v="4"/>
    <n v="2026"/>
    <s v="2026-9"/>
    <s v="Week 9"/>
    <x v="61"/>
  </r>
  <r>
    <d v="2026-02-25T00:00:00"/>
    <x v="12"/>
    <n v="4"/>
    <n v="2026"/>
    <s v="2026-9"/>
    <s v="Week 9"/>
    <x v="61"/>
  </r>
  <r>
    <d v="2026-02-25T00:00:00"/>
    <x v="10"/>
    <n v="3"/>
    <n v="2026"/>
    <s v="2026-9"/>
    <s v="Week 9"/>
    <x v="61"/>
  </r>
  <r>
    <d v="2026-02-25T00:00:00"/>
    <x v="2"/>
    <n v="4"/>
    <n v="2026"/>
    <s v="2026-9"/>
    <s v="Week 9"/>
    <x v="61"/>
  </r>
  <r>
    <d v="2026-02-25T00:00:00"/>
    <x v="27"/>
    <n v="6"/>
    <n v="2026"/>
    <s v="2026-9"/>
    <s v="Week 9"/>
    <x v="61"/>
  </r>
  <r>
    <d v="2026-02-25T00:00:00"/>
    <x v="27"/>
    <n v="6"/>
    <n v="2026"/>
    <s v="2026-9"/>
    <s v="Week 9"/>
    <x v="61"/>
  </r>
  <r>
    <d v="2026-02-25T00:00:00"/>
    <x v="12"/>
    <n v="4"/>
    <n v="2026"/>
    <s v="2026-9"/>
    <s v="Week 9"/>
    <x v="61"/>
  </r>
  <r>
    <d v="2026-02-25T00:00:00"/>
    <x v="15"/>
    <n v="4"/>
    <n v="2026"/>
    <s v="2026-9"/>
    <s v="Week 9"/>
    <x v="61"/>
  </r>
  <r>
    <d v="2026-02-25T00:00:00"/>
    <x v="19"/>
    <n v="4"/>
    <n v="2026"/>
    <s v="2026-9"/>
    <s v="Week 9"/>
    <x v="61"/>
  </r>
  <r>
    <d v="2026-02-25T00:00:00"/>
    <x v="3"/>
    <n v="2"/>
    <n v="2026"/>
    <s v="2026-9"/>
    <s v="Week 9"/>
    <x v="61"/>
  </r>
  <r>
    <d v="2026-02-25T00:00:00"/>
    <x v="3"/>
    <n v="2"/>
    <n v="2026"/>
    <s v="2026-9"/>
    <s v="Week 9"/>
    <x v="61"/>
  </r>
  <r>
    <d v="2026-02-25T00:00:00"/>
    <x v="3"/>
    <n v="2"/>
    <n v="2026"/>
    <s v="2026-9"/>
    <s v="Week 9"/>
    <x v="61"/>
  </r>
  <r>
    <d v="2026-02-25T00:00:00"/>
    <x v="11"/>
    <n v="2"/>
    <n v="2026"/>
    <s v="2026-9"/>
    <s v="Week 9"/>
    <x v="61"/>
  </r>
  <r>
    <d v="2026-02-25T00:00:00"/>
    <x v="11"/>
    <n v="2"/>
    <n v="2026"/>
    <s v="2026-9"/>
    <s v="Week 9"/>
    <x v="61"/>
  </r>
  <r>
    <d v="2026-02-25T00:00:00"/>
    <x v="15"/>
    <n v="4"/>
    <n v="2026"/>
    <s v="2026-9"/>
    <s v="Week 9"/>
    <x v="61"/>
  </r>
  <r>
    <d v="2026-02-25T00:00:00"/>
    <x v="18"/>
    <n v="4"/>
    <n v="2026"/>
    <s v="2026-9"/>
    <s v="Week 9"/>
    <x v="61"/>
  </r>
  <r>
    <d v="2026-02-25T00:00:00"/>
    <x v="11"/>
    <n v="2"/>
    <n v="2026"/>
    <s v="2026-9"/>
    <s v="Week 9"/>
    <x v="61"/>
  </r>
  <r>
    <d v="2026-02-25T00:00:00"/>
    <x v="35"/>
    <n v="2"/>
    <n v="2026"/>
    <s v="2026-9"/>
    <s v="Week 9"/>
    <x v="61"/>
  </r>
  <r>
    <d v="2026-02-25T00:00:00"/>
    <x v="15"/>
    <n v="2"/>
    <n v="2026"/>
    <s v="2026-9"/>
    <s v="Week 9"/>
    <x v="61"/>
  </r>
  <r>
    <d v="2026-02-26T00:00:00"/>
    <x v="3"/>
    <n v="28"/>
    <n v="2026"/>
    <s v="2026-9"/>
    <s v="Week 9"/>
    <x v="61"/>
  </r>
  <r>
    <d v="2026-02-26T00:00:00"/>
    <x v="14"/>
    <n v="16"/>
    <n v="2026"/>
    <s v="2026-9"/>
    <s v="Week 9"/>
    <x v="61"/>
  </r>
  <r>
    <d v="2026-02-26T00:00:00"/>
    <x v="14"/>
    <n v="16"/>
    <n v="2026"/>
    <s v="2026-9"/>
    <s v="Week 9"/>
    <x v="61"/>
  </r>
  <r>
    <d v="2026-02-26T00:00:00"/>
    <x v="13"/>
    <n v="7"/>
    <n v="2026"/>
    <s v="2026-9"/>
    <s v="Week 9"/>
    <x v="61"/>
  </r>
  <r>
    <d v="2026-02-26T00:00:00"/>
    <x v="3"/>
    <n v="8"/>
    <n v="2026"/>
    <s v="2026-9"/>
    <s v="Week 9"/>
    <x v="61"/>
  </r>
  <r>
    <d v="2026-02-26T00:00:00"/>
    <x v="14"/>
    <n v="14"/>
    <n v="2026"/>
    <s v="2026-9"/>
    <s v="Week 9"/>
    <x v="61"/>
  </r>
  <r>
    <d v="2026-02-26T00:00:00"/>
    <x v="14"/>
    <n v="12"/>
    <n v="2026"/>
    <s v="2026-9"/>
    <s v="Week 9"/>
    <x v="61"/>
  </r>
  <r>
    <d v="2026-02-26T00:00:00"/>
    <x v="13"/>
    <n v="9"/>
    <n v="2026"/>
    <s v="2026-9"/>
    <s v="Week 9"/>
    <x v="61"/>
  </r>
  <r>
    <d v="2026-02-26T00:00:00"/>
    <x v="12"/>
    <n v="14"/>
    <n v="2026"/>
    <s v="2026-9"/>
    <s v="Week 9"/>
    <x v="61"/>
  </r>
  <r>
    <d v="2026-02-26T00:00:00"/>
    <x v="10"/>
    <n v="10"/>
    <n v="2026"/>
    <s v="2026-9"/>
    <s v="Week 9"/>
    <x v="61"/>
  </r>
  <r>
    <d v="2026-02-26T00:00:00"/>
    <x v="10"/>
    <n v="8"/>
    <n v="2026"/>
    <s v="2026-9"/>
    <s v="Week 9"/>
    <x v="61"/>
  </r>
  <r>
    <d v="2026-02-26T00:00:00"/>
    <x v="10"/>
    <n v="8"/>
    <n v="2026"/>
    <s v="2026-9"/>
    <s v="Week 9"/>
    <x v="61"/>
  </r>
  <r>
    <d v="2026-02-26T00:00:00"/>
    <x v="11"/>
    <n v="10"/>
    <n v="2026"/>
    <s v="2026-9"/>
    <s v="Week 9"/>
    <x v="61"/>
  </r>
  <r>
    <d v="2026-02-26T00:00:00"/>
    <x v="11"/>
    <n v="10"/>
    <n v="2026"/>
    <s v="2026-9"/>
    <s v="Week 9"/>
    <x v="61"/>
  </r>
  <r>
    <d v="2026-02-26T00:00:00"/>
    <x v="3"/>
    <n v="8"/>
    <n v="2026"/>
    <s v="2026-9"/>
    <s v="Week 9"/>
    <x v="61"/>
  </r>
  <r>
    <d v="2026-02-26T00:00:00"/>
    <x v="15"/>
    <n v="15"/>
    <n v="2026"/>
    <s v="2026-9"/>
    <s v="Week 9"/>
    <x v="61"/>
  </r>
  <r>
    <d v="2026-02-26T00:00:00"/>
    <x v="3"/>
    <n v="7"/>
    <n v="2026"/>
    <s v="2026-9"/>
    <s v="Week 9"/>
    <x v="61"/>
  </r>
  <r>
    <d v="2026-02-26T00:00:00"/>
    <x v="6"/>
    <n v="4"/>
    <n v="2026"/>
    <s v="2026-9"/>
    <s v="Week 9"/>
    <x v="61"/>
  </r>
  <r>
    <d v="2026-02-26T00:00:00"/>
    <x v="6"/>
    <n v="4"/>
    <n v="2026"/>
    <s v="2026-9"/>
    <s v="Week 9"/>
    <x v="61"/>
  </r>
  <r>
    <d v="2026-02-26T00:00:00"/>
    <x v="12"/>
    <n v="7"/>
    <n v="2026"/>
    <s v="2026-9"/>
    <s v="Week 9"/>
    <x v="61"/>
  </r>
  <r>
    <d v="2026-02-26T00:00:00"/>
    <x v="12"/>
    <n v="7"/>
    <n v="2026"/>
    <s v="2026-9"/>
    <s v="Week 9"/>
    <x v="61"/>
  </r>
  <r>
    <d v="2026-02-26T00:00:00"/>
    <x v="12"/>
    <n v="6"/>
    <n v="2026"/>
    <s v="2026-9"/>
    <s v="Week 9"/>
    <x v="61"/>
  </r>
  <r>
    <d v="2026-02-26T00:00:00"/>
    <x v="2"/>
    <n v="6"/>
    <n v="2026"/>
    <s v="2026-9"/>
    <s v="Week 9"/>
    <x v="61"/>
  </r>
  <r>
    <d v="2026-02-26T00:00:00"/>
    <x v="2"/>
    <n v="6"/>
    <n v="2026"/>
    <s v="2026-9"/>
    <s v="Week 9"/>
    <x v="61"/>
  </r>
  <r>
    <d v="2026-02-26T00:00:00"/>
    <x v="10"/>
    <n v="4"/>
    <n v="2026"/>
    <s v="2026-9"/>
    <s v="Week 9"/>
    <x v="61"/>
  </r>
  <r>
    <d v="2026-02-26T00:00:00"/>
    <x v="3"/>
    <n v="4"/>
    <n v="2026"/>
    <s v="2026-9"/>
    <s v="Week 9"/>
    <x v="61"/>
  </r>
  <r>
    <d v="2026-02-26T00:00:00"/>
    <x v="25"/>
    <n v="5"/>
    <n v="2026"/>
    <s v="2026-9"/>
    <s v="Week 9"/>
    <x v="61"/>
  </r>
  <r>
    <d v="2026-02-26T00:00:00"/>
    <x v="11"/>
    <n v="4"/>
    <n v="2026"/>
    <s v="2026-9"/>
    <s v="Week 9"/>
    <x v="61"/>
  </r>
  <r>
    <d v="2026-02-26T00:00:00"/>
    <x v="11"/>
    <n v="4"/>
    <n v="2026"/>
    <s v="2026-9"/>
    <s v="Week 9"/>
    <x v="61"/>
  </r>
  <r>
    <d v="2026-02-26T00:00:00"/>
    <x v="12"/>
    <n v="4"/>
    <n v="2026"/>
    <s v="2026-9"/>
    <s v="Week 9"/>
    <x v="61"/>
  </r>
  <r>
    <d v="2026-02-26T00:00:00"/>
    <x v="12"/>
    <n v="4"/>
    <n v="2026"/>
    <s v="2026-9"/>
    <s v="Week 9"/>
    <x v="61"/>
  </r>
  <r>
    <d v="2026-02-26T00:00:00"/>
    <x v="6"/>
    <n v="2"/>
    <n v="2026"/>
    <s v="2026-9"/>
    <s v="Week 9"/>
    <x v="61"/>
  </r>
  <r>
    <d v="2026-02-26T00:00:00"/>
    <x v="18"/>
    <n v="6"/>
    <n v="2026"/>
    <s v="2026-9"/>
    <s v="Week 9"/>
    <x v="61"/>
  </r>
  <r>
    <d v="2026-02-26T00:00:00"/>
    <x v="13"/>
    <n v="2"/>
    <n v="2026"/>
    <s v="2026-9"/>
    <s v="Week 9"/>
    <x v="61"/>
  </r>
  <r>
    <d v="2026-02-26T00:00:00"/>
    <x v="15"/>
    <n v="2"/>
    <n v="2026"/>
    <s v="2026-9"/>
    <s v="Week 9"/>
    <x v="61"/>
  </r>
  <r>
    <d v="2026-02-26T00:00:00"/>
    <x v="15"/>
    <n v="2"/>
    <n v="2026"/>
    <s v="2026-9"/>
    <s v="Week 9"/>
    <x v="61"/>
  </r>
  <r>
    <d v="2026-02-26T00:00:00"/>
    <x v="3"/>
    <n v="1"/>
    <n v="2026"/>
    <s v="2026-9"/>
    <s v="Week 9"/>
    <x v="61"/>
  </r>
  <r>
    <d v="2026-02-26T00:00:00"/>
    <x v="3"/>
    <n v="1"/>
    <n v="2026"/>
    <s v="2026-9"/>
    <s v="Week 9"/>
    <x v="61"/>
  </r>
  <r>
    <d v="2026-02-26T00:00:00"/>
    <x v="3"/>
    <n v="1"/>
    <n v="2026"/>
    <s v="2026-9"/>
    <s v="Week 9"/>
    <x v="61"/>
  </r>
  <r>
    <d v="2026-02-26T00:00:00"/>
    <x v="12"/>
    <n v="1"/>
    <n v="2026"/>
    <s v="2026-9"/>
    <s v="Week 9"/>
    <x v="61"/>
  </r>
  <r>
    <d v="2026-02-26T00:00:00"/>
    <x v="27"/>
    <n v="2"/>
    <n v="2026"/>
    <s v="2026-9"/>
    <s v="Week 9"/>
    <x v="61"/>
  </r>
  <r>
    <d v="2026-02-26T00:00:00"/>
    <x v="25"/>
    <n v="1"/>
    <n v="2026"/>
    <s v="2026-9"/>
    <s v="Week 9"/>
    <x v="61"/>
  </r>
  <r>
    <d v="2026-02-26T00:00:00"/>
    <x v="25"/>
    <n v="1"/>
    <n v="2026"/>
    <s v="2026-9"/>
    <s v="Week 9"/>
    <x v="61"/>
  </r>
  <r>
    <d v="2026-02-26T00:00:00"/>
    <x v="25"/>
    <n v="1"/>
    <n v="2026"/>
    <s v="2026-9"/>
    <s v="Week 9"/>
    <x v="61"/>
  </r>
  <r>
    <d v="2026-02-26T00:00:00"/>
    <x v="15"/>
    <n v="1"/>
    <n v="2026"/>
    <s v="2026-9"/>
    <s v="Week 9"/>
    <x v="61"/>
  </r>
  <r>
    <d v="2026-02-26T00:00:00"/>
    <x v="15"/>
    <n v="1"/>
    <n v="2026"/>
    <s v="2026-9"/>
    <s v="Week 9"/>
    <x v="61"/>
  </r>
  <r>
    <d v="2026-02-26T00:00:00"/>
    <x v="19"/>
    <n v="1"/>
    <n v="2026"/>
    <s v="2026-9"/>
    <s v="Week 9"/>
    <x v="61"/>
  </r>
  <r>
    <d v="2026-02-26T00:00:00"/>
    <x v="19"/>
    <n v="1"/>
    <n v="2026"/>
    <s v="2026-9"/>
    <s v="Week 9"/>
    <x v="61"/>
  </r>
  <r>
    <d v="2026-02-26T00:00:00"/>
    <x v="11"/>
    <n v="3"/>
    <n v="2026"/>
    <s v="2026-9"/>
    <s v="Week 9"/>
    <x v="61"/>
  </r>
  <r>
    <d v="2026-02-26T00:00:00"/>
    <x v="11"/>
    <n v="1"/>
    <n v="2026"/>
    <s v="2026-9"/>
    <s v="Week 9"/>
    <x v="61"/>
  </r>
  <r>
    <d v="2026-02-27T00:00:00"/>
    <x v="12"/>
    <n v="4"/>
    <n v="2026"/>
    <s v="2026-9"/>
    <s v="Week 9"/>
    <x v="61"/>
  </r>
  <r>
    <d v="2026-02-27T00:00:00"/>
    <x v="3"/>
    <n v="2"/>
    <n v="2026"/>
    <s v="2026-9"/>
    <s v="Week 9"/>
    <x v="61"/>
  </r>
  <r>
    <d v="2026-02-28T00:00:00"/>
    <x v="3"/>
    <n v="16"/>
    <n v="2026"/>
    <s v="2026-9"/>
    <s v="Week 9"/>
    <x v="61"/>
  </r>
  <r>
    <d v="2026-02-28T00:00:00"/>
    <x v="3"/>
    <n v="14"/>
    <n v="2026"/>
    <s v="2026-9"/>
    <s v="Week 9"/>
    <x v="61"/>
  </r>
  <r>
    <d v="2026-02-28T00:00:00"/>
    <x v="12"/>
    <n v="12"/>
    <n v="2026"/>
    <s v="2026-9"/>
    <s v="Week 9"/>
    <x v="61"/>
  </r>
  <r>
    <d v="2026-02-28T00:00:00"/>
    <x v="14"/>
    <n v="8"/>
    <n v="2026"/>
    <s v="2026-9"/>
    <s v="Week 9"/>
    <x v="61"/>
  </r>
  <r>
    <d v="2026-02-28T00:00:00"/>
    <x v="11"/>
    <n v="8"/>
    <n v="2026"/>
    <s v="2026-9"/>
    <s v="Week 9"/>
    <x v="61"/>
  </r>
  <r>
    <d v="2026-02-28T00:00:00"/>
    <x v="3"/>
    <n v="4"/>
    <n v="2026"/>
    <s v="2026-9"/>
    <s v="Week 9"/>
    <x v="61"/>
  </r>
  <r>
    <d v="2026-02-28T00:00:00"/>
    <x v="18"/>
    <n v="8"/>
    <n v="2026"/>
    <s v="2026-9"/>
    <s v="Week 9"/>
    <x v="61"/>
  </r>
  <r>
    <d v="2026-02-28T00:00:00"/>
    <x v="12"/>
    <n v="4"/>
    <n v="2026"/>
    <s v="2026-9"/>
    <s v="Week 9"/>
    <x v="61"/>
  </r>
  <r>
    <d v="2026-02-28T00:00:00"/>
    <x v="25"/>
    <n v="4"/>
    <n v="2026"/>
    <s v="2026-9"/>
    <s v="Week 9"/>
    <x v="61"/>
  </r>
  <r>
    <d v="2026-02-28T00:00:00"/>
    <x v="10"/>
    <n v="2"/>
    <n v="2026"/>
    <s v="2026-9"/>
    <s v="Week 9"/>
    <x v="61"/>
  </r>
  <r>
    <d v="2026-03-02T00:00:00"/>
    <x v="2"/>
    <n v="10"/>
    <n v="2026"/>
    <s v="2026-10"/>
    <s v="Week 10"/>
    <x v="62"/>
  </r>
  <r>
    <d v="2026-03-02T00:00:00"/>
    <x v="1"/>
    <n v="4"/>
    <n v="2026"/>
    <s v="2026-10"/>
    <s v="Week 10"/>
    <x v="62"/>
  </r>
  <r>
    <d v="2026-03-02T00:00:00"/>
    <x v="19"/>
    <n v="4"/>
    <n v="2026"/>
    <s v="2026-10"/>
    <s v="Week 10"/>
    <x v="62"/>
  </r>
  <r>
    <d v="2026-03-02T00:00:00"/>
    <x v="20"/>
    <n v="2"/>
    <n v="2026"/>
    <s v="2026-10"/>
    <s v="Week 10"/>
    <x v="62"/>
  </r>
  <r>
    <d v="2026-03-02T00:00:00"/>
    <x v="2"/>
    <n v="2"/>
    <n v="2026"/>
    <s v="2026-10"/>
    <s v="Week 10"/>
    <x v="62"/>
  </r>
  <r>
    <d v="2026-03-02T00:00:00"/>
    <x v="33"/>
    <n v="2"/>
    <n v="2026"/>
    <s v="2026-10"/>
    <s v="Week 10"/>
    <x v="62"/>
  </r>
  <r>
    <d v="2026-03-02T00:00:00"/>
    <x v="15"/>
    <n v="1"/>
    <n v="2026"/>
    <s v="2026-10"/>
    <s v="Week 10"/>
    <x v="62"/>
  </r>
  <r>
    <d v="2026-03-03T00:00:00"/>
    <x v="12"/>
    <n v="14"/>
    <n v="2026"/>
    <s v="2026-10"/>
    <s v="Week 10"/>
    <x v="62"/>
  </r>
  <r>
    <d v="2026-03-03T00:00:00"/>
    <x v="12"/>
    <n v="13"/>
    <n v="2026"/>
    <s v="2026-10"/>
    <s v="Week 10"/>
    <x v="62"/>
  </r>
  <r>
    <d v="2026-03-03T00:00:00"/>
    <x v="12"/>
    <n v="11"/>
    <n v="2026"/>
    <s v="2026-10"/>
    <s v="Week 10"/>
    <x v="62"/>
  </r>
  <r>
    <d v="2026-03-03T00:00:00"/>
    <x v="12"/>
    <n v="7"/>
    <n v="2026"/>
    <s v="2026-10"/>
    <s v="Week 10"/>
    <x v="62"/>
  </r>
  <r>
    <d v="2026-03-03T00:00:00"/>
    <x v="12"/>
    <n v="5"/>
    <n v="2026"/>
    <s v="2026-10"/>
    <s v="Week 10"/>
    <x v="62"/>
  </r>
  <r>
    <d v="2026-03-03T00:00:00"/>
    <x v="27"/>
    <n v="4"/>
    <n v="2026"/>
    <s v="2026-10"/>
    <s v="Week 10"/>
    <x v="62"/>
  </r>
  <r>
    <d v="2026-03-03T00:00:00"/>
    <x v="11"/>
    <n v="2"/>
    <n v="2026"/>
    <s v="2026-10"/>
    <s v="Week 10"/>
    <x v="62"/>
  </r>
  <r>
    <d v="2026-03-03T00:00:00"/>
    <x v="12"/>
    <n v="2"/>
    <n v="2026"/>
    <s v="2026-10"/>
    <s v="Week 10"/>
    <x v="62"/>
  </r>
  <r>
    <d v="2026-03-03T00:00:00"/>
    <x v="15"/>
    <n v="2"/>
    <n v="2026"/>
    <s v="2026-10"/>
    <s v="Week 10"/>
    <x v="62"/>
  </r>
  <r>
    <d v="2026-03-03T00:00:00"/>
    <x v="28"/>
    <n v="2"/>
    <n v="2026"/>
    <s v="2026-10"/>
    <s v="Week 10"/>
    <x v="62"/>
  </r>
  <r>
    <d v="2026-03-04T00:00:00"/>
    <x v="10"/>
    <n v="24"/>
    <n v="2026"/>
    <s v="2026-10"/>
    <s v="Week 10"/>
    <x v="62"/>
  </r>
  <r>
    <d v="2026-03-04T00:00:00"/>
    <x v="12"/>
    <n v="22"/>
    <n v="2026"/>
    <s v="2026-10"/>
    <s v="Week 10"/>
    <x v="62"/>
  </r>
  <r>
    <d v="2026-03-04T00:00:00"/>
    <x v="14"/>
    <n v="10"/>
    <n v="2026"/>
    <s v="2026-10"/>
    <s v="Week 10"/>
    <x v="62"/>
  </r>
  <r>
    <d v="2026-03-04T00:00:00"/>
    <x v="11"/>
    <n v="12"/>
    <n v="2026"/>
    <s v="2026-10"/>
    <s v="Week 10"/>
    <x v="62"/>
  </r>
  <r>
    <d v="2026-03-04T00:00:00"/>
    <x v="10"/>
    <n v="10"/>
    <n v="2026"/>
    <s v="2026-10"/>
    <s v="Week 10"/>
    <x v="62"/>
  </r>
  <r>
    <d v="2026-03-04T00:00:00"/>
    <x v="15"/>
    <n v="12"/>
    <n v="2026"/>
    <s v="2026-10"/>
    <s v="Week 10"/>
    <x v="62"/>
  </r>
  <r>
    <d v="2026-03-04T00:00:00"/>
    <x v="12"/>
    <n v="8"/>
    <n v="2026"/>
    <s v="2026-10"/>
    <s v="Week 10"/>
    <x v="62"/>
  </r>
  <r>
    <d v="2026-03-04T00:00:00"/>
    <x v="12"/>
    <n v="8"/>
    <n v="2026"/>
    <s v="2026-10"/>
    <s v="Week 10"/>
    <x v="62"/>
  </r>
  <r>
    <d v="2026-03-04T00:00:00"/>
    <x v="2"/>
    <n v="7"/>
    <n v="2026"/>
    <s v="2026-10"/>
    <s v="Week 10"/>
    <x v="62"/>
  </r>
  <r>
    <d v="2026-03-04T00:00:00"/>
    <x v="27"/>
    <n v="12"/>
    <n v="2026"/>
    <s v="2026-10"/>
    <s v="Week 10"/>
    <x v="62"/>
  </r>
  <r>
    <d v="2026-03-04T00:00:00"/>
    <x v="10"/>
    <n v="4"/>
    <n v="2026"/>
    <s v="2026-10"/>
    <s v="Week 10"/>
    <x v="62"/>
  </r>
  <r>
    <d v="2026-03-04T00:00:00"/>
    <x v="3"/>
    <n v="4"/>
    <n v="2026"/>
    <s v="2026-10"/>
    <s v="Week 10"/>
    <x v="62"/>
  </r>
  <r>
    <d v="2026-03-04T00:00:00"/>
    <x v="12"/>
    <n v="5"/>
    <n v="2026"/>
    <s v="2026-10"/>
    <s v="Week 10"/>
    <x v="62"/>
  </r>
  <r>
    <d v="2026-03-04T00:00:00"/>
    <x v="27"/>
    <n v="8"/>
    <n v="2026"/>
    <s v="2026-10"/>
    <s v="Week 10"/>
    <x v="62"/>
  </r>
  <r>
    <d v="2026-03-04T00:00:00"/>
    <x v="15"/>
    <n v="6"/>
    <n v="2026"/>
    <s v="2026-10"/>
    <s v="Week 10"/>
    <x v="62"/>
  </r>
  <r>
    <d v="2026-03-04T00:00:00"/>
    <x v="27"/>
    <n v="6"/>
    <n v="2026"/>
    <s v="2026-10"/>
    <s v="Week 10"/>
    <x v="62"/>
  </r>
  <r>
    <d v="2026-03-04T00:00:00"/>
    <x v="12"/>
    <n v="4"/>
    <n v="2026"/>
    <s v="2026-10"/>
    <s v="Week 10"/>
    <x v="62"/>
  </r>
  <r>
    <d v="2026-03-04T00:00:00"/>
    <x v="12"/>
    <n v="4"/>
    <n v="2026"/>
    <s v="2026-10"/>
    <s v="Week 10"/>
    <x v="62"/>
  </r>
  <r>
    <d v="2026-03-04T00:00:00"/>
    <x v="12"/>
    <n v="4"/>
    <n v="2026"/>
    <s v="2026-10"/>
    <s v="Week 10"/>
    <x v="62"/>
  </r>
  <r>
    <d v="2026-03-04T00:00:00"/>
    <x v="12"/>
    <n v="4"/>
    <n v="2026"/>
    <s v="2026-10"/>
    <s v="Week 10"/>
    <x v="62"/>
  </r>
  <r>
    <d v="2026-03-04T00:00:00"/>
    <x v="18"/>
    <n v="6"/>
    <n v="2026"/>
    <s v="2026-10"/>
    <s v="Week 10"/>
    <x v="62"/>
  </r>
  <r>
    <d v="2026-03-04T00:00:00"/>
    <x v="17"/>
    <n v="2"/>
    <n v="2026"/>
    <s v="2026-10"/>
    <s v="Week 10"/>
    <x v="62"/>
  </r>
  <r>
    <d v="2026-03-04T00:00:00"/>
    <x v="14"/>
    <n v="2"/>
    <n v="2026"/>
    <s v="2026-10"/>
    <s v="Week 10"/>
    <x v="62"/>
  </r>
  <r>
    <d v="2026-03-04T00:00:00"/>
    <x v="17"/>
    <n v="2"/>
    <n v="2026"/>
    <s v="2026-10"/>
    <s v="Week 10"/>
    <x v="62"/>
  </r>
  <r>
    <d v="2026-03-04T00:00:00"/>
    <x v="12"/>
    <n v="3"/>
    <n v="2026"/>
    <s v="2026-10"/>
    <s v="Week 10"/>
    <x v="62"/>
  </r>
  <r>
    <d v="2026-03-04T00:00:00"/>
    <x v="12"/>
    <n v="3"/>
    <n v="2026"/>
    <s v="2026-10"/>
    <s v="Week 10"/>
    <x v="62"/>
  </r>
  <r>
    <d v="2026-03-04T00:00:00"/>
    <x v="3"/>
    <n v="2"/>
    <n v="2026"/>
    <s v="2026-10"/>
    <s v="Week 10"/>
    <x v="62"/>
  </r>
  <r>
    <d v="2026-03-04T00:00:00"/>
    <x v="3"/>
    <n v="2"/>
    <n v="2026"/>
    <s v="2026-10"/>
    <s v="Week 10"/>
    <x v="62"/>
  </r>
  <r>
    <d v="2026-03-04T00:00:00"/>
    <x v="3"/>
    <n v="2"/>
    <n v="2026"/>
    <s v="2026-10"/>
    <s v="Week 10"/>
    <x v="62"/>
  </r>
  <r>
    <d v="2026-03-04T00:00:00"/>
    <x v="12"/>
    <n v="2"/>
    <n v="2026"/>
    <s v="2026-10"/>
    <s v="Week 10"/>
    <x v="62"/>
  </r>
  <r>
    <d v="2026-03-04T00:00:00"/>
    <x v="11"/>
    <n v="2"/>
    <n v="2026"/>
    <s v="2026-10"/>
    <s v="Week 10"/>
    <x v="62"/>
  </r>
  <r>
    <d v="2026-03-04T00:00:00"/>
    <x v="11"/>
    <n v="2"/>
    <n v="2026"/>
    <s v="2026-10"/>
    <s v="Week 10"/>
    <x v="62"/>
  </r>
  <r>
    <d v="2026-03-04T00:00:00"/>
    <x v="12"/>
    <n v="2"/>
    <n v="2026"/>
    <s v="2026-10"/>
    <s v="Week 10"/>
    <x v="62"/>
  </r>
  <r>
    <d v="2026-03-04T00:00:00"/>
    <x v="12"/>
    <n v="2"/>
    <n v="2026"/>
    <s v="2026-10"/>
    <s v="Week 10"/>
    <x v="62"/>
  </r>
  <r>
    <d v="2026-03-04T00:00:00"/>
    <x v="25"/>
    <n v="2"/>
    <n v="2026"/>
    <s v="2026-10"/>
    <s v="Week 10"/>
    <x v="62"/>
  </r>
  <r>
    <d v="2026-03-04T00:00:00"/>
    <x v="12"/>
    <n v="1"/>
    <n v="2026"/>
    <s v="2026-10"/>
    <s v="Week 10"/>
    <x v="62"/>
  </r>
  <r>
    <d v="2026-03-07T00:00:00"/>
    <x v="3"/>
    <n v="16"/>
    <n v="2026"/>
    <s v="2026-10"/>
    <s v="Week 10"/>
    <x v="62"/>
  </r>
  <r>
    <d v="2026-03-07T00:00:00"/>
    <x v="14"/>
    <n v="8"/>
    <n v="2026"/>
    <s v="2026-10"/>
    <s v="Week 10"/>
    <x v="62"/>
  </r>
  <r>
    <d v="2026-03-07T00:00:00"/>
    <x v="5"/>
    <n v="4"/>
    <n v="2026"/>
    <s v="2026-10"/>
    <s v="Week 10"/>
    <x v="62"/>
  </r>
  <r>
    <d v="2026-03-07T00:00:00"/>
    <x v="27"/>
    <n v="10"/>
    <n v="2026"/>
    <s v="2026-10"/>
    <s v="Week 10"/>
    <x v="62"/>
  </r>
  <r>
    <d v="2026-03-07T00:00:00"/>
    <x v="6"/>
    <n v="2"/>
    <n v="2026"/>
    <s v="2026-10"/>
    <s v="Week 10"/>
    <x v="62"/>
  </r>
  <r>
    <d v="2026-03-07T00:00:00"/>
    <x v="25"/>
    <n v="4"/>
    <n v="2026"/>
    <s v="2026-10"/>
    <s v="Week 10"/>
    <x v="62"/>
  </r>
  <r>
    <d v="2026-03-07T00:00:00"/>
    <x v="12"/>
    <n v="4"/>
    <n v="2026"/>
    <s v="2026-10"/>
    <s v="Week 10"/>
    <x v="62"/>
  </r>
  <r>
    <d v="2026-03-07T00:00:00"/>
    <x v="3"/>
    <n v="2"/>
    <n v="2026"/>
    <s v="2026-10"/>
    <s v="Week 10"/>
    <x v="62"/>
  </r>
  <r>
    <d v="2026-03-07T00:00:00"/>
    <x v="18"/>
    <n v="3"/>
    <n v="2026"/>
    <s v="2026-10"/>
    <s v="Week 10"/>
    <x v="62"/>
  </r>
  <r>
    <d v="2026-03-07T00:00:00"/>
    <x v="15"/>
    <n v="2"/>
    <n v="2026"/>
    <s v="2026-10"/>
    <s v="Week 10"/>
    <x v="62"/>
  </r>
  <r>
    <d v="2026-03-10T00:00:00"/>
    <x v="3"/>
    <n v="6"/>
    <n v="2026"/>
    <s v="2026-11"/>
    <s v="Week 11"/>
    <x v="63"/>
  </r>
  <r>
    <d v="2026-03-11T00:00:00"/>
    <x v="10"/>
    <n v="21"/>
    <n v="2026"/>
    <s v="2026-11"/>
    <s v="Week 11"/>
    <x v="63"/>
  </r>
  <r>
    <d v="2026-03-11T00:00:00"/>
    <x v="11"/>
    <n v="22"/>
    <n v="2026"/>
    <s v="2026-11"/>
    <s v="Week 11"/>
    <x v="63"/>
  </r>
  <r>
    <d v="2026-03-11T00:00:00"/>
    <x v="12"/>
    <n v="24"/>
    <n v="2026"/>
    <s v="2026-11"/>
    <s v="Week 11"/>
    <x v="63"/>
  </r>
  <r>
    <d v="2026-03-11T00:00:00"/>
    <x v="10"/>
    <n v="11"/>
    <n v="2026"/>
    <s v="2026-11"/>
    <s v="Week 11"/>
    <x v="63"/>
  </r>
  <r>
    <d v="2026-03-11T00:00:00"/>
    <x v="15"/>
    <n v="21"/>
    <n v="2026"/>
    <s v="2026-11"/>
    <s v="Week 11"/>
    <x v="63"/>
  </r>
  <r>
    <d v="2026-03-11T00:00:00"/>
    <x v="3"/>
    <n v="11"/>
    <n v="2026"/>
    <s v="2026-11"/>
    <s v="Week 11"/>
    <x v="63"/>
  </r>
  <r>
    <d v="2026-03-11T00:00:00"/>
    <x v="3"/>
    <n v="10"/>
    <n v="2026"/>
    <s v="2026-11"/>
    <s v="Week 11"/>
    <x v="63"/>
  </r>
  <r>
    <d v="2026-03-11T00:00:00"/>
    <x v="14"/>
    <n v="8"/>
    <n v="2026"/>
    <s v="2026-11"/>
    <s v="Week 11"/>
    <x v="63"/>
  </r>
  <r>
    <d v="2026-03-11T00:00:00"/>
    <x v="11"/>
    <n v="10"/>
    <n v="2026"/>
    <s v="2026-11"/>
    <s v="Week 11"/>
    <x v="63"/>
  </r>
  <r>
    <d v="2026-03-11T00:00:00"/>
    <x v="15"/>
    <n v="11"/>
    <n v="2026"/>
    <s v="2026-11"/>
    <s v="Week 11"/>
    <x v="63"/>
  </r>
  <r>
    <d v="2026-03-11T00:00:00"/>
    <x v="3"/>
    <n v="6"/>
    <n v="2026"/>
    <s v="2026-11"/>
    <s v="Week 11"/>
    <x v="63"/>
  </r>
  <r>
    <d v="2026-03-11T00:00:00"/>
    <x v="9"/>
    <n v="6"/>
    <n v="2026"/>
    <s v="2026-11"/>
    <s v="Week 11"/>
    <x v="63"/>
  </r>
  <r>
    <d v="2026-03-11T00:00:00"/>
    <x v="12"/>
    <n v="6"/>
    <n v="2026"/>
    <s v="2026-11"/>
    <s v="Week 11"/>
    <x v="63"/>
  </r>
  <r>
    <d v="2026-03-11T00:00:00"/>
    <x v="3"/>
    <n v="4"/>
    <n v="2026"/>
    <s v="2026-11"/>
    <s v="Week 11"/>
    <x v="63"/>
  </r>
  <r>
    <d v="2026-03-11T00:00:00"/>
    <x v="3"/>
    <n v="4"/>
    <n v="2026"/>
    <s v="2026-11"/>
    <s v="Week 11"/>
    <x v="63"/>
  </r>
  <r>
    <d v="2026-03-11T00:00:00"/>
    <x v="3"/>
    <n v="4"/>
    <n v="2026"/>
    <s v="2026-11"/>
    <s v="Week 11"/>
    <x v="63"/>
  </r>
  <r>
    <d v="2026-03-11T00:00:00"/>
    <x v="4"/>
    <n v="8"/>
    <n v="2026"/>
    <s v="2026-11"/>
    <s v="Week 11"/>
    <x v="63"/>
  </r>
  <r>
    <d v="2026-03-11T00:00:00"/>
    <x v="12"/>
    <n v="4"/>
    <n v="2026"/>
    <s v="2026-11"/>
    <s v="Week 11"/>
    <x v="63"/>
  </r>
  <r>
    <d v="2026-03-11T00:00:00"/>
    <x v="2"/>
    <n v="2"/>
    <n v="2026"/>
    <s v="2026-11"/>
    <s v="Week 11"/>
    <x v="63"/>
  </r>
  <r>
    <d v="2026-03-11T00:00:00"/>
    <x v="3"/>
    <n v="1"/>
    <n v="2026"/>
    <s v="2026-11"/>
    <s v="Week 11"/>
    <x v="63"/>
  </r>
  <r>
    <d v="2026-03-11T00:00:00"/>
    <x v="4"/>
    <n v="2"/>
    <n v="2026"/>
    <s v="2026-11"/>
    <s v="Week 11"/>
    <x v="63"/>
  </r>
  <r>
    <d v="2026-03-12T00:00:00"/>
    <x v="3"/>
    <n v="24"/>
    <n v="2026"/>
    <s v="2026-11"/>
    <s v="Week 11"/>
    <x v="63"/>
  </r>
  <r>
    <d v="2026-03-12T00:00:00"/>
    <x v="11"/>
    <n v="18"/>
    <n v="2026"/>
    <s v="2026-11"/>
    <s v="Week 11"/>
    <x v="63"/>
  </r>
  <r>
    <d v="2026-03-12T00:00:00"/>
    <x v="12"/>
    <n v="12"/>
    <n v="2026"/>
    <s v="2026-11"/>
    <s v="Week 11"/>
    <x v="63"/>
  </r>
  <r>
    <d v="2026-03-12T00:00:00"/>
    <x v="14"/>
    <n v="6"/>
    <n v="2026"/>
    <s v="2026-11"/>
    <s v="Week 11"/>
    <x v="63"/>
  </r>
  <r>
    <d v="2026-03-12T00:00:00"/>
    <x v="10"/>
    <n v="4"/>
    <n v="2026"/>
    <s v="2026-11"/>
    <s v="Week 11"/>
    <x v="63"/>
  </r>
  <r>
    <d v="2026-03-12T00:00:00"/>
    <x v="11"/>
    <n v="4"/>
    <n v="2026"/>
    <s v="2026-11"/>
    <s v="Week 11"/>
    <x v="63"/>
  </r>
  <r>
    <d v="2026-03-12T00:00:00"/>
    <x v="12"/>
    <n v="4"/>
    <n v="2026"/>
    <s v="2026-11"/>
    <s v="Week 11"/>
    <x v="63"/>
  </r>
  <r>
    <d v="2026-03-12T00:00:00"/>
    <x v="17"/>
    <n v="2"/>
    <n v="2026"/>
    <s v="2026-11"/>
    <s v="Week 11"/>
    <x v="63"/>
  </r>
  <r>
    <d v="2026-03-12T00:00:00"/>
    <x v="25"/>
    <n v="4"/>
    <n v="2026"/>
    <s v="2026-11"/>
    <s v="Week 11"/>
    <x v="63"/>
  </r>
  <r>
    <d v="2026-03-12T00:00:00"/>
    <x v="14"/>
    <n v="2"/>
    <n v="2026"/>
    <s v="2026-11"/>
    <s v="Week 11"/>
    <x v="63"/>
  </r>
  <r>
    <d v="2026-03-12T00:00:00"/>
    <x v="3"/>
    <n v="2"/>
    <n v="2026"/>
    <s v="2026-11"/>
    <s v="Week 11"/>
    <x v="63"/>
  </r>
  <r>
    <d v="2026-03-13T00:00:00"/>
    <x v="17"/>
    <n v="8"/>
    <n v="2026"/>
    <s v="2026-11"/>
    <s v="Week 11"/>
    <x v="63"/>
  </r>
  <r>
    <d v="2026-03-13T00:00:00"/>
    <x v="17"/>
    <n v="8"/>
    <n v="2026"/>
    <s v="2026-11"/>
    <s v="Week 11"/>
    <x v="63"/>
  </r>
  <r>
    <d v="2026-03-13T00:00:00"/>
    <x v="10"/>
    <n v="8"/>
    <n v="2026"/>
    <s v="2026-11"/>
    <s v="Week 11"/>
    <x v="63"/>
  </r>
  <r>
    <d v="2026-03-13T00:00:00"/>
    <x v="2"/>
    <n v="8"/>
    <n v="2026"/>
    <s v="2026-11"/>
    <s v="Week 11"/>
    <x v="63"/>
  </r>
  <r>
    <d v="2026-03-13T00:00:00"/>
    <x v="2"/>
    <n v="8"/>
    <n v="2026"/>
    <s v="2026-11"/>
    <s v="Week 11"/>
    <x v="63"/>
  </r>
  <r>
    <d v="2026-03-13T00:00:00"/>
    <x v="13"/>
    <n v="4"/>
    <n v="2026"/>
    <s v="2026-11"/>
    <s v="Week 11"/>
    <x v="63"/>
  </r>
  <r>
    <d v="2026-03-13T00:00:00"/>
    <x v="13"/>
    <n v="4"/>
    <n v="2026"/>
    <s v="2026-11"/>
    <s v="Week 11"/>
    <x v="63"/>
  </r>
  <r>
    <d v="2026-03-13T00:00:00"/>
    <x v="19"/>
    <n v="8"/>
    <n v="2026"/>
    <s v="2026-11"/>
    <s v="Week 11"/>
    <x v="63"/>
  </r>
  <r>
    <d v="2026-03-13T00:00:00"/>
    <x v="3"/>
    <n v="4"/>
    <n v="2026"/>
    <s v="2026-11"/>
    <s v="Week 11"/>
    <x v="63"/>
  </r>
  <r>
    <d v="2026-03-13T00:00:00"/>
    <x v="3"/>
    <n v="4"/>
    <n v="2026"/>
    <s v="2026-11"/>
    <s v="Week 11"/>
    <x v="63"/>
  </r>
  <r>
    <d v="2026-03-13T00:00:00"/>
    <x v="25"/>
    <n v="6"/>
    <n v="2026"/>
    <s v="2026-11"/>
    <s v="Week 11"/>
    <x v="63"/>
  </r>
  <r>
    <d v="2026-03-13T00:00:00"/>
    <x v="25"/>
    <n v="6"/>
    <n v="2026"/>
    <s v="2026-11"/>
    <s v="Week 11"/>
    <x v="63"/>
  </r>
  <r>
    <d v="2026-03-13T00:00:00"/>
    <x v="25"/>
    <n v="6"/>
    <n v="2026"/>
    <s v="2026-11"/>
    <s v="Week 11"/>
    <x v="63"/>
  </r>
  <r>
    <d v="2026-03-13T00:00:00"/>
    <x v="11"/>
    <n v="4"/>
    <n v="2026"/>
    <s v="2026-11"/>
    <s v="Week 11"/>
    <x v="63"/>
  </r>
  <r>
    <d v="2026-03-13T00:00:00"/>
    <x v="11"/>
    <n v="4"/>
    <n v="2026"/>
    <s v="2026-11"/>
    <s v="Week 11"/>
    <x v="63"/>
  </r>
  <r>
    <d v="2026-03-13T00:00:00"/>
    <x v="11"/>
    <n v="4"/>
    <n v="2026"/>
    <s v="2026-11"/>
    <s v="Week 11"/>
    <x v="63"/>
  </r>
  <r>
    <d v="2026-03-13T00:00:00"/>
    <x v="20"/>
    <n v="4"/>
    <n v="2026"/>
    <s v="2026-11"/>
    <s v="Week 11"/>
    <x v="63"/>
  </r>
  <r>
    <d v="2026-03-13T00:00:00"/>
    <x v="20"/>
    <n v="4"/>
    <n v="2026"/>
    <s v="2026-11"/>
    <s v="Week 11"/>
    <x v="63"/>
  </r>
  <r>
    <d v="2026-03-13T00:00:00"/>
    <x v="19"/>
    <n v="6"/>
    <n v="2026"/>
    <s v="2026-11"/>
    <s v="Week 11"/>
    <x v="63"/>
  </r>
  <r>
    <d v="2026-03-13T00:00:00"/>
    <x v="28"/>
    <n v="8"/>
    <n v="2026"/>
    <s v="2026-11"/>
    <s v="Week 11"/>
    <x v="63"/>
  </r>
  <r>
    <d v="2026-03-13T00:00:00"/>
    <x v="25"/>
    <n v="4"/>
    <n v="2026"/>
    <s v="2026-11"/>
    <s v="Week 11"/>
    <x v="63"/>
  </r>
  <r>
    <d v="2026-03-13T00:00:00"/>
    <x v="13"/>
    <n v="2"/>
    <n v="2026"/>
    <s v="2026-11"/>
    <s v="Week 11"/>
    <x v="63"/>
  </r>
  <r>
    <d v="2026-03-13T00:00:00"/>
    <x v="13"/>
    <n v="2"/>
    <n v="2026"/>
    <s v="2026-11"/>
    <s v="Week 11"/>
    <x v="63"/>
  </r>
  <r>
    <d v="2026-03-13T00:00:00"/>
    <x v="15"/>
    <n v="4"/>
    <n v="2026"/>
    <s v="2026-11"/>
    <s v="Week 11"/>
    <x v="63"/>
  </r>
  <r>
    <d v="2026-03-13T00:00:00"/>
    <x v="18"/>
    <n v="4"/>
    <n v="2026"/>
    <s v="2026-11"/>
    <s v="Week 11"/>
    <x v="63"/>
  </r>
  <r>
    <d v="2026-03-13T00:00:00"/>
    <x v="12"/>
    <n v="2"/>
    <n v="2026"/>
    <s v="2026-11"/>
    <s v="Week 11"/>
    <x v="63"/>
  </r>
  <r>
    <d v="2026-03-13T00:00:00"/>
    <x v="28"/>
    <n v="4"/>
    <n v="2026"/>
    <s v="2026-11"/>
    <s v="Week 11"/>
    <x v="63"/>
  </r>
  <r>
    <d v="2026-03-13T00:00:00"/>
    <x v="28"/>
    <n v="4"/>
    <n v="2026"/>
    <s v="2026-11"/>
    <s v="Week 11"/>
    <x v="63"/>
  </r>
  <r>
    <d v="2026-03-13T00:00:00"/>
    <x v="26"/>
    <n v="2"/>
    <n v="2026"/>
    <s v="2026-11"/>
    <s v="Week 11"/>
    <x v="63"/>
  </r>
  <r>
    <d v="2026-03-13T00:00:00"/>
    <x v="19"/>
    <n v="2"/>
    <n v="2026"/>
    <s v="2026-11"/>
    <s v="Week 11"/>
    <x v="63"/>
  </r>
  <r>
    <d v="2026-03-13T00:00:00"/>
    <x v="27"/>
    <n v="2"/>
    <n v="2026"/>
    <s v="2026-11"/>
    <s v="Week 11"/>
    <x v="63"/>
  </r>
  <r>
    <d v="2026-03-13T00:00:00"/>
    <x v="18"/>
    <n v="2"/>
    <n v="2026"/>
    <s v="2026-11"/>
    <s v="Week 11"/>
    <x v="63"/>
  </r>
  <r>
    <d v="2026-03-13T00:00:00"/>
    <x v="18"/>
    <n v="2"/>
    <n v="2026"/>
    <s v="2026-11"/>
    <s v="Week 11"/>
    <x v="63"/>
  </r>
  <r>
    <d v="2026-03-13T00:00:00"/>
    <x v="18"/>
    <n v="2"/>
    <n v="2026"/>
    <s v="2026-11"/>
    <s v="Week 11"/>
    <x v="63"/>
  </r>
  <r>
    <d v="2026-03-13T00:00:00"/>
    <x v="30"/>
    <n v="2"/>
    <n v="2026"/>
    <s v="2026-11"/>
    <s v="Week 11"/>
    <x v="63"/>
  </r>
  <r>
    <d v="2026-03-14T00:00:00"/>
    <x v="14"/>
    <n v="16"/>
    <n v="2026"/>
    <s v="2026-11"/>
    <s v="Week 11"/>
    <x v="63"/>
  </r>
  <r>
    <d v="2026-03-14T00:00:00"/>
    <x v="14"/>
    <n v="16"/>
    <n v="2026"/>
    <s v="2026-11"/>
    <s v="Week 11"/>
    <x v="63"/>
  </r>
  <r>
    <d v="2026-03-14T00:00:00"/>
    <x v="3"/>
    <n v="8"/>
    <n v="2026"/>
    <s v="2026-11"/>
    <s v="Week 11"/>
    <x v="63"/>
  </r>
  <r>
    <d v="2026-03-14T00:00:00"/>
    <x v="14"/>
    <n v="12"/>
    <n v="2026"/>
    <s v="2026-11"/>
    <s v="Week 11"/>
    <x v="63"/>
  </r>
  <r>
    <d v="2026-03-14T00:00:00"/>
    <x v="13"/>
    <n v="9"/>
    <n v="2026"/>
    <s v="2026-11"/>
    <s v="Week 11"/>
    <x v="63"/>
  </r>
  <r>
    <d v="2026-03-14T00:00:00"/>
    <x v="12"/>
    <n v="12"/>
    <n v="2026"/>
    <s v="2026-11"/>
    <s v="Week 11"/>
    <x v="63"/>
  </r>
  <r>
    <d v="2026-03-14T00:00:00"/>
    <x v="14"/>
    <n v="8"/>
    <n v="2026"/>
    <s v="2026-11"/>
    <s v="Week 11"/>
    <x v="63"/>
  </r>
  <r>
    <d v="2026-03-14T00:00:00"/>
    <x v="3"/>
    <n v="8"/>
    <n v="2026"/>
    <s v="2026-11"/>
    <s v="Week 11"/>
    <x v="63"/>
  </r>
  <r>
    <d v="2026-03-14T00:00:00"/>
    <x v="6"/>
    <n v="4"/>
    <n v="2026"/>
    <s v="2026-11"/>
    <s v="Week 11"/>
    <x v="63"/>
  </r>
  <r>
    <d v="2026-03-14T00:00:00"/>
    <x v="6"/>
    <n v="4"/>
    <n v="2026"/>
    <s v="2026-11"/>
    <s v="Week 11"/>
    <x v="63"/>
  </r>
  <r>
    <d v="2026-03-14T00:00:00"/>
    <x v="12"/>
    <n v="6"/>
    <n v="2026"/>
    <s v="2026-11"/>
    <s v="Week 11"/>
    <x v="63"/>
  </r>
  <r>
    <d v="2026-03-14T00:00:00"/>
    <x v="15"/>
    <n v="8"/>
    <n v="2026"/>
    <s v="2026-11"/>
    <s v="Week 11"/>
    <x v="63"/>
  </r>
  <r>
    <d v="2026-03-14T00:00:00"/>
    <x v="15"/>
    <n v="8"/>
    <n v="2026"/>
    <s v="2026-11"/>
    <s v="Week 11"/>
    <x v="63"/>
  </r>
  <r>
    <d v="2026-03-14T00:00:00"/>
    <x v="15"/>
    <n v="8"/>
    <n v="2026"/>
    <s v="2026-11"/>
    <s v="Week 11"/>
    <x v="63"/>
  </r>
  <r>
    <d v="2026-03-14T00:00:00"/>
    <x v="3"/>
    <n v="4"/>
    <n v="2026"/>
    <s v="2026-11"/>
    <s v="Week 11"/>
    <x v="63"/>
  </r>
  <r>
    <d v="2026-03-14T00:00:00"/>
    <x v="12"/>
    <n v="4"/>
    <n v="2026"/>
    <s v="2026-11"/>
    <s v="Week 11"/>
    <x v="63"/>
  </r>
  <r>
    <d v="2026-03-14T00:00:00"/>
    <x v="12"/>
    <n v="4"/>
    <n v="2026"/>
    <s v="2026-11"/>
    <s v="Week 11"/>
    <x v="63"/>
  </r>
  <r>
    <d v="2026-03-14T00:00:00"/>
    <x v="12"/>
    <n v="4"/>
    <n v="2026"/>
    <s v="2026-11"/>
    <s v="Week 11"/>
    <x v="63"/>
  </r>
  <r>
    <d v="2026-03-14T00:00:00"/>
    <x v="12"/>
    <n v="4"/>
    <n v="2026"/>
    <s v="2026-11"/>
    <s v="Week 11"/>
    <x v="63"/>
  </r>
  <r>
    <d v="2026-03-14T00:00:00"/>
    <x v="6"/>
    <n v="2"/>
    <n v="2026"/>
    <s v="2026-11"/>
    <s v="Week 11"/>
    <x v="63"/>
  </r>
  <r>
    <d v="2026-03-14T00:00:00"/>
    <x v="6"/>
    <n v="2"/>
    <n v="2026"/>
    <s v="2026-11"/>
    <s v="Week 11"/>
    <x v="63"/>
  </r>
  <r>
    <d v="2026-03-14T00:00:00"/>
    <x v="17"/>
    <n v="2"/>
    <n v="2026"/>
    <s v="2026-11"/>
    <s v="Week 11"/>
    <x v="63"/>
  </r>
  <r>
    <d v="2026-03-14T00:00:00"/>
    <x v="17"/>
    <n v="2"/>
    <n v="2026"/>
    <s v="2026-11"/>
    <s v="Week 11"/>
    <x v="63"/>
  </r>
  <r>
    <d v="2026-03-14T00:00:00"/>
    <x v="11"/>
    <n v="3"/>
    <n v="2026"/>
    <s v="2026-11"/>
    <s v="Week 11"/>
    <x v="63"/>
  </r>
  <r>
    <d v="2026-03-14T00:00:00"/>
    <x v="18"/>
    <n v="6"/>
    <n v="2026"/>
    <s v="2026-11"/>
    <s v="Week 11"/>
    <x v="63"/>
  </r>
  <r>
    <d v="2026-03-14T00:00:00"/>
    <x v="15"/>
    <n v="4"/>
    <n v="2026"/>
    <s v="2026-11"/>
    <s v="Week 11"/>
    <x v="63"/>
  </r>
  <r>
    <d v="2026-03-14T00:00:00"/>
    <x v="3"/>
    <n v="2"/>
    <n v="2026"/>
    <s v="2026-11"/>
    <s v="Week 11"/>
    <x v="63"/>
  </r>
  <r>
    <d v="2026-03-14T00:00:00"/>
    <x v="3"/>
    <n v="2"/>
    <n v="2026"/>
    <s v="2026-11"/>
    <s v="Week 11"/>
    <x v="63"/>
  </r>
  <r>
    <d v="2026-03-14T00:00:00"/>
    <x v="3"/>
    <n v="2"/>
    <n v="2026"/>
    <s v="2026-11"/>
    <s v="Week 11"/>
    <x v="63"/>
  </r>
  <r>
    <d v="2026-03-14T00:00:00"/>
    <x v="3"/>
    <n v="2"/>
    <n v="2026"/>
    <s v="2026-11"/>
    <s v="Week 11"/>
    <x v="63"/>
  </r>
  <r>
    <d v="2026-03-14T00:00:00"/>
    <x v="19"/>
    <n v="4"/>
    <n v="2026"/>
    <s v="2026-11"/>
    <s v="Week 11"/>
    <x v="63"/>
  </r>
  <r>
    <d v="2026-03-14T00:00:00"/>
    <x v="15"/>
    <n v="3"/>
    <n v="2026"/>
    <s v="2026-11"/>
    <s v="Week 11"/>
    <x v="63"/>
  </r>
  <r>
    <d v="2026-03-14T00:00:00"/>
    <x v="27"/>
    <n v="4"/>
    <n v="2026"/>
    <s v="2026-11"/>
    <s v="Week 11"/>
    <x v="63"/>
  </r>
  <r>
    <d v="2026-03-14T00:00:00"/>
    <x v="9"/>
    <n v="2"/>
    <n v="2026"/>
    <s v="2026-11"/>
    <s v="Week 11"/>
    <x v="63"/>
  </r>
  <r>
    <d v="2026-03-14T00:00:00"/>
    <x v="30"/>
    <n v="4"/>
    <n v="2026"/>
    <s v="2026-11"/>
    <s v="Week 11"/>
    <x v="63"/>
  </r>
  <r>
    <d v="2026-03-14T00:00:00"/>
    <x v="28"/>
    <n v="2"/>
    <n v="2026"/>
    <s v="2026-11"/>
    <s v="Week 11"/>
    <x v="63"/>
  </r>
  <r>
    <d v="2026-03-16T00:00:00"/>
    <x v="15"/>
    <n v="12"/>
    <n v="2026"/>
    <s v="2026-12"/>
    <s v="Week 12"/>
    <x v="64"/>
  </r>
  <r>
    <d v="2026-03-16T00:00:00"/>
    <x v="12"/>
    <n v="6"/>
    <n v="2026"/>
    <s v="2026-12"/>
    <s v="Week 12"/>
    <x v="64"/>
  </r>
  <r>
    <d v="2026-03-16T00:00:00"/>
    <x v="19"/>
    <n v="3"/>
    <n v="2026"/>
    <s v="2026-12"/>
    <s v="Week 12"/>
    <x v="64"/>
  </r>
  <r>
    <d v="2026-03-16T00:00:00"/>
    <x v="32"/>
    <n v="4"/>
    <n v="2026"/>
    <s v="2026-12"/>
    <s v="Week 12"/>
    <x v="64"/>
  </r>
  <r>
    <d v="2026-03-16T00:00:00"/>
    <x v="18"/>
    <n v="3"/>
    <n v="2026"/>
    <s v="2026-12"/>
    <s v="Week 12"/>
    <x v="64"/>
  </r>
  <r>
    <d v="2026-03-16T00:00:00"/>
    <x v="28"/>
    <n v="3"/>
    <n v="2026"/>
    <s v="2026-12"/>
    <s v="Week 12"/>
    <x v="64"/>
  </r>
  <r>
    <d v="2026-03-16T00:00:00"/>
    <x v="33"/>
    <n v="2"/>
    <n v="2026"/>
    <s v="2026-12"/>
    <s v="Week 12"/>
    <x v="64"/>
  </r>
  <r>
    <d v="2026-03-16T00:00:00"/>
    <x v="27"/>
    <n v="2"/>
    <n v="2026"/>
    <s v="2026-12"/>
    <s v="Week 12"/>
    <x v="64"/>
  </r>
  <r>
    <d v="2026-03-16T00:00:00"/>
    <x v="18"/>
    <n v="2"/>
    <n v="2026"/>
    <s v="2026-12"/>
    <s v="Week 12"/>
    <x v="64"/>
  </r>
  <r>
    <d v="2026-03-16T00:00:00"/>
    <x v="21"/>
    <n v="2"/>
    <n v="2026"/>
    <s v="2026-12"/>
    <s v="Week 12"/>
    <x v="64"/>
  </r>
  <r>
    <d v="2026-03-16T00:00:00"/>
    <x v="30"/>
    <n v="2"/>
    <n v="2026"/>
    <s v="2026-12"/>
    <s v="Week 12"/>
    <x v="64"/>
  </r>
  <r>
    <d v="2026-03-16T00:00:00"/>
    <x v="4"/>
    <n v="1"/>
    <n v="2026"/>
    <s v="2026-12"/>
    <s v="Week 12"/>
    <x v="64"/>
  </r>
  <r>
    <d v="2026-03-16T00:00:00"/>
    <x v="27"/>
    <n v="1"/>
    <n v="2026"/>
    <s v="2026-12"/>
    <s v="Week 12"/>
    <x v="64"/>
  </r>
  <r>
    <d v="2026-03-16T00:00:00"/>
    <x v="18"/>
    <n v="1"/>
    <n v="2026"/>
    <s v="2026-12"/>
    <s v="Week 12"/>
    <x v="64"/>
  </r>
  <r>
    <d v="2026-03-16T00:00:00"/>
    <x v="28"/>
    <n v="1"/>
    <n v="2026"/>
    <s v="2026-12"/>
    <s v="Week 12"/>
    <x v="64"/>
  </r>
  <r>
    <d v="2026-03-17T00:00:00"/>
    <x v="17"/>
    <n v="15"/>
    <n v="2026"/>
    <s v="2026-12"/>
    <s v="Week 12"/>
    <x v="64"/>
  </r>
  <r>
    <d v="2026-03-17T00:00:00"/>
    <x v="3"/>
    <n v="10"/>
    <n v="2026"/>
    <s v="2026-12"/>
    <s v="Week 12"/>
    <x v="64"/>
  </r>
  <r>
    <d v="2026-03-17T00:00:00"/>
    <x v="11"/>
    <n v="8"/>
    <n v="2026"/>
    <s v="2026-12"/>
    <s v="Week 12"/>
    <x v="64"/>
  </r>
  <r>
    <d v="2026-03-17T00:00:00"/>
    <x v="9"/>
    <n v="8"/>
    <n v="2026"/>
    <s v="2026-12"/>
    <s v="Week 12"/>
    <x v="64"/>
  </r>
  <r>
    <d v="2026-03-17T00:00:00"/>
    <x v="31"/>
    <n v="8"/>
    <n v="2026"/>
    <s v="2026-12"/>
    <s v="Week 12"/>
    <x v="64"/>
  </r>
  <r>
    <d v="2026-03-17T00:00:00"/>
    <x v="14"/>
    <n v="4"/>
    <n v="2026"/>
    <s v="2026-12"/>
    <s v="Week 12"/>
    <x v="64"/>
  </r>
  <r>
    <d v="2026-03-17T00:00:00"/>
    <x v="10"/>
    <n v="3"/>
    <n v="2026"/>
    <s v="2026-12"/>
    <s v="Week 12"/>
    <x v="64"/>
  </r>
  <r>
    <d v="2026-03-17T00:00:00"/>
    <x v="20"/>
    <n v="4"/>
    <n v="2026"/>
    <s v="2026-12"/>
    <s v="Week 12"/>
    <x v="64"/>
  </r>
  <r>
    <d v="2026-03-17T00:00:00"/>
    <x v="12"/>
    <n v="4"/>
    <n v="2026"/>
    <s v="2026-12"/>
    <s v="Week 12"/>
    <x v="64"/>
  </r>
  <r>
    <d v="2026-03-17T00:00:00"/>
    <x v="25"/>
    <n v="4"/>
    <n v="2026"/>
    <s v="2026-12"/>
    <s v="Week 12"/>
    <x v="64"/>
  </r>
  <r>
    <d v="2026-03-17T00:00:00"/>
    <x v="14"/>
    <n v="2"/>
    <n v="2026"/>
    <s v="2026-12"/>
    <s v="Week 12"/>
    <x v="64"/>
  </r>
  <r>
    <d v="2026-03-17T00:00:00"/>
    <x v="10"/>
    <n v="1"/>
    <n v="2026"/>
    <s v="2026-12"/>
    <s v="Week 12"/>
    <x v="64"/>
  </r>
  <r>
    <d v="2026-03-18T00:00:00"/>
    <x v="3"/>
    <n v="29"/>
    <n v="2026"/>
    <s v="2026-12"/>
    <s v="Week 12"/>
    <x v="64"/>
  </r>
  <r>
    <d v="2026-03-18T00:00:00"/>
    <x v="14"/>
    <n v="20"/>
    <n v="2026"/>
    <s v="2026-12"/>
    <s v="Week 12"/>
    <x v="64"/>
  </r>
  <r>
    <d v="2026-03-18T00:00:00"/>
    <x v="3"/>
    <n v="15"/>
    <n v="2026"/>
    <s v="2026-12"/>
    <s v="Week 12"/>
    <x v="64"/>
  </r>
  <r>
    <d v="2026-03-18T00:00:00"/>
    <x v="11"/>
    <n v="16"/>
    <n v="2026"/>
    <s v="2026-12"/>
    <s v="Week 12"/>
    <x v="64"/>
  </r>
  <r>
    <d v="2026-03-18T00:00:00"/>
    <x v="17"/>
    <n v="10"/>
    <n v="2026"/>
    <s v="2026-12"/>
    <s v="Week 12"/>
    <x v="64"/>
  </r>
  <r>
    <d v="2026-03-18T00:00:00"/>
    <x v="10"/>
    <n v="4"/>
    <n v="2026"/>
    <s v="2026-12"/>
    <s v="Week 12"/>
    <x v="64"/>
  </r>
  <r>
    <d v="2026-03-18T00:00:00"/>
    <x v="32"/>
    <n v="3"/>
    <n v="2026"/>
    <s v="2026-12"/>
    <s v="Week 12"/>
    <x v="64"/>
  </r>
  <r>
    <d v="2026-03-18T00:00:00"/>
    <x v="28"/>
    <n v="1"/>
    <n v="2026"/>
    <s v="2026-12"/>
    <s v="Week 12"/>
    <x v="64"/>
  </r>
  <r>
    <d v="2026-03-20T00:00:00"/>
    <x v="5"/>
    <n v="16"/>
    <n v="2026"/>
    <s v="2026-12"/>
    <s v="Week 12"/>
    <x v="64"/>
  </r>
  <r>
    <d v="2026-03-20T00:00:00"/>
    <x v="5"/>
    <n v="14"/>
    <n v="2026"/>
    <s v="2026-12"/>
    <s v="Week 12"/>
    <x v="64"/>
  </r>
  <r>
    <d v="2026-03-20T00:00:00"/>
    <x v="3"/>
    <n v="20"/>
    <n v="2026"/>
    <s v="2026-12"/>
    <s v="Week 12"/>
    <x v="64"/>
  </r>
  <r>
    <d v="2026-03-20T00:00:00"/>
    <x v="3"/>
    <n v="16"/>
    <n v="2026"/>
    <s v="2026-12"/>
    <s v="Week 12"/>
    <x v="64"/>
  </r>
  <r>
    <d v="2026-03-20T00:00:00"/>
    <x v="17"/>
    <n v="11"/>
    <n v="2026"/>
    <s v="2026-12"/>
    <s v="Week 12"/>
    <x v="64"/>
  </r>
  <r>
    <d v="2026-03-20T00:00:00"/>
    <x v="11"/>
    <n v="16"/>
    <n v="2026"/>
    <s v="2026-12"/>
    <s v="Week 12"/>
    <x v="64"/>
  </r>
  <r>
    <d v="2026-03-20T00:00:00"/>
    <x v="12"/>
    <n v="16"/>
    <n v="2026"/>
    <s v="2026-12"/>
    <s v="Week 12"/>
    <x v="64"/>
  </r>
  <r>
    <d v="2026-03-20T00:00:00"/>
    <x v="11"/>
    <n v="12"/>
    <n v="2026"/>
    <s v="2026-12"/>
    <s v="Week 12"/>
    <x v="64"/>
  </r>
  <r>
    <d v="2026-03-20T00:00:00"/>
    <x v="4"/>
    <n v="16"/>
    <n v="2026"/>
    <s v="2026-12"/>
    <s v="Week 12"/>
    <x v="64"/>
  </r>
  <r>
    <d v="2026-03-20T00:00:00"/>
    <x v="12"/>
    <n v="12"/>
    <n v="2026"/>
    <s v="2026-12"/>
    <s v="Week 12"/>
    <x v="64"/>
  </r>
  <r>
    <d v="2026-03-20T00:00:00"/>
    <x v="17"/>
    <n v="8"/>
    <n v="2026"/>
    <s v="2026-12"/>
    <s v="Week 12"/>
    <x v="64"/>
  </r>
  <r>
    <d v="2026-03-20T00:00:00"/>
    <x v="28"/>
    <n v="25"/>
    <n v="2026"/>
    <s v="2026-12"/>
    <s v="Week 12"/>
    <x v="64"/>
  </r>
  <r>
    <d v="2026-03-20T00:00:00"/>
    <x v="14"/>
    <n v="4"/>
    <n v="2026"/>
    <s v="2026-12"/>
    <s v="Week 12"/>
    <x v="64"/>
  </r>
  <r>
    <d v="2026-03-20T00:00:00"/>
    <x v="5"/>
    <n v="4"/>
    <n v="2026"/>
    <s v="2026-12"/>
    <s v="Week 12"/>
    <x v="64"/>
  </r>
  <r>
    <d v="2026-03-20T00:00:00"/>
    <x v="5"/>
    <n v="4"/>
    <n v="2026"/>
    <s v="2026-12"/>
    <s v="Week 12"/>
    <x v="64"/>
  </r>
  <r>
    <d v="2026-03-20T00:00:00"/>
    <x v="40"/>
    <n v="6"/>
    <n v="2026"/>
    <s v="2026-12"/>
    <s v="Week 12"/>
    <x v="64"/>
  </r>
  <r>
    <d v="2026-03-20T00:00:00"/>
    <x v="32"/>
    <n v="10"/>
    <n v="2026"/>
    <s v="2026-12"/>
    <s v="Week 12"/>
    <x v="64"/>
  </r>
  <r>
    <d v="2026-03-20T00:00:00"/>
    <x v="30"/>
    <n v="9"/>
    <n v="2026"/>
    <s v="2026-12"/>
    <s v="Week 12"/>
    <x v="64"/>
  </r>
  <r>
    <d v="2026-03-20T00:00:00"/>
    <x v="15"/>
    <n v="3"/>
    <n v="2026"/>
    <s v="2026-12"/>
    <s v="Week 12"/>
    <x v="64"/>
  </r>
  <r>
    <d v="2026-03-20T00:00:00"/>
    <x v="19"/>
    <n v="4"/>
    <n v="2026"/>
    <s v="2026-12"/>
    <s v="Week 12"/>
    <x v="64"/>
  </r>
  <r>
    <d v="2026-03-20T00:00:00"/>
    <x v="17"/>
    <n v="1"/>
    <n v="2026"/>
    <s v="2026-12"/>
    <s v="Week 12"/>
    <x v="64"/>
  </r>
  <r>
    <d v="2026-03-20T00:00:00"/>
    <x v="18"/>
    <n v="3"/>
    <n v="2026"/>
    <s v="2026-12"/>
    <s v="Week 12"/>
    <x v="64"/>
  </r>
  <r>
    <d v="2026-03-20T00:00:00"/>
    <x v="19"/>
    <n v="2"/>
    <n v="2026"/>
    <s v="2026-12"/>
    <s v="Week 12"/>
    <x v="64"/>
  </r>
  <r>
    <d v="2026-03-20T00:00:00"/>
    <x v="15"/>
    <n v="2"/>
    <n v="2026"/>
    <s v="2026-12"/>
    <s v="Week 12"/>
    <x v="64"/>
  </r>
  <r>
    <d v="2026-03-20T00:00:00"/>
    <x v="19"/>
    <n v="1"/>
    <n v="2026"/>
    <s v="2026-12"/>
    <s v="Week 12"/>
    <x v="64"/>
  </r>
  <r>
    <d v="2026-03-20T00:00:00"/>
    <x v="21"/>
    <n v="1"/>
    <n v="2026"/>
    <s v="2026-12"/>
    <s v="Week 12"/>
    <x v="64"/>
  </r>
  <r>
    <d v="2026-03-21T00:00:00"/>
    <x v="11"/>
    <n v="22"/>
    <n v="2026"/>
    <s v="2026-12"/>
    <s v="Week 12"/>
    <x v="64"/>
  </r>
  <r>
    <d v="2026-03-21T00:00:00"/>
    <x v="12"/>
    <n v="23"/>
    <n v="2026"/>
    <s v="2026-12"/>
    <s v="Week 12"/>
    <x v="64"/>
  </r>
  <r>
    <d v="2026-03-21T00:00:00"/>
    <x v="10"/>
    <n v="8"/>
    <n v="2026"/>
    <s v="2026-12"/>
    <s v="Week 12"/>
    <x v="64"/>
  </r>
  <r>
    <d v="2026-03-21T00:00:00"/>
    <x v="3"/>
    <n v="8"/>
    <n v="2026"/>
    <s v="2026-12"/>
    <s v="Week 12"/>
    <x v="64"/>
  </r>
  <r>
    <d v="2026-03-21T00:00:00"/>
    <x v="2"/>
    <n v="4"/>
    <n v="2026"/>
    <s v="2026-12"/>
    <s v="Week 12"/>
    <x v="64"/>
  </r>
  <r>
    <d v="2026-03-21T00:00:00"/>
    <x v="15"/>
    <n v="5"/>
    <n v="2026"/>
    <s v="2026-12"/>
    <s v="Week 12"/>
    <x v="64"/>
  </r>
  <r>
    <d v="2026-03-21T00:00:00"/>
    <x v="25"/>
    <n v="4"/>
    <n v="2026"/>
    <s v="2026-12"/>
    <s v="Week 12"/>
    <x v="64"/>
  </r>
  <r>
    <d v="2026-03-21T00:00:00"/>
    <x v="17"/>
    <n v="2"/>
    <n v="2026"/>
    <s v="2026-12"/>
    <s v="Week 12"/>
    <x v="64"/>
  </r>
  <r>
    <d v="2026-03-21T00:00:00"/>
    <x v="14"/>
    <n v="2"/>
    <n v="2026"/>
    <s v="2026-12"/>
    <s v="Week 12"/>
    <x v="64"/>
  </r>
  <r>
    <d v="2026-03-21T00:00:00"/>
    <x v="27"/>
    <n v="2"/>
    <n v="2026"/>
    <s v="2026-12"/>
    <s v="Week 12"/>
    <x v="64"/>
  </r>
  <r>
    <d v="2026-03-23T00:00:00"/>
    <x v="42"/>
    <n v="16"/>
    <n v="2026"/>
    <s v="2026-13"/>
    <s v="Week 13"/>
    <x v="65"/>
  </r>
  <r>
    <d v="2026-03-23T00:00:00"/>
    <x v="12"/>
    <n v="23"/>
    <n v="2026"/>
    <s v="2026-13"/>
    <s v="Week 13"/>
    <x v="65"/>
  </r>
  <r>
    <d v="2026-03-23T00:00:00"/>
    <x v="12"/>
    <n v="16"/>
    <n v="2026"/>
    <s v="2026-13"/>
    <s v="Week 13"/>
    <x v="65"/>
  </r>
  <r>
    <d v="2026-03-23T00:00:00"/>
    <x v="3"/>
    <n v="12"/>
    <n v="2026"/>
    <s v="2026-13"/>
    <s v="Week 13"/>
    <x v="65"/>
  </r>
  <r>
    <d v="2026-03-23T00:00:00"/>
    <x v="12"/>
    <n v="12"/>
    <n v="2026"/>
    <s v="2026-13"/>
    <s v="Week 13"/>
    <x v="65"/>
  </r>
  <r>
    <d v="2026-03-23T00:00:00"/>
    <x v="3"/>
    <n v="10"/>
    <n v="2026"/>
    <s v="2026-13"/>
    <s v="Week 13"/>
    <x v="65"/>
  </r>
  <r>
    <d v="2026-03-23T00:00:00"/>
    <x v="11"/>
    <n v="8"/>
    <n v="2026"/>
    <s v="2026-13"/>
    <s v="Week 13"/>
    <x v="65"/>
  </r>
  <r>
    <d v="2026-03-23T00:00:00"/>
    <x v="11"/>
    <n v="8"/>
    <n v="2026"/>
    <s v="2026-13"/>
    <s v="Week 13"/>
    <x v="65"/>
  </r>
  <r>
    <d v="2026-03-23T00:00:00"/>
    <x v="12"/>
    <n v="10"/>
    <n v="2026"/>
    <s v="2026-13"/>
    <s v="Week 13"/>
    <x v="65"/>
  </r>
  <r>
    <d v="2026-03-23T00:00:00"/>
    <x v="17"/>
    <n v="4"/>
    <n v="2026"/>
    <s v="2026-13"/>
    <s v="Week 13"/>
    <x v="65"/>
  </r>
  <r>
    <d v="2026-03-23T00:00:00"/>
    <x v="38"/>
    <n v="6"/>
    <n v="2026"/>
    <s v="2026-13"/>
    <s v="Week 13"/>
    <x v="65"/>
  </r>
  <r>
    <d v="2026-03-23T00:00:00"/>
    <x v="15"/>
    <n v="8"/>
    <n v="2026"/>
    <s v="2026-13"/>
    <s v="Week 13"/>
    <x v="65"/>
  </r>
  <r>
    <d v="2026-03-23T00:00:00"/>
    <x v="32"/>
    <n v="16"/>
    <n v="2026"/>
    <s v="2026-13"/>
    <s v="Week 13"/>
    <x v="65"/>
  </r>
  <r>
    <d v="2026-03-23T00:00:00"/>
    <x v="15"/>
    <n v="6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3"/>
    <n v="4"/>
    <n v="2026"/>
    <s v="2026-13"/>
    <s v="Week 13"/>
    <x v="65"/>
  </r>
  <r>
    <d v="2026-03-23T00:00:00"/>
    <x v="11"/>
    <n v="4"/>
    <n v="2026"/>
    <s v="2026-13"/>
    <s v="Week 13"/>
    <x v="65"/>
  </r>
  <r>
    <d v="2026-03-23T00:00:00"/>
    <x v="9"/>
    <n v="4"/>
    <n v="2026"/>
    <s v="2026-13"/>
    <s v="Week 13"/>
    <x v="65"/>
  </r>
  <r>
    <d v="2026-03-23T00:00:00"/>
    <x v="18"/>
    <n v="8"/>
    <n v="2026"/>
    <s v="2026-13"/>
    <s v="Week 13"/>
    <x v="65"/>
  </r>
  <r>
    <d v="2026-03-23T00:00:00"/>
    <x v="17"/>
    <n v="2"/>
    <n v="2026"/>
    <s v="2026-13"/>
    <s v="Week 13"/>
    <x v="65"/>
  </r>
  <r>
    <d v="2026-03-23T00:00:00"/>
    <x v="17"/>
    <n v="2"/>
    <n v="2026"/>
    <s v="2026-13"/>
    <s v="Week 13"/>
    <x v="65"/>
  </r>
  <r>
    <d v="2026-03-23T00:00:00"/>
    <x v="12"/>
    <n v="4"/>
    <n v="2026"/>
    <s v="2026-13"/>
    <s v="Week 13"/>
    <x v="65"/>
  </r>
  <r>
    <d v="2026-03-23T00:00:00"/>
    <x v="15"/>
    <n v="4"/>
    <n v="2026"/>
    <s v="2026-13"/>
    <s v="Week 13"/>
    <x v="65"/>
  </r>
  <r>
    <d v="2026-03-23T00:00:00"/>
    <x v="3"/>
    <n v="2"/>
    <n v="2026"/>
    <s v="2026-13"/>
    <s v="Week 13"/>
    <x v="65"/>
  </r>
  <r>
    <d v="2026-03-23T00:00:00"/>
    <x v="3"/>
    <n v="2"/>
    <n v="2026"/>
    <s v="2026-13"/>
    <s v="Week 13"/>
    <x v="65"/>
  </r>
  <r>
    <d v="2026-03-23T00:00:00"/>
    <x v="3"/>
    <n v="2"/>
    <n v="2026"/>
    <s v="2026-13"/>
    <s v="Week 13"/>
    <x v="65"/>
  </r>
  <r>
    <d v="2026-03-23T00:00:00"/>
    <x v="3"/>
    <n v="2"/>
    <n v="2026"/>
    <s v="2026-13"/>
    <s v="Week 13"/>
    <x v="65"/>
  </r>
  <r>
    <d v="2026-03-23T00:00:00"/>
    <x v="3"/>
    <n v="2"/>
    <n v="2026"/>
    <s v="2026-13"/>
    <s v="Week 13"/>
    <x v="65"/>
  </r>
  <r>
    <d v="2026-03-23T00:00:00"/>
    <x v="49"/>
    <n v="2"/>
    <n v="2026"/>
    <s v="2026-13"/>
    <s v="Week 13"/>
    <x v="65"/>
  </r>
  <r>
    <d v="2026-03-23T00:00:00"/>
    <x v="27"/>
    <n v="4"/>
    <n v="2026"/>
    <s v="2026-13"/>
    <s v="Week 13"/>
    <x v="65"/>
  </r>
  <r>
    <d v="2026-03-23T00:00:00"/>
    <x v="27"/>
    <n v="4"/>
    <n v="2026"/>
    <s v="2026-13"/>
    <s v="Week 13"/>
    <x v="65"/>
  </r>
  <r>
    <d v="2026-03-23T00:00:00"/>
    <x v="27"/>
    <n v="4"/>
    <n v="2026"/>
    <s v="2026-13"/>
    <s v="Week 13"/>
    <x v="65"/>
  </r>
  <r>
    <d v="2026-03-23T00:00:00"/>
    <x v="20"/>
    <n v="2"/>
    <n v="2026"/>
    <s v="2026-13"/>
    <s v="Week 13"/>
    <x v="65"/>
  </r>
  <r>
    <d v="2026-03-23T00:00:00"/>
    <x v="9"/>
    <n v="2"/>
    <n v="2026"/>
    <s v="2026-13"/>
    <s v="Week 13"/>
    <x v="65"/>
  </r>
  <r>
    <d v="2026-03-23T00:00:00"/>
    <x v="21"/>
    <n v="4"/>
    <n v="2026"/>
    <s v="2026-13"/>
    <s v="Week 13"/>
    <x v="65"/>
  </r>
  <r>
    <d v="2026-03-23T00:00:00"/>
    <x v="1"/>
    <n v="2"/>
    <n v="2026"/>
    <s v="2026-13"/>
    <s v="Week 13"/>
    <x v="65"/>
  </r>
  <r>
    <d v="2026-03-23T00:00:00"/>
    <x v="15"/>
    <n v="2"/>
    <n v="2026"/>
    <s v="2026-13"/>
    <s v="Week 13"/>
    <x v="65"/>
  </r>
  <r>
    <d v="2026-03-23T00:00:00"/>
    <x v="15"/>
    <n v="2"/>
    <n v="2026"/>
    <s v="2026-13"/>
    <s v="Week 13"/>
    <x v="65"/>
  </r>
  <r>
    <d v="2026-03-23T00:00:00"/>
    <x v="15"/>
    <n v="2"/>
    <n v="2026"/>
    <s v="2026-13"/>
    <s v="Week 13"/>
    <x v="65"/>
  </r>
  <r>
    <d v="2026-03-23T00:00:00"/>
    <x v="19"/>
    <n v="2"/>
    <n v="2026"/>
    <s v="2026-13"/>
    <s v="Week 13"/>
    <x v="65"/>
  </r>
  <r>
    <d v="2026-03-23T00:00:00"/>
    <x v="12"/>
    <n v="1"/>
    <n v="2026"/>
    <s v="2026-13"/>
    <s v="Week 13"/>
    <x v="65"/>
  </r>
  <r>
    <d v="2026-03-26T00:00:00"/>
    <x v="14"/>
    <n v="26"/>
    <n v="2026"/>
    <s v="2026-13"/>
    <s v="Week 13"/>
    <x v="65"/>
  </r>
  <r>
    <d v="2026-03-26T00:00:00"/>
    <x v="17"/>
    <n v="15"/>
    <n v="2026"/>
    <s v="2026-13"/>
    <s v="Week 13"/>
    <x v="65"/>
  </r>
  <r>
    <d v="2026-03-26T00:00:00"/>
    <x v="14"/>
    <n v="14"/>
    <n v="2026"/>
    <s v="2026-13"/>
    <s v="Week 13"/>
    <x v="65"/>
  </r>
  <r>
    <d v="2026-03-26T00:00:00"/>
    <x v="12"/>
    <n v="16"/>
    <n v="2026"/>
    <s v="2026-13"/>
    <s v="Week 13"/>
    <x v="65"/>
  </r>
  <r>
    <d v="2026-03-26T00:00:00"/>
    <x v="13"/>
    <n v="8"/>
    <n v="2026"/>
    <s v="2026-13"/>
    <s v="Week 13"/>
    <x v="65"/>
  </r>
  <r>
    <d v="2026-03-26T00:00:00"/>
    <x v="10"/>
    <n v="8"/>
    <n v="2026"/>
    <s v="2026-13"/>
    <s v="Week 13"/>
    <x v="65"/>
  </r>
  <r>
    <d v="2026-03-26T00:00:00"/>
    <x v="11"/>
    <n v="8"/>
    <n v="2026"/>
    <s v="2026-13"/>
    <s v="Week 13"/>
    <x v="65"/>
  </r>
  <r>
    <d v="2026-03-26T00:00:00"/>
    <x v="3"/>
    <n v="6"/>
    <n v="2026"/>
    <s v="2026-13"/>
    <s v="Week 13"/>
    <x v="65"/>
  </r>
  <r>
    <d v="2026-03-26T00:00:00"/>
    <x v="12"/>
    <n v="4"/>
    <n v="2026"/>
    <s v="2026-13"/>
    <s v="Week 13"/>
    <x v="65"/>
  </r>
  <r>
    <d v="2026-03-26T00:00:00"/>
    <x v="17"/>
    <n v="1"/>
    <n v="2026"/>
    <s v="2026-13"/>
    <s v="Week 13"/>
    <x v="65"/>
  </r>
  <r>
    <d v="2026-03-28T00:00:00"/>
    <x v="5"/>
    <n v="12"/>
    <n v="2026"/>
    <s v="2026-13"/>
    <s v="Week 13"/>
    <x v="65"/>
  </r>
  <r>
    <d v="2026-03-28T00:00:00"/>
    <x v="12"/>
    <n v="8"/>
    <n v="2026"/>
    <s v="2026-13"/>
    <s v="Week 13"/>
    <x v="65"/>
  </r>
  <r>
    <d v="2026-03-28T00:00:00"/>
    <x v="15"/>
    <n v="1"/>
    <n v="2026"/>
    <s v="2026-13"/>
    <s v="Week 13"/>
    <x v="65"/>
  </r>
  <r>
    <d v="2026-03-30T00:00:00"/>
    <x v="12"/>
    <n v="7"/>
    <n v="2026"/>
    <s v="2026-14"/>
    <s v="Week 14"/>
    <x v="66"/>
  </r>
  <r>
    <d v="2026-03-30T00:00:00"/>
    <x v="3"/>
    <n v="4"/>
    <n v="2026"/>
    <s v="2026-14"/>
    <s v="Week 14"/>
    <x v="66"/>
  </r>
  <r>
    <d v="2026-03-30T00:00:00"/>
    <x v="32"/>
    <n v="10"/>
    <n v="2026"/>
    <s v="2026-14"/>
    <s v="Week 14"/>
    <x v="66"/>
  </r>
  <r>
    <d v="2026-03-30T00:00:00"/>
    <x v="12"/>
    <n v="4"/>
    <n v="2026"/>
    <s v="2026-14"/>
    <s v="Week 14"/>
    <x v="66"/>
  </r>
  <r>
    <d v="2026-03-30T00:00:00"/>
    <x v="30"/>
    <n v="8"/>
    <n v="2026"/>
    <s v="2026-14"/>
    <s v="Week 14"/>
    <x v="66"/>
  </r>
  <r>
    <d v="2026-03-30T00:00:00"/>
    <x v="17"/>
    <n v="2"/>
    <n v="2026"/>
    <s v="2026-14"/>
    <s v="Week 14"/>
    <x v="66"/>
  </r>
  <r>
    <d v="2026-03-30T00:00:00"/>
    <x v="28"/>
    <n v="6"/>
    <n v="2026"/>
    <s v="2026-14"/>
    <s v="Week 14"/>
    <x v="66"/>
  </r>
  <r>
    <d v="2026-03-30T00:00:00"/>
    <x v="3"/>
    <n v="2"/>
    <n v="2026"/>
    <s v="2026-14"/>
    <s v="Week 14"/>
    <x v="66"/>
  </r>
  <r>
    <d v="2026-03-30T00:00:00"/>
    <x v="12"/>
    <n v="1"/>
    <n v="2026"/>
    <s v="2026-14"/>
    <s v="Week 14"/>
    <x v="66"/>
  </r>
  <r>
    <d v="2026-03-31T00:00:00"/>
    <x v="12"/>
    <n v="16"/>
    <n v="2026"/>
    <s v="2026-14"/>
    <s v="Week 14"/>
    <x v="66"/>
  </r>
  <r>
    <d v="2026-03-31T00:00:00"/>
    <x v="42"/>
    <n v="8"/>
    <n v="2026"/>
    <s v="2026-14"/>
    <s v="Week 14"/>
    <x v="66"/>
  </r>
  <r>
    <d v="2026-03-31T00:00:00"/>
    <x v="13"/>
    <n v="6"/>
    <n v="2026"/>
    <s v="2026-14"/>
    <s v="Week 14"/>
    <x v="66"/>
  </r>
  <r>
    <d v="2026-03-31T00:00:00"/>
    <x v="27"/>
    <n v="10"/>
    <n v="2026"/>
    <s v="2026-14"/>
    <s v="Week 14"/>
    <x v="66"/>
  </r>
  <r>
    <d v="2026-03-31T00:00:00"/>
    <x v="39"/>
    <n v="4"/>
    <n v="2026"/>
    <s v="2026-14"/>
    <s v="Week 14"/>
    <x v="66"/>
  </r>
  <r>
    <d v="2026-03-31T00:00:00"/>
    <x v="25"/>
    <n v="4"/>
    <n v="2026"/>
    <s v="2026-14"/>
    <s v="Week 14"/>
    <x v="66"/>
  </r>
  <r>
    <d v="2026-03-31T00:00:00"/>
    <x v="27"/>
    <n v="4"/>
    <n v="2026"/>
    <s v="2026-14"/>
    <s v="Week 14"/>
    <x v="66"/>
  </r>
  <r>
    <d v="2026-03-31T00:00:00"/>
    <x v="27"/>
    <n v="2"/>
    <n v="2026"/>
    <s v="2026-14"/>
    <s v="Week 14"/>
    <x v="66"/>
  </r>
  <r>
    <d v="2026-04-03T00:00:00"/>
    <x v="12"/>
    <n v="22"/>
    <n v="2026"/>
    <s v="2026-14"/>
    <s v="Week 14"/>
    <x v="66"/>
  </r>
  <r>
    <d v="2026-04-03T00:00:00"/>
    <x v="11"/>
    <n v="12"/>
    <n v="2026"/>
    <s v="2026-14"/>
    <s v="Week 14"/>
    <x v="66"/>
  </r>
  <r>
    <d v="2026-04-03T00:00:00"/>
    <x v="10"/>
    <n v="8"/>
    <n v="2026"/>
    <s v="2026-14"/>
    <s v="Week 14"/>
    <x v="66"/>
  </r>
  <r>
    <d v="2026-04-03T00:00:00"/>
    <x v="12"/>
    <n v="12"/>
    <n v="2026"/>
    <s v="2026-14"/>
    <s v="Week 14"/>
    <x v="66"/>
  </r>
  <r>
    <d v="2026-04-03T00:00:00"/>
    <x v="3"/>
    <n v="8"/>
    <n v="2026"/>
    <s v="2026-14"/>
    <s v="Week 14"/>
    <x v="66"/>
  </r>
  <r>
    <d v="2026-04-03T00:00:00"/>
    <x v="12"/>
    <n v="8"/>
    <n v="2026"/>
    <s v="2026-14"/>
    <s v="Week 14"/>
    <x v="66"/>
  </r>
  <r>
    <d v="2026-04-03T00:00:00"/>
    <x v="13"/>
    <n v="4"/>
    <n v="2026"/>
    <s v="2026-14"/>
    <s v="Week 14"/>
    <x v="66"/>
  </r>
  <r>
    <d v="2026-04-03T00:00:00"/>
    <x v="3"/>
    <n v="4"/>
    <n v="2026"/>
    <s v="2026-14"/>
    <s v="Week 14"/>
    <x v="66"/>
  </r>
  <r>
    <d v="2026-04-03T00:00:00"/>
    <x v="3"/>
    <n v="4"/>
    <n v="2026"/>
    <s v="2026-14"/>
    <s v="Week 14"/>
    <x v="66"/>
  </r>
  <r>
    <d v="2026-04-03T00:00:00"/>
    <x v="30"/>
    <n v="8"/>
    <n v="2026"/>
    <s v="2026-14"/>
    <s v="Week 14"/>
    <x v="66"/>
  </r>
  <r>
    <d v="2026-04-03T00:00:00"/>
    <x v="15"/>
    <n v="4"/>
    <n v="2026"/>
    <s v="2026-14"/>
    <s v="Week 14"/>
    <x v="66"/>
  </r>
  <r>
    <d v="2026-04-03T00:00:00"/>
    <x v="15"/>
    <n v="4"/>
    <n v="2026"/>
    <s v="2026-14"/>
    <s v="Week 14"/>
    <x v="66"/>
  </r>
  <r>
    <d v="2026-04-03T00:00:00"/>
    <x v="12"/>
    <n v="2"/>
    <n v="2026"/>
    <s v="2026-14"/>
    <s v="Week 14"/>
    <x v="66"/>
  </r>
  <r>
    <d v="2026-04-03T00:00:00"/>
    <x v="27"/>
    <n v="4"/>
    <n v="2026"/>
    <s v="2026-14"/>
    <s v="Week 14"/>
    <x v="66"/>
  </r>
  <r>
    <d v="2026-04-06T00:00:00"/>
    <x v="12"/>
    <n v="28"/>
    <n v="2026"/>
    <s v="2026-15"/>
    <s v="Week 15"/>
    <x v="67"/>
  </r>
  <r>
    <d v="2026-04-06T00:00:00"/>
    <x v="14"/>
    <n v="16"/>
    <n v="2026"/>
    <s v="2026-15"/>
    <s v="Week 15"/>
    <x v="67"/>
  </r>
  <r>
    <d v="2026-04-06T00:00:00"/>
    <x v="12"/>
    <n v="20"/>
    <n v="2026"/>
    <s v="2026-15"/>
    <s v="Week 15"/>
    <x v="67"/>
  </r>
  <r>
    <d v="2026-04-06T00:00:00"/>
    <x v="15"/>
    <n v="20"/>
    <n v="2026"/>
    <s v="2026-15"/>
    <s v="Week 15"/>
    <x v="67"/>
  </r>
  <r>
    <d v="2026-04-06T00:00:00"/>
    <x v="12"/>
    <n v="12"/>
    <n v="2026"/>
    <s v="2026-15"/>
    <s v="Week 15"/>
    <x v="67"/>
  </r>
  <r>
    <d v="2026-04-06T00:00:00"/>
    <x v="10"/>
    <n v="8"/>
    <n v="2026"/>
    <s v="2026-15"/>
    <s v="Week 15"/>
    <x v="67"/>
  </r>
  <r>
    <d v="2026-04-06T00:00:00"/>
    <x v="12"/>
    <n v="8"/>
    <n v="2026"/>
    <s v="2026-15"/>
    <s v="Week 15"/>
    <x v="67"/>
  </r>
  <r>
    <d v="2026-04-06T00:00:00"/>
    <x v="11"/>
    <n v="6"/>
    <n v="2026"/>
    <s v="2026-15"/>
    <s v="Week 15"/>
    <x v="67"/>
  </r>
  <r>
    <d v="2026-04-06T00:00:00"/>
    <x v="11"/>
    <n v="6"/>
    <n v="2026"/>
    <s v="2026-15"/>
    <s v="Week 15"/>
    <x v="67"/>
  </r>
  <r>
    <d v="2026-04-06T00:00:00"/>
    <x v="3"/>
    <n v="4"/>
    <n v="2026"/>
    <s v="2026-15"/>
    <s v="Week 15"/>
    <x v="67"/>
  </r>
  <r>
    <d v="2026-04-06T00:00:00"/>
    <x v="11"/>
    <n v="4"/>
    <n v="2026"/>
    <s v="2026-15"/>
    <s v="Week 15"/>
    <x v="67"/>
  </r>
  <r>
    <d v="2026-04-06T00:00:00"/>
    <x v="15"/>
    <n v="6"/>
    <n v="2026"/>
    <s v="2026-15"/>
    <s v="Week 15"/>
    <x v="67"/>
  </r>
  <r>
    <d v="2026-04-06T00:00:00"/>
    <x v="25"/>
    <n v="4"/>
    <n v="2026"/>
    <s v="2026-15"/>
    <s v="Week 15"/>
    <x v="67"/>
  </r>
  <r>
    <d v="2026-04-06T00:00:00"/>
    <x v="31"/>
    <n v="4"/>
    <n v="2026"/>
    <s v="2026-15"/>
    <s v="Week 15"/>
    <x v="67"/>
  </r>
  <r>
    <d v="2026-04-06T00:00:00"/>
    <x v="15"/>
    <n v="4"/>
    <n v="2026"/>
    <s v="2026-15"/>
    <s v="Week 15"/>
    <x v="67"/>
  </r>
  <r>
    <d v="2026-04-06T00:00:00"/>
    <x v="19"/>
    <n v="4"/>
    <n v="2026"/>
    <s v="2026-15"/>
    <s v="Week 15"/>
    <x v="67"/>
  </r>
  <r>
    <d v="2026-04-06T00:00:00"/>
    <x v="3"/>
    <n v="2"/>
    <n v="2026"/>
    <s v="2026-15"/>
    <s v="Week 15"/>
    <x v="67"/>
  </r>
  <r>
    <d v="2026-04-06T00:00:00"/>
    <x v="4"/>
    <n v="4"/>
    <n v="2026"/>
    <s v="2026-15"/>
    <s v="Week 15"/>
    <x v="67"/>
  </r>
  <r>
    <d v="2026-04-06T00:00:00"/>
    <x v="15"/>
    <n v="3"/>
    <n v="2026"/>
    <s v="2026-15"/>
    <s v="Week 15"/>
    <x v="67"/>
  </r>
  <r>
    <d v="2026-04-06T00:00:00"/>
    <x v="19"/>
    <n v="2"/>
    <n v="2026"/>
    <s v="2026-15"/>
    <s v="Week 15"/>
    <x v="67"/>
  </r>
  <r>
    <d v="2026-04-06T00:00:00"/>
    <x v="19"/>
    <n v="2"/>
    <n v="2026"/>
    <s v="2026-15"/>
    <s v="Week 15"/>
    <x v="67"/>
  </r>
  <r>
    <d v="2026-04-06T00:00:00"/>
    <x v="3"/>
    <n v="1"/>
    <n v="2026"/>
    <s v="2026-15"/>
    <s v="Week 15"/>
    <x v="67"/>
  </r>
  <r>
    <d v="2026-04-10T00:00:00"/>
    <x v="11"/>
    <n v="22"/>
    <n v="2026"/>
    <s v="2026-15"/>
    <s v="Week 15"/>
    <x v="67"/>
  </r>
  <r>
    <d v="2026-04-10T00:00:00"/>
    <x v="12"/>
    <n v="24"/>
    <n v="2026"/>
    <s v="2026-15"/>
    <s v="Week 15"/>
    <x v="67"/>
  </r>
  <r>
    <d v="2026-04-10T00:00:00"/>
    <x v="3"/>
    <n v="14"/>
    <n v="2026"/>
    <s v="2026-15"/>
    <s v="Week 15"/>
    <x v="67"/>
  </r>
  <r>
    <d v="2026-04-10T00:00:00"/>
    <x v="10"/>
    <n v="8"/>
    <n v="2026"/>
    <s v="2026-15"/>
    <s v="Week 15"/>
    <x v="67"/>
  </r>
  <r>
    <d v="2026-04-10T00:00:00"/>
    <x v="15"/>
    <n v="6"/>
    <n v="2026"/>
    <s v="2026-15"/>
    <s v="Week 15"/>
    <x v="67"/>
  </r>
  <r>
    <d v="2026-04-10T00:00:00"/>
    <x v="12"/>
    <n v="4"/>
    <n v="2026"/>
    <s v="2026-15"/>
    <s v="Week 15"/>
    <x v="67"/>
  </r>
  <r>
    <d v="2026-04-10T00:00:00"/>
    <x v="14"/>
    <n v="2"/>
    <n v="2026"/>
    <s v="2026-15"/>
    <s v="Week 15"/>
    <x v="67"/>
  </r>
  <r>
    <d v="2026-04-10T00:00:00"/>
    <x v="25"/>
    <n v="2"/>
    <n v="2026"/>
    <s v="2026-15"/>
    <s v="Week 15"/>
    <x v="67"/>
  </r>
  <r>
    <d v="2026-04-13T00:00:00"/>
    <x v="12"/>
    <n v="12"/>
    <n v="2026"/>
    <s v="2026-16"/>
    <s v="Week 16"/>
    <x v="68"/>
  </r>
  <r>
    <d v="2026-04-13T00:00:00"/>
    <x v="12"/>
    <n v="8"/>
    <n v="2026"/>
    <s v="2026-16"/>
    <s v="Week 16"/>
    <x v="68"/>
  </r>
  <r>
    <d v="2026-04-13T00:00:00"/>
    <x v="12"/>
    <n v="7"/>
    <n v="2026"/>
    <s v="2026-16"/>
    <s v="Week 16"/>
    <x v="68"/>
  </r>
  <r>
    <d v="2026-04-13T00:00:00"/>
    <x v="11"/>
    <n v="6"/>
    <n v="2026"/>
    <s v="2026-16"/>
    <s v="Week 16"/>
    <x v="68"/>
  </r>
  <r>
    <d v="2026-04-13T00:00:00"/>
    <x v="25"/>
    <n v="8"/>
    <n v="2026"/>
    <s v="2026-16"/>
    <s v="Week 16"/>
    <x v="68"/>
  </r>
  <r>
    <d v="2026-04-13T00:00:00"/>
    <x v="12"/>
    <n v="6"/>
    <n v="2026"/>
    <s v="2026-16"/>
    <s v="Week 16"/>
    <x v="68"/>
  </r>
  <r>
    <d v="2026-04-13T00:00:00"/>
    <x v="14"/>
    <n v="4"/>
    <n v="2026"/>
    <s v="2026-16"/>
    <s v="Week 16"/>
    <x v="68"/>
  </r>
  <r>
    <d v="2026-04-13T00:00:00"/>
    <x v="15"/>
    <n v="8"/>
    <n v="2026"/>
    <s v="2026-16"/>
    <s v="Week 16"/>
    <x v="68"/>
  </r>
  <r>
    <d v="2026-04-13T00:00:00"/>
    <x v="32"/>
    <n v="12"/>
    <n v="2026"/>
    <s v="2026-16"/>
    <s v="Week 16"/>
    <x v="68"/>
  </r>
  <r>
    <d v="2026-04-13T00:00:00"/>
    <x v="3"/>
    <n v="4"/>
    <n v="2026"/>
    <s v="2026-16"/>
    <s v="Week 16"/>
    <x v="68"/>
  </r>
  <r>
    <d v="2026-04-13T00:00:00"/>
    <x v="3"/>
    <n v="4"/>
    <n v="2026"/>
    <s v="2026-16"/>
    <s v="Week 16"/>
    <x v="68"/>
  </r>
  <r>
    <d v="2026-04-13T00:00:00"/>
    <x v="11"/>
    <n v="4"/>
    <n v="2026"/>
    <s v="2026-16"/>
    <s v="Week 16"/>
    <x v="68"/>
  </r>
  <r>
    <d v="2026-04-13T00:00:00"/>
    <x v="48"/>
    <n v="2"/>
    <n v="2026"/>
    <s v="2026-16"/>
    <s v="Week 16"/>
    <x v="68"/>
  </r>
  <r>
    <d v="2026-04-13T00:00:00"/>
    <x v="12"/>
    <n v="3"/>
    <n v="2026"/>
    <s v="2026-16"/>
    <s v="Week 16"/>
    <x v="68"/>
  </r>
  <r>
    <d v="2026-04-13T00:00:00"/>
    <x v="9"/>
    <n v="2"/>
    <n v="2026"/>
    <s v="2026-16"/>
    <s v="Week 16"/>
    <x v="68"/>
  </r>
  <r>
    <d v="2026-04-13T00:00:00"/>
    <x v="19"/>
    <n v="2"/>
    <n v="2026"/>
    <s v="2026-16"/>
    <s v="Week 16"/>
    <x v="68"/>
  </r>
  <r>
    <d v="2026-04-13T00:00:00"/>
    <x v="30"/>
    <n v="2"/>
    <n v="2026"/>
    <s v="2026-16"/>
    <s v="Week 16"/>
    <x v="68"/>
  </r>
  <r>
    <d v="2026-04-14T00:00:00"/>
    <x v="0"/>
    <n v="8"/>
    <n v="2026"/>
    <s v="2026-16"/>
    <s v="Week 16"/>
    <x v="68"/>
  </r>
  <r>
    <d v="2026-04-14T00:00:00"/>
    <x v="5"/>
    <n v="8"/>
    <n v="2026"/>
    <s v="2026-16"/>
    <s v="Week 16"/>
    <x v="68"/>
  </r>
  <r>
    <d v="2026-04-14T00:00:00"/>
    <x v="11"/>
    <n v="12"/>
    <n v="2026"/>
    <s v="2026-16"/>
    <s v="Week 16"/>
    <x v="68"/>
  </r>
  <r>
    <d v="2026-04-14T00:00:00"/>
    <x v="11"/>
    <n v="8"/>
    <n v="2026"/>
    <s v="2026-16"/>
    <s v="Week 16"/>
    <x v="68"/>
  </r>
  <r>
    <d v="2026-04-14T00:00:00"/>
    <x v="13"/>
    <n v="4"/>
    <n v="2026"/>
    <s v="2026-16"/>
    <s v="Week 16"/>
    <x v="68"/>
  </r>
  <r>
    <d v="2026-04-14T00:00:00"/>
    <x v="13"/>
    <n v="4"/>
    <n v="2026"/>
    <s v="2026-16"/>
    <s v="Week 16"/>
    <x v="68"/>
  </r>
  <r>
    <d v="2026-04-14T00:00:00"/>
    <x v="47"/>
    <n v="1"/>
    <n v="2026"/>
    <s v="2026-16"/>
    <s v="Week 16"/>
    <x v="68"/>
  </r>
  <r>
    <d v="2026-04-14T00:00:00"/>
    <x v="47"/>
    <n v="1"/>
    <n v="2026"/>
    <s v="2026-16"/>
    <s v="Week 16"/>
    <x v="68"/>
  </r>
  <r>
    <d v="2026-04-14T00:00:00"/>
    <x v="11"/>
    <n v="5"/>
    <n v="2026"/>
    <s v="2026-16"/>
    <s v="Week 16"/>
    <x v="68"/>
  </r>
  <r>
    <d v="2026-04-14T00:00:00"/>
    <x v="3"/>
    <n v="4"/>
    <n v="2026"/>
    <s v="2026-16"/>
    <s v="Week 16"/>
    <x v="68"/>
  </r>
  <r>
    <d v="2026-04-14T00:00:00"/>
    <x v="3"/>
    <n v="4"/>
    <n v="2026"/>
    <s v="2026-16"/>
    <s v="Week 16"/>
    <x v="68"/>
  </r>
  <r>
    <d v="2026-04-14T00:00:00"/>
    <x v="13"/>
    <n v="2"/>
    <n v="2026"/>
    <s v="2026-16"/>
    <s v="Week 16"/>
    <x v="68"/>
  </r>
  <r>
    <d v="2026-04-14T00:00:00"/>
    <x v="17"/>
    <n v="2"/>
    <n v="2026"/>
    <s v="2026-16"/>
    <s v="Week 16"/>
    <x v="68"/>
  </r>
  <r>
    <d v="2026-04-14T00:00:00"/>
    <x v="3"/>
    <n v="2"/>
    <n v="2026"/>
    <s v="2026-16"/>
    <s v="Week 16"/>
    <x v="68"/>
  </r>
  <r>
    <d v="2026-04-14T00:00:00"/>
    <x v="27"/>
    <n v="2"/>
    <n v="2026"/>
    <s v="2026-16"/>
    <s v="Week 16"/>
    <x v="68"/>
  </r>
  <r>
    <d v="2026-04-15T00:00:00"/>
    <x v="11"/>
    <n v="24"/>
    <n v="2026"/>
    <s v="2026-16"/>
    <s v="Week 16"/>
    <x v="68"/>
  </r>
  <r>
    <d v="2026-04-15T00:00:00"/>
    <x v="13"/>
    <n v="7"/>
    <n v="2026"/>
    <s v="2026-16"/>
    <s v="Week 16"/>
    <x v="68"/>
  </r>
  <r>
    <d v="2026-04-15T00:00:00"/>
    <x v="13"/>
    <n v="4"/>
    <n v="2026"/>
    <s v="2026-16"/>
    <s v="Week 16"/>
    <x v="68"/>
  </r>
  <r>
    <d v="2026-04-15T00:00:00"/>
    <x v="22"/>
    <n v="8"/>
    <n v="2026"/>
    <s v="2026-16"/>
    <s v="Week 16"/>
    <x v="68"/>
  </r>
  <r>
    <d v="2026-04-15T00:00:00"/>
    <x v="3"/>
    <n v="4"/>
    <n v="2026"/>
    <s v="2026-16"/>
    <s v="Week 16"/>
    <x v="68"/>
  </r>
  <r>
    <d v="2026-04-15T00:00:00"/>
    <x v="17"/>
    <n v="2"/>
    <n v="2026"/>
    <s v="2026-16"/>
    <s v="Week 16"/>
    <x v="68"/>
  </r>
  <r>
    <d v="2026-04-15T00:00:00"/>
    <x v="2"/>
    <n v="2"/>
    <n v="2026"/>
    <s v="2026-16"/>
    <s v="Week 16"/>
    <x v="68"/>
  </r>
  <r>
    <d v="2026-04-16T00:00:00"/>
    <x v="12"/>
    <n v="16"/>
    <n v="2026"/>
    <s v="2026-16"/>
    <s v="Week 16"/>
    <x v="68"/>
  </r>
  <r>
    <d v="2026-04-16T00:00:00"/>
    <x v="11"/>
    <n v="14"/>
    <n v="2026"/>
    <s v="2026-16"/>
    <s v="Week 16"/>
    <x v="68"/>
  </r>
  <r>
    <d v="2026-04-16T00:00:00"/>
    <x v="15"/>
    <n v="12"/>
    <n v="2026"/>
    <s v="2026-16"/>
    <s v="Week 16"/>
    <x v="68"/>
  </r>
  <r>
    <d v="2026-04-16T00:00:00"/>
    <x v="25"/>
    <n v="8"/>
    <n v="2026"/>
    <s v="2026-16"/>
    <s v="Week 16"/>
    <x v="68"/>
  </r>
  <r>
    <d v="2026-04-16T00:00:00"/>
    <x v="10"/>
    <n v="4"/>
    <n v="2026"/>
    <s v="2026-16"/>
    <s v="Week 16"/>
    <x v="68"/>
  </r>
  <r>
    <d v="2026-04-16T00:00:00"/>
    <x v="30"/>
    <n v="7"/>
    <n v="2026"/>
    <s v="2026-16"/>
    <s v="Week 16"/>
    <x v="68"/>
  </r>
  <r>
    <d v="2026-04-16T00:00:00"/>
    <x v="4"/>
    <n v="4"/>
    <n v="2026"/>
    <s v="2026-16"/>
    <s v="Week 16"/>
    <x v="68"/>
  </r>
  <r>
    <d v="2026-04-16T00:00:00"/>
    <x v="28"/>
    <n v="2"/>
    <n v="2026"/>
    <s v="2026-16"/>
    <s v="Week 16"/>
    <x v="68"/>
  </r>
  <r>
    <d v="2026-04-17T00:00:00"/>
    <x v="12"/>
    <n v="34"/>
    <n v="2026"/>
    <s v="2026-16"/>
    <s v="Week 16"/>
    <x v="68"/>
  </r>
  <r>
    <d v="2026-04-17T00:00:00"/>
    <x v="11"/>
    <n v="26"/>
    <n v="2026"/>
    <s v="2026-16"/>
    <s v="Week 16"/>
    <x v="68"/>
  </r>
  <r>
    <d v="2026-04-17T00:00:00"/>
    <x v="3"/>
    <n v="22"/>
    <n v="2026"/>
    <s v="2026-16"/>
    <s v="Week 16"/>
    <x v="68"/>
  </r>
  <r>
    <d v="2026-04-17T00:00:00"/>
    <x v="11"/>
    <n v="16"/>
    <n v="2026"/>
    <s v="2026-16"/>
    <s v="Week 16"/>
    <x v="68"/>
  </r>
  <r>
    <d v="2026-04-17T00:00:00"/>
    <x v="15"/>
    <n v="18"/>
    <n v="2026"/>
    <s v="2026-16"/>
    <s v="Week 16"/>
    <x v="68"/>
  </r>
  <r>
    <d v="2026-04-17T00:00:00"/>
    <x v="13"/>
    <n v="8"/>
    <n v="2026"/>
    <s v="2026-16"/>
    <s v="Week 16"/>
    <x v="68"/>
  </r>
  <r>
    <d v="2026-04-17T00:00:00"/>
    <x v="11"/>
    <n v="8"/>
    <n v="2026"/>
    <s v="2026-16"/>
    <s v="Week 16"/>
    <x v="68"/>
  </r>
  <r>
    <d v="2026-04-17T00:00:00"/>
    <x v="10"/>
    <n v="4"/>
    <n v="2026"/>
    <s v="2026-16"/>
    <s v="Week 16"/>
    <x v="68"/>
  </r>
  <r>
    <d v="2026-04-17T00:00:00"/>
    <x v="11"/>
    <n v="4"/>
    <n v="2026"/>
    <s v="2026-16"/>
    <s v="Week 16"/>
    <x v="68"/>
  </r>
  <r>
    <d v="2026-04-17T00:00:00"/>
    <x v="3"/>
    <n v="4"/>
    <n v="2026"/>
    <s v="2026-16"/>
    <s v="Week 16"/>
    <x v="68"/>
  </r>
  <r>
    <d v="2026-04-17T00:00:00"/>
    <x v="3"/>
    <n v="4"/>
    <n v="2026"/>
    <s v="2026-16"/>
    <s v="Week 16"/>
    <x v="68"/>
  </r>
  <r>
    <d v="2026-04-17T00:00:00"/>
    <x v="25"/>
    <n v="6"/>
    <n v="2026"/>
    <s v="2026-16"/>
    <s v="Week 16"/>
    <x v="68"/>
  </r>
  <r>
    <d v="2026-04-17T00:00:00"/>
    <x v="5"/>
    <n v="2"/>
    <n v="2026"/>
    <s v="2026-16"/>
    <s v="Week 16"/>
    <x v="68"/>
  </r>
  <r>
    <d v="2026-04-17T00:00:00"/>
    <x v="14"/>
    <n v="2"/>
    <n v="2026"/>
    <s v="2026-16"/>
    <s v="Week 16"/>
    <x v="68"/>
  </r>
  <r>
    <d v="2026-04-17T00:00:00"/>
    <x v="15"/>
    <n v="4"/>
    <n v="2026"/>
    <s v="2026-16"/>
    <s v="Week 16"/>
    <x v="68"/>
  </r>
  <r>
    <d v="2026-04-17T00:00:00"/>
    <x v="3"/>
    <n v="2"/>
    <n v="2026"/>
    <s v="2026-16"/>
    <s v="Week 16"/>
    <x v="68"/>
  </r>
  <r>
    <d v="2026-04-17T00:00:00"/>
    <x v="18"/>
    <n v="4"/>
    <n v="2026"/>
    <s v="2026-16"/>
    <s v="Week 16"/>
    <x v="68"/>
  </r>
  <r>
    <d v="2026-04-17T00:00:00"/>
    <x v="30"/>
    <n v="4"/>
    <n v="2026"/>
    <s v="2026-16"/>
    <s v="Week 16"/>
    <x v="68"/>
  </r>
  <r>
    <d v="2026-04-17T00:00:00"/>
    <x v="27"/>
    <n v="3"/>
    <n v="2026"/>
    <s v="2026-16"/>
    <s v="Week 16"/>
    <x v="68"/>
  </r>
  <r>
    <d v="2026-04-17T00:00:00"/>
    <x v="28"/>
    <n v="2"/>
    <n v="2026"/>
    <s v="2026-16"/>
    <s v="Week 16"/>
    <x v="68"/>
  </r>
  <r>
    <d v="2026-04-17T00:00:00"/>
    <x v="30"/>
    <n v="2"/>
    <n v="2026"/>
    <s v="2026-16"/>
    <s v="Week 16"/>
    <x v="68"/>
  </r>
  <r>
    <d v="2026-04-17T00:00:00"/>
    <x v="21"/>
    <n v="1"/>
    <n v="2026"/>
    <s v="2026-16"/>
    <s v="Week 16"/>
    <x v="68"/>
  </r>
  <r>
    <d v="2026-04-20T00:00:00"/>
    <x v="12"/>
    <n v="20"/>
    <n v="2026"/>
    <s v="2026-17"/>
    <s v="Week 17"/>
    <x v="69"/>
  </r>
  <r>
    <d v="2026-04-20T00:00:00"/>
    <x v="15"/>
    <n v="8"/>
    <n v="2026"/>
    <s v="2026-17"/>
    <s v="Week 17"/>
    <x v="69"/>
  </r>
  <r>
    <d v="2026-04-20T00:00:00"/>
    <x v="18"/>
    <n v="8"/>
    <n v="2026"/>
    <s v="2026-17"/>
    <s v="Week 17"/>
    <x v="69"/>
  </r>
  <r>
    <d v="2026-04-20T00:00:00"/>
    <x v="15"/>
    <n v="6"/>
    <n v="2026"/>
    <s v="2026-17"/>
    <s v="Week 17"/>
    <x v="69"/>
  </r>
  <r>
    <d v="2026-04-20T00:00:00"/>
    <x v="27"/>
    <n v="4"/>
    <n v="2026"/>
    <s v="2026-17"/>
    <s v="Week 17"/>
    <x v="69"/>
  </r>
  <r>
    <d v="2026-04-21T00:00:00"/>
    <x v="13"/>
    <n v="11"/>
    <n v="2026"/>
    <s v="2026-17"/>
    <s v="Week 17"/>
    <x v="69"/>
  </r>
  <r>
    <d v="2026-04-21T00:00:00"/>
    <x v="13"/>
    <n v="5"/>
    <n v="2026"/>
    <s v="2026-17"/>
    <s v="Week 17"/>
    <x v="69"/>
  </r>
  <r>
    <d v="2026-04-21T00:00:00"/>
    <x v="11"/>
    <n v="6"/>
    <n v="2026"/>
    <s v="2026-17"/>
    <s v="Week 17"/>
    <x v="69"/>
  </r>
  <r>
    <d v="2026-04-21T00:00:00"/>
    <x v="3"/>
    <n v="4"/>
    <n v="2026"/>
    <s v="2026-17"/>
    <s v="Week 17"/>
    <x v="69"/>
  </r>
  <r>
    <d v="2026-04-21T00:00:00"/>
    <x v="5"/>
    <n v="2"/>
    <n v="2026"/>
    <s v="2026-17"/>
    <s v="Week 17"/>
    <x v="69"/>
  </r>
  <r>
    <d v="2026-04-21T00:00:00"/>
    <x v="15"/>
    <n v="5"/>
    <n v="2026"/>
    <s v="2026-17"/>
    <s v="Week 17"/>
    <x v="69"/>
  </r>
  <r>
    <d v="2026-04-21T00:00:00"/>
    <x v="27"/>
    <n v="4"/>
    <n v="2026"/>
    <s v="2026-17"/>
    <s v="Week 17"/>
    <x v="69"/>
  </r>
  <r>
    <d v="2026-04-21T00:00:00"/>
    <x v="15"/>
    <n v="3"/>
    <n v="2026"/>
    <s v="2026-17"/>
    <s v="Week 17"/>
    <x v="69"/>
  </r>
  <r>
    <d v="2026-04-21T00:00:00"/>
    <x v="20"/>
    <n v="2"/>
    <n v="2026"/>
    <s v="2026-17"/>
    <s v="Week 17"/>
    <x v="69"/>
  </r>
  <r>
    <d v="2026-04-21T00:00:00"/>
    <x v="2"/>
    <n v="2"/>
    <n v="2026"/>
    <s v="2026-17"/>
    <s v="Week 17"/>
    <x v="69"/>
  </r>
  <r>
    <d v="2026-04-21T00:00:00"/>
    <x v="1"/>
    <n v="2"/>
    <n v="2026"/>
    <s v="2026-17"/>
    <s v="Week 17"/>
    <x v="69"/>
  </r>
  <r>
    <d v="2026-04-23T00:00:00"/>
    <x v="10"/>
    <n v="14"/>
    <n v="2026"/>
    <s v="2026-17"/>
    <s v="Week 17"/>
    <x v="69"/>
  </r>
  <r>
    <d v="2026-04-23T00:00:00"/>
    <x v="13"/>
    <n v="8"/>
    <n v="2026"/>
    <s v="2026-17"/>
    <s v="Week 17"/>
    <x v="69"/>
  </r>
  <r>
    <d v="2026-04-23T00:00:00"/>
    <x v="11"/>
    <n v="8"/>
    <n v="2026"/>
    <s v="2026-17"/>
    <s v="Week 17"/>
    <x v="69"/>
  </r>
  <r>
    <d v="2026-04-23T00:00:00"/>
    <x v="11"/>
    <n v="6"/>
    <n v="2026"/>
    <s v="2026-17"/>
    <s v="Week 17"/>
    <x v="69"/>
  </r>
  <r>
    <d v="2026-04-23T00:00:00"/>
    <x v="25"/>
    <n v="4"/>
    <n v="2026"/>
    <s v="2026-17"/>
    <s v="Week 17"/>
    <x v="69"/>
  </r>
  <r>
    <d v="2026-04-23T00:00:00"/>
    <x v="14"/>
    <n v="2"/>
    <n v="2026"/>
    <s v="2026-17"/>
    <s v="Week 17"/>
    <x v="69"/>
  </r>
  <r>
    <d v="2026-04-23T00:00:00"/>
    <x v="10"/>
    <n v="2"/>
    <n v="2026"/>
    <s v="2026-17"/>
    <s v="Week 17"/>
    <x v="69"/>
  </r>
  <r>
    <d v="2026-04-27T00:00:00"/>
    <x v="11"/>
    <n v="38"/>
    <n v="2026"/>
    <s v="2026-18"/>
    <s v="Week 18"/>
    <x v="70"/>
  </r>
  <r>
    <d v="2026-04-27T00:00:00"/>
    <x v="10"/>
    <n v="24"/>
    <n v="2026"/>
    <s v="2026-18"/>
    <s v="Week 18"/>
    <x v="70"/>
  </r>
  <r>
    <d v="2026-04-27T00:00:00"/>
    <x v="11"/>
    <n v="28"/>
    <n v="2026"/>
    <s v="2026-18"/>
    <s v="Week 18"/>
    <x v="70"/>
  </r>
  <r>
    <d v="2026-04-27T00:00:00"/>
    <x v="14"/>
    <n v="18"/>
    <n v="2026"/>
    <s v="2026-18"/>
    <s v="Week 18"/>
    <x v="70"/>
  </r>
  <r>
    <d v="2026-04-27T00:00:00"/>
    <x v="12"/>
    <n v="24"/>
    <n v="2026"/>
    <s v="2026-18"/>
    <s v="Week 18"/>
    <x v="70"/>
  </r>
  <r>
    <d v="2026-04-27T00:00:00"/>
    <x v="12"/>
    <n v="20"/>
    <n v="2026"/>
    <s v="2026-18"/>
    <s v="Week 18"/>
    <x v="70"/>
  </r>
  <r>
    <d v="2026-04-27T00:00:00"/>
    <x v="10"/>
    <n v="12"/>
    <n v="2026"/>
    <s v="2026-18"/>
    <s v="Week 18"/>
    <x v="70"/>
  </r>
  <r>
    <d v="2026-04-27T00:00:00"/>
    <x v="15"/>
    <n v="22"/>
    <n v="2026"/>
    <s v="2026-18"/>
    <s v="Week 18"/>
    <x v="70"/>
  </r>
  <r>
    <d v="2026-04-27T00:00:00"/>
    <x v="3"/>
    <n v="12"/>
    <n v="2026"/>
    <s v="2026-18"/>
    <s v="Week 18"/>
    <x v="70"/>
  </r>
  <r>
    <d v="2026-04-27T00:00:00"/>
    <x v="17"/>
    <n v="8"/>
    <n v="2026"/>
    <s v="2026-18"/>
    <s v="Week 18"/>
    <x v="70"/>
  </r>
  <r>
    <d v="2026-04-27T00:00:00"/>
    <x v="25"/>
    <n v="8"/>
    <n v="2026"/>
    <s v="2026-18"/>
    <s v="Week 18"/>
    <x v="70"/>
  </r>
  <r>
    <d v="2026-04-27T00:00:00"/>
    <x v="3"/>
    <n v="8"/>
    <n v="2026"/>
    <s v="2026-18"/>
    <s v="Week 18"/>
    <x v="70"/>
  </r>
  <r>
    <d v="2026-04-27T00:00:00"/>
    <x v="14"/>
    <n v="4"/>
    <n v="2026"/>
    <s v="2026-18"/>
    <s v="Week 18"/>
    <x v="70"/>
  </r>
  <r>
    <d v="2026-04-27T00:00:00"/>
    <x v="5"/>
    <n v="4"/>
    <n v="2026"/>
    <s v="2026-18"/>
    <s v="Week 18"/>
    <x v="70"/>
  </r>
  <r>
    <d v="2026-04-27T00:00:00"/>
    <x v="13"/>
    <n v="4"/>
    <n v="2026"/>
    <s v="2026-18"/>
    <s v="Week 18"/>
    <x v="70"/>
  </r>
  <r>
    <d v="2026-04-27T00:00:00"/>
    <x v="15"/>
    <n v="8"/>
    <n v="2026"/>
    <s v="2026-18"/>
    <s v="Week 18"/>
    <x v="70"/>
  </r>
  <r>
    <d v="2026-04-27T00:00:00"/>
    <x v="19"/>
    <n v="8"/>
    <n v="2026"/>
    <s v="2026-18"/>
    <s v="Week 18"/>
    <x v="70"/>
  </r>
  <r>
    <d v="2026-04-27T00:00:00"/>
    <x v="3"/>
    <n v="4"/>
    <n v="2026"/>
    <s v="2026-18"/>
    <s v="Week 18"/>
    <x v="70"/>
  </r>
  <r>
    <d v="2026-04-27T00:00:00"/>
    <x v="15"/>
    <n v="6"/>
    <n v="2026"/>
    <s v="2026-18"/>
    <s v="Week 18"/>
    <x v="70"/>
  </r>
  <r>
    <d v="2026-04-27T00:00:00"/>
    <x v="6"/>
    <n v="2"/>
    <n v="2026"/>
    <s v="2026-18"/>
    <s v="Week 18"/>
    <x v="70"/>
  </r>
  <r>
    <d v="2026-04-27T00:00:00"/>
    <x v="13"/>
    <n v="2"/>
    <n v="2026"/>
    <s v="2026-18"/>
    <s v="Week 18"/>
    <x v="70"/>
  </r>
  <r>
    <d v="2026-04-27T00:00:00"/>
    <x v="17"/>
    <n v="2"/>
    <n v="2026"/>
    <s v="2026-18"/>
    <s v="Week 18"/>
    <x v="70"/>
  </r>
  <r>
    <d v="2026-04-27T00:00:00"/>
    <x v="17"/>
    <n v="2"/>
    <n v="2026"/>
    <s v="2026-18"/>
    <s v="Week 18"/>
    <x v="70"/>
  </r>
  <r>
    <d v="2026-04-27T00:00:00"/>
    <x v="4"/>
    <n v="4"/>
    <n v="2026"/>
    <s v="2026-18"/>
    <s v="Week 18"/>
    <x v="70"/>
  </r>
  <r>
    <d v="2026-04-27T00:00:00"/>
    <x v="2"/>
    <n v="2"/>
    <n v="2026"/>
    <s v="2026-18"/>
    <s v="Week 18"/>
    <x v="70"/>
  </r>
  <r>
    <d v="2026-04-27T00:00:00"/>
    <x v="15"/>
    <n v="2"/>
    <n v="2026"/>
    <s v="2026-18"/>
    <s v="Week 18"/>
    <x v="70"/>
  </r>
  <r>
    <d v="2026-04-27T00:00:00"/>
    <x v="19"/>
    <n v="2"/>
    <n v="2026"/>
    <s v="2026-18"/>
    <s v="Week 18"/>
    <x v="70"/>
  </r>
  <r>
    <d v="2026-04-28T00:00:00"/>
    <x v="12"/>
    <n v="24"/>
    <n v="2026"/>
    <s v="2026-18"/>
    <s v="Week 18"/>
    <x v="70"/>
  </r>
  <r>
    <d v="2026-04-28T00:00:00"/>
    <x v="10"/>
    <n v="16"/>
    <n v="2026"/>
    <s v="2026-18"/>
    <s v="Week 18"/>
    <x v="70"/>
  </r>
  <r>
    <d v="2026-04-28T00:00:00"/>
    <x v="15"/>
    <n v="16"/>
    <n v="2026"/>
    <s v="2026-18"/>
    <s v="Week 18"/>
    <x v="70"/>
  </r>
  <r>
    <d v="2026-04-28T00:00:00"/>
    <x v="3"/>
    <n v="4"/>
    <n v="2026"/>
    <s v="2026-18"/>
    <s v="Week 18"/>
    <x v="70"/>
  </r>
  <r>
    <d v="2026-04-29T00:00:00"/>
    <x v="10"/>
    <n v="6"/>
    <n v="2026"/>
    <s v="2026-18"/>
    <s v="Week 18"/>
    <x v="70"/>
  </r>
  <r>
    <d v="2026-04-29T00:00:00"/>
    <x v="12"/>
    <n v="8"/>
    <n v="2026"/>
    <s v="2026-18"/>
    <s v="Week 18"/>
    <x v="70"/>
  </r>
  <r>
    <d v="2026-04-29T00:00:00"/>
    <x v="15"/>
    <n v="7"/>
    <n v="2026"/>
    <s v="2026-18"/>
    <s v="Week 18"/>
    <x v="70"/>
  </r>
  <r>
    <d v="2026-04-29T00:00:00"/>
    <x v="15"/>
    <n v="4"/>
    <n v="2026"/>
    <s v="2026-18"/>
    <s v="Week 18"/>
    <x v="70"/>
  </r>
  <r>
    <d v="2026-04-29T00:00:00"/>
    <x v="10"/>
    <n v="2"/>
    <n v="2026"/>
    <s v="2026-18"/>
    <s v="Week 18"/>
    <x v="70"/>
  </r>
  <r>
    <d v="2026-04-29T00:00:00"/>
    <x v="18"/>
    <n v="4"/>
    <n v="2026"/>
    <s v="2026-18"/>
    <s v="Week 18"/>
    <x v="70"/>
  </r>
  <r>
    <d v="2026-04-29T00:00:00"/>
    <x v="15"/>
    <n v="2"/>
    <n v="2026"/>
    <s v="2026-18"/>
    <s v="Week 18"/>
    <x v="70"/>
  </r>
  <r>
    <d v="2026-04-29T00:00:00"/>
    <x v="19"/>
    <n v="2"/>
    <n v="2026"/>
    <s v="2026-18"/>
    <s v="Week 18"/>
    <x v="70"/>
  </r>
  <r>
    <d v="2026-04-29T00:00:00"/>
    <x v="27"/>
    <n v="2"/>
    <n v="2026"/>
    <s v="2026-18"/>
    <s v="Week 18"/>
    <x v="70"/>
  </r>
  <r>
    <d v="2026-04-29T00:00:00"/>
    <x v="21"/>
    <n v="2"/>
    <n v="2026"/>
    <s v="2026-18"/>
    <s v="Week 18"/>
    <x v="70"/>
  </r>
  <r>
    <d v="2026-04-29T00:00:00"/>
    <x v="28"/>
    <n v="2"/>
    <n v="2026"/>
    <s v="2026-18"/>
    <s v="Week 18"/>
    <x v="70"/>
  </r>
  <r>
    <d v="2026-04-29T00:00:00"/>
    <x v="30"/>
    <n v="2"/>
    <n v="2026"/>
    <s v="2026-18"/>
    <s v="Week 18"/>
    <x v="70"/>
  </r>
  <r>
    <d v="2026-04-29T00:00:00"/>
    <x v="19"/>
    <n v="1"/>
    <n v="2026"/>
    <s v="2026-18"/>
    <s v="Week 18"/>
    <x v="70"/>
  </r>
  <r>
    <d v="2026-04-29T00:00:00"/>
    <x v="32"/>
    <n v="1"/>
    <n v="2026"/>
    <s v="2026-18"/>
    <s v="Week 18"/>
    <x v="70"/>
  </r>
  <r>
    <d v="2026-04-30T00:00:00"/>
    <x v="10"/>
    <n v="20"/>
    <n v="2026"/>
    <s v="2026-18"/>
    <s v="Week 18"/>
    <x v="70"/>
  </r>
  <r>
    <d v="2026-04-30T00:00:00"/>
    <x v="15"/>
    <n v="4"/>
    <n v="2026"/>
    <s v="2026-18"/>
    <s v="Week 18"/>
    <x v="70"/>
  </r>
  <r>
    <d v="2026-04-30T00:00:00"/>
    <x v="28"/>
    <n v="4"/>
    <n v="2026"/>
    <s v="2026-18"/>
    <s v="Week 18"/>
    <x v="70"/>
  </r>
  <r>
    <d v="2026-04-30T00:00:00"/>
    <x v="30"/>
    <n v="4"/>
    <n v="2026"/>
    <s v="2026-18"/>
    <s v="Week 18"/>
    <x v="70"/>
  </r>
  <r>
    <d v="2026-04-30T00:00:00"/>
    <x v="13"/>
    <n v="1"/>
    <n v="2026"/>
    <s v="2026-18"/>
    <s v="Week 18"/>
    <x v="70"/>
  </r>
  <r>
    <d v="2026-04-30T00:00:00"/>
    <x v="27"/>
    <n v="2"/>
    <n v="2026"/>
    <s v="2026-18"/>
    <s v="Week 18"/>
    <x v="70"/>
  </r>
  <r>
    <d v="2026-05-02T00:00:00"/>
    <x v="12"/>
    <n v="28"/>
    <n v="2026"/>
    <s v="2026-18"/>
    <s v="Week 18"/>
    <x v="70"/>
  </r>
  <r>
    <d v="2026-05-02T00:00:00"/>
    <x v="14"/>
    <n v="16"/>
    <n v="2026"/>
    <s v="2026-18"/>
    <s v="Week 18"/>
    <x v="70"/>
  </r>
  <r>
    <d v="2026-05-02T00:00:00"/>
    <x v="11"/>
    <n v="16"/>
    <n v="2026"/>
    <s v="2026-18"/>
    <s v="Week 18"/>
    <x v="70"/>
  </r>
  <r>
    <d v="2026-05-02T00:00:00"/>
    <x v="10"/>
    <n v="12"/>
    <n v="2026"/>
    <s v="2026-18"/>
    <s v="Week 18"/>
    <x v="70"/>
  </r>
  <r>
    <d v="2026-05-02T00:00:00"/>
    <x v="14"/>
    <n v="8"/>
    <n v="2026"/>
    <s v="2026-18"/>
    <s v="Week 18"/>
    <x v="70"/>
  </r>
  <r>
    <d v="2026-05-02T00:00:00"/>
    <x v="3"/>
    <n v="8"/>
    <n v="2026"/>
    <s v="2026-18"/>
    <s v="Week 18"/>
    <x v="70"/>
  </r>
  <r>
    <d v="2026-05-02T00:00:00"/>
    <x v="3"/>
    <n v="8"/>
    <n v="2026"/>
    <s v="2026-18"/>
    <s v="Week 18"/>
    <x v="70"/>
  </r>
  <r>
    <d v="2026-05-02T00:00:00"/>
    <x v="25"/>
    <n v="12"/>
    <n v="2026"/>
    <s v="2026-18"/>
    <s v="Week 18"/>
    <x v="70"/>
  </r>
  <r>
    <d v="2026-05-02T00:00:00"/>
    <x v="25"/>
    <n v="6"/>
    <n v="2026"/>
    <s v="2026-18"/>
    <s v="Week 18"/>
    <x v="70"/>
  </r>
  <r>
    <d v="2026-05-02T00:00:00"/>
    <x v="19"/>
    <n v="7"/>
    <n v="2026"/>
    <s v="2026-18"/>
    <s v="Week 18"/>
    <x v="70"/>
  </r>
  <r>
    <d v="2026-05-02T00:00:00"/>
    <x v="25"/>
    <n v="4"/>
    <n v="2026"/>
    <s v="2026-18"/>
    <s v="Week 18"/>
    <x v="70"/>
  </r>
  <r>
    <d v="2026-05-02T00:00:00"/>
    <x v="14"/>
    <n v="2"/>
    <n v="2026"/>
    <s v="2026-18"/>
    <s v="Week 18"/>
    <x v="70"/>
  </r>
  <r>
    <d v="2026-05-02T00:00:00"/>
    <x v="19"/>
    <n v="1"/>
    <n v="2026"/>
    <s v="2026-18"/>
    <s v="Week 18"/>
    <x v="70"/>
  </r>
  <r>
    <d v="2026-05-02T00:00:00"/>
    <x v="21"/>
    <n v="1"/>
    <n v="2026"/>
    <s v="2026-18"/>
    <s v="Week 18"/>
    <x v="70"/>
  </r>
  <r>
    <d v="2026-05-04T00:00:00"/>
    <x v="3"/>
    <n v="4"/>
    <n v="2026"/>
    <s v="2026-19"/>
    <s v="Week 19"/>
    <x v="71"/>
  </r>
  <r>
    <d v="2026-05-04T00:00:00"/>
    <x v="5"/>
    <n v="2"/>
    <n v="2026"/>
    <s v="2026-19"/>
    <s v="Week 19"/>
    <x v="71"/>
  </r>
  <r>
    <d v="2026-05-04T00:00:00"/>
    <x v="25"/>
    <n v="4"/>
    <n v="2026"/>
    <s v="2026-19"/>
    <s v="Week 19"/>
    <x v="71"/>
  </r>
  <r>
    <d v="2026-05-06T00:00:00"/>
    <x v="11"/>
    <n v="16"/>
    <n v="2026"/>
    <s v="2026-19"/>
    <s v="Week 19"/>
    <x v="71"/>
  </r>
  <r>
    <d v="2026-05-06T00:00:00"/>
    <x v="0"/>
    <n v="4"/>
    <n v="2026"/>
    <s v="2026-19"/>
    <s v="Week 19"/>
    <x v="71"/>
  </r>
  <r>
    <d v="2026-05-06T00:00:00"/>
    <x v="10"/>
    <n v="4"/>
    <n v="2026"/>
    <s v="2026-19"/>
    <s v="Week 19"/>
    <x v="71"/>
  </r>
  <r>
    <d v="2026-05-06T00:00:00"/>
    <x v="12"/>
    <n v="4"/>
    <n v="2026"/>
    <s v="2026-19"/>
    <s v="Week 19"/>
    <x v="71"/>
  </r>
  <r>
    <d v="2026-05-06T00:00:00"/>
    <x v="15"/>
    <n v="5"/>
    <n v="2026"/>
    <s v="2026-19"/>
    <s v="Week 19"/>
    <x v="71"/>
  </r>
  <r>
    <d v="2026-05-06T00:00:00"/>
    <x v="40"/>
    <n v="4"/>
    <n v="2026"/>
    <s v="2026-19"/>
    <s v="Week 19"/>
    <x v="71"/>
  </r>
  <r>
    <d v="2026-05-06T00:00:00"/>
    <x v="20"/>
    <n v="4"/>
    <n v="2026"/>
    <s v="2026-19"/>
    <s v="Week 19"/>
    <x v="71"/>
  </r>
  <r>
    <d v="2026-05-06T00:00:00"/>
    <x v="7"/>
    <n v="2"/>
    <n v="2026"/>
    <s v="2026-19"/>
    <s v="Week 19"/>
    <x v="71"/>
  </r>
  <r>
    <d v="2026-05-06T00:00:00"/>
    <x v="17"/>
    <n v="2"/>
    <n v="2026"/>
    <s v="2026-19"/>
    <s v="Week 19"/>
    <x v="71"/>
  </r>
  <r>
    <d v="2026-05-06T00:00:00"/>
    <x v="6"/>
    <n v="2"/>
    <n v="2026"/>
    <s v="2026-19"/>
    <s v="Week 19"/>
    <x v="71"/>
  </r>
  <r>
    <d v="2026-05-06T00:00:00"/>
    <x v="14"/>
    <n v="2"/>
    <n v="2026"/>
    <s v="2026-19"/>
    <s v="Week 19"/>
    <x v="71"/>
  </r>
  <r>
    <d v="2026-05-06T00:00:00"/>
    <x v="18"/>
    <n v="6"/>
    <n v="2026"/>
    <s v="2026-19"/>
    <s v="Week 19"/>
    <x v="71"/>
  </r>
  <r>
    <d v="2026-05-06T00:00:00"/>
    <x v="32"/>
    <n v="6"/>
    <n v="2026"/>
    <s v="2026-19"/>
    <s v="Week 19"/>
    <x v="71"/>
  </r>
  <r>
    <d v="2026-05-06T00:00:00"/>
    <x v="9"/>
    <n v="2"/>
    <n v="2026"/>
    <s v="2026-19"/>
    <s v="Week 19"/>
    <x v="71"/>
  </r>
  <r>
    <d v="2026-05-06T00:00:00"/>
    <x v="25"/>
    <n v="2"/>
    <n v="2026"/>
    <s v="2026-19"/>
    <s v="Week 19"/>
    <x v="71"/>
  </r>
  <r>
    <d v="2026-05-06T00:00:00"/>
    <x v="25"/>
    <n v="2"/>
    <n v="2026"/>
    <s v="2026-19"/>
    <s v="Week 19"/>
    <x v="71"/>
  </r>
  <r>
    <d v="2026-05-06T00:00:00"/>
    <x v="1"/>
    <n v="2"/>
    <n v="2026"/>
    <s v="2026-19"/>
    <s v="Week 19"/>
    <x v="71"/>
  </r>
  <r>
    <d v="2026-05-06T00:00:00"/>
    <x v="28"/>
    <n v="3"/>
    <n v="2026"/>
    <s v="2026-19"/>
    <s v="Week 19"/>
    <x v="71"/>
  </r>
  <r>
    <d v="2026-05-06T00:00:00"/>
    <x v="11"/>
    <n v="1"/>
    <n v="2026"/>
    <s v="2026-19"/>
    <s v="Week 19"/>
    <x v="71"/>
  </r>
  <r>
    <d v="2026-05-06T00:00:00"/>
    <x v="30"/>
    <n v="1"/>
    <n v="2026"/>
    <s v="2026-19"/>
    <s v="Week 19"/>
    <x v="71"/>
  </r>
  <r>
    <d v="2026-05-07T00:00:00"/>
    <x v="12"/>
    <n v="50"/>
    <n v="2026"/>
    <s v="2026-19"/>
    <s v="Week 19"/>
    <x v="71"/>
  </r>
  <r>
    <d v="2026-05-07T00:00:00"/>
    <x v="11"/>
    <n v="32"/>
    <n v="2026"/>
    <s v="2026-19"/>
    <s v="Week 19"/>
    <x v="71"/>
  </r>
  <r>
    <d v="2026-05-07T00:00:00"/>
    <x v="3"/>
    <n v="18"/>
    <n v="2026"/>
    <s v="2026-19"/>
    <s v="Week 19"/>
    <x v="71"/>
  </r>
  <r>
    <d v="2026-05-07T00:00:00"/>
    <x v="27"/>
    <n v="23"/>
    <n v="2026"/>
    <s v="2026-19"/>
    <s v="Week 19"/>
    <x v="71"/>
  </r>
  <r>
    <d v="2026-05-07T00:00:00"/>
    <x v="15"/>
    <n v="12"/>
    <n v="2026"/>
    <s v="2026-19"/>
    <s v="Week 19"/>
    <x v="71"/>
  </r>
  <r>
    <d v="2026-05-07T00:00:00"/>
    <x v="12"/>
    <n v="8"/>
    <n v="2026"/>
    <s v="2026-19"/>
    <s v="Week 19"/>
    <x v="71"/>
  </r>
  <r>
    <d v="2026-05-07T00:00:00"/>
    <x v="11"/>
    <n v="6"/>
    <n v="2026"/>
    <s v="2026-19"/>
    <s v="Week 19"/>
    <x v="71"/>
  </r>
  <r>
    <d v="2026-05-07T00:00:00"/>
    <x v="15"/>
    <n v="8"/>
    <n v="2026"/>
    <s v="2026-19"/>
    <s v="Week 19"/>
    <x v="71"/>
  </r>
  <r>
    <d v="2026-05-07T00:00:00"/>
    <x v="18"/>
    <n v="10"/>
    <n v="2026"/>
    <s v="2026-19"/>
    <s v="Week 19"/>
    <x v="71"/>
  </r>
  <r>
    <d v="2026-05-07T00:00:00"/>
    <x v="25"/>
    <n v="4"/>
    <n v="2026"/>
    <s v="2026-19"/>
    <s v="Week 19"/>
    <x v="71"/>
  </r>
  <r>
    <d v="2026-05-07T00:00:00"/>
    <x v="17"/>
    <n v="2"/>
    <n v="2026"/>
    <s v="2026-19"/>
    <s v="Week 19"/>
    <x v="71"/>
  </r>
  <r>
    <d v="2026-05-07T00:00:00"/>
    <x v="14"/>
    <n v="2"/>
    <n v="2026"/>
    <s v="2026-19"/>
    <s v="Week 19"/>
    <x v="71"/>
  </r>
  <r>
    <d v="2026-05-07T00:00:00"/>
    <x v="27"/>
    <n v="2"/>
    <n v="2026"/>
    <s v="2026-19"/>
    <s v="Week 19"/>
    <x v="71"/>
  </r>
  <r>
    <d v="2026-05-08T00:00:00"/>
    <x v="32"/>
    <n v="4"/>
    <n v="2026"/>
    <s v="2026-19"/>
    <s v="Week 19"/>
    <x v="71"/>
  </r>
  <r>
    <d v="2026-05-08T00:00:00"/>
    <x v="30"/>
    <n v="2"/>
    <n v="2026"/>
    <s v="2026-19"/>
    <s v="Week 19"/>
    <x v="71"/>
  </r>
  <r>
    <d v="2026-05-11T00:00:00"/>
    <x v="11"/>
    <n v="44"/>
    <n v="2026"/>
    <s v="2026-20"/>
    <s v="Week 20"/>
    <x v="72"/>
  </r>
  <r>
    <d v="2026-05-11T00:00:00"/>
    <x v="14"/>
    <n v="24"/>
    <n v="2026"/>
    <s v="2026-20"/>
    <s v="Week 20"/>
    <x v="72"/>
  </r>
  <r>
    <d v="2026-05-11T00:00:00"/>
    <x v="6"/>
    <n v="16"/>
    <n v="2026"/>
    <s v="2026-20"/>
    <s v="Week 20"/>
    <x v="72"/>
  </r>
  <r>
    <d v="2026-05-11T00:00:00"/>
    <x v="41"/>
    <n v="22"/>
    <n v="2026"/>
    <s v="2026-20"/>
    <s v="Week 20"/>
    <x v="72"/>
  </r>
  <r>
    <d v="2026-05-11T00:00:00"/>
    <x v="14"/>
    <n v="16"/>
    <n v="2026"/>
    <s v="2026-20"/>
    <s v="Week 20"/>
    <x v="72"/>
  </r>
  <r>
    <d v="2026-05-11T00:00:00"/>
    <x v="5"/>
    <n v="10"/>
    <n v="2026"/>
    <s v="2026-20"/>
    <s v="Week 20"/>
    <x v="72"/>
  </r>
  <r>
    <d v="2026-05-11T00:00:00"/>
    <x v="12"/>
    <n v="20"/>
    <n v="2026"/>
    <s v="2026-20"/>
    <s v="Week 20"/>
    <x v="72"/>
  </r>
  <r>
    <d v="2026-05-11T00:00:00"/>
    <x v="3"/>
    <n v="13"/>
    <n v="2026"/>
    <s v="2026-20"/>
    <s v="Week 20"/>
    <x v="72"/>
  </r>
  <r>
    <d v="2026-05-11T00:00:00"/>
    <x v="11"/>
    <n v="14"/>
    <n v="2026"/>
    <s v="2026-20"/>
    <s v="Week 20"/>
    <x v="72"/>
  </r>
  <r>
    <d v="2026-05-11T00:00:00"/>
    <x v="12"/>
    <n v="14"/>
    <n v="2026"/>
    <s v="2026-20"/>
    <s v="Week 20"/>
    <x v="72"/>
  </r>
  <r>
    <d v="2026-05-11T00:00:00"/>
    <x v="17"/>
    <n v="8"/>
    <n v="2026"/>
    <s v="2026-20"/>
    <s v="Week 20"/>
    <x v="72"/>
  </r>
  <r>
    <d v="2026-05-11T00:00:00"/>
    <x v="10"/>
    <n v="8"/>
    <n v="2026"/>
    <s v="2026-20"/>
    <s v="Week 20"/>
    <x v="72"/>
  </r>
  <r>
    <d v="2026-05-11T00:00:00"/>
    <x v="3"/>
    <n v="8"/>
    <n v="2026"/>
    <s v="2026-20"/>
    <s v="Week 20"/>
    <x v="72"/>
  </r>
  <r>
    <d v="2026-05-11T00:00:00"/>
    <x v="20"/>
    <n v="8"/>
    <n v="2026"/>
    <s v="2026-20"/>
    <s v="Week 20"/>
    <x v="72"/>
  </r>
  <r>
    <d v="2026-05-11T00:00:00"/>
    <x v="2"/>
    <n v="8"/>
    <n v="2026"/>
    <s v="2026-20"/>
    <s v="Week 20"/>
    <x v="72"/>
  </r>
  <r>
    <d v="2026-05-11T00:00:00"/>
    <x v="2"/>
    <n v="8"/>
    <n v="2026"/>
    <s v="2026-20"/>
    <s v="Week 20"/>
    <x v="72"/>
  </r>
  <r>
    <d v="2026-05-11T00:00:00"/>
    <x v="25"/>
    <n v="8"/>
    <n v="2026"/>
    <s v="2026-20"/>
    <s v="Week 20"/>
    <x v="72"/>
  </r>
  <r>
    <d v="2026-05-11T00:00:00"/>
    <x v="15"/>
    <n v="6"/>
    <n v="2026"/>
    <s v="2026-20"/>
    <s v="Week 20"/>
    <x v="72"/>
  </r>
  <r>
    <d v="2026-05-11T00:00:00"/>
    <x v="13"/>
    <n v="2"/>
    <n v="2026"/>
    <s v="2026-20"/>
    <s v="Week 20"/>
    <x v="72"/>
  </r>
  <r>
    <d v="2026-05-11T00:00:00"/>
    <x v="17"/>
    <n v="2"/>
    <n v="2026"/>
    <s v="2026-20"/>
    <s v="Week 20"/>
    <x v="72"/>
  </r>
  <r>
    <d v="2026-05-11T00:00:00"/>
    <x v="9"/>
    <n v="2"/>
    <n v="2026"/>
    <s v="2026-20"/>
    <s v="Week 20"/>
    <x v="72"/>
  </r>
  <r>
    <d v="2026-05-11T00:00:00"/>
    <x v="10"/>
    <n v="1"/>
    <n v="2026"/>
    <s v="2026-20"/>
    <s v="Week 20"/>
    <x v="72"/>
  </r>
  <r>
    <d v="2026-05-11T00:00:00"/>
    <x v="19"/>
    <n v="2"/>
    <n v="2026"/>
    <s v="2026-20"/>
    <s v="Week 20"/>
    <x v="72"/>
  </r>
  <r>
    <d v="2026-05-12T00:00:00"/>
    <x v="11"/>
    <n v="22"/>
    <n v="2026"/>
    <s v="2026-20"/>
    <s v="Week 20"/>
    <x v="72"/>
  </r>
  <r>
    <d v="2026-05-12T00:00:00"/>
    <x v="11"/>
    <n v="16"/>
    <n v="2026"/>
    <s v="2026-20"/>
    <s v="Week 20"/>
    <x v="72"/>
  </r>
  <r>
    <d v="2026-05-12T00:00:00"/>
    <x v="26"/>
    <n v="24"/>
    <n v="2026"/>
    <s v="2026-20"/>
    <s v="Week 20"/>
    <x v="72"/>
  </r>
  <r>
    <d v="2026-05-12T00:00:00"/>
    <x v="3"/>
    <n v="12"/>
    <n v="2026"/>
    <s v="2026-20"/>
    <s v="Week 20"/>
    <x v="72"/>
  </r>
  <r>
    <d v="2026-05-12T00:00:00"/>
    <x v="1"/>
    <n v="12"/>
    <n v="2026"/>
    <s v="2026-20"/>
    <s v="Week 20"/>
    <x v="72"/>
  </r>
  <r>
    <d v="2026-05-12T00:00:00"/>
    <x v="19"/>
    <n v="12"/>
    <n v="2026"/>
    <s v="2026-20"/>
    <s v="Week 20"/>
    <x v="72"/>
  </r>
  <r>
    <d v="2026-05-12T00:00:00"/>
    <x v="1"/>
    <n v="8"/>
    <n v="2026"/>
    <s v="2026-20"/>
    <s v="Week 20"/>
    <x v="72"/>
  </r>
  <r>
    <d v="2026-05-12T00:00:00"/>
    <x v="26"/>
    <n v="8"/>
    <n v="2026"/>
    <s v="2026-20"/>
    <s v="Week 20"/>
    <x v="72"/>
  </r>
  <r>
    <d v="2026-05-12T00:00:00"/>
    <x v="25"/>
    <n v="4"/>
    <n v="2026"/>
    <s v="2026-20"/>
    <s v="Week 20"/>
    <x v="72"/>
  </r>
  <r>
    <d v="2026-05-12T00:00:00"/>
    <x v="25"/>
    <n v="4"/>
    <n v="2026"/>
    <s v="2026-20"/>
    <s v="Week 20"/>
    <x v="72"/>
  </r>
  <r>
    <d v="2026-05-12T00:00:00"/>
    <x v="13"/>
    <n v="2"/>
    <n v="2026"/>
    <s v="2026-20"/>
    <s v="Week 20"/>
    <x v="72"/>
  </r>
  <r>
    <d v="2026-05-12T00:00:00"/>
    <x v="3"/>
    <n v="2"/>
    <n v="2026"/>
    <s v="2026-20"/>
    <s v="Week 20"/>
    <x v="72"/>
  </r>
  <r>
    <d v="2026-05-14T00:00:00"/>
    <x v="17"/>
    <n v="16"/>
    <n v="2026"/>
    <s v="2026-20"/>
    <s v="Week 20"/>
    <x v="72"/>
  </r>
  <r>
    <d v="2026-05-14T00:00:00"/>
    <x v="15"/>
    <n v="18"/>
    <n v="2026"/>
    <s v="2026-20"/>
    <s v="Week 20"/>
    <x v="72"/>
  </r>
  <r>
    <d v="2026-05-14T00:00:00"/>
    <x v="12"/>
    <n v="8"/>
    <n v="2026"/>
    <s v="2026-20"/>
    <s v="Week 20"/>
    <x v="72"/>
  </r>
  <r>
    <d v="2026-05-14T00:00:00"/>
    <x v="4"/>
    <n v="4"/>
    <n v="2026"/>
    <s v="2026-20"/>
    <s v="Week 20"/>
    <x v="72"/>
  </r>
  <r>
    <d v="2026-05-14T00:00:00"/>
    <x v="41"/>
    <n v="1"/>
    <n v="2026"/>
    <s v="2026-20"/>
    <s v="Week 20"/>
    <x v="72"/>
  </r>
  <r>
    <d v="2026-05-14T00:00:00"/>
    <x v="21"/>
    <n v="2"/>
    <n v="2026"/>
    <s v="2026-20"/>
    <s v="Week 20"/>
    <x v="72"/>
  </r>
  <r>
    <d v="2026-05-15T00:00:00"/>
    <x v="13"/>
    <n v="17"/>
    <n v="2026"/>
    <s v="2026-20"/>
    <s v="Week 20"/>
    <x v="72"/>
  </r>
  <r>
    <d v="2026-05-15T00:00:00"/>
    <x v="2"/>
    <n v="28"/>
    <n v="2026"/>
    <s v="2026-20"/>
    <s v="Week 20"/>
    <x v="72"/>
  </r>
  <r>
    <d v="2026-05-15T00:00:00"/>
    <x v="3"/>
    <n v="17"/>
    <n v="2026"/>
    <s v="2026-20"/>
    <s v="Week 20"/>
    <x v="72"/>
  </r>
  <r>
    <d v="2026-05-15T00:00:00"/>
    <x v="3"/>
    <n v="16"/>
    <n v="2026"/>
    <s v="2026-20"/>
    <s v="Week 20"/>
    <x v="72"/>
  </r>
  <r>
    <d v="2026-05-15T00:00:00"/>
    <x v="9"/>
    <n v="9"/>
    <n v="2026"/>
    <s v="2026-20"/>
    <s v="Week 20"/>
    <x v="72"/>
  </r>
  <r>
    <d v="2026-05-15T00:00:00"/>
    <x v="6"/>
    <n v="3"/>
    <n v="2026"/>
    <s v="2026-20"/>
    <s v="Week 20"/>
    <x v="72"/>
  </r>
  <r>
    <d v="2026-05-15T00:00:00"/>
    <x v="12"/>
    <n v="5"/>
    <n v="2026"/>
    <s v="2026-20"/>
    <s v="Week 20"/>
    <x v="72"/>
  </r>
  <r>
    <d v="2026-05-15T00:00:00"/>
    <x v="28"/>
    <n v="10"/>
    <n v="2026"/>
    <s v="2026-20"/>
    <s v="Week 20"/>
    <x v="72"/>
  </r>
  <r>
    <d v="2026-05-15T00:00:00"/>
    <x v="13"/>
    <n v="2"/>
    <n v="2026"/>
    <s v="2026-20"/>
    <s v="Week 20"/>
    <x v="72"/>
  </r>
  <r>
    <d v="2026-05-15T00:00:00"/>
    <x v="17"/>
    <n v="2"/>
    <n v="2026"/>
    <s v="2026-20"/>
    <s v="Week 20"/>
    <x v="72"/>
  </r>
  <r>
    <d v="2026-05-15T00:00:00"/>
    <x v="1"/>
    <n v="2"/>
    <n v="2026"/>
    <s v="2026-20"/>
    <s v="Week 20"/>
    <x v="72"/>
  </r>
  <r>
    <d v="2026-05-15T00:00:00"/>
    <x v="9"/>
    <n v="1"/>
    <n v="2026"/>
    <s v="2026-20"/>
    <s v="Week 20"/>
    <x v="72"/>
  </r>
  <r>
    <d v="2026-05-15T00:00:00"/>
    <x v="28"/>
    <n v="2"/>
    <n v="2026"/>
    <s v="2026-20"/>
    <s v="Week 20"/>
    <x v="72"/>
  </r>
  <r>
    <d v="2026-05-16T00:00:00"/>
    <x v="13"/>
    <n v="16"/>
    <n v="2026"/>
    <s v="2026-20"/>
    <s v="Week 20"/>
    <x v="72"/>
  </r>
  <r>
    <d v="2026-05-16T00:00:00"/>
    <x v="13"/>
    <n v="12"/>
    <n v="2026"/>
    <s v="2026-20"/>
    <s v="Week 20"/>
    <x v="72"/>
  </r>
  <r>
    <d v="2026-05-16T00:00:00"/>
    <x v="0"/>
    <n v="6"/>
    <n v="2026"/>
    <s v="2026-20"/>
    <s v="Week 20"/>
    <x v="72"/>
  </r>
  <r>
    <d v="2026-05-16T00:00:00"/>
    <x v="5"/>
    <n v="6"/>
    <n v="2026"/>
    <s v="2026-20"/>
    <s v="Week 20"/>
    <x v="72"/>
  </r>
  <r>
    <d v="2026-05-16T00:00:00"/>
    <x v="13"/>
    <n v="4"/>
    <n v="2026"/>
    <s v="2026-20"/>
    <s v="Week 20"/>
    <x v="72"/>
  </r>
  <r>
    <d v="2026-05-16T00:00:00"/>
    <x v="19"/>
    <n v="1"/>
    <n v="2026"/>
    <s v="2026-20"/>
    <s v="Week 20"/>
    <x v="72"/>
  </r>
  <r>
    <d v="2026-05-18T00:00:00"/>
    <x v="11"/>
    <n v="20"/>
    <n v="2026"/>
    <s v="2026-21"/>
    <s v="Week 21"/>
    <x v="73"/>
  </r>
  <r>
    <d v="2026-05-18T00:00:00"/>
    <x v="12"/>
    <n v="11"/>
    <n v="2026"/>
    <s v="2026-21"/>
    <s v="Week 21"/>
    <x v="73"/>
  </r>
  <r>
    <d v="2026-05-18T00:00:00"/>
    <x v="15"/>
    <n v="14"/>
    <n v="2026"/>
    <s v="2026-21"/>
    <s v="Week 21"/>
    <x v="73"/>
  </r>
  <r>
    <d v="2026-05-18T00:00:00"/>
    <x v="14"/>
    <n v="4"/>
    <n v="2026"/>
    <s v="2026-21"/>
    <s v="Week 21"/>
    <x v="73"/>
  </r>
  <r>
    <d v="2026-05-18T00:00:00"/>
    <x v="19"/>
    <n v="8"/>
    <n v="2026"/>
    <s v="2026-21"/>
    <s v="Week 21"/>
    <x v="73"/>
  </r>
  <r>
    <d v="2026-05-18T00:00:00"/>
    <x v="25"/>
    <n v="6"/>
    <n v="2026"/>
    <s v="2026-21"/>
    <s v="Week 21"/>
    <x v="73"/>
  </r>
  <r>
    <d v="2026-05-18T00:00:00"/>
    <x v="17"/>
    <n v="2"/>
    <n v="2026"/>
    <s v="2026-21"/>
    <s v="Week 21"/>
    <x v="73"/>
  </r>
  <r>
    <d v="2026-05-18T00:00:00"/>
    <x v="15"/>
    <n v="4"/>
    <n v="2026"/>
    <s v="2026-21"/>
    <s v="Week 21"/>
    <x v="73"/>
  </r>
  <r>
    <d v="2026-05-18T00:00:00"/>
    <x v="10"/>
    <n v="2"/>
    <n v="2026"/>
    <s v="2026-21"/>
    <s v="Week 21"/>
    <x v="73"/>
  </r>
  <r>
    <d v="2026-05-19T00:00:00"/>
    <x v="11"/>
    <n v="30"/>
    <n v="2026"/>
    <s v="2026-21"/>
    <s v="Week 21"/>
    <x v="73"/>
  </r>
  <r>
    <d v="2026-05-19T00:00:00"/>
    <x v="14"/>
    <n v="20"/>
    <n v="2026"/>
    <s v="2026-21"/>
    <s v="Week 21"/>
    <x v="73"/>
  </r>
  <r>
    <d v="2026-05-19T00:00:00"/>
    <x v="17"/>
    <n v="8"/>
    <n v="2026"/>
    <s v="2026-21"/>
    <s v="Week 21"/>
    <x v="73"/>
  </r>
  <r>
    <d v="2026-05-19T00:00:00"/>
    <x v="11"/>
    <n v="10"/>
    <n v="2026"/>
    <s v="2026-21"/>
    <s v="Week 21"/>
    <x v="73"/>
  </r>
  <r>
    <d v="2026-05-19T00:00:00"/>
    <x v="10"/>
    <n v="8"/>
    <n v="2026"/>
    <s v="2026-21"/>
    <s v="Week 21"/>
    <x v="73"/>
  </r>
  <r>
    <d v="2026-05-19T00:00:00"/>
    <x v="6"/>
    <n v="6"/>
    <n v="2026"/>
    <s v="2026-21"/>
    <s v="Week 21"/>
    <x v="73"/>
  </r>
  <r>
    <d v="2026-05-19T00:00:00"/>
    <x v="10"/>
    <n v="6"/>
    <n v="2026"/>
    <s v="2026-21"/>
    <s v="Week 21"/>
    <x v="73"/>
  </r>
  <r>
    <d v="2026-05-19T00:00:00"/>
    <x v="15"/>
    <n v="10"/>
    <n v="2026"/>
    <s v="2026-21"/>
    <s v="Week 21"/>
    <x v="73"/>
  </r>
  <r>
    <d v="2026-05-19T00:00:00"/>
    <x v="2"/>
    <n v="7"/>
    <n v="2026"/>
    <s v="2026-21"/>
    <s v="Week 21"/>
    <x v="73"/>
  </r>
  <r>
    <d v="2026-05-19T00:00:00"/>
    <x v="15"/>
    <n v="8"/>
    <n v="2026"/>
    <s v="2026-21"/>
    <s v="Week 21"/>
    <x v="73"/>
  </r>
  <r>
    <d v="2026-05-19T00:00:00"/>
    <x v="19"/>
    <n v="8"/>
    <n v="2026"/>
    <s v="2026-21"/>
    <s v="Week 21"/>
    <x v="73"/>
  </r>
  <r>
    <d v="2026-05-19T00:00:00"/>
    <x v="6"/>
    <n v="2"/>
    <n v="2026"/>
    <s v="2026-21"/>
    <s v="Week 21"/>
    <x v="73"/>
  </r>
  <r>
    <d v="2026-05-19T00:00:00"/>
    <x v="25"/>
    <n v="4"/>
    <n v="2026"/>
    <s v="2026-21"/>
    <s v="Week 21"/>
    <x v="73"/>
  </r>
  <r>
    <d v="2026-05-19T00:00:00"/>
    <x v="17"/>
    <n v="2"/>
    <n v="2026"/>
    <s v="2026-21"/>
    <s v="Week 21"/>
    <x v="73"/>
  </r>
  <r>
    <d v="2026-05-19T00:00:00"/>
    <x v="15"/>
    <n v="4"/>
    <n v="2026"/>
    <s v="2026-21"/>
    <s v="Week 21"/>
    <x v="73"/>
  </r>
  <r>
    <d v="2026-05-19T00:00:00"/>
    <x v="11"/>
    <n v="2"/>
    <n v="2026"/>
    <s v="2026-21"/>
    <s v="Week 21"/>
    <x v="73"/>
  </r>
  <r>
    <d v="2026-05-19T00:00:00"/>
    <x v="25"/>
    <n v="2"/>
    <n v="2026"/>
    <s v="2026-21"/>
    <s v="Week 21"/>
    <x v="73"/>
  </r>
  <r>
    <d v="2026-05-22T00:00:00"/>
    <x v="14"/>
    <n v="18"/>
    <n v="2026"/>
    <s v="2026-21"/>
    <s v="Week 21"/>
    <x v="73"/>
  </r>
  <r>
    <d v="2026-05-22T00:00:00"/>
    <x v="11"/>
    <n v="14"/>
    <n v="2026"/>
    <s v="2026-21"/>
    <s v="Week 21"/>
    <x v="73"/>
  </r>
  <r>
    <d v="2026-05-22T00:00:00"/>
    <x v="19"/>
    <n v="10"/>
    <n v="2026"/>
    <s v="2026-21"/>
    <s v="Week 21"/>
    <x v="73"/>
  </r>
  <r>
    <d v="2026-05-22T00:00:00"/>
    <x v="15"/>
    <n v="4"/>
    <n v="2026"/>
    <s v="2026-21"/>
    <s v="Week 21"/>
    <x v="73"/>
  </r>
  <r>
    <d v="2026-05-22T00:00:00"/>
    <x v="30"/>
    <n v="4"/>
    <n v="2026"/>
    <s v="2026-21"/>
    <s v="Week 21"/>
    <x v="73"/>
  </r>
  <r>
    <d v="2026-05-22T00:00:00"/>
    <x v="15"/>
    <n v="2"/>
    <n v="2026"/>
    <s v="2026-21"/>
    <s v="Week 21"/>
    <x v="73"/>
  </r>
  <r>
    <d v="2026-05-22T00:00:00"/>
    <x v="19"/>
    <n v="1"/>
    <n v="2026"/>
    <s v="2026-21"/>
    <s v="Week 21"/>
    <x v="73"/>
  </r>
  <r>
    <d v="2026-05-25T00:00:00"/>
    <x v="15"/>
    <n v="8"/>
    <n v="2026"/>
    <s v="2026-22"/>
    <s v="Week 22"/>
    <x v="74"/>
  </r>
  <r>
    <d v="2026-05-25T00:00:00"/>
    <x v="25"/>
    <n v="4"/>
    <n v="2026"/>
    <s v="2026-22"/>
    <s v="Week 22"/>
    <x v="74"/>
  </r>
  <r>
    <d v="2026-05-26T00:00:00"/>
    <x v="11"/>
    <n v="49"/>
    <n v="2026"/>
    <s v="2026-22"/>
    <s v="Week 22"/>
    <x v="74"/>
  </r>
  <r>
    <d v="2026-05-26T00:00:00"/>
    <x v="14"/>
    <n v="30"/>
    <n v="2026"/>
    <s v="2026-22"/>
    <s v="Week 22"/>
    <x v="74"/>
  </r>
  <r>
    <d v="2026-05-26T00:00:00"/>
    <x v="20"/>
    <n v="36"/>
    <n v="2026"/>
    <s v="2026-22"/>
    <s v="Week 22"/>
    <x v="74"/>
  </r>
  <r>
    <d v="2026-05-26T00:00:00"/>
    <x v="15"/>
    <n v="30"/>
    <n v="2026"/>
    <s v="2026-22"/>
    <s v="Week 22"/>
    <x v="74"/>
  </r>
  <r>
    <d v="2026-05-26T00:00:00"/>
    <x v="1"/>
    <n v="24"/>
    <n v="2026"/>
    <s v="2026-22"/>
    <s v="Week 22"/>
    <x v="74"/>
  </r>
  <r>
    <d v="2026-05-26T00:00:00"/>
    <x v="10"/>
    <n v="12"/>
    <n v="2026"/>
    <s v="2026-22"/>
    <s v="Week 22"/>
    <x v="74"/>
  </r>
  <r>
    <d v="2026-05-26T00:00:00"/>
    <x v="10"/>
    <n v="12"/>
    <n v="2026"/>
    <s v="2026-22"/>
    <s v="Week 22"/>
    <x v="74"/>
  </r>
  <r>
    <d v="2026-05-26T00:00:00"/>
    <x v="11"/>
    <n v="14"/>
    <n v="2026"/>
    <s v="2026-22"/>
    <s v="Week 22"/>
    <x v="74"/>
  </r>
  <r>
    <d v="2026-05-26T00:00:00"/>
    <x v="6"/>
    <n v="7"/>
    <n v="2026"/>
    <s v="2026-22"/>
    <s v="Week 22"/>
    <x v="74"/>
  </r>
  <r>
    <d v="2026-05-26T00:00:00"/>
    <x v="2"/>
    <n v="12"/>
    <n v="2026"/>
    <s v="2026-22"/>
    <s v="Week 22"/>
    <x v="74"/>
  </r>
  <r>
    <d v="2026-05-26T00:00:00"/>
    <x v="17"/>
    <n v="6"/>
    <n v="2026"/>
    <s v="2026-22"/>
    <s v="Week 22"/>
    <x v="74"/>
  </r>
  <r>
    <d v="2026-05-26T00:00:00"/>
    <x v="13"/>
    <n v="5"/>
    <n v="2026"/>
    <s v="2026-22"/>
    <s v="Week 22"/>
    <x v="74"/>
  </r>
  <r>
    <d v="2026-05-26T00:00:00"/>
    <x v="11"/>
    <n v="7"/>
    <n v="2026"/>
    <s v="2026-22"/>
    <s v="Week 22"/>
    <x v="74"/>
  </r>
  <r>
    <d v="2026-05-26T00:00:00"/>
    <x v="11"/>
    <n v="8"/>
    <n v="2026"/>
    <s v="2026-22"/>
    <s v="Week 22"/>
    <x v="74"/>
  </r>
  <r>
    <d v="2026-05-26T00:00:00"/>
    <x v="4"/>
    <n v="10"/>
    <n v="2026"/>
    <s v="2026-22"/>
    <s v="Week 22"/>
    <x v="74"/>
  </r>
  <r>
    <d v="2026-05-26T00:00:00"/>
    <x v="15"/>
    <n v="6"/>
    <n v="2026"/>
    <s v="2026-22"/>
    <s v="Week 22"/>
    <x v="74"/>
  </r>
  <r>
    <d v="2026-05-26T00:00:00"/>
    <x v="13"/>
    <n v="2"/>
    <n v="2026"/>
    <s v="2026-22"/>
    <s v="Week 22"/>
    <x v="74"/>
  </r>
  <r>
    <d v="2026-05-26T00:00:00"/>
    <x v="11"/>
    <n v="1"/>
    <n v="2026"/>
    <s v="2026-22"/>
    <s v="Week 22"/>
    <x v="74"/>
  </r>
  <r>
    <d v="2026-05-26T00:00:00"/>
    <x v="9"/>
    <n v="1"/>
    <n v="2026"/>
    <s v="2026-22"/>
    <s v="Week 22"/>
    <x v="74"/>
  </r>
  <r>
    <d v="2026-05-27T00:00:00"/>
    <x v="4"/>
    <n v="4"/>
    <n v="2026"/>
    <s v="2026-22"/>
    <s v="Week 22"/>
    <x v="74"/>
  </r>
  <r>
    <d v="2026-05-27T00:00:00"/>
    <x v="35"/>
    <n v="1"/>
    <n v="2026"/>
    <s v="2026-22"/>
    <s v="Week 22"/>
    <x v="74"/>
  </r>
  <r>
    <d v="2026-05-28T00:00:00"/>
    <x v="5"/>
    <n v="12"/>
    <n v="2026"/>
    <s v="2026-22"/>
    <s v="Week 22"/>
    <x v="74"/>
  </r>
  <r>
    <d v="2026-05-28T00:00:00"/>
    <x v="14"/>
    <n v="12"/>
    <n v="2026"/>
    <s v="2026-22"/>
    <s v="Week 22"/>
    <x v="74"/>
  </r>
  <r>
    <d v="2026-05-28T00:00:00"/>
    <x v="2"/>
    <n v="5"/>
    <n v="2026"/>
    <s v="2026-22"/>
    <s v="Week 22"/>
    <x v="74"/>
  </r>
  <r>
    <d v="2026-05-28T00:00:00"/>
    <x v="2"/>
    <n v="4"/>
    <n v="2026"/>
    <s v="2026-22"/>
    <s v="Week 22"/>
    <x v="74"/>
  </r>
  <r>
    <d v="2026-05-28T00:00:00"/>
    <x v="5"/>
    <n v="1"/>
    <n v="2026"/>
    <s v="2026-22"/>
    <s v="Week 22"/>
    <x v="74"/>
  </r>
  <r>
    <d v="2026-05-29T00:00:00"/>
    <x v="10"/>
    <n v="11"/>
    <n v="2026"/>
    <s v="2026-22"/>
    <s v="Week 22"/>
    <x v="74"/>
  </r>
  <r>
    <d v="2026-05-29T00:00:00"/>
    <x v="14"/>
    <n v="8"/>
    <n v="2026"/>
    <s v="2026-22"/>
    <s v="Week 22"/>
    <x v="74"/>
  </r>
  <r>
    <d v="2026-05-29T00:00:00"/>
    <x v="14"/>
    <n v="3"/>
    <n v="2026"/>
    <s v="2026-22"/>
    <s v="Week 22"/>
    <x v="74"/>
  </r>
  <r>
    <d v="2026-05-29T00:00:00"/>
    <x v="14"/>
    <n v="3"/>
    <n v="2026"/>
    <s v="2026-22"/>
    <s v="Week 22"/>
    <x v="74"/>
  </r>
  <r>
    <d v="2026-05-29T00:00:00"/>
    <x v="14"/>
    <n v="3"/>
    <n v="2026"/>
    <s v="2026-22"/>
    <s v="Week 22"/>
    <x v="74"/>
  </r>
  <r>
    <d v="2026-05-29T00:00:00"/>
    <x v="2"/>
    <n v="2"/>
    <n v="2026"/>
    <s v="2026-22"/>
    <s v="Week 22"/>
    <x v="74"/>
  </r>
  <r>
    <d v="2026-05-30T00:00:00"/>
    <x v="10"/>
    <n v="11"/>
    <n v="2026"/>
    <s v="2026-22"/>
    <s v="Week 22"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F05C2-2A38-C047-86D5-32550B15E8F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" firstHeaderRow="1" firstDataRow="1" firstDataCol="1" rowPageCount="1" colPageCount="1"/>
  <pivotFields count="7">
    <pivotField numFmtId="164" showAll="0"/>
    <pivotField axis="axisPage" multipleItemSelectionAllowed="1" showAll="0">
      <items count="51">
        <item h="1" x="32"/>
        <item h="1" x="24"/>
        <item h="1" x="23"/>
        <item h="1" x="46"/>
        <item h="1" x="30"/>
        <item h="1" x="21"/>
        <item h="1" x="33"/>
        <item h="1" x="35"/>
        <item h="1" x="40"/>
        <item h="1" x="28"/>
        <item h="1" x="4"/>
        <item h="1" x="26"/>
        <item h="1" x="1"/>
        <item h="1" x="20"/>
        <item h="1" x="18"/>
        <item h="1" x="19"/>
        <item h="1" x="31"/>
        <item h="1" x="22"/>
        <item h="1" x="41"/>
        <item h="1" x="27"/>
        <item h="1" x="15"/>
        <item h="1" x="8"/>
        <item h="1" x="25"/>
        <item h="1" x="2"/>
        <item h="1" x="9"/>
        <item h="1" x="45"/>
        <item x="12"/>
        <item h="1" x="34"/>
        <item h="1" x="11"/>
        <item h="1" x="39"/>
        <item h="1" x="3"/>
        <item h="1" x="38"/>
        <item h="1" x="17"/>
        <item h="1" x="49"/>
        <item h="1" x="7"/>
        <item h="1" x="48"/>
        <item h="1" x="37"/>
        <item h="1" x="10"/>
        <item h="1" x="44"/>
        <item h="1" x="14"/>
        <item h="1" x="6"/>
        <item h="1" x="0"/>
        <item h="1" x="36"/>
        <item h="1" x="13"/>
        <item h="1" x="42"/>
        <item h="1" x="5"/>
        <item h="1" x="16"/>
        <item h="1" x="47"/>
        <item h="1" x="29"/>
        <item h="1" x="43"/>
        <item t="default"/>
      </items>
    </pivotField>
    <pivotField dataField="1" showAll="0"/>
    <pivotField showAll="0"/>
    <pivotField showAll="0"/>
    <pivotField showAll="0"/>
    <pivotField axis="axisRow" showAll="0">
      <items count="76">
        <item x="0"/>
        <item x="53"/>
        <item x="9"/>
        <item x="62"/>
        <item x="10"/>
        <item x="63"/>
        <item x="11"/>
        <item x="64"/>
        <item x="12"/>
        <item x="65"/>
        <item x="13"/>
        <item x="66"/>
        <item x="14"/>
        <item x="67"/>
        <item x="15"/>
        <item x="68"/>
        <item x="16"/>
        <item x="69"/>
        <item x="17"/>
        <item x="70"/>
        <item x="18"/>
        <item x="71"/>
        <item x="1"/>
        <item x="54"/>
        <item x="19"/>
        <item x="72"/>
        <item x="20"/>
        <item x="73"/>
        <item x="21"/>
        <item x="74"/>
        <item x="22"/>
        <item x="23"/>
        <item x="24"/>
        <item x="25"/>
        <item x="26"/>
        <item x="27"/>
        <item x="28"/>
        <item x="2"/>
        <item x="55"/>
        <item x="29"/>
        <item x="30"/>
        <item x="31"/>
        <item x="32"/>
        <item x="33"/>
        <item x="34"/>
        <item x="35"/>
        <item x="36"/>
        <item x="37"/>
        <item x="38"/>
        <item x="3"/>
        <item x="56"/>
        <item x="39"/>
        <item x="40"/>
        <item x="41"/>
        <item x="42"/>
        <item x="43"/>
        <item x="44"/>
        <item x="45"/>
        <item x="46"/>
        <item x="47"/>
        <item x="48"/>
        <item x="4"/>
        <item x="57"/>
        <item x="49"/>
        <item x="50"/>
        <item x="51"/>
        <item x="52"/>
        <item x="5"/>
        <item x="58"/>
        <item x="6"/>
        <item x="59"/>
        <item x="7"/>
        <item x="60"/>
        <item x="8"/>
        <item x="61"/>
        <item t="default"/>
      </items>
    </pivotField>
  </pivotFields>
  <rowFields count="1">
    <field x="6"/>
  </rowFields>
  <rowItems count="72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pageFields count="1">
    <pageField fld="1" hier="-1"/>
  </pageFields>
  <dataFields count="1">
    <dataField name="Sum of Sum of Sales_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6C1EA-13E7-43B9-B768-8AB3F7D23F7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7">
    <pivotField numFmtId="164" showAll="0"/>
    <pivotField axis="axisRow" showAll="0" sortType="descending">
      <items count="51">
        <item x="32"/>
        <item x="24"/>
        <item x="23"/>
        <item x="46"/>
        <item x="30"/>
        <item x="21"/>
        <item x="33"/>
        <item x="35"/>
        <item x="40"/>
        <item x="28"/>
        <item x="4"/>
        <item x="26"/>
        <item x="1"/>
        <item x="20"/>
        <item x="18"/>
        <item x="19"/>
        <item x="31"/>
        <item x="22"/>
        <item x="41"/>
        <item x="27"/>
        <item x="15"/>
        <item x="8"/>
        <item x="25"/>
        <item x="2"/>
        <item x="9"/>
        <item x="45"/>
        <item x="12"/>
        <item x="34"/>
        <item x="11"/>
        <item x="39"/>
        <item x="3"/>
        <item x="38"/>
        <item x="17"/>
        <item x="49"/>
        <item x="7"/>
        <item x="48"/>
        <item x="37"/>
        <item x="10"/>
        <item x="44"/>
        <item x="14"/>
        <item x="6"/>
        <item x="0"/>
        <item x="36"/>
        <item x="13"/>
        <item x="42"/>
        <item x="5"/>
        <item x="16"/>
        <item x="47"/>
        <item x="29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51">
    <i>
      <x v="26"/>
    </i>
    <i>
      <x v="28"/>
    </i>
    <i>
      <x v="20"/>
    </i>
    <i>
      <x v="30"/>
    </i>
    <i>
      <x v="37"/>
    </i>
    <i>
      <x v="39"/>
    </i>
    <i>
      <x v="43"/>
    </i>
    <i>
      <x v="22"/>
    </i>
    <i>
      <x v="15"/>
    </i>
    <i>
      <x v="23"/>
    </i>
    <i>
      <x v="32"/>
    </i>
    <i>
      <x v="9"/>
    </i>
    <i>
      <x v="45"/>
    </i>
    <i>
      <x v="19"/>
    </i>
    <i>
      <x v="10"/>
    </i>
    <i>
      <x v="14"/>
    </i>
    <i>
      <x v="40"/>
    </i>
    <i>
      <x v="12"/>
    </i>
    <i>
      <x v="4"/>
    </i>
    <i>
      <x v="24"/>
    </i>
    <i>
      <x v="11"/>
    </i>
    <i>
      <x v="17"/>
    </i>
    <i>
      <x/>
    </i>
    <i>
      <x v="16"/>
    </i>
    <i>
      <x v="13"/>
    </i>
    <i>
      <x v="7"/>
    </i>
    <i>
      <x v="41"/>
    </i>
    <i>
      <x v="5"/>
    </i>
    <i>
      <x v="34"/>
    </i>
    <i>
      <x v="6"/>
    </i>
    <i>
      <x v="46"/>
    </i>
    <i>
      <x v="8"/>
    </i>
    <i>
      <x v="44"/>
    </i>
    <i>
      <x v="18"/>
    </i>
    <i>
      <x v="2"/>
    </i>
    <i>
      <x v="1"/>
    </i>
    <i>
      <x v="48"/>
    </i>
    <i>
      <x v="42"/>
    </i>
    <i>
      <x v="27"/>
    </i>
    <i>
      <x v="35"/>
    </i>
    <i>
      <x v="38"/>
    </i>
    <i>
      <x v="21"/>
    </i>
    <i>
      <x v="31"/>
    </i>
    <i>
      <x v="49"/>
    </i>
    <i>
      <x v="29"/>
    </i>
    <i>
      <x v="36"/>
    </i>
    <i>
      <x v="47"/>
    </i>
    <i>
      <x v="25"/>
    </i>
    <i>
      <x v="33"/>
    </i>
    <i>
      <x v="3"/>
    </i>
    <i t="grand">
      <x/>
    </i>
  </rowItems>
  <colItems count="1">
    <i/>
  </colItems>
  <dataFields count="1">
    <dataField name="Sum of Sum of Sales_Qty" fld="2" baseField="0" baseItem="0"/>
  </dataFields>
  <formats count="2"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43845-5057-4B61-AACC-B1CCC62A35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" firstHeaderRow="1" firstDataRow="1" firstDataCol="1" rowPageCount="1" colPageCount="1"/>
  <pivotFields count="7">
    <pivotField numFmtId="164" showAll="0"/>
    <pivotField axis="axisPage" multipleItemSelectionAllowed="1" showAll="0">
      <items count="53">
        <item h="1" x="32"/>
        <item h="1" x="24"/>
        <item h="1" x="23"/>
        <item h="1" x="46"/>
        <item h="1" x="30"/>
        <item h="1" x="21"/>
        <item h="1" x="33"/>
        <item h="1" x="35"/>
        <item h="1" x="40"/>
        <item h="1" x="28"/>
        <item h="1" x="4"/>
        <item h="1" x="26"/>
        <item h="1" x="1"/>
        <item h="1" x="20"/>
        <item h="1" x="18"/>
        <item h="1" x="19"/>
        <item h="1" x="31"/>
        <item h="1" x="22"/>
        <item h="1" x="41"/>
        <item h="1" x="27"/>
        <item x="15"/>
        <item h="1" x="8"/>
        <item h="1" x="25"/>
        <item h="1" x="2"/>
        <item h="1" x="9"/>
        <item h="1" x="45"/>
        <item h="1" x="12"/>
        <item h="1" x="34"/>
        <item h="1" x="11"/>
        <item h="1" x="39"/>
        <item h="1" x="3"/>
        <item h="1" x="38"/>
        <item h="1" x="17"/>
        <item h="1" x="49"/>
        <item h="1" x="7"/>
        <item h="1" x="48"/>
        <item h="1" x="37"/>
        <item x="10"/>
        <item h="1" x="44"/>
        <item h="1" x="14"/>
        <item h="1" x="6"/>
        <item h="1" x="0"/>
        <item h="1" x="36"/>
        <item h="1" x="13"/>
        <item h="1" x="42"/>
        <item h="1" x="5"/>
        <item h="1" x="16"/>
        <item h="1" m="1" x="51"/>
        <item h="1" x="47"/>
        <item h="1" x="29"/>
        <item h="1" x="43"/>
        <item h="1" x="50"/>
        <item t="default"/>
      </items>
    </pivotField>
    <pivotField dataField="1" showAll="0"/>
    <pivotField showAll="0"/>
    <pivotField axis="axisRow" showAll="0" sortType="descending">
      <items count="107"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"/>
        <item x="6"/>
        <item x="7"/>
        <item x="8"/>
        <item x="52"/>
        <item x="61"/>
        <item x="62"/>
        <item x="63"/>
        <item x="64"/>
        <item x="65"/>
        <item x="66"/>
        <item x="67"/>
        <item x="68"/>
        <item x="69"/>
        <item x="70"/>
        <item x="53"/>
        <item x="71"/>
        <item x="72"/>
        <item x="73"/>
        <item x="54"/>
        <item x="55"/>
        <item x="56"/>
        <item x="57"/>
        <item x="58"/>
        <item x="59"/>
        <item x="60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74">
    <i>
      <x v="56"/>
    </i>
    <i>
      <x v="74"/>
    </i>
    <i>
      <x v="72"/>
    </i>
    <i>
      <x v="49"/>
    </i>
    <i>
      <x v="92"/>
    </i>
    <i>
      <x v="100"/>
    </i>
    <i>
      <x v="63"/>
    </i>
    <i>
      <x v="62"/>
    </i>
    <i>
      <x v="51"/>
    </i>
    <i>
      <x v="48"/>
    </i>
    <i>
      <x v="42"/>
    </i>
    <i>
      <x v="85"/>
    </i>
    <i>
      <x v="55"/>
    </i>
    <i>
      <x v="104"/>
    </i>
    <i>
      <x v="98"/>
    </i>
    <i>
      <x v="103"/>
    </i>
    <i>
      <x v="71"/>
    </i>
    <i>
      <x v="57"/>
    </i>
    <i>
      <x v="43"/>
    </i>
    <i>
      <x v="32"/>
    </i>
    <i>
      <x v="70"/>
    </i>
    <i>
      <x v="73"/>
    </i>
    <i>
      <x v="99"/>
    </i>
    <i>
      <x v="97"/>
    </i>
    <i>
      <x v="69"/>
    </i>
    <i>
      <x v="79"/>
    </i>
    <i>
      <x v="78"/>
    </i>
    <i>
      <x v="67"/>
    </i>
    <i>
      <x v="58"/>
    </i>
    <i>
      <x v="54"/>
    </i>
    <i>
      <x v="47"/>
    </i>
    <i>
      <x v="101"/>
    </i>
    <i>
      <x v="36"/>
    </i>
    <i>
      <x v="77"/>
    </i>
    <i>
      <x v="44"/>
    </i>
    <i>
      <x v="52"/>
    </i>
    <i>
      <x v="76"/>
    </i>
    <i>
      <x v="53"/>
    </i>
    <i>
      <x v="96"/>
    </i>
    <i>
      <x v="64"/>
    </i>
    <i>
      <x v="84"/>
    </i>
    <i>
      <x v="66"/>
    </i>
    <i>
      <x v="50"/>
    </i>
    <i>
      <x v="41"/>
    </i>
    <i>
      <x v="89"/>
    </i>
    <i>
      <x v="38"/>
    </i>
    <i>
      <x v="75"/>
    </i>
    <i>
      <x v="90"/>
    </i>
    <i>
      <x v="102"/>
    </i>
    <i>
      <x v="35"/>
    </i>
    <i>
      <x v="65"/>
    </i>
    <i>
      <x v="45"/>
    </i>
    <i>
      <x v="39"/>
    </i>
    <i>
      <x v="80"/>
    </i>
    <i>
      <x v="86"/>
    </i>
    <i>
      <x v="91"/>
    </i>
    <i>
      <x v="82"/>
    </i>
    <i>
      <x v="60"/>
    </i>
    <i>
      <x v="87"/>
    </i>
    <i>
      <x v="95"/>
    </i>
    <i>
      <x v="37"/>
    </i>
    <i>
      <x v="94"/>
    </i>
    <i>
      <x v="40"/>
    </i>
    <i>
      <x v="31"/>
    </i>
    <i>
      <x v="33"/>
    </i>
    <i>
      <x v="93"/>
    </i>
    <i>
      <x v="59"/>
    </i>
    <i>
      <x v="61"/>
    </i>
    <i>
      <x v="81"/>
    </i>
    <i>
      <x v="46"/>
    </i>
    <i>
      <x v="83"/>
    </i>
    <i>
      <x v="68"/>
    </i>
    <i>
      <x v="88"/>
    </i>
    <i t="grand">
      <x/>
    </i>
  </rowItems>
  <colItems count="1">
    <i/>
  </colItems>
  <pageFields count="1">
    <pageField fld="1" hier="-1"/>
  </pageFields>
  <dataFields count="1">
    <dataField name="Sum of Sum of Sales_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2F63C-FBAC-43D2-B381-AAEF5020C1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" firstHeaderRow="1" firstDataRow="1" firstDataCol="1" rowPageCount="1" colPageCount="1"/>
  <pivotFields count="7">
    <pivotField numFmtId="164" showAll="0"/>
    <pivotField axis="axisPage" multipleItemSelectionAllowed="1" showAll="0">
      <items count="53">
        <item h="1" x="32"/>
        <item h="1" x="24"/>
        <item h="1" x="23"/>
        <item h="1" x="46"/>
        <item h="1" x="30"/>
        <item h="1" x="21"/>
        <item h="1" x="33"/>
        <item h="1" x="35"/>
        <item h="1" x="40"/>
        <item h="1" x="28"/>
        <item h="1" x="4"/>
        <item h="1" x="26"/>
        <item h="1" x="1"/>
        <item h="1" x="20"/>
        <item h="1" x="18"/>
        <item h="1" x="19"/>
        <item h="1" x="31"/>
        <item h="1" x="22"/>
        <item h="1" x="41"/>
        <item h="1" x="27"/>
        <item h="1" x="15"/>
        <item h="1" x="8"/>
        <item h="1" x="25"/>
        <item h="1" x="2"/>
        <item h="1" x="9"/>
        <item h="1" x="45"/>
        <item x="12"/>
        <item h="1" x="34"/>
        <item h="1" x="11"/>
        <item h="1" x="39"/>
        <item h="1" x="3"/>
        <item h="1" x="38"/>
        <item h="1" x="17"/>
        <item h="1" x="49"/>
        <item h="1" x="7"/>
        <item h="1" x="48"/>
        <item h="1" x="37"/>
        <item h="1" x="10"/>
        <item h="1" x="44"/>
        <item h="1" x="14"/>
        <item h="1" x="6"/>
        <item h="1" x="0"/>
        <item h="1" x="36"/>
        <item h="1" x="13"/>
        <item h="1" x="42"/>
        <item h="1" x="5"/>
        <item h="1" x="16"/>
        <item h="1" m="1" x="51"/>
        <item h="1" x="47"/>
        <item h="1" x="29"/>
        <item h="1" x="43"/>
        <item h="1" x="50"/>
        <item t="default"/>
      </items>
    </pivotField>
    <pivotField dataField="1" showAll="0"/>
    <pivotField showAll="0"/>
    <pivotField axis="axisRow" showAll="0" sortType="ascending">
      <items count="107"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"/>
        <item x="6"/>
        <item x="7"/>
        <item x="8"/>
        <item x="52"/>
        <item x="61"/>
        <item x="62"/>
        <item x="63"/>
        <item x="64"/>
        <item x="65"/>
        <item x="66"/>
        <item x="67"/>
        <item x="68"/>
        <item x="69"/>
        <item x="70"/>
        <item x="53"/>
        <item x="71"/>
        <item x="72"/>
        <item x="73"/>
        <item x="54"/>
        <item x="55"/>
        <item x="56"/>
        <item x="57"/>
        <item x="58"/>
        <item x="59"/>
        <item x="60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72">
    <i>
      <x v="80"/>
    </i>
    <i>
      <x v="37"/>
    </i>
    <i>
      <x v="40"/>
    </i>
    <i>
      <x v="61"/>
    </i>
    <i>
      <x v="75"/>
    </i>
    <i>
      <x v="96"/>
    </i>
    <i>
      <x v="35"/>
    </i>
    <i>
      <x v="68"/>
    </i>
    <i>
      <x v="91"/>
    </i>
    <i>
      <x v="39"/>
    </i>
    <i>
      <x v="38"/>
    </i>
    <i>
      <x v="33"/>
    </i>
    <i>
      <x v="65"/>
    </i>
    <i>
      <x v="94"/>
    </i>
    <i>
      <x v="50"/>
    </i>
    <i>
      <x v="82"/>
    </i>
    <i>
      <x v="83"/>
    </i>
    <i>
      <x v="59"/>
    </i>
    <i>
      <x v="64"/>
    </i>
    <i>
      <x v="95"/>
    </i>
    <i>
      <x v="81"/>
    </i>
    <i>
      <x v="44"/>
    </i>
    <i>
      <x v="58"/>
    </i>
    <i>
      <x v="60"/>
    </i>
    <i>
      <x v="52"/>
    </i>
    <i>
      <x v="86"/>
    </i>
    <i>
      <x v="93"/>
    </i>
    <i>
      <x v="45"/>
    </i>
    <i>
      <x v="71"/>
    </i>
    <i>
      <x v="63"/>
    </i>
    <i>
      <x v="78"/>
    </i>
    <i>
      <x v="88"/>
    </i>
    <i>
      <x v="47"/>
    </i>
    <i>
      <x v="51"/>
    </i>
    <i>
      <x v="53"/>
    </i>
    <i>
      <x v="57"/>
    </i>
    <i>
      <x v="62"/>
    </i>
    <i>
      <x v="79"/>
    </i>
    <i>
      <x v="102"/>
    </i>
    <i>
      <x v="55"/>
    </i>
    <i>
      <x v="32"/>
    </i>
    <i>
      <x v="85"/>
    </i>
    <i>
      <x v="90"/>
    </i>
    <i>
      <x v="66"/>
    </i>
    <i>
      <x v="69"/>
    </i>
    <i>
      <x v="36"/>
    </i>
    <i>
      <x v="89"/>
    </i>
    <i>
      <x v="92"/>
    </i>
    <i>
      <x v="104"/>
    </i>
    <i>
      <x v="101"/>
    </i>
    <i>
      <x v="41"/>
    </i>
    <i>
      <x v="77"/>
    </i>
    <i>
      <x v="46"/>
    </i>
    <i>
      <x v="87"/>
    </i>
    <i>
      <x v="98"/>
    </i>
    <i>
      <x v="42"/>
    </i>
    <i>
      <x v="103"/>
    </i>
    <i>
      <x v="76"/>
    </i>
    <i>
      <x v="70"/>
    </i>
    <i>
      <x v="84"/>
    </i>
    <i>
      <x v="43"/>
    </i>
    <i>
      <x v="67"/>
    </i>
    <i>
      <x v="48"/>
    </i>
    <i>
      <x v="100"/>
    </i>
    <i>
      <x v="73"/>
    </i>
    <i>
      <x v="54"/>
    </i>
    <i>
      <x v="99"/>
    </i>
    <i>
      <x v="72"/>
    </i>
    <i>
      <x v="49"/>
    </i>
    <i>
      <x v="74"/>
    </i>
    <i>
      <x v="56"/>
    </i>
    <i t="grand">
      <x/>
    </i>
  </rowItems>
  <colItems count="1">
    <i/>
  </colItems>
  <pageFields count="1">
    <pageField fld="1" hier="-1"/>
  </pageFields>
  <dataFields count="1">
    <dataField name="Sum of Sum of Sales_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B9FA-98AF-EB46-9931-4B96B215675F}">
  <dimension ref="A1:E75"/>
  <sheetViews>
    <sheetView workbookViewId="0">
      <selection sqref="A1:E6"/>
    </sheetView>
  </sheetViews>
  <sheetFormatPr baseColWidth="10" defaultRowHeight="15" x14ac:dyDescent="0.2"/>
  <cols>
    <col min="1" max="1" width="12.1640625" bestFit="1" customWidth="1"/>
    <col min="2" max="2" width="20.1640625" bestFit="1" customWidth="1"/>
  </cols>
  <sheetData>
    <row r="1" spans="1:5" x14ac:dyDescent="0.2">
      <c r="A1" s="6" t="s">
        <v>0</v>
      </c>
      <c r="B1" t="s">
        <v>5</v>
      </c>
    </row>
    <row r="3" spans="1:5" x14ac:dyDescent="0.2">
      <c r="A3" s="6" t="s">
        <v>56</v>
      </c>
      <c r="B3" t="s">
        <v>132</v>
      </c>
      <c r="C3" s="27" t="s">
        <v>267</v>
      </c>
      <c r="D3" s="27" t="s">
        <v>268</v>
      </c>
      <c r="E3" s="27" t="s">
        <v>239</v>
      </c>
    </row>
    <row r="4" spans="1:5" x14ac:dyDescent="0.2">
      <c r="A4" s="7" t="s">
        <v>62</v>
      </c>
      <c r="B4">
        <v>43</v>
      </c>
      <c r="C4">
        <v>0</v>
      </c>
      <c r="D4">
        <v>0</v>
      </c>
      <c r="E4">
        <f>COUNTIF($B$4:$B$74,0)</f>
        <v>0</v>
      </c>
    </row>
    <row r="5" spans="1:5" x14ac:dyDescent="0.2">
      <c r="A5" s="7" t="s">
        <v>57</v>
      </c>
      <c r="B5">
        <v>82</v>
      </c>
      <c r="C5">
        <v>1</v>
      </c>
      <c r="D5">
        <v>24</v>
      </c>
      <c r="E5">
        <f>COUNTIFS($B$4:$B$74,"&gt;=1",$B$4:$B$74,"&lt;=24")</f>
        <v>9</v>
      </c>
    </row>
    <row r="6" spans="1:5" x14ac:dyDescent="0.2">
      <c r="A6" s="7" t="s">
        <v>58</v>
      </c>
      <c r="B6">
        <v>128</v>
      </c>
      <c r="C6">
        <v>25</v>
      </c>
      <c r="D6">
        <v>48</v>
      </c>
      <c r="E6">
        <f>COUNTIFS($B$4:$B$74,"&gt;=25",$B$4:$B$74,"&lt;=48")</f>
        <v>12</v>
      </c>
    </row>
    <row r="7" spans="1:5" x14ac:dyDescent="0.2">
      <c r="A7" s="7" t="s">
        <v>59</v>
      </c>
      <c r="B7">
        <v>30</v>
      </c>
      <c r="C7">
        <v>49</v>
      </c>
      <c r="D7">
        <v>72</v>
      </c>
      <c r="E7">
        <f t="shared" ref="E7:E17" si="0">COUNTIF($A$4:$A$74,0)</f>
        <v>0</v>
      </c>
    </row>
    <row r="8" spans="1:5" x14ac:dyDescent="0.2">
      <c r="A8" s="7" t="s">
        <v>60</v>
      </c>
      <c r="B8">
        <v>86</v>
      </c>
      <c r="C8">
        <v>73</v>
      </c>
      <c r="D8">
        <v>96</v>
      </c>
      <c r="E8">
        <f t="shared" si="0"/>
        <v>0</v>
      </c>
    </row>
    <row r="9" spans="1:5" x14ac:dyDescent="0.2">
      <c r="A9" s="7" t="s">
        <v>63</v>
      </c>
      <c r="B9">
        <v>4</v>
      </c>
      <c r="C9">
        <v>97</v>
      </c>
      <c r="D9">
        <v>120</v>
      </c>
      <c r="E9">
        <f t="shared" si="0"/>
        <v>0</v>
      </c>
    </row>
    <row r="10" spans="1:5" x14ac:dyDescent="0.2">
      <c r="A10" s="7" t="s">
        <v>64</v>
      </c>
      <c r="B10">
        <v>61</v>
      </c>
      <c r="C10">
        <v>121</v>
      </c>
      <c r="D10">
        <v>144</v>
      </c>
      <c r="E10">
        <f t="shared" si="0"/>
        <v>0</v>
      </c>
    </row>
    <row r="11" spans="1:5" x14ac:dyDescent="0.2">
      <c r="A11" s="7" t="s">
        <v>66</v>
      </c>
      <c r="B11">
        <v>118</v>
      </c>
      <c r="C11">
        <v>145</v>
      </c>
      <c r="D11">
        <v>168</v>
      </c>
      <c r="E11">
        <f t="shared" si="0"/>
        <v>0</v>
      </c>
    </row>
    <row r="12" spans="1:5" x14ac:dyDescent="0.2">
      <c r="A12" s="7" t="s">
        <v>67</v>
      </c>
      <c r="B12">
        <v>112</v>
      </c>
      <c r="C12">
        <v>169</v>
      </c>
      <c r="D12">
        <v>192</v>
      </c>
      <c r="E12">
        <f t="shared" si="0"/>
        <v>0</v>
      </c>
    </row>
    <row r="13" spans="1:5" x14ac:dyDescent="0.2">
      <c r="A13" s="7" t="s">
        <v>68</v>
      </c>
      <c r="B13">
        <v>72</v>
      </c>
      <c r="C13">
        <v>193</v>
      </c>
      <c r="D13">
        <v>216</v>
      </c>
      <c r="E13">
        <f t="shared" si="0"/>
        <v>0</v>
      </c>
    </row>
    <row r="14" spans="1:5" x14ac:dyDescent="0.2">
      <c r="A14" s="7" t="s">
        <v>69</v>
      </c>
      <c r="B14">
        <v>4</v>
      </c>
      <c r="C14">
        <v>217</v>
      </c>
      <c r="D14">
        <v>240</v>
      </c>
      <c r="E14">
        <f t="shared" si="0"/>
        <v>0</v>
      </c>
    </row>
    <row r="15" spans="1:5" x14ac:dyDescent="0.2">
      <c r="A15" s="7" t="s">
        <v>70</v>
      </c>
      <c r="B15">
        <v>96</v>
      </c>
      <c r="C15">
        <v>241</v>
      </c>
      <c r="D15">
        <v>264</v>
      </c>
      <c r="E15">
        <f t="shared" si="0"/>
        <v>0</v>
      </c>
    </row>
    <row r="16" spans="1:5" x14ac:dyDescent="0.2">
      <c r="A16" s="7" t="s">
        <v>71</v>
      </c>
      <c r="B16">
        <v>25</v>
      </c>
      <c r="C16">
        <v>265</v>
      </c>
      <c r="D16">
        <v>288</v>
      </c>
      <c r="E16">
        <f t="shared" si="0"/>
        <v>0</v>
      </c>
    </row>
    <row r="17" spans="1:5" x14ac:dyDescent="0.2">
      <c r="A17" s="7" t="s">
        <v>72</v>
      </c>
      <c r="B17">
        <v>86</v>
      </c>
      <c r="C17">
        <v>289</v>
      </c>
      <c r="D17">
        <v>312</v>
      </c>
      <c r="E17">
        <f t="shared" si="0"/>
        <v>0</v>
      </c>
    </row>
    <row r="18" spans="1:5" x14ac:dyDescent="0.2">
      <c r="A18" s="7" t="s">
        <v>73</v>
      </c>
      <c r="B18">
        <v>25</v>
      </c>
    </row>
    <row r="19" spans="1:5" x14ac:dyDescent="0.2">
      <c r="A19" s="7" t="s">
        <v>74</v>
      </c>
      <c r="B19">
        <v>20</v>
      </c>
    </row>
    <row r="20" spans="1:5" x14ac:dyDescent="0.2">
      <c r="A20" s="7" t="s">
        <v>75</v>
      </c>
      <c r="B20">
        <v>2</v>
      </c>
    </row>
    <row r="21" spans="1:5" x14ac:dyDescent="0.2">
      <c r="A21" s="7" t="s">
        <v>76</v>
      </c>
      <c r="B21">
        <v>104</v>
      </c>
    </row>
    <row r="22" spans="1:5" x14ac:dyDescent="0.2">
      <c r="A22" s="7" t="s">
        <v>77</v>
      </c>
      <c r="B22">
        <v>98</v>
      </c>
    </row>
    <row r="23" spans="1:5" x14ac:dyDescent="0.2">
      <c r="A23" s="7" t="s">
        <v>78</v>
      </c>
      <c r="B23">
        <v>62</v>
      </c>
    </row>
    <row r="24" spans="1:5" x14ac:dyDescent="0.2">
      <c r="A24" s="7" t="s">
        <v>83</v>
      </c>
      <c r="B24">
        <v>99</v>
      </c>
    </row>
    <row r="25" spans="1:5" x14ac:dyDescent="0.2">
      <c r="A25" s="7" t="s">
        <v>84</v>
      </c>
      <c r="B25">
        <v>32</v>
      </c>
    </row>
    <row r="26" spans="1:5" x14ac:dyDescent="0.2">
      <c r="A26" s="7" t="s">
        <v>79</v>
      </c>
      <c r="B26">
        <v>168</v>
      </c>
    </row>
    <row r="27" spans="1:5" x14ac:dyDescent="0.2">
      <c r="A27" s="7" t="s">
        <v>80</v>
      </c>
      <c r="B27">
        <v>47</v>
      </c>
    </row>
    <row r="28" spans="1:5" x14ac:dyDescent="0.2">
      <c r="A28" s="7" t="s">
        <v>81</v>
      </c>
      <c r="B28">
        <v>60</v>
      </c>
    </row>
    <row r="29" spans="1:5" x14ac:dyDescent="0.2">
      <c r="A29" s="7" t="s">
        <v>82</v>
      </c>
      <c r="B29">
        <v>11</v>
      </c>
    </row>
    <row r="30" spans="1:5" x14ac:dyDescent="0.2">
      <c r="A30" s="7" t="s">
        <v>85</v>
      </c>
      <c r="B30">
        <v>64</v>
      </c>
    </row>
    <row r="31" spans="1:5" x14ac:dyDescent="0.2">
      <c r="A31" s="7" t="s">
        <v>87</v>
      </c>
      <c r="B31">
        <v>99</v>
      </c>
    </row>
    <row r="32" spans="1:5" x14ac:dyDescent="0.2">
      <c r="A32" s="7" t="s">
        <v>88</v>
      </c>
      <c r="B32">
        <v>89</v>
      </c>
    </row>
    <row r="33" spans="1:2" x14ac:dyDescent="0.2">
      <c r="A33" s="7" t="s">
        <v>89</v>
      </c>
      <c r="B33">
        <v>100</v>
      </c>
    </row>
    <row r="34" spans="1:2" x14ac:dyDescent="0.2">
      <c r="A34" s="7" t="s">
        <v>90</v>
      </c>
      <c r="B34">
        <v>322</v>
      </c>
    </row>
    <row r="35" spans="1:2" x14ac:dyDescent="0.2">
      <c r="A35" s="7" t="s">
        <v>91</v>
      </c>
      <c r="B35">
        <v>52</v>
      </c>
    </row>
    <row r="36" spans="1:2" x14ac:dyDescent="0.2">
      <c r="A36" s="7" t="s">
        <v>92</v>
      </c>
      <c r="B36">
        <v>76</v>
      </c>
    </row>
    <row r="37" spans="1:2" x14ac:dyDescent="0.2">
      <c r="A37" s="7" t="s">
        <v>93</v>
      </c>
      <c r="B37">
        <v>38</v>
      </c>
    </row>
    <row r="38" spans="1:2" x14ac:dyDescent="0.2">
      <c r="A38" s="7" t="s">
        <v>96</v>
      </c>
      <c r="B38">
        <v>103</v>
      </c>
    </row>
    <row r="39" spans="1:2" x14ac:dyDescent="0.2">
      <c r="A39" s="7" t="s">
        <v>97</v>
      </c>
      <c r="B39">
        <v>120</v>
      </c>
    </row>
    <row r="40" spans="1:2" x14ac:dyDescent="0.2">
      <c r="A40" s="7" t="s">
        <v>94</v>
      </c>
      <c r="B40">
        <v>209</v>
      </c>
    </row>
    <row r="41" spans="1:2" x14ac:dyDescent="0.2">
      <c r="A41" s="7" t="s">
        <v>95</v>
      </c>
      <c r="B41">
        <v>123</v>
      </c>
    </row>
    <row r="42" spans="1:2" x14ac:dyDescent="0.2">
      <c r="A42" s="7" t="s">
        <v>98</v>
      </c>
      <c r="B42">
        <v>305</v>
      </c>
    </row>
    <row r="43" spans="1:2" x14ac:dyDescent="0.2">
      <c r="A43" s="7" t="s">
        <v>99</v>
      </c>
      <c r="B43">
        <v>64</v>
      </c>
    </row>
    <row r="44" spans="1:2" x14ac:dyDescent="0.2">
      <c r="A44" s="7" t="s">
        <v>100</v>
      </c>
      <c r="B44">
        <v>73</v>
      </c>
    </row>
    <row r="45" spans="1:2" x14ac:dyDescent="0.2">
      <c r="A45" s="7" t="s">
        <v>101</v>
      </c>
      <c r="B45">
        <v>44</v>
      </c>
    </row>
    <row r="46" spans="1:2" x14ac:dyDescent="0.2">
      <c r="A46" s="7" t="s">
        <v>102</v>
      </c>
      <c r="B46">
        <v>48</v>
      </c>
    </row>
    <row r="47" spans="1:2" x14ac:dyDescent="0.2">
      <c r="A47" s="7" t="s">
        <v>103</v>
      </c>
      <c r="B47">
        <v>20</v>
      </c>
    </row>
    <row r="48" spans="1:2" x14ac:dyDescent="0.2">
      <c r="A48" s="7" t="s">
        <v>104</v>
      </c>
      <c r="B48">
        <v>82</v>
      </c>
    </row>
    <row r="49" spans="1:2" x14ac:dyDescent="0.2">
      <c r="A49" s="7" t="s">
        <v>105</v>
      </c>
      <c r="B49">
        <v>70</v>
      </c>
    </row>
    <row r="50" spans="1:2" x14ac:dyDescent="0.2">
      <c r="A50" s="7" t="s">
        <v>108</v>
      </c>
      <c r="B50">
        <v>46</v>
      </c>
    </row>
    <row r="51" spans="1:2" x14ac:dyDescent="0.2">
      <c r="A51" s="7" t="s">
        <v>109</v>
      </c>
      <c r="B51">
        <v>228</v>
      </c>
    </row>
    <row r="52" spans="1:2" x14ac:dyDescent="0.2">
      <c r="A52" s="7" t="s">
        <v>106</v>
      </c>
      <c r="B52">
        <v>32</v>
      </c>
    </row>
    <row r="53" spans="1:2" x14ac:dyDescent="0.2">
      <c r="A53" s="7" t="s">
        <v>107</v>
      </c>
      <c r="B53">
        <v>89</v>
      </c>
    </row>
    <row r="54" spans="1:2" x14ac:dyDescent="0.2">
      <c r="A54" s="7" t="s">
        <v>110</v>
      </c>
      <c r="B54">
        <v>166</v>
      </c>
    </row>
    <row r="55" spans="1:2" x14ac:dyDescent="0.2">
      <c r="A55" s="7" t="s">
        <v>111</v>
      </c>
      <c r="B55">
        <v>20</v>
      </c>
    </row>
    <row r="56" spans="1:2" x14ac:dyDescent="0.2">
      <c r="A56" s="7" t="s">
        <v>112</v>
      </c>
      <c r="B56">
        <v>92</v>
      </c>
    </row>
    <row r="57" spans="1:2" x14ac:dyDescent="0.2">
      <c r="A57" s="7" t="s">
        <v>113</v>
      </c>
      <c r="B57">
        <v>118</v>
      </c>
    </row>
    <row r="58" spans="1:2" x14ac:dyDescent="0.2">
      <c r="A58" s="7" t="s">
        <v>114</v>
      </c>
      <c r="B58">
        <v>74</v>
      </c>
    </row>
    <row r="59" spans="1:2" x14ac:dyDescent="0.2">
      <c r="A59" s="7" t="s">
        <v>115</v>
      </c>
      <c r="B59">
        <v>229</v>
      </c>
    </row>
    <row r="60" spans="1:2" x14ac:dyDescent="0.2">
      <c r="A60" s="7" t="s">
        <v>116</v>
      </c>
      <c r="B60">
        <v>219</v>
      </c>
    </row>
    <row r="61" spans="1:2" x14ac:dyDescent="0.2">
      <c r="A61" s="7" t="s">
        <v>117</v>
      </c>
      <c r="B61">
        <v>151</v>
      </c>
    </row>
    <row r="62" spans="1:2" x14ac:dyDescent="0.2">
      <c r="A62" s="7" t="s">
        <v>120</v>
      </c>
      <c r="B62">
        <v>10</v>
      </c>
    </row>
    <row r="63" spans="1:2" x14ac:dyDescent="0.2">
      <c r="A63" s="7" t="s">
        <v>121</v>
      </c>
      <c r="B63">
        <v>217</v>
      </c>
    </row>
    <row r="64" spans="1:2" x14ac:dyDescent="0.2">
      <c r="A64" s="7" t="s">
        <v>118</v>
      </c>
      <c r="B64">
        <v>251</v>
      </c>
    </row>
    <row r="65" spans="1:2" x14ac:dyDescent="0.2">
      <c r="A65" s="7" t="s">
        <v>119</v>
      </c>
      <c r="B65">
        <v>112</v>
      </c>
    </row>
    <row r="66" spans="1:2" x14ac:dyDescent="0.2">
      <c r="A66" s="7" t="s">
        <v>122</v>
      </c>
      <c r="B66">
        <v>71</v>
      </c>
    </row>
    <row r="67" spans="1:2" x14ac:dyDescent="0.2">
      <c r="A67" s="7" t="s">
        <v>123</v>
      </c>
      <c r="B67">
        <v>80</v>
      </c>
    </row>
    <row r="68" spans="1:2" x14ac:dyDescent="0.2">
      <c r="A68" s="7" t="s">
        <v>124</v>
      </c>
      <c r="B68">
        <v>107</v>
      </c>
    </row>
    <row r="69" spans="1:2" x14ac:dyDescent="0.2">
      <c r="A69" s="7" t="s">
        <v>125</v>
      </c>
      <c r="B69">
        <v>8</v>
      </c>
    </row>
    <row r="70" spans="1:2" x14ac:dyDescent="0.2">
      <c r="A70" s="7" t="s">
        <v>126</v>
      </c>
      <c r="B70">
        <v>85</v>
      </c>
    </row>
    <row r="71" spans="1:2" x14ac:dyDescent="0.2">
      <c r="A71" s="7" t="s">
        <v>127</v>
      </c>
      <c r="B71">
        <v>49</v>
      </c>
    </row>
    <row r="72" spans="1:2" x14ac:dyDescent="0.2">
      <c r="A72" s="7" t="s">
        <v>128</v>
      </c>
      <c r="B72">
        <v>122</v>
      </c>
    </row>
    <row r="73" spans="1:2" x14ac:dyDescent="0.2">
      <c r="A73" s="7" t="s">
        <v>129</v>
      </c>
      <c r="B73">
        <v>43</v>
      </c>
    </row>
    <row r="74" spans="1:2" x14ac:dyDescent="0.2">
      <c r="A74" s="7" t="s">
        <v>130</v>
      </c>
      <c r="B74">
        <v>105</v>
      </c>
    </row>
    <row r="75" spans="1:2" x14ac:dyDescent="0.2">
      <c r="A75" s="7" t="s">
        <v>131</v>
      </c>
      <c r="B75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082"/>
  <sheetViews>
    <sheetView zoomScale="145" zoomScaleNormal="145" workbookViewId="0">
      <pane ySplit="1" topLeftCell="A246" activePane="bottomLeft" state="frozen"/>
      <selection pane="bottomLeft" activeCell="B246" sqref="B246"/>
    </sheetView>
  </sheetViews>
  <sheetFormatPr baseColWidth="10" defaultColWidth="8.6640625" defaultRowHeight="15" x14ac:dyDescent="0.2"/>
  <cols>
    <col min="1" max="1" width="20.5" style="1" customWidth="1"/>
    <col min="2" max="2" width="30" style="1" customWidth="1"/>
    <col min="3" max="3" width="20.83203125" style="1" customWidth="1"/>
    <col min="4" max="5" width="16.5" style="1" customWidth="1"/>
    <col min="6" max="6" width="14.6640625" style="1" customWidth="1"/>
    <col min="7" max="7" width="14.5" style="1" customWidth="1"/>
    <col min="8" max="16" width="8.6640625" style="1"/>
    <col min="17" max="17" width="12.83203125" style="1" bestFit="1" customWidth="1"/>
    <col min="18" max="16384" width="8.6640625" style="1"/>
  </cols>
  <sheetData>
    <row r="1" spans="1:17" x14ac:dyDescent="0.2">
      <c r="A1" s="4" t="s">
        <v>1</v>
      </c>
      <c r="B1" s="4" t="s">
        <v>0</v>
      </c>
      <c r="C1" s="4" t="s">
        <v>2</v>
      </c>
      <c r="D1" s="4" t="s">
        <v>53</v>
      </c>
      <c r="E1" s="4" t="s">
        <v>133</v>
      </c>
      <c r="F1" s="4" t="s">
        <v>54</v>
      </c>
      <c r="G1" s="4" t="s">
        <v>55</v>
      </c>
    </row>
    <row r="2" spans="1:17" hidden="1" x14ac:dyDescent="0.2">
      <c r="A2" s="3">
        <v>45659</v>
      </c>
      <c r="B2" s="26" t="s">
        <v>266</v>
      </c>
      <c r="C2" s="2">
        <v>4</v>
      </c>
      <c r="D2" s="2">
        <f t="shared" ref="D2:D65" si="0">YEAR(A2)</f>
        <v>2025</v>
      </c>
      <c r="E2" s="2" t="str">
        <f t="shared" ref="E2:E65" si="1">YEAR(A2)&amp;"-"&amp;_xlfn.ISOWEEKNUM(A2)</f>
        <v>2025-1</v>
      </c>
      <c r="F2" s="2" t="str">
        <f t="shared" ref="F2:F65" si="2">_xlfn.CONCAT("Week "&amp;WEEKNUM(A2))</f>
        <v>Week 1</v>
      </c>
      <c r="G2" s="2" t="str">
        <f t="shared" ref="G2:G65" si="3">_xlfn.CONCAT(F2,"-",D2)</f>
        <v>Week 1-2025</v>
      </c>
    </row>
    <row r="3" spans="1:17" hidden="1" x14ac:dyDescent="0.2">
      <c r="A3" s="3">
        <v>45659</v>
      </c>
      <c r="B3" s="2" t="s">
        <v>34</v>
      </c>
      <c r="C3" s="2">
        <v>6</v>
      </c>
      <c r="D3" s="2">
        <f t="shared" si="0"/>
        <v>2025</v>
      </c>
      <c r="E3" s="2" t="str">
        <f t="shared" si="1"/>
        <v>2025-1</v>
      </c>
      <c r="F3" s="2" t="str">
        <f t="shared" si="2"/>
        <v>Week 1</v>
      </c>
      <c r="G3" s="2" t="str">
        <f t="shared" si="3"/>
        <v>Week 1-2025</v>
      </c>
      <c r="O3" s="1" t="s">
        <v>238</v>
      </c>
      <c r="Q3" s="1" t="s">
        <v>57</v>
      </c>
    </row>
    <row r="4" spans="1:17" hidden="1" x14ac:dyDescent="0.2">
      <c r="A4" s="3">
        <v>45659</v>
      </c>
      <c r="B4" s="2" t="s">
        <v>17</v>
      </c>
      <c r="C4" s="2">
        <v>2</v>
      </c>
      <c r="D4" s="2">
        <f t="shared" si="0"/>
        <v>2025</v>
      </c>
      <c r="E4" s="2" t="str">
        <f t="shared" si="1"/>
        <v>2025-1</v>
      </c>
      <c r="F4" s="2" t="str">
        <f t="shared" si="2"/>
        <v>Week 1</v>
      </c>
      <c r="G4" s="2" t="str">
        <f t="shared" si="3"/>
        <v>Week 1-2025</v>
      </c>
      <c r="O4" s="1" t="s">
        <v>134</v>
      </c>
      <c r="Q4" s="1" t="s">
        <v>58</v>
      </c>
    </row>
    <row r="5" spans="1:17" hidden="1" x14ac:dyDescent="0.2">
      <c r="A5" s="3">
        <v>45659</v>
      </c>
      <c r="B5" s="2" t="s">
        <v>9</v>
      </c>
      <c r="C5" s="2">
        <v>1</v>
      </c>
      <c r="D5" s="2">
        <f t="shared" si="0"/>
        <v>2025</v>
      </c>
      <c r="E5" s="2" t="str">
        <f t="shared" si="1"/>
        <v>2025-1</v>
      </c>
      <c r="F5" s="2" t="str">
        <f t="shared" si="2"/>
        <v>Week 1</v>
      </c>
      <c r="G5" s="2" t="str">
        <f t="shared" si="3"/>
        <v>Week 1-2025</v>
      </c>
      <c r="O5" s="1" t="s">
        <v>176</v>
      </c>
      <c r="Q5" s="1" t="s">
        <v>59</v>
      </c>
    </row>
    <row r="6" spans="1:17" hidden="1" x14ac:dyDescent="0.2">
      <c r="A6" s="3">
        <v>45659</v>
      </c>
      <c r="B6" s="2" t="s">
        <v>28</v>
      </c>
      <c r="C6" s="2">
        <v>2</v>
      </c>
      <c r="D6" s="2">
        <f t="shared" si="0"/>
        <v>2025</v>
      </c>
      <c r="E6" s="2" t="str">
        <f t="shared" si="1"/>
        <v>2025-1</v>
      </c>
      <c r="F6" s="2" t="str">
        <f t="shared" si="2"/>
        <v>Week 1</v>
      </c>
      <c r="G6" s="2" t="str">
        <f t="shared" si="3"/>
        <v>Week 1-2025</v>
      </c>
      <c r="L6" s="1">
        <f>72/4</f>
        <v>18</v>
      </c>
      <c r="O6" s="1" t="s">
        <v>177</v>
      </c>
      <c r="Q6" s="1" t="s">
        <v>60</v>
      </c>
    </row>
    <row r="7" spans="1:17" hidden="1" x14ac:dyDescent="0.2">
      <c r="A7" s="3">
        <v>45662</v>
      </c>
      <c r="B7" s="2" t="s">
        <v>12</v>
      </c>
      <c r="C7" s="2">
        <v>10</v>
      </c>
      <c r="D7" s="2">
        <f t="shared" si="0"/>
        <v>2025</v>
      </c>
      <c r="E7" s="2" t="str">
        <f t="shared" si="1"/>
        <v>2025-1</v>
      </c>
      <c r="F7" s="2" t="str">
        <f t="shared" si="2"/>
        <v>Week 2</v>
      </c>
      <c r="G7" s="2" t="str">
        <f t="shared" si="3"/>
        <v>Week 2-2025</v>
      </c>
      <c r="O7" s="1" t="s">
        <v>204</v>
      </c>
      <c r="Q7" s="1" t="s">
        <v>61</v>
      </c>
    </row>
    <row r="8" spans="1:17" hidden="1" x14ac:dyDescent="0.2">
      <c r="A8" s="3">
        <v>45662</v>
      </c>
      <c r="B8" s="2" t="s">
        <v>21</v>
      </c>
      <c r="C8" s="2">
        <v>4</v>
      </c>
      <c r="D8" s="2">
        <f t="shared" si="0"/>
        <v>2025</v>
      </c>
      <c r="E8" s="2" t="str">
        <f t="shared" si="1"/>
        <v>2025-1</v>
      </c>
      <c r="F8" s="2" t="str">
        <f t="shared" si="2"/>
        <v>Week 2</v>
      </c>
      <c r="G8" s="2" t="str">
        <f t="shared" si="3"/>
        <v>Week 2-2025</v>
      </c>
      <c r="O8" s="1" t="s">
        <v>135</v>
      </c>
      <c r="Q8" s="1" t="s">
        <v>62</v>
      </c>
    </row>
    <row r="9" spans="1:17" hidden="1" x14ac:dyDescent="0.2">
      <c r="A9" s="3">
        <v>45662</v>
      </c>
      <c r="B9" s="2" t="s">
        <v>18</v>
      </c>
      <c r="C9" s="2">
        <v>3</v>
      </c>
      <c r="D9" s="2">
        <f t="shared" si="0"/>
        <v>2025</v>
      </c>
      <c r="E9" s="2" t="str">
        <f t="shared" si="1"/>
        <v>2025-1</v>
      </c>
      <c r="F9" s="2" t="str">
        <f t="shared" si="2"/>
        <v>Week 2</v>
      </c>
      <c r="G9" s="2" t="str">
        <f t="shared" si="3"/>
        <v>Week 2-2025</v>
      </c>
      <c r="O9" s="1" t="s">
        <v>213</v>
      </c>
      <c r="Q9" s="1" t="s">
        <v>63</v>
      </c>
    </row>
    <row r="10" spans="1:17" hidden="1" x14ac:dyDescent="0.2">
      <c r="A10" s="3">
        <v>45662</v>
      </c>
      <c r="B10" s="2" t="s">
        <v>18</v>
      </c>
      <c r="C10" s="2">
        <v>3</v>
      </c>
      <c r="D10" s="2">
        <f t="shared" si="0"/>
        <v>2025</v>
      </c>
      <c r="E10" s="2" t="str">
        <f t="shared" si="1"/>
        <v>2025-1</v>
      </c>
      <c r="F10" s="2" t="str">
        <f t="shared" si="2"/>
        <v>Week 2</v>
      </c>
      <c r="G10" s="2" t="str">
        <f t="shared" si="3"/>
        <v>Week 2-2025</v>
      </c>
      <c r="O10" s="1" t="s">
        <v>220</v>
      </c>
      <c r="Q10" s="1" t="s">
        <v>64</v>
      </c>
    </row>
    <row r="11" spans="1:17" hidden="1" x14ac:dyDescent="0.2">
      <c r="A11" s="3">
        <v>45662</v>
      </c>
      <c r="B11" s="2" t="s">
        <v>34</v>
      </c>
      <c r="C11" s="2">
        <v>6</v>
      </c>
      <c r="D11" s="2">
        <f t="shared" si="0"/>
        <v>2025</v>
      </c>
      <c r="E11" s="2" t="str">
        <f t="shared" si="1"/>
        <v>2025-1</v>
      </c>
      <c r="F11" s="2" t="str">
        <f t="shared" si="2"/>
        <v>Week 2</v>
      </c>
      <c r="G11" s="2" t="str">
        <f t="shared" si="3"/>
        <v>Week 2-2025</v>
      </c>
      <c r="O11" s="1" t="s">
        <v>178</v>
      </c>
      <c r="Q11" s="1" t="s">
        <v>65</v>
      </c>
    </row>
    <row r="12" spans="1:17" hidden="1" x14ac:dyDescent="0.2">
      <c r="A12" s="3">
        <v>45662</v>
      </c>
      <c r="B12" s="2" t="s">
        <v>17</v>
      </c>
      <c r="C12" s="2">
        <v>4</v>
      </c>
      <c r="D12" s="2">
        <f t="shared" si="0"/>
        <v>2025</v>
      </c>
      <c r="E12" s="2" t="str">
        <f t="shared" si="1"/>
        <v>2025-1</v>
      </c>
      <c r="F12" s="2" t="str">
        <f t="shared" si="2"/>
        <v>Week 2</v>
      </c>
      <c r="G12" s="2" t="str">
        <f t="shared" si="3"/>
        <v>Week 2-2025</v>
      </c>
      <c r="O12" s="1" t="s">
        <v>179</v>
      </c>
      <c r="Q12" s="1" t="s">
        <v>66</v>
      </c>
    </row>
    <row r="13" spans="1:17" hidden="1" x14ac:dyDescent="0.2">
      <c r="A13" s="3">
        <v>45662</v>
      </c>
      <c r="B13" s="2" t="s">
        <v>18</v>
      </c>
      <c r="C13" s="2">
        <v>2</v>
      </c>
      <c r="D13" s="2">
        <f t="shared" si="0"/>
        <v>2025</v>
      </c>
      <c r="E13" s="2" t="str">
        <f t="shared" si="1"/>
        <v>2025-1</v>
      </c>
      <c r="F13" s="2" t="str">
        <f t="shared" si="2"/>
        <v>Week 2</v>
      </c>
      <c r="G13" s="2" t="str">
        <f t="shared" si="3"/>
        <v>Week 2-2025</v>
      </c>
      <c r="O13" s="1" t="s">
        <v>180</v>
      </c>
      <c r="Q13" s="1" t="s">
        <v>67</v>
      </c>
    </row>
    <row r="14" spans="1:17" hidden="1" x14ac:dyDescent="0.2">
      <c r="A14" s="3">
        <v>45662</v>
      </c>
      <c r="B14" s="2" t="s">
        <v>12</v>
      </c>
      <c r="C14" s="2">
        <v>1</v>
      </c>
      <c r="D14" s="2">
        <f t="shared" si="0"/>
        <v>2025</v>
      </c>
      <c r="E14" s="2" t="str">
        <f t="shared" si="1"/>
        <v>2025-1</v>
      </c>
      <c r="F14" s="2" t="str">
        <f t="shared" si="2"/>
        <v>Week 2</v>
      </c>
      <c r="G14" s="2" t="str">
        <f t="shared" si="3"/>
        <v>Week 2-2025</v>
      </c>
      <c r="O14" s="1" t="s">
        <v>181</v>
      </c>
      <c r="Q14" s="1" t="s">
        <v>68</v>
      </c>
    </row>
    <row r="15" spans="1:17" hidden="1" x14ac:dyDescent="0.2">
      <c r="A15" s="3">
        <v>45662</v>
      </c>
      <c r="B15" s="2" t="s">
        <v>23</v>
      </c>
      <c r="C15" s="2">
        <v>1</v>
      </c>
      <c r="D15" s="2">
        <f t="shared" si="0"/>
        <v>2025</v>
      </c>
      <c r="E15" s="2" t="str">
        <f t="shared" si="1"/>
        <v>2025-1</v>
      </c>
      <c r="F15" s="2" t="str">
        <f t="shared" si="2"/>
        <v>Week 2</v>
      </c>
      <c r="G15" s="2" t="str">
        <f t="shared" si="3"/>
        <v>Week 2-2025</v>
      </c>
      <c r="O15" s="1" t="s">
        <v>235</v>
      </c>
      <c r="Q15" s="1" t="s">
        <v>69</v>
      </c>
    </row>
    <row r="16" spans="1:17" hidden="1" x14ac:dyDescent="0.2">
      <c r="A16" s="3">
        <v>45662</v>
      </c>
      <c r="B16" s="2" t="s">
        <v>23</v>
      </c>
      <c r="C16" s="2">
        <v>1</v>
      </c>
      <c r="D16" s="2">
        <f t="shared" si="0"/>
        <v>2025</v>
      </c>
      <c r="E16" s="2" t="str">
        <f t="shared" si="1"/>
        <v>2025-1</v>
      </c>
      <c r="F16" s="2" t="str">
        <f t="shared" si="2"/>
        <v>Week 2</v>
      </c>
      <c r="G16" s="2" t="str">
        <f t="shared" si="3"/>
        <v>Week 2-2025</v>
      </c>
      <c r="O16" s="1" t="s">
        <v>214</v>
      </c>
      <c r="Q16" s="1" t="s">
        <v>70</v>
      </c>
    </row>
    <row r="17" spans="1:17" hidden="1" x14ac:dyDescent="0.2">
      <c r="A17" s="3">
        <v>45662</v>
      </c>
      <c r="B17" s="2" t="s">
        <v>50</v>
      </c>
      <c r="C17" s="2">
        <v>2</v>
      </c>
      <c r="D17" s="2">
        <f t="shared" si="0"/>
        <v>2025</v>
      </c>
      <c r="E17" s="2" t="str">
        <f t="shared" si="1"/>
        <v>2025-1</v>
      </c>
      <c r="F17" s="2" t="str">
        <f t="shared" si="2"/>
        <v>Week 2</v>
      </c>
      <c r="G17" s="2" t="str">
        <f t="shared" si="3"/>
        <v>Week 2-2025</v>
      </c>
      <c r="O17" s="1" t="s">
        <v>182</v>
      </c>
      <c r="Q17" s="1" t="s">
        <v>71</v>
      </c>
    </row>
    <row r="18" spans="1:17" hidden="1" x14ac:dyDescent="0.2">
      <c r="A18" s="3">
        <v>45662</v>
      </c>
      <c r="B18" s="2" t="s">
        <v>9</v>
      </c>
      <c r="C18" s="2">
        <v>1</v>
      </c>
      <c r="D18" s="2">
        <f t="shared" si="0"/>
        <v>2025</v>
      </c>
      <c r="E18" s="2" t="str">
        <f t="shared" si="1"/>
        <v>2025-1</v>
      </c>
      <c r="F18" s="2" t="str">
        <f t="shared" si="2"/>
        <v>Week 2</v>
      </c>
      <c r="G18" s="2" t="str">
        <f t="shared" si="3"/>
        <v>Week 2-2025</v>
      </c>
      <c r="O18" s="1" t="s">
        <v>221</v>
      </c>
      <c r="Q18" s="1" t="s">
        <v>72</v>
      </c>
    </row>
    <row r="19" spans="1:17" hidden="1" x14ac:dyDescent="0.2">
      <c r="A19" s="3">
        <v>45662</v>
      </c>
      <c r="B19" s="2" t="s">
        <v>28</v>
      </c>
      <c r="C19" s="2">
        <v>2</v>
      </c>
      <c r="D19" s="2">
        <f t="shared" si="0"/>
        <v>2025</v>
      </c>
      <c r="E19" s="2" t="str">
        <f t="shared" si="1"/>
        <v>2025-1</v>
      </c>
      <c r="F19" s="2" t="str">
        <f t="shared" si="2"/>
        <v>Week 2</v>
      </c>
      <c r="G19" s="2" t="str">
        <f t="shared" si="3"/>
        <v>Week 2-2025</v>
      </c>
      <c r="O19" s="1" t="s">
        <v>136</v>
      </c>
      <c r="Q19" s="1" t="s">
        <v>73</v>
      </c>
    </row>
    <row r="20" spans="1:17" hidden="1" x14ac:dyDescent="0.2">
      <c r="A20" s="3">
        <v>45662</v>
      </c>
      <c r="B20" s="2" t="s">
        <v>29</v>
      </c>
      <c r="C20" s="2">
        <v>1</v>
      </c>
      <c r="D20" s="2">
        <f t="shared" si="0"/>
        <v>2025</v>
      </c>
      <c r="E20" s="2" t="str">
        <f t="shared" si="1"/>
        <v>2025-1</v>
      </c>
      <c r="F20" s="2" t="str">
        <f t="shared" si="2"/>
        <v>Week 2</v>
      </c>
      <c r="G20" s="2" t="str">
        <f t="shared" si="3"/>
        <v>Week 2-2025</v>
      </c>
      <c r="O20" s="1" t="s">
        <v>167</v>
      </c>
      <c r="Q20" s="1" t="s">
        <v>74</v>
      </c>
    </row>
    <row r="21" spans="1:17" hidden="1" x14ac:dyDescent="0.2">
      <c r="A21" s="3">
        <v>45663</v>
      </c>
      <c r="B21" s="2" t="s">
        <v>4</v>
      </c>
      <c r="C21" s="2">
        <v>16</v>
      </c>
      <c r="D21" s="2">
        <f t="shared" si="0"/>
        <v>2025</v>
      </c>
      <c r="E21" s="2" t="str">
        <f t="shared" si="1"/>
        <v>2025-2</v>
      </c>
      <c r="F21" s="2" t="str">
        <f t="shared" si="2"/>
        <v>Week 2</v>
      </c>
      <c r="G21" s="2" t="str">
        <f t="shared" si="3"/>
        <v>Week 2-2025</v>
      </c>
      <c r="O21" s="1" t="s">
        <v>183</v>
      </c>
      <c r="Q21" s="1" t="s">
        <v>75</v>
      </c>
    </row>
    <row r="22" spans="1:17" hidden="1" x14ac:dyDescent="0.2">
      <c r="A22" s="3">
        <v>45663</v>
      </c>
      <c r="B22" s="2" t="s">
        <v>3</v>
      </c>
      <c r="C22" s="2">
        <v>19</v>
      </c>
      <c r="D22" s="2">
        <f t="shared" si="0"/>
        <v>2025</v>
      </c>
      <c r="E22" s="2" t="str">
        <f t="shared" si="1"/>
        <v>2025-2</v>
      </c>
      <c r="F22" s="2" t="str">
        <f t="shared" si="2"/>
        <v>Week 2</v>
      </c>
      <c r="G22" s="2" t="str">
        <f t="shared" si="3"/>
        <v>Week 2-2025</v>
      </c>
      <c r="O22" s="1" t="s">
        <v>168</v>
      </c>
      <c r="Q22" s="1" t="s">
        <v>76</v>
      </c>
    </row>
    <row r="23" spans="1:17" hidden="1" x14ac:dyDescent="0.2">
      <c r="A23" s="3">
        <v>45663</v>
      </c>
      <c r="B23" s="2" t="s">
        <v>5</v>
      </c>
      <c r="C23" s="2">
        <v>16</v>
      </c>
      <c r="D23" s="2">
        <f t="shared" si="0"/>
        <v>2025</v>
      </c>
      <c r="E23" s="2" t="str">
        <f t="shared" si="1"/>
        <v>2025-2</v>
      </c>
      <c r="F23" s="2" t="str">
        <f t="shared" si="2"/>
        <v>Week 2</v>
      </c>
      <c r="G23" s="2" t="str">
        <f t="shared" si="3"/>
        <v>Week 2-2025</v>
      </c>
      <c r="O23" s="1" t="s">
        <v>184</v>
      </c>
      <c r="Q23" s="1" t="s">
        <v>77</v>
      </c>
    </row>
    <row r="24" spans="1:17" hidden="1" x14ac:dyDescent="0.2">
      <c r="A24" s="3">
        <v>45663</v>
      </c>
      <c r="B24" s="2" t="s">
        <v>6</v>
      </c>
      <c r="C24" s="2">
        <v>8</v>
      </c>
      <c r="D24" s="2">
        <f t="shared" si="0"/>
        <v>2025</v>
      </c>
      <c r="E24" s="2" t="str">
        <f t="shared" si="1"/>
        <v>2025-2</v>
      </c>
      <c r="F24" s="2" t="str">
        <f t="shared" si="2"/>
        <v>Week 2</v>
      </c>
      <c r="G24" s="2" t="str">
        <f t="shared" si="3"/>
        <v>Week 2-2025</v>
      </c>
      <c r="O24" s="1" t="s">
        <v>185</v>
      </c>
      <c r="Q24" s="1" t="s">
        <v>78</v>
      </c>
    </row>
    <row r="25" spans="1:17" hidden="1" x14ac:dyDescent="0.2">
      <c r="A25" s="3">
        <v>45663</v>
      </c>
      <c r="B25" s="2" t="s">
        <v>3</v>
      </c>
      <c r="C25" s="2">
        <v>11</v>
      </c>
      <c r="D25" s="2">
        <f t="shared" si="0"/>
        <v>2025</v>
      </c>
      <c r="E25" s="2" t="str">
        <f t="shared" si="1"/>
        <v>2025-2</v>
      </c>
      <c r="F25" s="2" t="str">
        <f t="shared" si="2"/>
        <v>Week 2</v>
      </c>
      <c r="G25" s="2" t="str">
        <f t="shared" si="3"/>
        <v>Week 2-2025</v>
      </c>
      <c r="O25" s="1" t="s">
        <v>137</v>
      </c>
      <c r="Q25" s="1" t="s">
        <v>79</v>
      </c>
    </row>
    <row r="26" spans="1:17" hidden="1" x14ac:dyDescent="0.2">
      <c r="A26" s="3">
        <v>45663</v>
      </c>
      <c r="B26" s="2" t="s">
        <v>9</v>
      </c>
      <c r="C26" s="2">
        <v>8</v>
      </c>
      <c r="D26" s="2">
        <f t="shared" si="0"/>
        <v>2025</v>
      </c>
      <c r="E26" s="2" t="str">
        <f t="shared" si="1"/>
        <v>2025-2</v>
      </c>
      <c r="F26" s="2" t="str">
        <f t="shared" si="2"/>
        <v>Week 2</v>
      </c>
      <c r="G26" s="2" t="str">
        <f t="shared" si="3"/>
        <v>Week 2-2025</v>
      </c>
      <c r="O26" s="1" t="s">
        <v>186</v>
      </c>
      <c r="Q26" s="1" t="s">
        <v>80</v>
      </c>
    </row>
    <row r="27" spans="1:17" hidden="1" x14ac:dyDescent="0.2">
      <c r="A27" s="3">
        <v>45663</v>
      </c>
      <c r="B27" s="2" t="s">
        <v>4</v>
      </c>
      <c r="C27" s="2">
        <v>6</v>
      </c>
      <c r="D27" s="2">
        <f t="shared" si="0"/>
        <v>2025</v>
      </c>
      <c r="E27" s="2" t="str">
        <f t="shared" si="1"/>
        <v>2025-2</v>
      </c>
      <c r="F27" s="2" t="str">
        <f t="shared" si="2"/>
        <v>Week 2</v>
      </c>
      <c r="G27" s="2" t="str">
        <f t="shared" si="3"/>
        <v>Week 2-2025</v>
      </c>
      <c r="O27" s="1" t="s">
        <v>187</v>
      </c>
      <c r="Q27" s="1" t="s">
        <v>81</v>
      </c>
    </row>
    <row r="28" spans="1:17" hidden="1" x14ac:dyDescent="0.2">
      <c r="A28" s="3">
        <v>45663</v>
      </c>
      <c r="B28" s="2" t="s">
        <v>7</v>
      </c>
      <c r="C28" s="2">
        <v>4</v>
      </c>
      <c r="D28" s="2">
        <f t="shared" si="0"/>
        <v>2025</v>
      </c>
      <c r="E28" s="2" t="str">
        <f t="shared" si="1"/>
        <v>2025-2</v>
      </c>
      <c r="F28" s="2" t="str">
        <f t="shared" si="2"/>
        <v>Week 2</v>
      </c>
      <c r="G28" s="2" t="str">
        <f t="shared" si="3"/>
        <v>Week 2-2025</v>
      </c>
      <c r="O28" s="1" t="s">
        <v>222</v>
      </c>
      <c r="Q28" s="1" t="s">
        <v>82</v>
      </c>
    </row>
    <row r="29" spans="1:17" hidden="1" x14ac:dyDescent="0.2">
      <c r="A29" s="3">
        <v>45663</v>
      </c>
      <c r="B29" s="2" t="s">
        <v>7</v>
      </c>
      <c r="C29" s="2">
        <v>4</v>
      </c>
      <c r="D29" s="2">
        <f t="shared" si="0"/>
        <v>2025</v>
      </c>
      <c r="E29" s="2" t="str">
        <f t="shared" si="1"/>
        <v>2025-2</v>
      </c>
      <c r="F29" s="2" t="str">
        <f t="shared" si="2"/>
        <v>Week 2</v>
      </c>
      <c r="G29" s="2" t="str">
        <f t="shared" si="3"/>
        <v>Week 2-2025</v>
      </c>
      <c r="O29" s="1" t="s">
        <v>236</v>
      </c>
      <c r="Q29" s="1" t="s">
        <v>83</v>
      </c>
    </row>
    <row r="30" spans="1:17" hidden="1" x14ac:dyDescent="0.2">
      <c r="A30" s="3">
        <v>45663</v>
      </c>
      <c r="B30" s="2" t="s">
        <v>14</v>
      </c>
      <c r="C30" s="2">
        <v>8</v>
      </c>
      <c r="D30" s="2">
        <f t="shared" si="0"/>
        <v>2025</v>
      </c>
      <c r="E30" s="2" t="str">
        <f t="shared" si="1"/>
        <v>2025-2</v>
      </c>
      <c r="F30" s="2" t="str">
        <f t="shared" si="2"/>
        <v>Week 2</v>
      </c>
      <c r="G30" s="2" t="str">
        <f t="shared" si="3"/>
        <v>Week 2-2025</v>
      </c>
      <c r="O30" s="1" t="s">
        <v>188</v>
      </c>
      <c r="Q30" s="1" t="s">
        <v>84</v>
      </c>
    </row>
    <row r="31" spans="1:17" hidden="1" x14ac:dyDescent="0.2">
      <c r="A31" s="3">
        <v>45663</v>
      </c>
      <c r="B31" s="2" t="s">
        <v>11</v>
      </c>
      <c r="C31" s="2">
        <v>2</v>
      </c>
      <c r="D31" s="2">
        <f t="shared" si="0"/>
        <v>2025</v>
      </c>
      <c r="E31" s="2" t="str">
        <f t="shared" si="1"/>
        <v>2025-2</v>
      </c>
      <c r="F31" s="2" t="str">
        <f t="shared" si="2"/>
        <v>Week 2</v>
      </c>
      <c r="G31" s="2" t="str">
        <f t="shared" si="3"/>
        <v>Week 2-2025</v>
      </c>
      <c r="O31" s="1" t="s">
        <v>138</v>
      </c>
      <c r="Q31" s="1" t="s">
        <v>85</v>
      </c>
    </row>
    <row r="32" spans="1:17" hidden="1" x14ac:dyDescent="0.2">
      <c r="A32" s="3">
        <v>45663</v>
      </c>
      <c r="B32" s="2" t="s">
        <v>34</v>
      </c>
      <c r="C32" s="2">
        <v>6</v>
      </c>
      <c r="D32" s="2">
        <f t="shared" si="0"/>
        <v>2025</v>
      </c>
      <c r="E32" s="2" t="str">
        <f t="shared" si="1"/>
        <v>2025-2</v>
      </c>
      <c r="F32" s="2" t="str">
        <f t="shared" si="2"/>
        <v>Week 2</v>
      </c>
      <c r="G32" s="2" t="str">
        <f t="shared" si="3"/>
        <v>Week 2-2025</v>
      </c>
      <c r="O32" s="1" t="s">
        <v>139</v>
      </c>
      <c r="Q32" s="1" t="s">
        <v>86</v>
      </c>
    </row>
    <row r="33" spans="1:17" hidden="1" x14ac:dyDescent="0.2">
      <c r="A33" s="3">
        <v>45663</v>
      </c>
      <c r="B33" s="2" t="s">
        <v>9</v>
      </c>
      <c r="C33" s="2">
        <v>3</v>
      </c>
      <c r="D33" s="2">
        <f t="shared" si="0"/>
        <v>2025</v>
      </c>
      <c r="E33" s="2" t="str">
        <f t="shared" si="1"/>
        <v>2025-2</v>
      </c>
      <c r="F33" s="2" t="str">
        <f t="shared" si="2"/>
        <v>Week 2</v>
      </c>
      <c r="G33" s="2" t="str">
        <f t="shared" si="3"/>
        <v>Week 2-2025</v>
      </c>
      <c r="O33" s="1" t="s">
        <v>189</v>
      </c>
      <c r="Q33" s="1" t="s">
        <v>87</v>
      </c>
    </row>
    <row r="34" spans="1:17" hidden="1" x14ac:dyDescent="0.2">
      <c r="A34" s="3">
        <v>45663</v>
      </c>
      <c r="B34" s="2" t="s">
        <v>19</v>
      </c>
      <c r="C34" s="2">
        <v>2</v>
      </c>
      <c r="D34" s="2">
        <f t="shared" si="0"/>
        <v>2025</v>
      </c>
      <c r="E34" s="2" t="str">
        <f t="shared" si="1"/>
        <v>2025-2</v>
      </c>
      <c r="F34" s="2" t="str">
        <f t="shared" si="2"/>
        <v>Week 2</v>
      </c>
      <c r="G34" s="2" t="str">
        <f t="shared" si="3"/>
        <v>Week 2-2025</v>
      </c>
      <c r="O34" s="1" t="s">
        <v>226</v>
      </c>
      <c r="Q34" s="1" t="s">
        <v>88</v>
      </c>
    </row>
    <row r="35" spans="1:17" hidden="1" x14ac:dyDescent="0.2">
      <c r="A35" s="3">
        <v>45663</v>
      </c>
      <c r="B35" s="2" t="s">
        <v>27</v>
      </c>
      <c r="C35" s="2">
        <v>5</v>
      </c>
      <c r="D35" s="2">
        <f t="shared" si="0"/>
        <v>2025</v>
      </c>
      <c r="E35" s="2" t="str">
        <f t="shared" si="1"/>
        <v>2025-2</v>
      </c>
      <c r="F35" s="2" t="str">
        <f t="shared" si="2"/>
        <v>Week 2</v>
      </c>
      <c r="G35" s="2" t="str">
        <f t="shared" si="3"/>
        <v>Week 2-2025</v>
      </c>
      <c r="O35" s="1" t="s">
        <v>227</v>
      </c>
      <c r="Q35" s="1" t="s">
        <v>89</v>
      </c>
    </row>
    <row r="36" spans="1:17" hidden="1" x14ac:dyDescent="0.2">
      <c r="A36" s="3">
        <v>45663</v>
      </c>
      <c r="B36" s="2" t="s">
        <v>8</v>
      </c>
      <c r="C36" s="2">
        <v>4</v>
      </c>
      <c r="D36" s="2">
        <f t="shared" si="0"/>
        <v>2025</v>
      </c>
      <c r="E36" s="2" t="str">
        <f t="shared" si="1"/>
        <v>2025-2</v>
      </c>
      <c r="F36" s="2" t="str">
        <f t="shared" si="2"/>
        <v>Week 2</v>
      </c>
      <c r="G36" s="2" t="str">
        <f t="shared" si="3"/>
        <v>Week 2-2025</v>
      </c>
      <c r="O36" s="1" t="s">
        <v>215</v>
      </c>
      <c r="Q36" s="1" t="s">
        <v>90</v>
      </c>
    </row>
    <row r="37" spans="1:17" hidden="1" x14ac:dyDescent="0.2">
      <c r="A37" s="3">
        <v>45663</v>
      </c>
      <c r="B37" s="2" t="s">
        <v>28</v>
      </c>
      <c r="C37" s="2">
        <v>4</v>
      </c>
      <c r="D37" s="2">
        <f t="shared" si="0"/>
        <v>2025</v>
      </c>
      <c r="E37" s="2" t="str">
        <f t="shared" si="1"/>
        <v>2025-2</v>
      </c>
      <c r="F37" s="2" t="str">
        <f t="shared" si="2"/>
        <v>Week 2</v>
      </c>
      <c r="G37" s="2" t="str">
        <f t="shared" si="3"/>
        <v>Week 2-2025</v>
      </c>
      <c r="O37" s="1" t="s">
        <v>211</v>
      </c>
      <c r="Q37" s="1" t="s">
        <v>91</v>
      </c>
    </row>
    <row r="38" spans="1:17" hidden="1" x14ac:dyDescent="0.2">
      <c r="A38" s="3">
        <v>45663</v>
      </c>
      <c r="B38" s="2" t="s">
        <v>3</v>
      </c>
      <c r="C38" s="2">
        <v>2</v>
      </c>
      <c r="D38" s="2">
        <f t="shared" si="0"/>
        <v>2025</v>
      </c>
      <c r="E38" s="2" t="str">
        <f t="shared" si="1"/>
        <v>2025-2</v>
      </c>
      <c r="F38" s="2" t="str">
        <f t="shared" si="2"/>
        <v>Week 2</v>
      </c>
      <c r="G38" s="2" t="str">
        <f t="shared" si="3"/>
        <v>Week 2-2025</v>
      </c>
      <c r="O38" s="1" t="s">
        <v>216</v>
      </c>
      <c r="Q38" s="1" t="s">
        <v>92</v>
      </c>
    </row>
    <row r="39" spans="1:17" hidden="1" x14ac:dyDescent="0.2">
      <c r="A39" s="3">
        <v>45663</v>
      </c>
      <c r="B39" s="2" t="s">
        <v>13</v>
      </c>
      <c r="C39" s="2">
        <v>2</v>
      </c>
      <c r="D39" s="2">
        <f t="shared" si="0"/>
        <v>2025</v>
      </c>
      <c r="E39" s="2" t="str">
        <f t="shared" si="1"/>
        <v>2025-2</v>
      </c>
      <c r="F39" s="2" t="str">
        <f t="shared" si="2"/>
        <v>Week 2</v>
      </c>
      <c r="G39" s="2" t="str">
        <f t="shared" si="3"/>
        <v>Week 2-2025</v>
      </c>
      <c r="O39" s="1" t="s">
        <v>190</v>
      </c>
      <c r="Q39" s="1" t="s">
        <v>93</v>
      </c>
    </row>
    <row r="40" spans="1:17" hidden="1" x14ac:dyDescent="0.2">
      <c r="A40" s="3">
        <v>45663</v>
      </c>
      <c r="B40" s="2" t="s">
        <v>42</v>
      </c>
      <c r="C40" s="2">
        <v>4</v>
      </c>
      <c r="D40" s="2">
        <f t="shared" si="0"/>
        <v>2025</v>
      </c>
      <c r="E40" s="2" t="str">
        <f t="shared" si="1"/>
        <v>2025-2</v>
      </c>
      <c r="F40" s="2" t="str">
        <f t="shared" si="2"/>
        <v>Week 2</v>
      </c>
      <c r="G40" s="2" t="str">
        <f t="shared" si="3"/>
        <v>Week 2-2025</v>
      </c>
      <c r="O40" s="1" t="s">
        <v>231</v>
      </c>
      <c r="Q40" s="1" t="s">
        <v>94</v>
      </c>
    </row>
    <row r="41" spans="1:17" hidden="1" x14ac:dyDescent="0.2">
      <c r="A41" s="3">
        <v>45663</v>
      </c>
      <c r="B41" s="2" t="s">
        <v>9</v>
      </c>
      <c r="C41" s="2">
        <v>1</v>
      </c>
      <c r="D41" s="2">
        <f t="shared" si="0"/>
        <v>2025</v>
      </c>
      <c r="E41" s="2" t="str">
        <f t="shared" si="1"/>
        <v>2025-2</v>
      </c>
      <c r="F41" s="2" t="str">
        <f t="shared" si="2"/>
        <v>Week 2</v>
      </c>
      <c r="G41" s="2" t="str">
        <f t="shared" si="3"/>
        <v>Week 2-2025</v>
      </c>
      <c r="O41" s="1" t="s">
        <v>234</v>
      </c>
      <c r="Q41" s="1" t="s">
        <v>95</v>
      </c>
    </row>
    <row r="42" spans="1:17" hidden="1" x14ac:dyDescent="0.2">
      <c r="A42" s="3">
        <v>45663</v>
      </c>
      <c r="B42" s="2" t="s">
        <v>37</v>
      </c>
      <c r="C42" s="2">
        <v>1</v>
      </c>
      <c r="D42" s="2">
        <f t="shared" si="0"/>
        <v>2025</v>
      </c>
      <c r="E42" s="2" t="str">
        <f t="shared" si="1"/>
        <v>2025-2</v>
      </c>
      <c r="F42" s="2" t="str">
        <f t="shared" si="2"/>
        <v>Week 2</v>
      </c>
      <c r="G42" s="2" t="str">
        <f t="shared" si="3"/>
        <v>Week 2-2025</v>
      </c>
      <c r="O42" s="1" t="s">
        <v>218</v>
      </c>
      <c r="Q42" s="1" t="s">
        <v>96</v>
      </c>
    </row>
    <row r="43" spans="1:17" hidden="1" x14ac:dyDescent="0.2">
      <c r="A43" s="3">
        <v>45665</v>
      </c>
      <c r="B43" s="2" t="s">
        <v>19</v>
      </c>
      <c r="C43" s="2">
        <v>2</v>
      </c>
      <c r="D43" s="2">
        <f t="shared" si="0"/>
        <v>2025</v>
      </c>
      <c r="E43" s="2" t="str">
        <f t="shared" si="1"/>
        <v>2025-2</v>
      </c>
      <c r="F43" s="2" t="str">
        <f t="shared" si="2"/>
        <v>Week 2</v>
      </c>
      <c r="G43" s="2" t="str">
        <f t="shared" si="3"/>
        <v>Week 2-2025</v>
      </c>
      <c r="O43" s="1" t="s">
        <v>205</v>
      </c>
      <c r="Q43" s="1" t="s">
        <v>97</v>
      </c>
    </row>
    <row r="44" spans="1:17" hidden="1" x14ac:dyDescent="0.2">
      <c r="A44" s="3">
        <v>45666</v>
      </c>
      <c r="B44" s="2" t="s">
        <v>5</v>
      </c>
      <c r="C44" s="2">
        <v>27</v>
      </c>
      <c r="D44" s="2">
        <f t="shared" si="0"/>
        <v>2025</v>
      </c>
      <c r="E44" s="2" t="str">
        <f t="shared" si="1"/>
        <v>2025-2</v>
      </c>
      <c r="F44" s="2" t="str">
        <f t="shared" si="2"/>
        <v>Week 2</v>
      </c>
      <c r="G44" s="2" t="str">
        <f t="shared" si="3"/>
        <v>Week 2-2025</v>
      </c>
      <c r="O44" s="1" t="s">
        <v>219</v>
      </c>
      <c r="Q44" s="1" t="s">
        <v>98</v>
      </c>
    </row>
    <row r="45" spans="1:17" hidden="1" x14ac:dyDescent="0.2">
      <c r="A45" s="3">
        <v>45666</v>
      </c>
      <c r="B45" s="2" t="s">
        <v>7</v>
      </c>
      <c r="C45" s="2">
        <v>16</v>
      </c>
      <c r="D45" s="2">
        <f t="shared" si="0"/>
        <v>2025</v>
      </c>
      <c r="E45" s="2" t="str">
        <f t="shared" si="1"/>
        <v>2025-2</v>
      </c>
      <c r="F45" s="2" t="str">
        <f t="shared" si="2"/>
        <v>Week 2</v>
      </c>
      <c r="G45" s="2" t="str">
        <f t="shared" si="3"/>
        <v>Week 2-2025</v>
      </c>
      <c r="O45" s="1" t="s">
        <v>169</v>
      </c>
      <c r="Q45" s="1" t="s">
        <v>99</v>
      </c>
    </row>
    <row r="46" spans="1:17" hidden="1" x14ac:dyDescent="0.2">
      <c r="A46" s="3">
        <v>45666</v>
      </c>
      <c r="B46" s="2" t="s">
        <v>4</v>
      </c>
      <c r="C46" s="2">
        <v>16</v>
      </c>
      <c r="D46" s="2">
        <f t="shared" si="0"/>
        <v>2025</v>
      </c>
      <c r="E46" s="2" t="str">
        <f t="shared" si="1"/>
        <v>2025-2</v>
      </c>
      <c r="F46" s="2" t="str">
        <f t="shared" si="2"/>
        <v>Week 2</v>
      </c>
      <c r="G46" s="2" t="str">
        <f t="shared" si="3"/>
        <v>Week 2-2025</v>
      </c>
      <c r="O46" s="1" t="s">
        <v>228</v>
      </c>
      <c r="Q46" s="1" t="s">
        <v>100</v>
      </c>
    </row>
    <row r="47" spans="1:17" hidden="1" x14ac:dyDescent="0.2">
      <c r="A47" s="3">
        <v>45666</v>
      </c>
      <c r="B47" s="2" t="s">
        <v>4</v>
      </c>
      <c r="C47" s="2">
        <v>16</v>
      </c>
      <c r="D47" s="2">
        <f t="shared" si="0"/>
        <v>2025</v>
      </c>
      <c r="E47" s="2" t="str">
        <f t="shared" si="1"/>
        <v>2025-2</v>
      </c>
      <c r="F47" s="2" t="str">
        <f t="shared" si="2"/>
        <v>Week 2</v>
      </c>
      <c r="G47" s="2" t="str">
        <f t="shared" si="3"/>
        <v>Week 2-2025</v>
      </c>
      <c r="O47" s="1" t="s">
        <v>232</v>
      </c>
      <c r="Q47" s="1" t="s">
        <v>101</v>
      </c>
    </row>
    <row r="48" spans="1:17" hidden="1" x14ac:dyDescent="0.2">
      <c r="A48" s="3">
        <v>45666</v>
      </c>
      <c r="B48" s="2" t="s">
        <v>5</v>
      </c>
      <c r="C48" s="2">
        <v>15</v>
      </c>
      <c r="D48" s="2">
        <f t="shared" si="0"/>
        <v>2025</v>
      </c>
      <c r="E48" s="2" t="str">
        <f t="shared" si="1"/>
        <v>2025-2</v>
      </c>
      <c r="F48" s="2" t="str">
        <f t="shared" si="2"/>
        <v>Week 2</v>
      </c>
      <c r="G48" s="2" t="str">
        <f t="shared" si="3"/>
        <v>Week 2-2025</v>
      </c>
      <c r="O48" s="1" t="s">
        <v>229</v>
      </c>
      <c r="Q48" s="1" t="s">
        <v>102</v>
      </c>
    </row>
    <row r="49" spans="1:17" hidden="1" x14ac:dyDescent="0.2">
      <c r="A49" s="3">
        <v>45666</v>
      </c>
      <c r="B49" s="2" t="s">
        <v>6</v>
      </c>
      <c r="C49" s="2">
        <v>8</v>
      </c>
      <c r="D49" s="2">
        <f t="shared" si="0"/>
        <v>2025</v>
      </c>
      <c r="E49" s="2" t="str">
        <f t="shared" si="1"/>
        <v>2025-2</v>
      </c>
      <c r="F49" s="2" t="str">
        <f t="shared" si="2"/>
        <v>Week 2</v>
      </c>
      <c r="G49" s="2" t="str">
        <f t="shared" si="3"/>
        <v>Week 2-2025</v>
      </c>
      <c r="O49" s="1" t="s">
        <v>140</v>
      </c>
      <c r="Q49" s="1" t="s">
        <v>103</v>
      </c>
    </row>
    <row r="50" spans="1:17" hidden="1" x14ac:dyDescent="0.2">
      <c r="A50" s="3">
        <v>45666</v>
      </c>
      <c r="B50" s="2" t="s">
        <v>6</v>
      </c>
      <c r="C50" s="2">
        <v>8</v>
      </c>
      <c r="D50" s="2">
        <f t="shared" si="0"/>
        <v>2025</v>
      </c>
      <c r="E50" s="2" t="str">
        <f t="shared" si="1"/>
        <v>2025-2</v>
      </c>
      <c r="F50" s="2" t="str">
        <f t="shared" si="2"/>
        <v>Week 2</v>
      </c>
      <c r="G50" s="2" t="str">
        <f t="shared" si="3"/>
        <v>Week 2-2025</v>
      </c>
      <c r="O50" s="1" t="s">
        <v>191</v>
      </c>
      <c r="Q50" s="1" t="s">
        <v>104</v>
      </c>
    </row>
    <row r="51" spans="1:17" hidden="1" x14ac:dyDescent="0.2">
      <c r="A51" s="3">
        <v>45666</v>
      </c>
      <c r="B51" s="2" t="s">
        <v>5</v>
      </c>
      <c r="C51" s="2">
        <v>12</v>
      </c>
      <c r="D51" s="2">
        <f t="shared" si="0"/>
        <v>2025</v>
      </c>
      <c r="E51" s="2" t="str">
        <f t="shared" si="1"/>
        <v>2025-2</v>
      </c>
      <c r="F51" s="2" t="str">
        <f t="shared" si="2"/>
        <v>Week 2</v>
      </c>
      <c r="G51" s="2" t="str">
        <f t="shared" si="3"/>
        <v>Week 2-2025</v>
      </c>
      <c r="O51" s="1" t="s">
        <v>206</v>
      </c>
      <c r="Q51" s="1" t="s">
        <v>105</v>
      </c>
    </row>
    <row r="52" spans="1:17" hidden="1" x14ac:dyDescent="0.2">
      <c r="A52" s="3">
        <v>45666</v>
      </c>
      <c r="B52" s="2" t="s">
        <v>5</v>
      </c>
      <c r="C52" s="2">
        <v>12</v>
      </c>
      <c r="D52" s="2">
        <f t="shared" si="0"/>
        <v>2025</v>
      </c>
      <c r="E52" s="2" t="str">
        <f t="shared" si="1"/>
        <v>2025-2</v>
      </c>
      <c r="F52" s="2" t="str">
        <f t="shared" si="2"/>
        <v>Week 2</v>
      </c>
      <c r="G52" s="2" t="str">
        <f t="shared" si="3"/>
        <v>Week 2-2025</v>
      </c>
      <c r="O52" s="1" t="s">
        <v>192</v>
      </c>
      <c r="Q52" s="1" t="s">
        <v>106</v>
      </c>
    </row>
    <row r="53" spans="1:17" hidden="1" x14ac:dyDescent="0.2">
      <c r="A53" s="3">
        <v>45666</v>
      </c>
      <c r="B53" s="2" t="s">
        <v>7</v>
      </c>
      <c r="C53" s="2">
        <v>8</v>
      </c>
      <c r="D53" s="2">
        <f t="shared" si="0"/>
        <v>2025</v>
      </c>
      <c r="E53" s="2" t="str">
        <f t="shared" si="1"/>
        <v>2025-2</v>
      </c>
      <c r="F53" s="2" t="str">
        <f t="shared" si="2"/>
        <v>Week 2</v>
      </c>
      <c r="G53" s="2" t="str">
        <f t="shared" si="3"/>
        <v>Week 2-2025</v>
      </c>
      <c r="O53" s="1" t="s">
        <v>193</v>
      </c>
      <c r="Q53" s="1" t="s">
        <v>107</v>
      </c>
    </row>
    <row r="54" spans="1:17" hidden="1" x14ac:dyDescent="0.2">
      <c r="A54" s="3">
        <v>45666</v>
      </c>
      <c r="B54" s="2" t="s">
        <v>9</v>
      </c>
      <c r="C54" s="2">
        <v>9</v>
      </c>
      <c r="D54" s="2">
        <f t="shared" si="0"/>
        <v>2025</v>
      </c>
      <c r="E54" s="2" t="str">
        <f t="shared" si="1"/>
        <v>2025-2</v>
      </c>
      <c r="F54" s="2" t="str">
        <f t="shared" si="2"/>
        <v>Week 2</v>
      </c>
      <c r="G54" s="2" t="str">
        <f t="shared" si="3"/>
        <v>Week 2-2025</v>
      </c>
      <c r="O54" s="1" t="s">
        <v>223</v>
      </c>
      <c r="Q54" s="1" t="s">
        <v>108</v>
      </c>
    </row>
    <row r="55" spans="1:17" hidden="1" x14ac:dyDescent="0.2">
      <c r="A55" s="3">
        <v>45666</v>
      </c>
      <c r="B55" s="2" t="s">
        <v>14</v>
      </c>
      <c r="C55" s="2">
        <v>16</v>
      </c>
      <c r="D55" s="2">
        <f t="shared" si="0"/>
        <v>2025</v>
      </c>
      <c r="E55" s="2" t="str">
        <f t="shared" si="1"/>
        <v>2025-2</v>
      </c>
      <c r="F55" s="2" t="str">
        <f t="shared" si="2"/>
        <v>Week 2</v>
      </c>
      <c r="G55" s="2" t="str">
        <f t="shared" si="3"/>
        <v>Week 2-2025</v>
      </c>
      <c r="O55" s="1" t="s">
        <v>141</v>
      </c>
      <c r="Q55" s="1" t="s">
        <v>109</v>
      </c>
    </row>
    <row r="56" spans="1:17" hidden="1" x14ac:dyDescent="0.2">
      <c r="A56" s="3">
        <v>45666</v>
      </c>
      <c r="B56" s="2" t="s">
        <v>4</v>
      </c>
      <c r="C56" s="2">
        <v>8</v>
      </c>
      <c r="D56" s="2">
        <f t="shared" si="0"/>
        <v>2025</v>
      </c>
      <c r="E56" s="2" t="str">
        <f t="shared" si="1"/>
        <v>2025-2</v>
      </c>
      <c r="F56" s="2" t="str">
        <f t="shared" si="2"/>
        <v>Week 2</v>
      </c>
      <c r="G56" s="2" t="str">
        <f t="shared" si="3"/>
        <v>Week 2-2025</v>
      </c>
      <c r="O56" s="1" t="s">
        <v>224</v>
      </c>
      <c r="Q56" s="1" t="s">
        <v>110</v>
      </c>
    </row>
    <row r="57" spans="1:17" hidden="1" x14ac:dyDescent="0.2">
      <c r="A57" s="3">
        <v>45666</v>
      </c>
      <c r="B57" s="2" t="s">
        <v>3</v>
      </c>
      <c r="C57" s="2">
        <v>8</v>
      </c>
      <c r="D57" s="2">
        <f t="shared" si="0"/>
        <v>2025</v>
      </c>
      <c r="E57" s="2" t="str">
        <f t="shared" si="1"/>
        <v>2025-2</v>
      </c>
      <c r="F57" s="2" t="str">
        <f t="shared" si="2"/>
        <v>Week 2</v>
      </c>
      <c r="G57" s="2" t="str">
        <f t="shared" si="3"/>
        <v>Week 2-2025</v>
      </c>
      <c r="O57" s="1" t="s">
        <v>194</v>
      </c>
      <c r="Q57" s="1" t="s">
        <v>111</v>
      </c>
    </row>
    <row r="58" spans="1:17" hidden="1" x14ac:dyDescent="0.2">
      <c r="A58" s="3">
        <v>45666</v>
      </c>
      <c r="B58" s="2" t="s">
        <v>3</v>
      </c>
      <c r="C58" s="2">
        <v>8</v>
      </c>
      <c r="D58" s="2">
        <f t="shared" si="0"/>
        <v>2025</v>
      </c>
      <c r="E58" s="2" t="str">
        <f t="shared" si="1"/>
        <v>2025-2</v>
      </c>
      <c r="F58" s="2" t="str">
        <f t="shared" si="2"/>
        <v>Week 2</v>
      </c>
      <c r="G58" s="2" t="str">
        <f t="shared" si="3"/>
        <v>Week 2-2025</v>
      </c>
      <c r="O58" s="1" t="s">
        <v>142</v>
      </c>
      <c r="Q58" s="1" t="s">
        <v>112</v>
      </c>
    </row>
    <row r="59" spans="1:17" hidden="1" x14ac:dyDescent="0.2">
      <c r="A59" s="3">
        <v>45666</v>
      </c>
      <c r="B59" s="2" t="s">
        <v>9</v>
      </c>
      <c r="C59" s="2">
        <v>7</v>
      </c>
      <c r="D59" s="2">
        <f t="shared" si="0"/>
        <v>2025</v>
      </c>
      <c r="E59" s="2" t="str">
        <f t="shared" si="1"/>
        <v>2025-2</v>
      </c>
      <c r="F59" s="2" t="str">
        <f t="shared" si="2"/>
        <v>Week 2</v>
      </c>
      <c r="G59" s="2" t="str">
        <f t="shared" si="3"/>
        <v>Week 2-2025</v>
      </c>
      <c r="O59" s="1" t="s">
        <v>143</v>
      </c>
      <c r="Q59" s="1" t="s">
        <v>113</v>
      </c>
    </row>
    <row r="60" spans="1:17" hidden="1" x14ac:dyDescent="0.2">
      <c r="A60" s="3">
        <v>45666</v>
      </c>
      <c r="B60" s="2" t="s">
        <v>12</v>
      </c>
      <c r="C60" s="2">
        <v>4</v>
      </c>
      <c r="D60" s="2">
        <f t="shared" si="0"/>
        <v>2025</v>
      </c>
      <c r="E60" s="2" t="str">
        <f t="shared" si="1"/>
        <v>2025-2</v>
      </c>
      <c r="F60" s="2" t="str">
        <f t="shared" si="2"/>
        <v>Week 2</v>
      </c>
      <c r="G60" s="2" t="str">
        <f t="shared" si="3"/>
        <v>Week 2-2025</v>
      </c>
      <c r="O60" s="1" t="s">
        <v>144</v>
      </c>
      <c r="Q60" s="1" t="s">
        <v>114</v>
      </c>
    </row>
    <row r="61" spans="1:17" hidden="1" x14ac:dyDescent="0.2">
      <c r="A61" s="3">
        <v>45666</v>
      </c>
      <c r="B61" s="2" t="s">
        <v>5</v>
      </c>
      <c r="C61" s="2">
        <v>8</v>
      </c>
      <c r="D61" s="2">
        <f t="shared" si="0"/>
        <v>2025</v>
      </c>
      <c r="E61" s="2" t="str">
        <f t="shared" si="1"/>
        <v>2025-2</v>
      </c>
      <c r="F61" s="2" t="str">
        <f t="shared" si="2"/>
        <v>Week 2</v>
      </c>
      <c r="G61" s="2" t="str">
        <f t="shared" si="3"/>
        <v>Week 2-2025</v>
      </c>
      <c r="O61" s="1" t="s">
        <v>145</v>
      </c>
      <c r="Q61" s="1" t="s">
        <v>115</v>
      </c>
    </row>
    <row r="62" spans="1:17" hidden="1" x14ac:dyDescent="0.2">
      <c r="A62" s="3">
        <v>45666</v>
      </c>
      <c r="B62" s="2" t="s">
        <v>14</v>
      </c>
      <c r="C62" s="2">
        <v>11</v>
      </c>
      <c r="D62" s="2">
        <f t="shared" si="0"/>
        <v>2025</v>
      </c>
      <c r="E62" s="2" t="str">
        <f t="shared" si="1"/>
        <v>2025-2</v>
      </c>
      <c r="F62" s="2" t="str">
        <f t="shared" si="2"/>
        <v>Week 2</v>
      </c>
      <c r="G62" s="2" t="str">
        <f t="shared" si="3"/>
        <v>Week 2-2025</v>
      </c>
      <c r="O62" s="1" t="s">
        <v>146</v>
      </c>
      <c r="Q62" s="1" t="s">
        <v>116</v>
      </c>
    </row>
    <row r="63" spans="1:17" hidden="1" x14ac:dyDescent="0.2">
      <c r="A63" s="3">
        <v>45666</v>
      </c>
      <c r="B63" s="2" t="s">
        <v>19</v>
      </c>
      <c r="C63" s="2">
        <v>5</v>
      </c>
      <c r="D63" s="2">
        <f t="shared" si="0"/>
        <v>2025</v>
      </c>
      <c r="E63" s="2" t="str">
        <f t="shared" si="1"/>
        <v>2025-2</v>
      </c>
      <c r="F63" s="2" t="str">
        <f t="shared" si="2"/>
        <v>Week 2</v>
      </c>
      <c r="G63" s="2" t="str">
        <f t="shared" si="3"/>
        <v>Week 2-2025</v>
      </c>
      <c r="O63" s="1" t="s">
        <v>147</v>
      </c>
      <c r="Q63" s="1" t="s">
        <v>117</v>
      </c>
    </row>
    <row r="64" spans="1:17" hidden="1" x14ac:dyDescent="0.2">
      <c r="A64" s="3">
        <v>45666</v>
      </c>
      <c r="B64" s="2" t="s">
        <v>9</v>
      </c>
      <c r="C64" s="2">
        <v>6</v>
      </c>
      <c r="D64" s="2">
        <f t="shared" si="0"/>
        <v>2025</v>
      </c>
      <c r="E64" s="2" t="str">
        <f t="shared" si="1"/>
        <v>2025-2</v>
      </c>
      <c r="F64" s="2" t="str">
        <f t="shared" si="2"/>
        <v>Week 2</v>
      </c>
      <c r="G64" s="2" t="str">
        <f t="shared" si="3"/>
        <v>Week 2-2025</v>
      </c>
      <c r="O64" s="1" t="s">
        <v>207</v>
      </c>
      <c r="Q64" s="1" t="s">
        <v>118</v>
      </c>
    </row>
    <row r="65" spans="1:17" hidden="1" x14ac:dyDescent="0.2">
      <c r="A65" s="3">
        <v>45666</v>
      </c>
      <c r="B65" s="2" t="s">
        <v>6</v>
      </c>
      <c r="C65" s="2">
        <v>4</v>
      </c>
      <c r="D65" s="2">
        <f t="shared" si="0"/>
        <v>2025</v>
      </c>
      <c r="E65" s="2" t="str">
        <f t="shared" si="1"/>
        <v>2025-2</v>
      </c>
      <c r="F65" s="2" t="str">
        <f t="shared" si="2"/>
        <v>Week 2</v>
      </c>
      <c r="G65" s="2" t="str">
        <f t="shared" si="3"/>
        <v>Week 2-2025</v>
      </c>
      <c r="O65" s="1" t="s">
        <v>170</v>
      </c>
      <c r="Q65" s="1" t="s">
        <v>119</v>
      </c>
    </row>
    <row r="66" spans="1:17" hidden="1" x14ac:dyDescent="0.2">
      <c r="A66" s="3">
        <v>45666</v>
      </c>
      <c r="B66" s="2" t="s">
        <v>7</v>
      </c>
      <c r="C66" s="2">
        <v>4</v>
      </c>
      <c r="D66" s="2">
        <f t="shared" ref="D66:D129" si="4">YEAR(A66)</f>
        <v>2025</v>
      </c>
      <c r="E66" s="2" t="str">
        <f t="shared" ref="E66:E129" si="5">YEAR(A66)&amp;"-"&amp;_xlfn.ISOWEEKNUM(A66)</f>
        <v>2025-2</v>
      </c>
      <c r="F66" s="2" t="str">
        <f t="shared" ref="F66:F129" si="6">_xlfn.CONCAT("Week "&amp;WEEKNUM(A66))</f>
        <v>Week 2</v>
      </c>
      <c r="G66" s="2" t="str">
        <f t="shared" ref="G66:G129" si="7">_xlfn.CONCAT(F66,"-",D66)</f>
        <v>Week 2-2025</v>
      </c>
      <c r="O66" s="1" t="s">
        <v>225</v>
      </c>
      <c r="Q66" s="1" t="s">
        <v>120</v>
      </c>
    </row>
    <row r="67" spans="1:17" hidden="1" x14ac:dyDescent="0.2">
      <c r="A67" s="3">
        <v>45666</v>
      </c>
      <c r="B67" s="2" t="s">
        <v>7</v>
      </c>
      <c r="C67" s="2">
        <v>4</v>
      </c>
      <c r="D67" s="2">
        <f t="shared" si="4"/>
        <v>2025</v>
      </c>
      <c r="E67" s="2" t="str">
        <f t="shared" si="5"/>
        <v>2025-2</v>
      </c>
      <c r="F67" s="2" t="str">
        <f t="shared" si="6"/>
        <v>Week 2</v>
      </c>
      <c r="G67" s="2" t="str">
        <f t="shared" si="7"/>
        <v>Week 2-2025</v>
      </c>
      <c r="O67" s="1" t="s">
        <v>208</v>
      </c>
      <c r="Q67" s="1" t="s">
        <v>121</v>
      </c>
    </row>
    <row r="68" spans="1:17" hidden="1" x14ac:dyDescent="0.2">
      <c r="A68" s="3">
        <v>45666</v>
      </c>
      <c r="B68" s="2" t="s">
        <v>7</v>
      </c>
      <c r="C68" s="2">
        <v>4</v>
      </c>
      <c r="D68" s="2">
        <f t="shared" si="4"/>
        <v>2025</v>
      </c>
      <c r="E68" s="2" t="str">
        <f t="shared" si="5"/>
        <v>2025-2</v>
      </c>
      <c r="F68" s="2" t="str">
        <f t="shared" si="6"/>
        <v>Week 2</v>
      </c>
      <c r="G68" s="2" t="str">
        <f t="shared" si="7"/>
        <v>Week 2-2025</v>
      </c>
      <c r="O68" s="1" t="s">
        <v>148</v>
      </c>
      <c r="Q68" s="1" t="s">
        <v>122</v>
      </c>
    </row>
    <row r="69" spans="1:17" hidden="1" x14ac:dyDescent="0.2">
      <c r="A69" s="3">
        <v>45666</v>
      </c>
      <c r="B69" s="2" t="s">
        <v>8</v>
      </c>
      <c r="C69" s="2">
        <v>8</v>
      </c>
      <c r="D69" s="2">
        <f t="shared" si="4"/>
        <v>2025</v>
      </c>
      <c r="E69" s="2" t="str">
        <f t="shared" si="5"/>
        <v>2025-2</v>
      </c>
      <c r="F69" s="2" t="str">
        <f t="shared" si="6"/>
        <v>Week 2</v>
      </c>
      <c r="G69" s="2" t="str">
        <f t="shared" si="7"/>
        <v>Week 2-2025</v>
      </c>
      <c r="O69" s="1" t="s">
        <v>149</v>
      </c>
      <c r="Q69" s="1" t="s">
        <v>123</v>
      </c>
    </row>
    <row r="70" spans="1:17" hidden="1" x14ac:dyDescent="0.2">
      <c r="A70" s="3">
        <v>45666</v>
      </c>
      <c r="B70" s="2" t="s">
        <v>9</v>
      </c>
      <c r="C70" s="2">
        <v>4</v>
      </c>
      <c r="D70" s="2">
        <f t="shared" si="4"/>
        <v>2025</v>
      </c>
      <c r="E70" s="2" t="str">
        <f t="shared" si="5"/>
        <v>2025-2</v>
      </c>
      <c r="F70" s="2" t="str">
        <f t="shared" si="6"/>
        <v>Week 2</v>
      </c>
      <c r="G70" s="2" t="str">
        <f t="shared" si="7"/>
        <v>Week 2-2025</v>
      </c>
      <c r="O70" s="1" t="s">
        <v>195</v>
      </c>
      <c r="Q70" s="1" t="s">
        <v>124</v>
      </c>
    </row>
    <row r="71" spans="1:17" hidden="1" x14ac:dyDescent="0.2">
      <c r="A71" s="3">
        <v>45666</v>
      </c>
      <c r="B71" s="2" t="s">
        <v>14</v>
      </c>
      <c r="C71" s="2">
        <v>7</v>
      </c>
      <c r="D71" s="2">
        <f t="shared" si="4"/>
        <v>2025</v>
      </c>
      <c r="E71" s="2" t="str">
        <f t="shared" si="5"/>
        <v>2025-2</v>
      </c>
      <c r="F71" s="2" t="str">
        <f t="shared" si="6"/>
        <v>Week 2</v>
      </c>
      <c r="G71" s="2" t="str">
        <f t="shared" si="7"/>
        <v>Week 2-2025</v>
      </c>
      <c r="O71" s="1" t="s">
        <v>150</v>
      </c>
      <c r="Q71" s="1" t="s">
        <v>125</v>
      </c>
    </row>
    <row r="72" spans="1:17" hidden="1" x14ac:dyDescent="0.2">
      <c r="A72" s="3">
        <v>45666</v>
      </c>
      <c r="B72" s="2" t="s">
        <v>5</v>
      </c>
      <c r="C72" s="2">
        <v>5</v>
      </c>
      <c r="D72" s="2">
        <f t="shared" si="4"/>
        <v>2025</v>
      </c>
      <c r="E72" s="2" t="str">
        <f t="shared" si="5"/>
        <v>2025-2</v>
      </c>
      <c r="F72" s="2" t="str">
        <f t="shared" si="6"/>
        <v>Week 2</v>
      </c>
      <c r="G72" s="2" t="str">
        <f t="shared" si="7"/>
        <v>Week 2-2025</v>
      </c>
      <c r="O72" s="1" t="s">
        <v>151</v>
      </c>
      <c r="Q72" s="1" t="s">
        <v>126</v>
      </c>
    </row>
    <row r="73" spans="1:17" hidden="1" x14ac:dyDescent="0.2">
      <c r="A73" s="3">
        <v>45666</v>
      </c>
      <c r="B73" s="2" t="s">
        <v>5</v>
      </c>
      <c r="C73" s="2">
        <v>4</v>
      </c>
      <c r="D73" s="2">
        <f t="shared" si="4"/>
        <v>2025</v>
      </c>
      <c r="E73" s="2" t="str">
        <f t="shared" si="5"/>
        <v>2025-2</v>
      </c>
      <c r="F73" s="2" t="str">
        <f t="shared" si="6"/>
        <v>Week 2</v>
      </c>
      <c r="G73" s="2" t="str">
        <f t="shared" si="7"/>
        <v>Week 2-2025</v>
      </c>
      <c r="O73" s="1" t="s">
        <v>209</v>
      </c>
      <c r="Q73" s="1" t="s">
        <v>127</v>
      </c>
    </row>
    <row r="74" spans="1:17" hidden="1" x14ac:dyDescent="0.2">
      <c r="A74" s="3">
        <v>45666</v>
      </c>
      <c r="B74" s="2" t="s">
        <v>17</v>
      </c>
      <c r="C74" s="2">
        <v>4</v>
      </c>
      <c r="D74" s="2">
        <f t="shared" si="4"/>
        <v>2025</v>
      </c>
      <c r="E74" s="2" t="str">
        <f t="shared" si="5"/>
        <v>2025-2</v>
      </c>
      <c r="F74" s="2" t="str">
        <f t="shared" si="6"/>
        <v>Week 2</v>
      </c>
      <c r="G74" s="2" t="str">
        <f t="shared" si="7"/>
        <v>Week 2-2025</v>
      </c>
      <c r="O74" s="1" t="s">
        <v>152</v>
      </c>
      <c r="Q74" s="1" t="s">
        <v>128</v>
      </c>
    </row>
    <row r="75" spans="1:17" hidden="1" x14ac:dyDescent="0.2">
      <c r="A75" s="3">
        <v>45666</v>
      </c>
      <c r="B75" s="2" t="s">
        <v>28</v>
      </c>
      <c r="C75" s="2">
        <v>6</v>
      </c>
      <c r="D75" s="2">
        <f t="shared" si="4"/>
        <v>2025</v>
      </c>
      <c r="E75" s="2" t="str">
        <f t="shared" si="5"/>
        <v>2025-2</v>
      </c>
      <c r="F75" s="2" t="str">
        <f t="shared" si="6"/>
        <v>Week 2</v>
      </c>
      <c r="G75" s="2" t="str">
        <f t="shared" si="7"/>
        <v>Week 2-2025</v>
      </c>
      <c r="O75" s="1" t="s">
        <v>171</v>
      </c>
      <c r="Q75" s="1" t="s">
        <v>129</v>
      </c>
    </row>
    <row r="76" spans="1:17" hidden="1" x14ac:dyDescent="0.2">
      <c r="A76" s="3">
        <v>45666</v>
      </c>
      <c r="B76" s="2" t="s">
        <v>8</v>
      </c>
      <c r="C76" s="2">
        <v>4</v>
      </c>
      <c r="D76" s="2">
        <f t="shared" si="4"/>
        <v>2025</v>
      </c>
      <c r="E76" s="2" t="str">
        <f t="shared" si="5"/>
        <v>2025-2</v>
      </c>
      <c r="F76" s="2" t="str">
        <f t="shared" si="6"/>
        <v>Week 2</v>
      </c>
      <c r="G76" s="2" t="str">
        <f t="shared" si="7"/>
        <v>Week 2-2025</v>
      </c>
      <c r="O76" s="1" t="s">
        <v>153</v>
      </c>
      <c r="Q76" s="1" t="s">
        <v>130</v>
      </c>
    </row>
    <row r="77" spans="1:17" hidden="1" x14ac:dyDescent="0.2">
      <c r="A77" s="3">
        <v>45666</v>
      </c>
      <c r="B77" s="2" t="s">
        <v>7</v>
      </c>
      <c r="C77" s="2">
        <v>1</v>
      </c>
      <c r="D77" s="2">
        <f t="shared" si="4"/>
        <v>2025</v>
      </c>
      <c r="E77" s="2" t="str">
        <f t="shared" si="5"/>
        <v>2025-2</v>
      </c>
      <c r="F77" s="2" t="str">
        <f t="shared" si="6"/>
        <v>Week 2</v>
      </c>
      <c r="G77" s="2" t="str">
        <f t="shared" si="7"/>
        <v>Week 2-2025</v>
      </c>
      <c r="O77" s="1" t="s">
        <v>154</v>
      </c>
      <c r="Q77"/>
    </row>
    <row r="78" spans="1:17" hidden="1" x14ac:dyDescent="0.2">
      <c r="A78" s="3">
        <v>45666</v>
      </c>
      <c r="B78" s="2" t="s">
        <v>7</v>
      </c>
      <c r="C78" s="2">
        <v>1</v>
      </c>
      <c r="D78" s="2">
        <f t="shared" si="4"/>
        <v>2025</v>
      </c>
      <c r="E78" s="2" t="str">
        <f t="shared" si="5"/>
        <v>2025-2</v>
      </c>
      <c r="F78" s="2" t="str">
        <f t="shared" si="6"/>
        <v>Week 2</v>
      </c>
      <c r="G78" s="2" t="str">
        <f t="shared" si="7"/>
        <v>Week 2-2025</v>
      </c>
      <c r="O78" s="1" t="s">
        <v>196</v>
      </c>
      <c r="Q78"/>
    </row>
    <row r="79" spans="1:17" hidden="1" x14ac:dyDescent="0.2">
      <c r="A79" s="3">
        <v>45666</v>
      </c>
      <c r="B79" s="2" t="s">
        <v>45</v>
      </c>
      <c r="C79" s="2">
        <v>2</v>
      </c>
      <c r="D79" s="2">
        <f t="shared" si="4"/>
        <v>2025</v>
      </c>
      <c r="E79" s="2" t="str">
        <f t="shared" si="5"/>
        <v>2025-2</v>
      </c>
      <c r="F79" s="2" t="str">
        <f t="shared" si="6"/>
        <v>Week 2</v>
      </c>
      <c r="G79" s="2" t="str">
        <f t="shared" si="7"/>
        <v>Week 2-2025</v>
      </c>
      <c r="O79" s="1" t="s">
        <v>155</v>
      </c>
      <c r="Q79"/>
    </row>
    <row r="80" spans="1:17" hidden="1" x14ac:dyDescent="0.2">
      <c r="A80" s="3">
        <v>45666</v>
      </c>
      <c r="B80" s="2" t="s">
        <v>51</v>
      </c>
      <c r="C80" s="2">
        <v>2</v>
      </c>
      <c r="D80" s="2">
        <f t="shared" si="4"/>
        <v>2025</v>
      </c>
      <c r="E80" s="2" t="str">
        <f t="shared" si="5"/>
        <v>2025-2</v>
      </c>
      <c r="F80" s="2" t="str">
        <f t="shared" si="6"/>
        <v>Week 2</v>
      </c>
      <c r="G80" s="2" t="str">
        <f t="shared" si="7"/>
        <v>Week 2-2025</v>
      </c>
      <c r="O80" s="1" t="s">
        <v>175</v>
      </c>
      <c r="Q80"/>
    </row>
    <row r="81" spans="1:17" hidden="1" x14ac:dyDescent="0.2">
      <c r="A81" s="3">
        <v>45667</v>
      </c>
      <c r="B81" s="2" t="s">
        <v>12</v>
      </c>
      <c r="C81" s="2">
        <v>6</v>
      </c>
      <c r="D81" s="2">
        <f t="shared" si="4"/>
        <v>2025</v>
      </c>
      <c r="E81" s="2" t="str">
        <f t="shared" si="5"/>
        <v>2025-2</v>
      </c>
      <c r="F81" s="2" t="str">
        <f t="shared" si="6"/>
        <v>Week 2</v>
      </c>
      <c r="G81" s="2" t="str">
        <f t="shared" si="7"/>
        <v>Week 2-2025</v>
      </c>
      <c r="O81" s="1" t="s">
        <v>172</v>
      </c>
      <c r="Q81"/>
    </row>
    <row r="82" spans="1:17" hidden="1" x14ac:dyDescent="0.2">
      <c r="A82" s="3">
        <v>45667</v>
      </c>
      <c r="B82" s="2" t="s">
        <v>12</v>
      </c>
      <c r="C82" s="2">
        <v>5</v>
      </c>
      <c r="D82" s="2">
        <f t="shared" si="4"/>
        <v>2025</v>
      </c>
      <c r="E82" s="2" t="str">
        <f t="shared" si="5"/>
        <v>2025-2</v>
      </c>
      <c r="F82" s="2" t="str">
        <f t="shared" si="6"/>
        <v>Week 2</v>
      </c>
      <c r="G82" s="2" t="str">
        <f t="shared" si="7"/>
        <v>Week 2-2025</v>
      </c>
      <c r="O82" s="1" t="s">
        <v>156</v>
      </c>
      <c r="Q82"/>
    </row>
    <row r="83" spans="1:17" hidden="1" x14ac:dyDescent="0.2">
      <c r="A83" s="3">
        <v>45667</v>
      </c>
      <c r="B83" s="2" t="s">
        <v>9</v>
      </c>
      <c r="C83" s="2">
        <v>7</v>
      </c>
      <c r="D83" s="2">
        <f t="shared" si="4"/>
        <v>2025</v>
      </c>
      <c r="E83" s="2" t="str">
        <f t="shared" si="5"/>
        <v>2025-2</v>
      </c>
      <c r="F83" s="2" t="str">
        <f t="shared" si="6"/>
        <v>Week 2</v>
      </c>
      <c r="G83" s="2" t="str">
        <f t="shared" si="7"/>
        <v>Week 2-2025</v>
      </c>
      <c r="O83" s="1" t="s">
        <v>197</v>
      </c>
      <c r="Q83"/>
    </row>
    <row r="84" spans="1:17" hidden="1" x14ac:dyDescent="0.2">
      <c r="A84" s="3">
        <v>45667</v>
      </c>
      <c r="B84" s="2" t="s">
        <v>18</v>
      </c>
      <c r="C84" s="2">
        <v>5</v>
      </c>
      <c r="D84" s="2">
        <f t="shared" si="4"/>
        <v>2025</v>
      </c>
      <c r="E84" s="2" t="str">
        <f t="shared" si="5"/>
        <v>2025-2</v>
      </c>
      <c r="F84" s="2" t="str">
        <f t="shared" si="6"/>
        <v>Week 2</v>
      </c>
      <c r="G84" s="2" t="str">
        <f t="shared" si="7"/>
        <v>Week 2-2025</v>
      </c>
      <c r="O84" s="1" t="s">
        <v>198</v>
      </c>
      <c r="Q84"/>
    </row>
    <row r="85" spans="1:17" hidden="1" x14ac:dyDescent="0.2">
      <c r="A85" s="3">
        <v>45667</v>
      </c>
      <c r="B85" s="2" t="s">
        <v>18</v>
      </c>
      <c r="C85" s="2">
        <v>3</v>
      </c>
      <c r="D85" s="2">
        <f t="shared" si="4"/>
        <v>2025</v>
      </c>
      <c r="E85" s="2" t="str">
        <f t="shared" si="5"/>
        <v>2025-2</v>
      </c>
      <c r="F85" s="2" t="str">
        <f t="shared" si="6"/>
        <v>Week 2</v>
      </c>
      <c r="G85" s="2" t="str">
        <f t="shared" si="7"/>
        <v>Week 2-2025</v>
      </c>
      <c r="O85" s="1" t="s">
        <v>173</v>
      </c>
      <c r="Q85"/>
    </row>
    <row r="86" spans="1:17" hidden="1" x14ac:dyDescent="0.2">
      <c r="A86" s="3">
        <v>45667</v>
      </c>
      <c r="B86" s="2" t="s">
        <v>23</v>
      </c>
      <c r="C86" s="2">
        <v>2</v>
      </c>
      <c r="D86" s="2">
        <f t="shared" si="4"/>
        <v>2025</v>
      </c>
      <c r="E86" s="2" t="str">
        <f t="shared" si="5"/>
        <v>2025-2</v>
      </c>
      <c r="F86" s="2" t="str">
        <f t="shared" si="6"/>
        <v>Week 2</v>
      </c>
      <c r="G86" s="2" t="str">
        <f t="shared" si="7"/>
        <v>Week 2-2025</v>
      </c>
      <c r="O86" s="1" t="s">
        <v>237</v>
      </c>
      <c r="Q86"/>
    </row>
    <row r="87" spans="1:17" hidden="1" x14ac:dyDescent="0.2">
      <c r="A87" s="3">
        <v>45667</v>
      </c>
      <c r="B87" s="2" t="s">
        <v>50</v>
      </c>
      <c r="C87" s="2">
        <v>2</v>
      </c>
      <c r="D87" s="2">
        <f t="shared" si="4"/>
        <v>2025</v>
      </c>
      <c r="E87" s="2" t="str">
        <f t="shared" si="5"/>
        <v>2025-2</v>
      </c>
      <c r="F87" s="2" t="str">
        <f t="shared" si="6"/>
        <v>Week 2</v>
      </c>
      <c r="G87" s="2" t="str">
        <f t="shared" si="7"/>
        <v>Week 2-2025</v>
      </c>
      <c r="O87" s="1" t="s">
        <v>212</v>
      </c>
      <c r="Q87"/>
    </row>
    <row r="88" spans="1:17" hidden="1" x14ac:dyDescent="0.2">
      <c r="A88" s="3">
        <v>45669</v>
      </c>
      <c r="B88" s="2" t="s">
        <v>3</v>
      </c>
      <c r="C88" s="2">
        <v>18</v>
      </c>
      <c r="D88" s="2">
        <f t="shared" si="4"/>
        <v>2025</v>
      </c>
      <c r="E88" s="2" t="str">
        <f t="shared" si="5"/>
        <v>2025-2</v>
      </c>
      <c r="F88" s="2" t="str">
        <f t="shared" si="6"/>
        <v>Week 3</v>
      </c>
      <c r="G88" s="2" t="str">
        <f t="shared" si="7"/>
        <v>Week 3-2025</v>
      </c>
      <c r="O88" s="1" t="s">
        <v>199</v>
      </c>
      <c r="Q88"/>
    </row>
    <row r="89" spans="1:17" hidden="1" x14ac:dyDescent="0.2">
      <c r="A89" s="3">
        <v>45669</v>
      </c>
      <c r="B89" s="2" t="s">
        <v>5</v>
      </c>
      <c r="C89" s="2">
        <v>20</v>
      </c>
      <c r="D89" s="2">
        <f t="shared" si="4"/>
        <v>2025</v>
      </c>
      <c r="E89" s="2" t="str">
        <f t="shared" si="5"/>
        <v>2025-2</v>
      </c>
      <c r="F89" s="2" t="str">
        <f t="shared" si="6"/>
        <v>Week 3</v>
      </c>
      <c r="G89" s="2" t="str">
        <f t="shared" si="7"/>
        <v>Week 3-2025</v>
      </c>
      <c r="O89" s="1" t="s">
        <v>157</v>
      </c>
      <c r="Q89"/>
    </row>
    <row r="90" spans="1:17" hidden="1" x14ac:dyDescent="0.2">
      <c r="A90" s="3">
        <v>45669</v>
      </c>
      <c r="B90" s="2" t="s">
        <v>8</v>
      </c>
      <c r="C90" s="2">
        <v>16</v>
      </c>
      <c r="D90" s="2">
        <f t="shared" si="4"/>
        <v>2025</v>
      </c>
      <c r="E90" s="2" t="str">
        <f t="shared" si="5"/>
        <v>2025-2</v>
      </c>
      <c r="F90" s="2" t="str">
        <f t="shared" si="6"/>
        <v>Week 3</v>
      </c>
      <c r="G90" s="2" t="str">
        <f t="shared" si="7"/>
        <v>Week 3-2025</v>
      </c>
      <c r="O90" s="1" t="s">
        <v>158</v>
      </c>
      <c r="Q90"/>
    </row>
    <row r="91" spans="1:17" hidden="1" x14ac:dyDescent="0.2">
      <c r="A91" s="3">
        <v>45669</v>
      </c>
      <c r="B91" s="2" t="s">
        <v>9</v>
      </c>
      <c r="C91" s="2">
        <v>8</v>
      </c>
      <c r="D91" s="2">
        <f t="shared" si="4"/>
        <v>2025</v>
      </c>
      <c r="E91" s="2" t="str">
        <f t="shared" si="5"/>
        <v>2025-2</v>
      </c>
      <c r="F91" s="2" t="str">
        <f t="shared" si="6"/>
        <v>Week 3</v>
      </c>
      <c r="G91" s="2" t="str">
        <f t="shared" si="7"/>
        <v>Week 3-2025</v>
      </c>
      <c r="O91" s="1" t="s">
        <v>159</v>
      </c>
      <c r="Q91"/>
    </row>
    <row r="92" spans="1:17" hidden="1" x14ac:dyDescent="0.2">
      <c r="A92" s="3">
        <v>45669</v>
      </c>
      <c r="B92" s="2" t="s">
        <v>10</v>
      </c>
      <c r="C92" s="2">
        <v>12</v>
      </c>
      <c r="D92" s="2">
        <f t="shared" si="4"/>
        <v>2025</v>
      </c>
      <c r="E92" s="2" t="str">
        <f t="shared" si="5"/>
        <v>2025-2</v>
      </c>
      <c r="F92" s="2" t="str">
        <f t="shared" si="6"/>
        <v>Week 3</v>
      </c>
      <c r="G92" s="2" t="str">
        <f t="shared" si="7"/>
        <v>Week 3-2025</v>
      </c>
      <c r="O92" s="1" t="s">
        <v>230</v>
      </c>
      <c r="Q92"/>
    </row>
    <row r="93" spans="1:17" hidden="1" x14ac:dyDescent="0.2">
      <c r="A93" s="3">
        <v>45669</v>
      </c>
      <c r="B93" s="2" t="s">
        <v>14</v>
      </c>
      <c r="C93" s="2">
        <v>12</v>
      </c>
      <c r="D93" s="2">
        <f t="shared" si="4"/>
        <v>2025</v>
      </c>
      <c r="E93" s="2" t="str">
        <f t="shared" si="5"/>
        <v>2025-2</v>
      </c>
      <c r="F93" s="2" t="str">
        <f t="shared" si="6"/>
        <v>Week 3</v>
      </c>
      <c r="G93" s="2" t="str">
        <f t="shared" si="7"/>
        <v>Week 3-2025</v>
      </c>
      <c r="O93" s="1" t="s">
        <v>160</v>
      </c>
      <c r="Q93"/>
    </row>
    <row r="94" spans="1:17" hidden="1" x14ac:dyDescent="0.2">
      <c r="A94" s="3">
        <v>45669</v>
      </c>
      <c r="B94" s="2" t="s">
        <v>12</v>
      </c>
      <c r="C94" s="2">
        <v>4</v>
      </c>
      <c r="D94" s="2">
        <f t="shared" si="4"/>
        <v>2025</v>
      </c>
      <c r="E94" s="2" t="str">
        <f t="shared" si="5"/>
        <v>2025-2</v>
      </c>
      <c r="F94" s="2" t="str">
        <f t="shared" si="6"/>
        <v>Week 3</v>
      </c>
      <c r="G94" s="2" t="str">
        <f t="shared" si="7"/>
        <v>Week 3-2025</v>
      </c>
      <c r="O94" s="1" t="s">
        <v>233</v>
      </c>
      <c r="Q94"/>
    </row>
    <row r="95" spans="1:17" hidden="1" x14ac:dyDescent="0.2">
      <c r="A95" s="3">
        <v>45669</v>
      </c>
      <c r="B95" s="2" t="s">
        <v>9</v>
      </c>
      <c r="C95" s="2">
        <v>4</v>
      </c>
      <c r="D95" s="2">
        <f t="shared" si="4"/>
        <v>2025</v>
      </c>
      <c r="E95" s="2" t="str">
        <f t="shared" si="5"/>
        <v>2025-2</v>
      </c>
      <c r="F95" s="2" t="str">
        <f t="shared" si="6"/>
        <v>Week 3</v>
      </c>
      <c r="G95" s="2" t="str">
        <f t="shared" si="7"/>
        <v>Week 3-2025</v>
      </c>
      <c r="O95" s="1" t="s">
        <v>161</v>
      </c>
      <c r="Q95"/>
    </row>
    <row r="96" spans="1:17" hidden="1" x14ac:dyDescent="0.2">
      <c r="A96" s="3">
        <v>45669</v>
      </c>
      <c r="B96" s="2" t="s">
        <v>6</v>
      </c>
      <c r="C96" s="2">
        <v>2</v>
      </c>
      <c r="D96" s="2">
        <f t="shared" si="4"/>
        <v>2025</v>
      </c>
      <c r="E96" s="2" t="str">
        <f t="shared" si="5"/>
        <v>2025-2</v>
      </c>
      <c r="F96" s="2" t="str">
        <f t="shared" si="6"/>
        <v>Week 3</v>
      </c>
      <c r="G96" s="2" t="str">
        <f t="shared" si="7"/>
        <v>Week 3-2025</v>
      </c>
      <c r="O96" s="1" t="s">
        <v>162</v>
      </c>
      <c r="Q96"/>
    </row>
    <row r="97" spans="1:17" hidden="1" x14ac:dyDescent="0.2">
      <c r="A97" s="3">
        <v>45669</v>
      </c>
      <c r="B97" s="2" t="s">
        <v>5</v>
      </c>
      <c r="C97" s="2">
        <v>3</v>
      </c>
      <c r="D97" s="2">
        <f t="shared" si="4"/>
        <v>2025</v>
      </c>
      <c r="E97" s="2" t="str">
        <f t="shared" si="5"/>
        <v>2025-2</v>
      </c>
      <c r="F97" s="2" t="str">
        <f t="shared" si="6"/>
        <v>Week 3</v>
      </c>
      <c r="G97" s="2" t="str">
        <f t="shared" si="7"/>
        <v>Week 3-2025</v>
      </c>
      <c r="O97" s="1" t="s">
        <v>200</v>
      </c>
      <c r="Q97"/>
    </row>
    <row r="98" spans="1:17" hidden="1" x14ac:dyDescent="0.2">
      <c r="A98" s="3">
        <v>45669</v>
      </c>
      <c r="B98" s="2" t="s">
        <v>29</v>
      </c>
      <c r="C98" s="2">
        <v>2</v>
      </c>
      <c r="D98" s="2">
        <f t="shared" si="4"/>
        <v>2025</v>
      </c>
      <c r="E98" s="2" t="str">
        <f t="shared" si="5"/>
        <v>2025-2</v>
      </c>
      <c r="F98" s="2" t="str">
        <f t="shared" si="6"/>
        <v>Week 3</v>
      </c>
      <c r="G98" s="2" t="str">
        <f t="shared" si="7"/>
        <v>Week 3-2025</v>
      </c>
      <c r="O98" s="1" t="s">
        <v>210</v>
      </c>
      <c r="Q98"/>
    </row>
    <row r="99" spans="1:17" hidden="1" x14ac:dyDescent="0.2">
      <c r="A99" s="3">
        <v>45669</v>
      </c>
      <c r="B99" s="2" t="s">
        <v>17</v>
      </c>
      <c r="C99" s="2">
        <v>2</v>
      </c>
      <c r="D99" s="2">
        <f t="shared" si="4"/>
        <v>2025</v>
      </c>
      <c r="E99" s="2" t="str">
        <f t="shared" si="5"/>
        <v>2025-2</v>
      </c>
      <c r="F99" s="2" t="str">
        <f t="shared" si="6"/>
        <v>Week 3</v>
      </c>
      <c r="G99" s="2" t="str">
        <f t="shared" si="7"/>
        <v>Week 3-2025</v>
      </c>
      <c r="O99" s="1" t="s">
        <v>201</v>
      </c>
      <c r="Q99"/>
    </row>
    <row r="100" spans="1:17" hidden="1" x14ac:dyDescent="0.2">
      <c r="A100" s="3">
        <v>45669</v>
      </c>
      <c r="B100" s="2" t="s">
        <v>29</v>
      </c>
      <c r="C100" s="2">
        <v>1</v>
      </c>
      <c r="D100" s="2">
        <f t="shared" si="4"/>
        <v>2025</v>
      </c>
      <c r="E100" s="2" t="str">
        <f t="shared" si="5"/>
        <v>2025-2</v>
      </c>
      <c r="F100" s="2" t="str">
        <f t="shared" si="6"/>
        <v>Week 3</v>
      </c>
      <c r="G100" s="2" t="str">
        <f t="shared" si="7"/>
        <v>Week 3-2025</v>
      </c>
      <c r="O100" s="1" t="s">
        <v>217</v>
      </c>
      <c r="Q100"/>
    </row>
    <row r="101" spans="1:17" hidden="1" x14ac:dyDescent="0.2">
      <c r="A101" s="3">
        <v>45670</v>
      </c>
      <c r="B101" s="2" t="s">
        <v>6</v>
      </c>
      <c r="C101" s="2">
        <v>8</v>
      </c>
      <c r="D101" s="2">
        <f t="shared" si="4"/>
        <v>2025</v>
      </c>
      <c r="E101" s="2" t="str">
        <f t="shared" si="5"/>
        <v>2025-3</v>
      </c>
      <c r="F101" s="2" t="str">
        <f t="shared" si="6"/>
        <v>Week 3</v>
      </c>
      <c r="G101" s="2" t="str">
        <f t="shared" si="7"/>
        <v>Week 3-2025</v>
      </c>
      <c r="O101" s="1" t="s">
        <v>202</v>
      </c>
      <c r="Q101"/>
    </row>
    <row r="102" spans="1:17" hidden="1" x14ac:dyDescent="0.2">
      <c r="A102" s="3">
        <v>45670</v>
      </c>
      <c r="B102" s="2" t="s">
        <v>5</v>
      </c>
      <c r="C102" s="2">
        <v>7</v>
      </c>
      <c r="D102" s="2">
        <f t="shared" si="4"/>
        <v>2025</v>
      </c>
      <c r="E102" s="2" t="str">
        <f t="shared" si="5"/>
        <v>2025-3</v>
      </c>
      <c r="F102" s="2" t="str">
        <f t="shared" si="6"/>
        <v>Week 3</v>
      </c>
      <c r="G102" s="2" t="str">
        <f t="shared" si="7"/>
        <v>Week 3-2025</v>
      </c>
      <c r="O102" s="1" t="s">
        <v>163</v>
      </c>
      <c r="Q102"/>
    </row>
    <row r="103" spans="1:17" hidden="1" x14ac:dyDescent="0.2">
      <c r="A103" s="3">
        <v>45670</v>
      </c>
      <c r="B103" s="2" t="s">
        <v>3</v>
      </c>
      <c r="C103" s="2">
        <v>5</v>
      </c>
      <c r="D103" s="2">
        <f t="shared" si="4"/>
        <v>2025</v>
      </c>
      <c r="E103" s="2" t="str">
        <f t="shared" si="5"/>
        <v>2025-3</v>
      </c>
      <c r="F103" s="2" t="str">
        <f t="shared" si="6"/>
        <v>Week 3</v>
      </c>
      <c r="G103" s="2" t="str">
        <f t="shared" si="7"/>
        <v>Week 3-2025</v>
      </c>
      <c r="O103" s="1" t="s">
        <v>174</v>
      </c>
      <c r="Q103"/>
    </row>
    <row r="104" spans="1:17" hidden="1" x14ac:dyDescent="0.2">
      <c r="A104" s="3">
        <v>45670</v>
      </c>
      <c r="B104" s="2" t="s">
        <v>14</v>
      </c>
      <c r="C104" s="2">
        <v>8</v>
      </c>
      <c r="D104" s="2">
        <f t="shared" si="4"/>
        <v>2025</v>
      </c>
      <c r="E104" s="2" t="str">
        <f t="shared" si="5"/>
        <v>2025-3</v>
      </c>
      <c r="F104" s="2" t="str">
        <f t="shared" si="6"/>
        <v>Week 3</v>
      </c>
      <c r="G104" s="2" t="str">
        <f t="shared" si="7"/>
        <v>Week 3-2025</v>
      </c>
      <c r="O104" s="1" t="s">
        <v>203</v>
      </c>
      <c r="Q104"/>
    </row>
    <row r="105" spans="1:17" hidden="1" x14ac:dyDescent="0.2">
      <c r="A105" s="3">
        <v>45670</v>
      </c>
      <c r="B105" s="2" t="s">
        <v>8</v>
      </c>
      <c r="C105" s="2">
        <v>6</v>
      </c>
      <c r="D105" s="2">
        <f t="shared" si="4"/>
        <v>2025</v>
      </c>
      <c r="E105" s="2" t="str">
        <f t="shared" si="5"/>
        <v>2025-3</v>
      </c>
      <c r="F105" s="2" t="str">
        <f t="shared" si="6"/>
        <v>Week 3</v>
      </c>
      <c r="G105" s="2" t="str">
        <f t="shared" si="7"/>
        <v>Week 3-2025</v>
      </c>
      <c r="O105" s="1" t="s">
        <v>164</v>
      </c>
      <c r="Q105"/>
    </row>
    <row r="106" spans="1:17" hidden="1" x14ac:dyDescent="0.2">
      <c r="A106" s="3">
        <v>45670</v>
      </c>
      <c r="B106" s="2" t="s">
        <v>38</v>
      </c>
      <c r="C106" s="2">
        <v>8</v>
      </c>
      <c r="D106" s="2">
        <f t="shared" si="4"/>
        <v>2025</v>
      </c>
      <c r="E106" s="2" t="str">
        <f t="shared" si="5"/>
        <v>2025-3</v>
      </c>
      <c r="F106" s="2" t="str">
        <f t="shared" si="6"/>
        <v>Week 3</v>
      </c>
      <c r="G106" s="2" t="str">
        <f t="shared" si="7"/>
        <v>Week 3-2025</v>
      </c>
      <c r="O106" s="1" t="s">
        <v>165</v>
      </c>
      <c r="Q106"/>
    </row>
    <row r="107" spans="1:17" hidden="1" x14ac:dyDescent="0.2">
      <c r="A107" s="3">
        <v>45670</v>
      </c>
      <c r="B107" s="2" t="s">
        <v>27</v>
      </c>
      <c r="C107" s="2">
        <v>6</v>
      </c>
      <c r="D107" s="2">
        <f t="shared" si="4"/>
        <v>2025</v>
      </c>
      <c r="E107" s="2" t="str">
        <f t="shared" si="5"/>
        <v>2025-3</v>
      </c>
      <c r="F107" s="2" t="str">
        <f t="shared" si="6"/>
        <v>Week 3</v>
      </c>
      <c r="G107" s="2" t="str">
        <f t="shared" si="7"/>
        <v>Week 3-2025</v>
      </c>
      <c r="O107" s="1" t="s">
        <v>166</v>
      </c>
      <c r="Q107"/>
    </row>
    <row r="108" spans="1:17" hidden="1" x14ac:dyDescent="0.2">
      <c r="A108" s="3">
        <v>45670</v>
      </c>
      <c r="B108" s="2" t="s">
        <v>9</v>
      </c>
      <c r="C108" s="2">
        <v>2</v>
      </c>
      <c r="D108" s="2">
        <f t="shared" si="4"/>
        <v>2025</v>
      </c>
      <c r="E108" s="2" t="str">
        <f t="shared" si="5"/>
        <v>2025-3</v>
      </c>
      <c r="F108" s="2" t="str">
        <f t="shared" si="6"/>
        <v>Week 3</v>
      </c>
      <c r="G108" s="2" t="str">
        <f t="shared" si="7"/>
        <v>Week 3-2025</v>
      </c>
      <c r="O108"/>
      <c r="Q108"/>
    </row>
    <row r="109" spans="1:17" hidden="1" x14ac:dyDescent="0.2">
      <c r="A109" s="3">
        <v>45670</v>
      </c>
      <c r="B109" s="2" t="s">
        <v>10</v>
      </c>
      <c r="C109" s="2">
        <v>3</v>
      </c>
      <c r="D109" s="2">
        <f t="shared" si="4"/>
        <v>2025</v>
      </c>
      <c r="E109" s="2" t="str">
        <f t="shared" si="5"/>
        <v>2025-3</v>
      </c>
      <c r="F109" s="2" t="str">
        <f t="shared" si="6"/>
        <v>Week 3</v>
      </c>
      <c r="G109" s="2" t="str">
        <f t="shared" si="7"/>
        <v>Week 3-2025</v>
      </c>
      <c r="O109"/>
      <c r="Q109"/>
    </row>
    <row r="110" spans="1:17" hidden="1" x14ac:dyDescent="0.2">
      <c r="A110" s="3">
        <v>45670</v>
      </c>
      <c r="B110" s="2" t="s">
        <v>11</v>
      </c>
      <c r="C110" s="2">
        <v>1</v>
      </c>
      <c r="D110" s="2">
        <f t="shared" si="4"/>
        <v>2025</v>
      </c>
      <c r="E110" s="2" t="str">
        <f t="shared" si="5"/>
        <v>2025-3</v>
      </c>
      <c r="F110" s="2" t="str">
        <f t="shared" si="6"/>
        <v>Week 3</v>
      </c>
      <c r="G110" s="2" t="str">
        <f t="shared" si="7"/>
        <v>Week 3-2025</v>
      </c>
      <c r="O110"/>
      <c r="Q110"/>
    </row>
    <row r="111" spans="1:17" hidden="1" x14ac:dyDescent="0.2">
      <c r="A111" s="3">
        <v>45670</v>
      </c>
      <c r="B111" s="2" t="s">
        <v>14</v>
      </c>
      <c r="C111" s="2">
        <v>2</v>
      </c>
      <c r="D111" s="2">
        <f t="shared" si="4"/>
        <v>2025</v>
      </c>
      <c r="E111" s="2" t="str">
        <f t="shared" si="5"/>
        <v>2025-3</v>
      </c>
      <c r="F111" s="2" t="str">
        <f t="shared" si="6"/>
        <v>Week 3</v>
      </c>
      <c r="G111" s="2" t="str">
        <f t="shared" si="7"/>
        <v>Week 3-2025</v>
      </c>
      <c r="O111"/>
      <c r="Q111"/>
    </row>
    <row r="112" spans="1:17" hidden="1" x14ac:dyDescent="0.2">
      <c r="A112" s="3">
        <v>45670</v>
      </c>
      <c r="B112" s="2" t="s">
        <v>10</v>
      </c>
      <c r="C112" s="2">
        <v>2</v>
      </c>
      <c r="D112" s="2">
        <f t="shared" si="4"/>
        <v>2025</v>
      </c>
      <c r="E112" s="2" t="str">
        <f t="shared" si="5"/>
        <v>2025-3</v>
      </c>
      <c r="F112" s="2" t="str">
        <f t="shared" si="6"/>
        <v>Week 3</v>
      </c>
      <c r="G112" s="2" t="str">
        <f t="shared" si="7"/>
        <v>Week 3-2025</v>
      </c>
      <c r="O112"/>
      <c r="Q112"/>
    </row>
    <row r="113" spans="1:17" hidden="1" x14ac:dyDescent="0.2">
      <c r="A113" s="3">
        <v>45670</v>
      </c>
      <c r="B113" s="2" t="s">
        <v>30</v>
      </c>
      <c r="C113" s="2">
        <v>2</v>
      </c>
      <c r="D113" s="2">
        <f t="shared" si="4"/>
        <v>2025</v>
      </c>
      <c r="E113" s="2" t="str">
        <f t="shared" si="5"/>
        <v>2025-3</v>
      </c>
      <c r="F113" s="2" t="str">
        <f t="shared" si="6"/>
        <v>Week 3</v>
      </c>
      <c r="G113" s="2" t="str">
        <f t="shared" si="7"/>
        <v>Week 3-2025</v>
      </c>
      <c r="O113"/>
      <c r="Q113"/>
    </row>
    <row r="114" spans="1:17" hidden="1" x14ac:dyDescent="0.2">
      <c r="A114" s="3">
        <v>45670</v>
      </c>
      <c r="B114" s="2" t="s">
        <v>13</v>
      </c>
      <c r="C114" s="2">
        <v>1</v>
      </c>
      <c r="D114" s="2">
        <f t="shared" si="4"/>
        <v>2025</v>
      </c>
      <c r="E114" s="2" t="str">
        <f t="shared" si="5"/>
        <v>2025-3</v>
      </c>
      <c r="F114" s="2" t="str">
        <f t="shared" si="6"/>
        <v>Week 3</v>
      </c>
      <c r="G114" s="2" t="str">
        <f t="shared" si="7"/>
        <v>Week 3-2025</v>
      </c>
      <c r="O114"/>
      <c r="Q114"/>
    </row>
    <row r="115" spans="1:17" hidden="1" x14ac:dyDescent="0.2">
      <c r="A115" s="3">
        <v>45670</v>
      </c>
      <c r="B115" s="2" t="s">
        <v>13</v>
      </c>
      <c r="C115" s="2">
        <v>1</v>
      </c>
      <c r="D115" s="2">
        <f t="shared" si="4"/>
        <v>2025</v>
      </c>
      <c r="E115" s="2" t="str">
        <f t="shared" si="5"/>
        <v>2025-3</v>
      </c>
      <c r="F115" s="2" t="str">
        <f t="shared" si="6"/>
        <v>Week 3</v>
      </c>
      <c r="G115" s="2" t="str">
        <f t="shared" si="7"/>
        <v>Week 3-2025</v>
      </c>
      <c r="O115"/>
      <c r="Q115"/>
    </row>
    <row r="116" spans="1:17" hidden="1" x14ac:dyDescent="0.2">
      <c r="A116" s="3">
        <v>45670</v>
      </c>
      <c r="B116" s="2" t="s">
        <v>27</v>
      </c>
      <c r="C116" s="2">
        <v>2</v>
      </c>
      <c r="D116" s="2">
        <f t="shared" si="4"/>
        <v>2025</v>
      </c>
      <c r="E116" s="2" t="str">
        <f t="shared" si="5"/>
        <v>2025-3</v>
      </c>
      <c r="F116" s="2" t="str">
        <f t="shared" si="6"/>
        <v>Week 3</v>
      </c>
      <c r="G116" s="2" t="str">
        <f t="shared" si="7"/>
        <v>Week 3-2025</v>
      </c>
      <c r="O116"/>
      <c r="Q116"/>
    </row>
    <row r="117" spans="1:17" hidden="1" x14ac:dyDescent="0.2">
      <c r="A117" s="3">
        <v>45670</v>
      </c>
      <c r="B117" s="2" t="s">
        <v>15</v>
      </c>
      <c r="C117" s="2">
        <v>2</v>
      </c>
      <c r="D117" s="2">
        <f t="shared" si="4"/>
        <v>2025</v>
      </c>
      <c r="E117" s="2" t="str">
        <f t="shared" si="5"/>
        <v>2025-3</v>
      </c>
      <c r="F117" s="2" t="str">
        <f t="shared" si="6"/>
        <v>Week 3</v>
      </c>
      <c r="G117" s="2" t="str">
        <f t="shared" si="7"/>
        <v>Week 3-2025</v>
      </c>
      <c r="O117"/>
      <c r="Q117"/>
    </row>
    <row r="118" spans="1:17" hidden="1" x14ac:dyDescent="0.2">
      <c r="A118" s="3">
        <v>45670</v>
      </c>
      <c r="B118" s="2" t="s">
        <v>5</v>
      </c>
      <c r="C118" s="2">
        <v>1</v>
      </c>
      <c r="D118" s="2">
        <f t="shared" si="4"/>
        <v>2025</v>
      </c>
      <c r="E118" s="2" t="str">
        <f t="shared" si="5"/>
        <v>2025-3</v>
      </c>
      <c r="F118" s="2" t="str">
        <f t="shared" si="6"/>
        <v>Week 3</v>
      </c>
      <c r="G118" s="2" t="str">
        <f t="shared" si="7"/>
        <v>Week 3-2025</v>
      </c>
      <c r="O118"/>
      <c r="Q118"/>
    </row>
    <row r="119" spans="1:17" hidden="1" x14ac:dyDescent="0.2">
      <c r="A119" s="3">
        <v>45672</v>
      </c>
      <c r="B119" s="2" t="s">
        <v>29</v>
      </c>
      <c r="C119" s="2">
        <v>4</v>
      </c>
      <c r="D119" s="2">
        <f t="shared" si="4"/>
        <v>2025</v>
      </c>
      <c r="E119" s="2" t="str">
        <f t="shared" si="5"/>
        <v>2025-3</v>
      </c>
      <c r="F119" s="2" t="str">
        <f t="shared" si="6"/>
        <v>Week 3</v>
      </c>
      <c r="G119" s="2" t="str">
        <f t="shared" si="7"/>
        <v>Week 3-2025</v>
      </c>
      <c r="O119"/>
      <c r="Q119"/>
    </row>
    <row r="120" spans="1:17" hidden="1" x14ac:dyDescent="0.2">
      <c r="A120" s="3">
        <v>45673</v>
      </c>
      <c r="B120" s="2" t="s">
        <v>5</v>
      </c>
      <c r="C120" s="2">
        <v>67</v>
      </c>
      <c r="D120" s="2">
        <f t="shared" si="4"/>
        <v>2025</v>
      </c>
      <c r="E120" s="2" t="str">
        <f t="shared" si="5"/>
        <v>2025-3</v>
      </c>
      <c r="F120" s="2" t="str">
        <f t="shared" si="6"/>
        <v>Week 3</v>
      </c>
      <c r="G120" s="2" t="str">
        <f t="shared" si="7"/>
        <v>Week 3-2025</v>
      </c>
      <c r="O120"/>
      <c r="Q120"/>
    </row>
    <row r="121" spans="1:17" hidden="1" x14ac:dyDescent="0.2">
      <c r="A121" s="3">
        <v>45673</v>
      </c>
      <c r="B121" s="2" t="s">
        <v>4</v>
      </c>
      <c r="C121" s="2">
        <v>16</v>
      </c>
      <c r="D121" s="2">
        <f t="shared" si="4"/>
        <v>2025</v>
      </c>
      <c r="E121" s="2" t="str">
        <f t="shared" si="5"/>
        <v>2025-3</v>
      </c>
      <c r="F121" s="2" t="str">
        <f t="shared" si="6"/>
        <v>Week 3</v>
      </c>
      <c r="G121" s="2" t="str">
        <f t="shared" si="7"/>
        <v>Week 3-2025</v>
      </c>
      <c r="O121"/>
      <c r="Q121"/>
    </row>
    <row r="122" spans="1:17" hidden="1" x14ac:dyDescent="0.2">
      <c r="A122" s="3">
        <v>45673</v>
      </c>
      <c r="B122" s="2" t="s">
        <v>19</v>
      </c>
      <c r="C122" s="2">
        <v>14</v>
      </c>
      <c r="D122" s="2">
        <f t="shared" si="4"/>
        <v>2025</v>
      </c>
      <c r="E122" s="2" t="str">
        <f t="shared" si="5"/>
        <v>2025-3</v>
      </c>
      <c r="F122" s="2" t="str">
        <f t="shared" si="6"/>
        <v>Week 3</v>
      </c>
      <c r="G122" s="2" t="str">
        <f t="shared" si="7"/>
        <v>Week 3-2025</v>
      </c>
      <c r="O122"/>
      <c r="Q122"/>
    </row>
    <row r="123" spans="1:17" hidden="1" x14ac:dyDescent="0.2">
      <c r="A123" s="3">
        <v>45673</v>
      </c>
      <c r="B123" s="2" t="s">
        <v>9</v>
      </c>
      <c r="C123" s="2">
        <v>15</v>
      </c>
      <c r="D123" s="2">
        <f t="shared" si="4"/>
        <v>2025</v>
      </c>
      <c r="E123" s="2" t="str">
        <f t="shared" si="5"/>
        <v>2025-3</v>
      </c>
      <c r="F123" s="2" t="str">
        <f t="shared" si="6"/>
        <v>Week 3</v>
      </c>
      <c r="G123" s="2" t="str">
        <f t="shared" si="7"/>
        <v>Week 3-2025</v>
      </c>
      <c r="O123"/>
      <c r="Q123"/>
    </row>
    <row r="124" spans="1:17" hidden="1" x14ac:dyDescent="0.2">
      <c r="A124" s="3">
        <v>45673</v>
      </c>
      <c r="B124" s="2" t="s">
        <v>14</v>
      </c>
      <c r="C124" s="2">
        <v>20</v>
      </c>
      <c r="D124" s="2">
        <f t="shared" si="4"/>
        <v>2025</v>
      </c>
      <c r="E124" s="2" t="str">
        <f t="shared" si="5"/>
        <v>2025-3</v>
      </c>
      <c r="F124" s="2" t="str">
        <f t="shared" si="6"/>
        <v>Week 3</v>
      </c>
      <c r="G124" s="2" t="str">
        <f t="shared" si="7"/>
        <v>Week 3-2025</v>
      </c>
      <c r="O124"/>
      <c r="Q124"/>
    </row>
    <row r="125" spans="1:17" hidden="1" x14ac:dyDescent="0.2">
      <c r="A125" s="3">
        <v>45673</v>
      </c>
      <c r="B125" s="2" t="s">
        <v>3</v>
      </c>
      <c r="C125" s="2">
        <v>12</v>
      </c>
      <c r="D125" s="2">
        <f t="shared" si="4"/>
        <v>2025</v>
      </c>
      <c r="E125" s="2" t="str">
        <f t="shared" si="5"/>
        <v>2025-3</v>
      </c>
      <c r="F125" s="2" t="str">
        <f t="shared" si="6"/>
        <v>Week 3</v>
      </c>
      <c r="G125" s="2" t="str">
        <f t="shared" si="7"/>
        <v>Week 3-2025</v>
      </c>
      <c r="O125"/>
      <c r="Q125"/>
    </row>
    <row r="126" spans="1:17" hidden="1" x14ac:dyDescent="0.2">
      <c r="A126" s="3">
        <v>45673</v>
      </c>
      <c r="B126" s="2" t="s">
        <v>14</v>
      </c>
      <c r="C126" s="2">
        <v>18</v>
      </c>
      <c r="D126" s="2">
        <f t="shared" si="4"/>
        <v>2025</v>
      </c>
      <c r="E126" s="2" t="str">
        <f t="shared" si="5"/>
        <v>2025-3</v>
      </c>
      <c r="F126" s="2" t="str">
        <f t="shared" si="6"/>
        <v>Week 3</v>
      </c>
      <c r="G126" s="2" t="str">
        <f t="shared" si="7"/>
        <v>Week 3-2025</v>
      </c>
      <c r="O126"/>
      <c r="Q126"/>
    </row>
    <row r="127" spans="1:17" hidden="1" x14ac:dyDescent="0.2">
      <c r="A127" s="3">
        <v>45673</v>
      </c>
      <c r="B127" s="2" t="s">
        <v>6</v>
      </c>
      <c r="C127" s="2">
        <v>8</v>
      </c>
      <c r="D127" s="2">
        <f t="shared" si="4"/>
        <v>2025</v>
      </c>
      <c r="E127" s="2" t="str">
        <f t="shared" si="5"/>
        <v>2025-3</v>
      </c>
      <c r="F127" s="2" t="str">
        <f t="shared" si="6"/>
        <v>Week 3</v>
      </c>
      <c r="G127" s="2" t="str">
        <f t="shared" si="7"/>
        <v>Week 3-2025</v>
      </c>
      <c r="O127"/>
      <c r="Q127"/>
    </row>
    <row r="128" spans="1:17" hidden="1" x14ac:dyDescent="0.2">
      <c r="A128" s="3">
        <v>45673</v>
      </c>
      <c r="B128" s="2" t="s">
        <v>9</v>
      </c>
      <c r="C128" s="2">
        <v>8</v>
      </c>
      <c r="D128" s="2">
        <f t="shared" si="4"/>
        <v>2025</v>
      </c>
      <c r="E128" s="2" t="str">
        <f t="shared" si="5"/>
        <v>2025-3</v>
      </c>
      <c r="F128" s="2" t="str">
        <f t="shared" si="6"/>
        <v>Week 3</v>
      </c>
      <c r="G128" s="2" t="str">
        <f t="shared" si="7"/>
        <v>Week 3-2025</v>
      </c>
      <c r="O128"/>
      <c r="Q128"/>
    </row>
    <row r="129" spans="1:17" hidden="1" x14ac:dyDescent="0.2">
      <c r="A129" s="3">
        <v>45673</v>
      </c>
      <c r="B129" s="2" t="s">
        <v>12</v>
      </c>
      <c r="C129" s="2">
        <v>4</v>
      </c>
      <c r="D129" s="2">
        <f t="shared" si="4"/>
        <v>2025</v>
      </c>
      <c r="E129" s="2" t="str">
        <f t="shared" si="5"/>
        <v>2025-3</v>
      </c>
      <c r="F129" s="2" t="str">
        <f t="shared" si="6"/>
        <v>Week 3</v>
      </c>
      <c r="G129" s="2" t="str">
        <f t="shared" si="7"/>
        <v>Week 3-2025</v>
      </c>
      <c r="O129"/>
      <c r="Q129"/>
    </row>
    <row r="130" spans="1:17" hidden="1" x14ac:dyDescent="0.2">
      <c r="A130" s="3">
        <v>45673</v>
      </c>
      <c r="B130" s="2" t="s">
        <v>6</v>
      </c>
      <c r="C130" s="2">
        <v>4</v>
      </c>
      <c r="D130" s="2">
        <f t="shared" ref="D130:D193" si="8">YEAR(A130)</f>
        <v>2025</v>
      </c>
      <c r="E130" s="2" t="str">
        <f t="shared" ref="E130:E193" si="9">YEAR(A130)&amp;"-"&amp;_xlfn.ISOWEEKNUM(A130)</f>
        <v>2025-3</v>
      </c>
      <c r="F130" s="2" t="str">
        <f t="shared" ref="F130:F193" si="10">_xlfn.CONCAT("Week "&amp;WEEKNUM(A130))</f>
        <v>Week 3</v>
      </c>
      <c r="G130" s="2" t="str">
        <f t="shared" ref="G130:G193" si="11">_xlfn.CONCAT(F130,"-",D130)</f>
        <v>Week 3-2025</v>
      </c>
      <c r="O130"/>
      <c r="Q130"/>
    </row>
    <row r="131" spans="1:17" hidden="1" x14ac:dyDescent="0.2">
      <c r="A131" s="3">
        <v>45673</v>
      </c>
      <c r="B131" s="2" t="s">
        <v>7</v>
      </c>
      <c r="C131" s="2">
        <v>4</v>
      </c>
      <c r="D131" s="2">
        <f t="shared" si="8"/>
        <v>2025</v>
      </c>
      <c r="E131" s="2" t="str">
        <f t="shared" si="9"/>
        <v>2025-3</v>
      </c>
      <c r="F131" s="2" t="str">
        <f t="shared" si="10"/>
        <v>Week 3</v>
      </c>
      <c r="G131" s="2" t="str">
        <f t="shared" si="11"/>
        <v>Week 3-2025</v>
      </c>
      <c r="O131"/>
      <c r="Q131"/>
    </row>
    <row r="132" spans="1:17" hidden="1" x14ac:dyDescent="0.2">
      <c r="A132" s="3">
        <v>45673</v>
      </c>
      <c r="B132" s="2" t="s">
        <v>38</v>
      </c>
      <c r="C132" s="2">
        <v>10</v>
      </c>
      <c r="D132" s="2">
        <f t="shared" si="8"/>
        <v>2025</v>
      </c>
      <c r="E132" s="2" t="str">
        <f t="shared" si="9"/>
        <v>2025-3</v>
      </c>
      <c r="F132" s="2" t="str">
        <f t="shared" si="10"/>
        <v>Week 3</v>
      </c>
      <c r="G132" s="2" t="str">
        <f t="shared" si="11"/>
        <v>Week 3-2025</v>
      </c>
      <c r="O132"/>
      <c r="Q132"/>
    </row>
    <row r="133" spans="1:17" hidden="1" x14ac:dyDescent="0.2">
      <c r="A133" s="3">
        <v>45673</v>
      </c>
      <c r="B133" s="2" t="s">
        <v>5</v>
      </c>
      <c r="C133" s="2">
        <v>5</v>
      </c>
      <c r="D133" s="2">
        <f t="shared" si="8"/>
        <v>2025</v>
      </c>
      <c r="E133" s="2" t="str">
        <f t="shared" si="9"/>
        <v>2025-3</v>
      </c>
      <c r="F133" s="2" t="str">
        <f t="shared" si="10"/>
        <v>Week 3</v>
      </c>
      <c r="G133" s="2" t="str">
        <f t="shared" si="11"/>
        <v>Week 3-2025</v>
      </c>
      <c r="O133"/>
      <c r="Q133"/>
    </row>
    <row r="134" spans="1:17" hidden="1" x14ac:dyDescent="0.2">
      <c r="A134" s="3">
        <v>45673</v>
      </c>
      <c r="B134" s="2" t="s">
        <v>9</v>
      </c>
      <c r="C134" s="2">
        <v>3</v>
      </c>
      <c r="D134" s="2">
        <f t="shared" si="8"/>
        <v>2025</v>
      </c>
      <c r="E134" s="2" t="str">
        <f t="shared" si="9"/>
        <v>2025-3</v>
      </c>
      <c r="F134" s="2" t="str">
        <f t="shared" si="10"/>
        <v>Week 3</v>
      </c>
      <c r="G134" s="2" t="str">
        <f t="shared" si="11"/>
        <v>Week 3-2025</v>
      </c>
      <c r="O134"/>
      <c r="Q134"/>
    </row>
    <row r="135" spans="1:17" hidden="1" x14ac:dyDescent="0.2">
      <c r="A135" s="3">
        <v>45678</v>
      </c>
      <c r="B135" s="2" t="s">
        <v>9</v>
      </c>
      <c r="C135" s="2">
        <v>13</v>
      </c>
      <c r="D135" s="2">
        <f t="shared" si="8"/>
        <v>2025</v>
      </c>
      <c r="E135" s="2" t="str">
        <f t="shared" si="9"/>
        <v>2025-4</v>
      </c>
      <c r="F135" s="2" t="str">
        <f t="shared" si="10"/>
        <v>Week 4</v>
      </c>
      <c r="G135" s="2" t="str">
        <f t="shared" si="11"/>
        <v>Week 4-2025</v>
      </c>
      <c r="O135"/>
      <c r="Q135"/>
    </row>
    <row r="136" spans="1:17" hidden="1" x14ac:dyDescent="0.2">
      <c r="A136" s="3">
        <v>45678</v>
      </c>
      <c r="B136" s="2" t="s">
        <v>9</v>
      </c>
      <c r="C136" s="2">
        <v>9</v>
      </c>
      <c r="D136" s="2">
        <f t="shared" si="8"/>
        <v>2025</v>
      </c>
      <c r="E136" s="2" t="str">
        <f t="shared" si="9"/>
        <v>2025-4</v>
      </c>
      <c r="F136" s="2" t="str">
        <f t="shared" si="10"/>
        <v>Week 4</v>
      </c>
      <c r="G136" s="2" t="str">
        <f t="shared" si="11"/>
        <v>Week 4-2025</v>
      </c>
      <c r="O136"/>
      <c r="Q136"/>
    </row>
    <row r="137" spans="1:17" hidden="1" x14ac:dyDescent="0.2">
      <c r="A137" s="3">
        <v>45678</v>
      </c>
      <c r="B137" s="2" t="s">
        <v>7</v>
      </c>
      <c r="C137" s="2">
        <v>6</v>
      </c>
      <c r="D137" s="2">
        <f t="shared" si="8"/>
        <v>2025</v>
      </c>
      <c r="E137" s="2" t="str">
        <f t="shared" si="9"/>
        <v>2025-4</v>
      </c>
      <c r="F137" s="2" t="str">
        <f t="shared" si="10"/>
        <v>Week 4</v>
      </c>
      <c r="G137" s="2" t="str">
        <f t="shared" si="11"/>
        <v>Week 4-2025</v>
      </c>
      <c r="O137"/>
      <c r="Q137"/>
    </row>
    <row r="138" spans="1:17" hidden="1" x14ac:dyDescent="0.2">
      <c r="A138" s="3">
        <v>45678</v>
      </c>
      <c r="B138" s="2" t="s">
        <v>5</v>
      </c>
      <c r="C138" s="2">
        <v>7</v>
      </c>
      <c r="D138" s="2">
        <f t="shared" si="8"/>
        <v>2025</v>
      </c>
      <c r="E138" s="2" t="str">
        <f t="shared" si="9"/>
        <v>2025-4</v>
      </c>
      <c r="F138" s="2" t="str">
        <f t="shared" si="10"/>
        <v>Week 4</v>
      </c>
      <c r="G138" s="2" t="str">
        <f t="shared" si="11"/>
        <v>Week 4-2025</v>
      </c>
      <c r="O138"/>
      <c r="Q138"/>
    </row>
    <row r="139" spans="1:17" hidden="1" x14ac:dyDescent="0.2">
      <c r="A139" s="3">
        <v>45678</v>
      </c>
      <c r="B139" s="2" t="s">
        <v>14</v>
      </c>
      <c r="C139" s="2">
        <v>6</v>
      </c>
      <c r="D139" s="2">
        <f t="shared" si="8"/>
        <v>2025</v>
      </c>
      <c r="E139" s="2" t="str">
        <f t="shared" si="9"/>
        <v>2025-4</v>
      </c>
      <c r="F139" s="2" t="str">
        <f t="shared" si="10"/>
        <v>Week 4</v>
      </c>
      <c r="G139" s="2" t="str">
        <f t="shared" si="11"/>
        <v>Week 4-2025</v>
      </c>
      <c r="O139"/>
      <c r="Q139"/>
    </row>
    <row r="140" spans="1:17" hidden="1" x14ac:dyDescent="0.2">
      <c r="A140" s="3">
        <v>45678</v>
      </c>
      <c r="B140" s="2" t="s">
        <v>37</v>
      </c>
      <c r="C140" s="2">
        <v>4</v>
      </c>
      <c r="D140" s="2">
        <f t="shared" si="8"/>
        <v>2025</v>
      </c>
      <c r="E140" s="2" t="str">
        <f t="shared" si="9"/>
        <v>2025-4</v>
      </c>
      <c r="F140" s="2" t="str">
        <f t="shared" si="10"/>
        <v>Week 4</v>
      </c>
      <c r="G140" s="2" t="str">
        <f t="shared" si="11"/>
        <v>Week 4-2025</v>
      </c>
      <c r="O140"/>
      <c r="Q140"/>
    </row>
    <row r="141" spans="1:17" hidden="1" x14ac:dyDescent="0.2">
      <c r="A141" s="3">
        <v>45678</v>
      </c>
      <c r="B141" s="2" t="s">
        <v>3</v>
      </c>
      <c r="C141" s="2">
        <v>2</v>
      </c>
      <c r="D141" s="2">
        <f t="shared" si="8"/>
        <v>2025</v>
      </c>
      <c r="E141" s="2" t="str">
        <f t="shared" si="9"/>
        <v>2025-4</v>
      </c>
      <c r="F141" s="2" t="str">
        <f t="shared" si="10"/>
        <v>Week 4</v>
      </c>
      <c r="G141" s="2" t="str">
        <f t="shared" si="11"/>
        <v>Week 4-2025</v>
      </c>
      <c r="O141"/>
      <c r="Q141"/>
    </row>
    <row r="142" spans="1:17" hidden="1" x14ac:dyDescent="0.2">
      <c r="A142" s="3">
        <v>45678</v>
      </c>
      <c r="B142" s="2" t="s">
        <v>42</v>
      </c>
      <c r="C142" s="2">
        <v>4</v>
      </c>
      <c r="D142" s="2">
        <f t="shared" si="8"/>
        <v>2025</v>
      </c>
      <c r="E142" s="2" t="str">
        <f t="shared" si="9"/>
        <v>2025-4</v>
      </c>
      <c r="F142" s="2" t="str">
        <f t="shared" si="10"/>
        <v>Week 4</v>
      </c>
      <c r="G142" s="2" t="str">
        <f t="shared" si="11"/>
        <v>Week 4-2025</v>
      </c>
      <c r="O142"/>
      <c r="Q142"/>
    </row>
    <row r="143" spans="1:17" hidden="1" x14ac:dyDescent="0.2">
      <c r="A143" s="3">
        <v>45679</v>
      </c>
      <c r="B143" s="2" t="s">
        <v>9</v>
      </c>
      <c r="C143" s="2">
        <v>20</v>
      </c>
      <c r="D143" s="2">
        <f t="shared" si="8"/>
        <v>2025</v>
      </c>
      <c r="E143" s="2" t="str">
        <f t="shared" si="9"/>
        <v>2025-4</v>
      </c>
      <c r="F143" s="2" t="str">
        <f t="shared" si="10"/>
        <v>Week 4</v>
      </c>
      <c r="G143" s="2" t="str">
        <f t="shared" si="11"/>
        <v>Week 4-2025</v>
      </c>
      <c r="O143"/>
      <c r="Q143"/>
    </row>
    <row r="144" spans="1:17" hidden="1" x14ac:dyDescent="0.2">
      <c r="A144" s="3">
        <v>45679</v>
      </c>
      <c r="B144" s="2" t="s">
        <v>4</v>
      </c>
      <c r="C144" s="2">
        <v>18</v>
      </c>
      <c r="D144" s="2">
        <f t="shared" si="8"/>
        <v>2025</v>
      </c>
      <c r="E144" s="2" t="str">
        <f t="shared" si="9"/>
        <v>2025-4</v>
      </c>
      <c r="F144" s="2" t="str">
        <f t="shared" si="10"/>
        <v>Week 4</v>
      </c>
      <c r="G144" s="2" t="str">
        <f t="shared" si="11"/>
        <v>Week 4-2025</v>
      </c>
      <c r="O144"/>
      <c r="Q144"/>
    </row>
    <row r="145" spans="1:17" hidden="1" x14ac:dyDescent="0.2">
      <c r="A145" s="3">
        <v>45679</v>
      </c>
      <c r="B145" s="2" t="s">
        <v>7</v>
      </c>
      <c r="C145" s="2">
        <v>16</v>
      </c>
      <c r="D145" s="2">
        <f t="shared" si="8"/>
        <v>2025</v>
      </c>
      <c r="E145" s="2" t="str">
        <f t="shared" si="9"/>
        <v>2025-4</v>
      </c>
      <c r="F145" s="2" t="str">
        <f t="shared" si="10"/>
        <v>Week 4</v>
      </c>
      <c r="G145" s="2" t="str">
        <f t="shared" si="11"/>
        <v>Week 4-2025</v>
      </c>
      <c r="O145"/>
      <c r="Q145"/>
    </row>
    <row r="146" spans="1:17" hidden="1" x14ac:dyDescent="0.2">
      <c r="A146" s="3">
        <v>45679</v>
      </c>
      <c r="B146" s="2" t="s">
        <v>12</v>
      </c>
      <c r="C146" s="2">
        <v>10</v>
      </c>
      <c r="D146" s="2">
        <f t="shared" si="8"/>
        <v>2025</v>
      </c>
      <c r="E146" s="2" t="str">
        <f t="shared" si="9"/>
        <v>2025-4</v>
      </c>
      <c r="F146" s="2" t="str">
        <f t="shared" si="10"/>
        <v>Week 4</v>
      </c>
      <c r="G146" s="2" t="str">
        <f t="shared" si="11"/>
        <v>Week 4-2025</v>
      </c>
      <c r="O146"/>
      <c r="Q146"/>
    </row>
    <row r="147" spans="1:17" hidden="1" x14ac:dyDescent="0.2">
      <c r="A147" s="3">
        <v>45679</v>
      </c>
      <c r="B147" s="2" t="s">
        <v>5</v>
      </c>
      <c r="C147" s="2">
        <v>17</v>
      </c>
      <c r="D147" s="2">
        <f t="shared" si="8"/>
        <v>2025</v>
      </c>
      <c r="E147" s="2" t="str">
        <f t="shared" si="9"/>
        <v>2025-4</v>
      </c>
      <c r="F147" s="2" t="str">
        <f t="shared" si="10"/>
        <v>Week 4</v>
      </c>
      <c r="G147" s="2" t="str">
        <f t="shared" si="11"/>
        <v>Week 4-2025</v>
      </c>
      <c r="O147"/>
      <c r="Q147"/>
    </row>
    <row r="148" spans="1:17" hidden="1" x14ac:dyDescent="0.2">
      <c r="A148" s="3">
        <v>45679</v>
      </c>
      <c r="B148" s="2" t="s">
        <v>6</v>
      </c>
      <c r="C148" s="2">
        <v>10</v>
      </c>
      <c r="D148" s="2">
        <f t="shared" si="8"/>
        <v>2025</v>
      </c>
      <c r="E148" s="2" t="str">
        <f t="shared" si="9"/>
        <v>2025-4</v>
      </c>
      <c r="F148" s="2" t="str">
        <f t="shared" si="10"/>
        <v>Week 4</v>
      </c>
      <c r="G148" s="2" t="str">
        <f t="shared" si="11"/>
        <v>Week 4-2025</v>
      </c>
      <c r="O148"/>
      <c r="Q148"/>
    </row>
    <row r="149" spans="1:17" hidden="1" x14ac:dyDescent="0.2">
      <c r="A149" s="3">
        <v>45679</v>
      </c>
      <c r="B149" s="2" t="s">
        <v>17</v>
      </c>
      <c r="C149" s="2">
        <v>16</v>
      </c>
      <c r="D149" s="2">
        <f t="shared" si="8"/>
        <v>2025</v>
      </c>
      <c r="E149" s="2" t="str">
        <f t="shared" si="9"/>
        <v>2025-4</v>
      </c>
      <c r="F149" s="2" t="str">
        <f t="shared" si="10"/>
        <v>Week 4</v>
      </c>
      <c r="G149" s="2" t="str">
        <f t="shared" si="11"/>
        <v>Week 4-2025</v>
      </c>
      <c r="O149"/>
      <c r="Q149"/>
    </row>
    <row r="150" spans="1:17" hidden="1" x14ac:dyDescent="0.2">
      <c r="A150" s="3">
        <v>45679</v>
      </c>
      <c r="B150" s="2" t="s">
        <v>19</v>
      </c>
      <c r="C150" s="2">
        <v>8</v>
      </c>
      <c r="D150" s="2">
        <f t="shared" si="8"/>
        <v>2025</v>
      </c>
      <c r="E150" s="2" t="str">
        <f t="shared" si="9"/>
        <v>2025-4</v>
      </c>
      <c r="F150" s="2" t="str">
        <f t="shared" si="10"/>
        <v>Week 4</v>
      </c>
      <c r="G150" s="2" t="str">
        <f t="shared" si="11"/>
        <v>Week 4-2025</v>
      </c>
      <c r="O150"/>
      <c r="Q150"/>
    </row>
    <row r="151" spans="1:17" hidden="1" x14ac:dyDescent="0.2">
      <c r="A151" s="3">
        <v>45679</v>
      </c>
      <c r="B151" s="2" t="s">
        <v>29</v>
      </c>
      <c r="C151" s="2">
        <v>9</v>
      </c>
      <c r="D151" s="2">
        <f t="shared" si="8"/>
        <v>2025</v>
      </c>
      <c r="E151" s="2" t="str">
        <f t="shared" si="9"/>
        <v>2025-4</v>
      </c>
      <c r="F151" s="2" t="str">
        <f t="shared" si="10"/>
        <v>Week 4</v>
      </c>
      <c r="G151" s="2" t="str">
        <f t="shared" si="11"/>
        <v>Week 4-2025</v>
      </c>
      <c r="O151"/>
      <c r="Q151"/>
    </row>
    <row r="152" spans="1:17" hidden="1" x14ac:dyDescent="0.2">
      <c r="A152" s="3">
        <v>45679</v>
      </c>
      <c r="B152" s="2" t="s">
        <v>18</v>
      </c>
      <c r="C152" s="2">
        <v>6</v>
      </c>
      <c r="D152" s="2">
        <f t="shared" si="8"/>
        <v>2025</v>
      </c>
      <c r="E152" s="2" t="str">
        <f t="shared" si="9"/>
        <v>2025-4</v>
      </c>
      <c r="F152" s="2" t="str">
        <f t="shared" si="10"/>
        <v>Week 4</v>
      </c>
      <c r="G152" s="2" t="str">
        <f t="shared" si="11"/>
        <v>Week 4-2025</v>
      </c>
      <c r="O152"/>
      <c r="Q152"/>
    </row>
    <row r="153" spans="1:17" hidden="1" x14ac:dyDescent="0.2">
      <c r="A153" s="3">
        <v>45679</v>
      </c>
      <c r="B153" s="2" t="s">
        <v>3</v>
      </c>
      <c r="C153" s="2">
        <v>9</v>
      </c>
      <c r="D153" s="2">
        <f t="shared" si="8"/>
        <v>2025</v>
      </c>
      <c r="E153" s="2" t="str">
        <f t="shared" si="9"/>
        <v>2025-4</v>
      </c>
      <c r="F153" s="2" t="str">
        <f t="shared" si="10"/>
        <v>Week 4</v>
      </c>
      <c r="G153" s="2" t="str">
        <f t="shared" si="11"/>
        <v>Week 4-2025</v>
      </c>
      <c r="O153"/>
      <c r="Q153"/>
    </row>
    <row r="154" spans="1:17" hidden="1" x14ac:dyDescent="0.2">
      <c r="A154" s="3">
        <v>45679</v>
      </c>
      <c r="B154" s="2" t="s">
        <v>6</v>
      </c>
      <c r="C154" s="2">
        <v>4</v>
      </c>
      <c r="D154" s="2">
        <f t="shared" si="8"/>
        <v>2025</v>
      </c>
      <c r="E154" s="2" t="str">
        <f t="shared" si="9"/>
        <v>2025-4</v>
      </c>
      <c r="F154" s="2" t="str">
        <f t="shared" si="10"/>
        <v>Week 4</v>
      </c>
      <c r="G154" s="2" t="str">
        <f t="shared" si="11"/>
        <v>Week 4-2025</v>
      </c>
      <c r="O154"/>
      <c r="Q154"/>
    </row>
    <row r="155" spans="1:17" hidden="1" x14ac:dyDescent="0.2">
      <c r="A155" s="3">
        <v>45679</v>
      </c>
      <c r="B155" s="2" t="s">
        <v>8</v>
      </c>
      <c r="C155" s="2">
        <v>8</v>
      </c>
      <c r="D155" s="2">
        <f t="shared" si="8"/>
        <v>2025</v>
      </c>
      <c r="E155" s="2" t="str">
        <f t="shared" si="9"/>
        <v>2025-4</v>
      </c>
      <c r="F155" s="2" t="str">
        <f t="shared" si="10"/>
        <v>Week 4</v>
      </c>
      <c r="G155" s="2" t="str">
        <f t="shared" si="11"/>
        <v>Week 4-2025</v>
      </c>
      <c r="O155"/>
      <c r="Q155"/>
    </row>
    <row r="156" spans="1:17" hidden="1" x14ac:dyDescent="0.2">
      <c r="A156" s="3">
        <v>45679</v>
      </c>
      <c r="B156" s="2" t="s">
        <v>19</v>
      </c>
      <c r="C156" s="2">
        <v>3</v>
      </c>
      <c r="D156" s="2">
        <f t="shared" si="8"/>
        <v>2025</v>
      </c>
      <c r="E156" s="2" t="str">
        <f t="shared" si="9"/>
        <v>2025-4</v>
      </c>
      <c r="F156" s="2" t="str">
        <f t="shared" si="10"/>
        <v>Week 4</v>
      </c>
      <c r="G156" s="2" t="str">
        <f t="shared" si="11"/>
        <v>Week 4-2025</v>
      </c>
      <c r="O156"/>
      <c r="Q156"/>
    </row>
    <row r="157" spans="1:17" hidden="1" x14ac:dyDescent="0.2">
      <c r="A157" s="3">
        <v>45679</v>
      </c>
      <c r="B157" s="2" t="s">
        <v>12</v>
      </c>
      <c r="C157" s="2">
        <v>2</v>
      </c>
      <c r="D157" s="2">
        <f t="shared" si="8"/>
        <v>2025</v>
      </c>
      <c r="E157" s="2" t="str">
        <f t="shared" si="9"/>
        <v>2025-4</v>
      </c>
      <c r="F157" s="2" t="str">
        <f t="shared" si="10"/>
        <v>Week 4</v>
      </c>
      <c r="G157" s="2" t="str">
        <f t="shared" si="11"/>
        <v>Week 4-2025</v>
      </c>
      <c r="O157"/>
      <c r="Q157"/>
    </row>
    <row r="158" spans="1:17" hidden="1" x14ac:dyDescent="0.2">
      <c r="A158" s="3">
        <v>45679</v>
      </c>
      <c r="B158" s="2" t="s">
        <v>6</v>
      </c>
      <c r="C158" s="2">
        <v>2</v>
      </c>
      <c r="D158" s="2">
        <f t="shared" si="8"/>
        <v>2025</v>
      </c>
      <c r="E158" s="2" t="str">
        <f t="shared" si="9"/>
        <v>2025-4</v>
      </c>
      <c r="F158" s="2" t="str">
        <f t="shared" si="10"/>
        <v>Week 4</v>
      </c>
      <c r="G158" s="2" t="str">
        <f t="shared" si="11"/>
        <v>Week 4-2025</v>
      </c>
      <c r="O158"/>
      <c r="Q158"/>
    </row>
    <row r="159" spans="1:17" hidden="1" x14ac:dyDescent="0.2">
      <c r="A159" s="3">
        <v>45679</v>
      </c>
      <c r="B159" s="2" t="s">
        <v>17</v>
      </c>
      <c r="C159" s="2">
        <v>2</v>
      </c>
      <c r="D159" s="2">
        <f t="shared" si="8"/>
        <v>2025</v>
      </c>
      <c r="E159" s="2" t="str">
        <f t="shared" si="9"/>
        <v>2025-4</v>
      </c>
      <c r="F159" s="2" t="str">
        <f t="shared" si="10"/>
        <v>Week 4</v>
      </c>
      <c r="G159" s="2" t="str">
        <f t="shared" si="11"/>
        <v>Week 4-2025</v>
      </c>
      <c r="O159"/>
      <c r="Q159"/>
    </row>
    <row r="160" spans="1:17" hidden="1" x14ac:dyDescent="0.2">
      <c r="A160" s="3">
        <v>45679</v>
      </c>
      <c r="B160" s="2" t="s">
        <v>18</v>
      </c>
      <c r="C160" s="2">
        <v>1</v>
      </c>
      <c r="D160" s="2">
        <f t="shared" si="8"/>
        <v>2025</v>
      </c>
      <c r="E160" s="2" t="str">
        <f t="shared" si="9"/>
        <v>2025-4</v>
      </c>
      <c r="F160" s="2" t="str">
        <f t="shared" si="10"/>
        <v>Week 4</v>
      </c>
      <c r="G160" s="2" t="str">
        <f t="shared" si="11"/>
        <v>Week 4-2025</v>
      </c>
      <c r="O160"/>
      <c r="Q160"/>
    </row>
    <row r="161" spans="1:17" hidden="1" x14ac:dyDescent="0.2">
      <c r="A161" s="3">
        <v>45679</v>
      </c>
      <c r="B161" s="2" t="s">
        <v>14</v>
      </c>
      <c r="C161" s="2">
        <v>2</v>
      </c>
      <c r="D161" s="2">
        <f t="shared" si="8"/>
        <v>2025</v>
      </c>
      <c r="E161" s="2" t="str">
        <f t="shared" si="9"/>
        <v>2025-4</v>
      </c>
      <c r="F161" s="2" t="str">
        <f t="shared" si="10"/>
        <v>Week 4</v>
      </c>
      <c r="G161" s="2" t="str">
        <f t="shared" si="11"/>
        <v>Week 4-2025</v>
      </c>
      <c r="O161"/>
      <c r="Q161"/>
    </row>
    <row r="162" spans="1:17" hidden="1" x14ac:dyDescent="0.2">
      <c r="A162" s="3">
        <v>45681</v>
      </c>
      <c r="B162" s="2" t="s">
        <v>3</v>
      </c>
      <c r="C162" s="2">
        <v>22</v>
      </c>
      <c r="D162" s="2">
        <f t="shared" si="8"/>
        <v>2025</v>
      </c>
      <c r="E162" s="2" t="str">
        <f t="shared" si="9"/>
        <v>2025-4</v>
      </c>
      <c r="F162" s="2" t="str">
        <f t="shared" si="10"/>
        <v>Week 4</v>
      </c>
      <c r="G162" s="2" t="str">
        <f t="shared" si="11"/>
        <v>Week 4-2025</v>
      </c>
      <c r="O162"/>
      <c r="Q162"/>
    </row>
    <row r="163" spans="1:17" hidden="1" x14ac:dyDescent="0.2">
      <c r="A163" s="3">
        <v>45681</v>
      </c>
      <c r="B163" s="2" t="s">
        <v>4</v>
      </c>
      <c r="C163" s="2">
        <v>16</v>
      </c>
      <c r="D163" s="2">
        <f t="shared" si="8"/>
        <v>2025</v>
      </c>
      <c r="E163" s="2" t="str">
        <f t="shared" si="9"/>
        <v>2025-4</v>
      </c>
      <c r="F163" s="2" t="str">
        <f t="shared" si="10"/>
        <v>Week 4</v>
      </c>
      <c r="G163" s="2" t="str">
        <f t="shared" si="11"/>
        <v>Week 4-2025</v>
      </c>
      <c r="O163"/>
      <c r="Q163"/>
    </row>
    <row r="164" spans="1:17" hidden="1" x14ac:dyDescent="0.2">
      <c r="A164" s="3">
        <v>45681</v>
      </c>
      <c r="B164" s="2" t="s">
        <v>5</v>
      </c>
      <c r="C164" s="2">
        <v>22</v>
      </c>
      <c r="D164" s="2">
        <f t="shared" si="8"/>
        <v>2025</v>
      </c>
      <c r="E164" s="2" t="str">
        <f t="shared" si="9"/>
        <v>2025-4</v>
      </c>
      <c r="F164" s="2" t="str">
        <f t="shared" si="10"/>
        <v>Week 4</v>
      </c>
      <c r="G164" s="2" t="str">
        <f t="shared" si="11"/>
        <v>Week 4-2025</v>
      </c>
      <c r="O164"/>
      <c r="Q164"/>
    </row>
    <row r="165" spans="1:17" hidden="1" x14ac:dyDescent="0.2">
      <c r="A165" s="3">
        <v>45681</v>
      </c>
      <c r="B165" s="2" t="s">
        <v>9</v>
      </c>
      <c r="C165" s="2">
        <v>9</v>
      </c>
      <c r="D165" s="2">
        <f t="shared" si="8"/>
        <v>2025</v>
      </c>
      <c r="E165" s="2" t="str">
        <f t="shared" si="9"/>
        <v>2025-4</v>
      </c>
      <c r="F165" s="2" t="str">
        <f t="shared" si="10"/>
        <v>Week 4</v>
      </c>
      <c r="G165" s="2" t="str">
        <f t="shared" si="11"/>
        <v>Week 4-2025</v>
      </c>
      <c r="O165"/>
      <c r="Q165"/>
    </row>
    <row r="166" spans="1:17" hidden="1" x14ac:dyDescent="0.2">
      <c r="A166" s="3">
        <v>45681</v>
      </c>
      <c r="B166" s="2" t="s">
        <v>14</v>
      </c>
      <c r="C166" s="2">
        <v>16</v>
      </c>
      <c r="D166" s="2">
        <f t="shared" si="8"/>
        <v>2025</v>
      </c>
      <c r="E166" s="2" t="str">
        <f t="shared" si="9"/>
        <v>2025-4</v>
      </c>
      <c r="F166" s="2" t="str">
        <f t="shared" si="10"/>
        <v>Week 4</v>
      </c>
      <c r="G166" s="2" t="str">
        <f t="shared" si="11"/>
        <v>Week 4-2025</v>
      </c>
      <c r="O166"/>
      <c r="Q166"/>
    </row>
    <row r="167" spans="1:17" hidden="1" x14ac:dyDescent="0.2">
      <c r="A167" s="3">
        <v>45681</v>
      </c>
      <c r="B167" s="2" t="s">
        <v>17</v>
      </c>
      <c r="C167" s="2">
        <v>8</v>
      </c>
      <c r="D167" s="2">
        <f t="shared" si="8"/>
        <v>2025</v>
      </c>
      <c r="E167" s="2" t="str">
        <f t="shared" si="9"/>
        <v>2025-4</v>
      </c>
      <c r="F167" s="2" t="str">
        <f t="shared" si="10"/>
        <v>Week 4</v>
      </c>
      <c r="G167" s="2" t="str">
        <f t="shared" si="11"/>
        <v>Week 4-2025</v>
      </c>
      <c r="O167"/>
      <c r="Q167"/>
    </row>
    <row r="168" spans="1:17" hidden="1" x14ac:dyDescent="0.2">
      <c r="A168" s="3">
        <v>45681</v>
      </c>
      <c r="B168" s="2" t="s">
        <v>19</v>
      </c>
      <c r="C168" s="2">
        <v>4</v>
      </c>
      <c r="D168" s="2">
        <f t="shared" si="8"/>
        <v>2025</v>
      </c>
      <c r="E168" s="2" t="str">
        <f t="shared" si="9"/>
        <v>2025-4</v>
      </c>
      <c r="F168" s="2" t="str">
        <f t="shared" si="10"/>
        <v>Week 4</v>
      </c>
      <c r="G168" s="2" t="str">
        <f t="shared" si="11"/>
        <v>Week 4-2025</v>
      </c>
      <c r="O168"/>
      <c r="Q168"/>
    </row>
    <row r="169" spans="1:17" hidden="1" x14ac:dyDescent="0.2">
      <c r="A169" s="3">
        <v>45681</v>
      </c>
      <c r="B169" s="2" t="s">
        <v>7</v>
      </c>
      <c r="C169" s="2">
        <v>4</v>
      </c>
      <c r="D169" s="2">
        <f t="shared" si="8"/>
        <v>2025</v>
      </c>
      <c r="E169" s="2" t="str">
        <f t="shared" si="9"/>
        <v>2025-4</v>
      </c>
      <c r="F169" s="2" t="str">
        <f t="shared" si="10"/>
        <v>Week 4</v>
      </c>
      <c r="G169" s="2" t="str">
        <f t="shared" si="11"/>
        <v>Week 4-2025</v>
      </c>
      <c r="O169"/>
      <c r="Q169"/>
    </row>
    <row r="170" spans="1:17" hidden="1" x14ac:dyDescent="0.2">
      <c r="A170" s="3">
        <v>45681</v>
      </c>
      <c r="B170" s="2" t="s">
        <v>7</v>
      </c>
      <c r="C170" s="2">
        <v>4</v>
      </c>
      <c r="D170" s="2">
        <f t="shared" si="8"/>
        <v>2025</v>
      </c>
      <c r="E170" s="2" t="str">
        <f t="shared" si="9"/>
        <v>2025-4</v>
      </c>
      <c r="F170" s="2" t="str">
        <f t="shared" si="10"/>
        <v>Week 4</v>
      </c>
      <c r="G170" s="2" t="str">
        <f t="shared" si="11"/>
        <v>Week 4-2025</v>
      </c>
      <c r="O170"/>
      <c r="Q170"/>
    </row>
    <row r="171" spans="1:17" hidden="1" x14ac:dyDescent="0.2">
      <c r="A171" s="3">
        <v>45681</v>
      </c>
      <c r="B171" s="2" t="s">
        <v>3</v>
      </c>
      <c r="C171" s="2">
        <v>4</v>
      </c>
      <c r="D171" s="2">
        <f t="shared" si="8"/>
        <v>2025</v>
      </c>
      <c r="E171" s="2" t="str">
        <f t="shared" si="9"/>
        <v>2025-4</v>
      </c>
      <c r="F171" s="2" t="str">
        <f t="shared" si="10"/>
        <v>Week 4</v>
      </c>
      <c r="G171" s="2" t="str">
        <f t="shared" si="11"/>
        <v>Week 4-2025</v>
      </c>
      <c r="O171"/>
      <c r="Q171"/>
    </row>
    <row r="172" spans="1:17" hidden="1" x14ac:dyDescent="0.2">
      <c r="A172" s="3">
        <v>45681</v>
      </c>
      <c r="B172" s="2" t="s">
        <v>14</v>
      </c>
      <c r="C172" s="2">
        <v>4</v>
      </c>
      <c r="D172" s="2">
        <f t="shared" si="8"/>
        <v>2025</v>
      </c>
      <c r="E172" s="2" t="str">
        <f t="shared" si="9"/>
        <v>2025-4</v>
      </c>
      <c r="F172" s="2" t="str">
        <f t="shared" si="10"/>
        <v>Week 4</v>
      </c>
      <c r="G172" s="2" t="str">
        <f t="shared" si="11"/>
        <v>Week 4-2025</v>
      </c>
      <c r="O172"/>
      <c r="Q172"/>
    </row>
    <row r="173" spans="1:17" hidden="1" x14ac:dyDescent="0.2">
      <c r="A173" s="3">
        <v>45681</v>
      </c>
      <c r="B173" s="2" t="s">
        <v>8</v>
      </c>
      <c r="C173" s="2">
        <v>4</v>
      </c>
      <c r="D173" s="2">
        <f t="shared" si="8"/>
        <v>2025</v>
      </c>
      <c r="E173" s="2" t="str">
        <f t="shared" si="9"/>
        <v>2025-4</v>
      </c>
      <c r="F173" s="2" t="str">
        <f t="shared" si="10"/>
        <v>Week 4</v>
      </c>
      <c r="G173" s="2" t="str">
        <f t="shared" si="11"/>
        <v>Week 4-2025</v>
      </c>
      <c r="O173"/>
      <c r="Q173"/>
    </row>
    <row r="174" spans="1:17" hidden="1" x14ac:dyDescent="0.2">
      <c r="A174" s="3">
        <v>45681</v>
      </c>
      <c r="B174" s="2" t="s">
        <v>9</v>
      </c>
      <c r="C174" s="2">
        <v>2</v>
      </c>
      <c r="D174" s="2">
        <f t="shared" si="8"/>
        <v>2025</v>
      </c>
      <c r="E174" s="2" t="str">
        <f t="shared" si="9"/>
        <v>2025-4</v>
      </c>
      <c r="F174" s="2" t="str">
        <f t="shared" si="10"/>
        <v>Week 4</v>
      </c>
      <c r="G174" s="2" t="str">
        <f t="shared" si="11"/>
        <v>Week 4-2025</v>
      </c>
      <c r="O174"/>
      <c r="Q174"/>
    </row>
    <row r="175" spans="1:17" hidden="1" x14ac:dyDescent="0.2">
      <c r="A175" s="3">
        <v>45681</v>
      </c>
      <c r="B175" s="2" t="s">
        <v>19</v>
      </c>
      <c r="C175" s="2">
        <v>1</v>
      </c>
      <c r="D175" s="2">
        <f t="shared" si="8"/>
        <v>2025</v>
      </c>
      <c r="E175" s="2" t="str">
        <f t="shared" si="9"/>
        <v>2025-4</v>
      </c>
      <c r="F175" s="2" t="str">
        <f t="shared" si="10"/>
        <v>Week 4</v>
      </c>
      <c r="G175" s="2" t="str">
        <f t="shared" si="11"/>
        <v>Week 4-2025</v>
      </c>
      <c r="O175"/>
      <c r="Q175"/>
    </row>
    <row r="176" spans="1:17" hidden="1" x14ac:dyDescent="0.2">
      <c r="A176" s="3">
        <v>45681</v>
      </c>
      <c r="B176" s="2" t="s">
        <v>19</v>
      </c>
      <c r="C176" s="2">
        <v>1</v>
      </c>
      <c r="D176" s="2">
        <f t="shared" si="8"/>
        <v>2025</v>
      </c>
      <c r="E176" s="2" t="str">
        <f t="shared" si="9"/>
        <v>2025-4</v>
      </c>
      <c r="F176" s="2" t="str">
        <f t="shared" si="10"/>
        <v>Week 4</v>
      </c>
      <c r="G176" s="2" t="str">
        <f t="shared" si="11"/>
        <v>Week 4-2025</v>
      </c>
      <c r="O176"/>
      <c r="Q176"/>
    </row>
    <row r="177" spans="1:17" hidden="1" x14ac:dyDescent="0.2">
      <c r="A177" s="3">
        <v>45681</v>
      </c>
      <c r="B177" s="2" t="s">
        <v>3</v>
      </c>
      <c r="C177" s="2">
        <v>1</v>
      </c>
      <c r="D177" s="2">
        <f t="shared" si="8"/>
        <v>2025</v>
      </c>
      <c r="E177" s="2" t="str">
        <f t="shared" si="9"/>
        <v>2025-4</v>
      </c>
      <c r="F177" s="2" t="str">
        <f t="shared" si="10"/>
        <v>Week 4</v>
      </c>
      <c r="G177" s="2" t="str">
        <f t="shared" si="11"/>
        <v>Week 4-2025</v>
      </c>
      <c r="O177"/>
      <c r="Q177"/>
    </row>
    <row r="178" spans="1:17" hidden="1" x14ac:dyDescent="0.2">
      <c r="A178" s="3">
        <v>45682</v>
      </c>
      <c r="B178" s="2" t="s">
        <v>19</v>
      </c>
      <c r="C178" s="2">
        <v>4</v>
      </c>
      <c r="D178" s="2">
        <f t="shared" si="8"/>
        <v>2025</v>
      </c>
      <c r="E178" s="2" t="str">
        <f t="shared" si="9"/>
        <v>2025-4</v>
      </c>
      <c r="F178" s="2" t="str">
        <f t="shared" si="10"/>
        <v>Week 4</v>
      </c>
      <c r="G178" s="2" t="str">
        <f t="shared" si="11"/>
        <v>Week 4-2025</v>
      </c>
      <c r="O178"/>
      <c r="Q178"/>
    </row>
    <row r="179" spans="1:17" hidden="1" x14ac:dyDescent="0.2">
      <c r="A179" s="3">
        <v>45682</v>
      </c>
      <c r="B179" s="2" t="s">
        <v>18</v>
      </c>
      <c r="C179" s="2">
        <v>2</v>
      </c>
      <c r="D179" s="2">
        <f t="shared" si="8"/>
        <v>2025</v>
      </c>
      <c r="E179" s="2" t="str">
        <f t="shared" si="9"/>
        <v>2025-4</v>
      </c>
      <c r="F179" s="2" t="str">
        <f t="shared" si="10"/>
        <v>Week 4</v>
      </c>
      <c r="G179" s="2" t="str">
        <f t="shared" si="11"/>
        <v>Week 4-2025</v>
      </c>
      <c r="O179"/>
      <c r="Q179"/>
    </row>
    <row r="180" spans="1:17" hidden="1" x14ac:dyDescent="0.2">
      <c r="A180" s="3">
        <v>45684</v>
      </c>
      <c r="B180" s="2" t="s">
        <v>11</v>
      </c>
      <c r="C180" s="2">
        <v>8</v>
      </c>
      <c r="D180" s="2">
        <f t="shared" si="8"/>
        <v>2025</v>
      </c>
      <c r="E180" s="2" t="str">
        <f t="shared" si="9"/>
        <v>2025-5</v>
      </c>
      <c r="F180" s="2" t="str">
        <f t="shared" si="10"/>
        <v>Week 5</v>
      </c>
      <c r="G180" s="2" t="str">
        <f t="shared" si="11"/>
        <v>Week 5-2025</v>
      </c>
      <c r="O180"/>
      <c r="Q180"/>
    </row>
    <row r="181" spans="1:17" hidden="1" x14ac:dyDescent="0.2">
      <c r="A181" s="3">
        <v>45684</v>
      </c>
      <c r="B181" s="2" t="s">
        <v>4</v>
      </c>
      <c r="C181" s="2">
        <v>16</v>
      </c>
      <c r="D181" s="2">
        <f t="shared" si="8"/>
        <v>2025</v>
      </c>
      <c r="E181" s="2" t="str">
        <f t="shared" si="9"/>
        <v>2025-5</v>
      </c>
      <c r="F181" s="2" t="str">
        <f t="shared" si="10"/>
        <v>Week 5</v>
      </c>
      <c r="G181" s="2" t="str">
        <f t="shared" si="11"/>
        <v>Week 5-2025</v>
      </c>
      <c r="O181"/>
      <c r="Q181"/>
    </row>
    <row r="182" spans="1:17" hidden="1" x14ac:dyDescent="0.2">
      <c r="A182" s="3">
        <v>45684</v>
      </c>
      <c r="B182" s="2" t="s">
        <v>9</v>
      </c>
      <c r="C182" s="2">
        <v>13</v>
      </c>
      <c r="D182" s="2">
        <f t="shared" si="8"/>
        <v>2025</v>
      </c>
      <c r="E182" s="2" t="str">
        <f t="shared" si="9"/>
        <v>2025-5</v>
      </c>
      <c r="F182" s="2" t="str">
        <f t="shared" si="10"/>
        <v>Week 5</v>
      </c>
      <c r="G182" s="2" t="str">
        <f t="shared" si="11"/>
        <v>Week 5-2025</v>
      </c>
      <c r="O182"/>
      <c r="Q182"/>
    </row>
    <row r="183" spans="1:17" hidden="1" x14ac:dyDescent="0.2">
      <c r="A183" s="3">
        <v>45684</v>
      </c>
      <c r="B183" s="2" t="s">
        <v>12</v>
      </c>
      <c r="C183" s="2">
        <v>8</v>
      </c>
      <c r="D183" s="2">
        <f t="shared" si="8"/>
        <v>2025</v>
      </c>
      <c r="E183" s="2" t="str">
        <f t="shared" si="9"/>
        <v>2025-5</v>
      </c>
      <c r="F183" s="2" t="str">
        <f t="shared" si="10"/>
        <v>Week 5</v>
      </c>
      <c r="G183" s="2" t="str">
        <f t="shared" si="11"/>
        <v>Week 5-2025</v>
      </c>
      <c r="O183"/>
      <c r="Q183"/>
    </row>
    <row r="184" spans="1:17" hidden="1" x14ac:dyDescent="0.2">
      <c r="A184" s="3">
        <v>45684</v>
      </c>
      <c r="B184" s="2" t="s">
        <v>19</v>
      </c>
      <c r="C184" s="2">
        <v>10</v>
      </c>
      <c r="D184" s="2">
        <f t="shared" si="8"/>
        <v>2025</v>
      </c>
      <c r="E184" s="2" t="str">
        <f t="shared" si="9"/>
        <v>2025-5</v>
      </c>
      <c r="F184" s="2" t="str">
        <f t="shared" si="10"/>
        <v>Week 5</v>
      </c>
      <c r="G184" s="2" t="str">
        <f t="shared" si="11"/>
        <v>Week 5-2025</v>
      </c>
      <c r="O184"/>
      <c r="Q184"/>
    </row>
    <row r="185" spans="1:17" hidden="1" x14ac:dyDescent="0.2">
      <c r="A185" s="3">
        <v>45684</v>
      </c>
      <c r="B185" s="2" t="s">
        <v>9</v>
      </c>
      <c r="C185" s="2">
        <v>8</v>
      </c>
      <c r="D185" s="2">
        <f t="shared" si="8"/>
        <v>2025</v>
      </c>
      <c r="E185" s="2" t="str">
        <f t="shared" si="9"/>
        <v>2025-5</v>
      </c>
      <c r="F185" s="2" t="str">
        <f t="shared" si="10"/>
        <v>Week 5</v>
      </c>
      <c r="G185" s="2" t="str">
        <f t="shared" si="11"/>
        <v>Week 5-2025</v>
      </c>
      <c r="O185"/>
      <c r="Q185"/>
    </row>
    <row r="186" spans="1:17" hidden="1" x14ac:dyDescent="0.2">
      <c r="A186" s="3">
        <v>45684</v>
      </c>
      <c r="B186" s="2" t="s">
        <v>7</v>
      </c>
      <c r="C186" s="2">
        <v>6</v>
      </c>
      <c r="D186" s="2">
        <f t="shared" si="8"/>
        <v>2025</v>
      </c>
      <c r="E186" s="2" t="str">
        <f t="shared" si="9"/>
        <v>2025-5</v>
      </c>
      <c r="F186" s="2" t="str">
        <f t="shared" si="10"/>
        <v>Week 5</v>
      </c>
      <c r="G186" s="2" t="str">
        <f t="shared" si="11"/>
        <v>Week 5-2025</v>
      </c>
      <c r="O186"/>
      <c r="Q186"/>
    </row>
    <row r="187" spans="1:17" hidden="1" x14ac:dyDescent="0.2">
      <c r="A187" s="3">
        <v>45684</v>
      </c>
      <c r="B187" s="2" t="s">
        <v>19</v>
      </c>
      <c r="C187" s="2">
        <v>6</v>
      </c>
      <c r="D187" s="2">
        <f t="shared" si="8"/>
        <v>2025</v>
      </c>
      <c r="E187" s="2" t="str">
        <f t="shared" si="9"/>
        <v>2025-5</v>
      </c>
      <c r="F187" s="2" t="str">
        <f t="shared" si="10"/>
        <v>Week 5</v>
      </c>
      <c r="G187" s="2" t="str">
        <f t="shared" si="11"/>
        <v>Week 5-2025</v>
      </c>
      <c r="O187"/>
      <c r="Q187"/>
    </row>
    <row r="188" spans="1:17" hidden="1" x14ac:dyDescent="0.2">
      <c r="A188" s="3">
        <v>45684</v>
      </c>
      <c r="B188" s="2" t="s">
        <v>4</v>
      </c>
      <c r="C188" s="2">
        <v>4</v>
      </c>
      <c r="D188" s="2">
        <f t="shared" si="8"/>
        <v>2025</v>
      </c>
      <c r="E188" s="2" t="str">
        <f t="shared" si="9"/>
        <v>2025-5</v>
      </c>
      <c r="F188" s="2" t="str">
        <f t="shared" si="10"/>
        <v>Week 5</v>
      </c>
      <c r="G188" s="2" t="str">
        <f t="shared" si="11"/>
        <v>Week 5-2025</v>
      </c>
      <c r="O188"/>
      <c r="Q188"/>
    </row>
    <row r="189" spans="1:17" hidden="1" x14ac:dyDescent="0.2">
      <c r="A189" s="3">
        <v>45684</v>
      </c>
      <c r="B189" s="2" t="s">
        <v>25</v>
      </c>
      <c r="C189" s="2">
        <v>1</v>
      </c>
      <c r="D189" s="2">
        <f t="shared" si="8"/>
        <v>2025</v>
      </c>
      <c r="E189" s="2" t="str">
        <f t="shared" si="9"/>
        <v>2025-5</v>
      </c>
      <c r="F189" s="2" t="str">
        <f t="shared" si="10"/>
        <v>Week 5</v>
      </c>
      <c r="G189" s="2" t="str">
        <f t="shared" si="11"/>
        <v>Week 5-2025</v>
      </c>
      <c r="O189"/>
      <c r="Q189"/>
    </row>
    <row r="190" spans="1:17" hidden="1" x14ac:dyDescent="0.2">
      <c r="A190" s="3">
        <v>45684</v>
      </c>
      <c r="B190" s="2" t="s">
        <v>3</v>
      </c>
      <c r="C190" s="2">
        <v>4</v>
      </c>
      <c r="D190" s="2">
        <f t="shared" si="8"/>
        <v>2025</v>
      </c>
      <c r="E190" s="2" t="str">
        <f t="shared" si="9"/>
        <v>2025-5</v>
      </c>
      <c r="F190" s="2" t="str">
        <f t="shared" si="10"/>
        <v>Week 5</v>
      </c>
      <c r="G190" s="2" t="str">
        <f t="shared" si="11"/>
        <v>Week 5-2025</v>
      </c>
      <c r="O190"/>
      <c r="Q190"/>
    </row>
    <row r="191" spans="1:17" hidden="1" x14ac:dyDescent="0.2">
      <c r="A191" s="3">
        <v>45684</v>
      </c>
      <c r="B191" s="2" t="s">
        <v>7</v>
      </c>
      <c r="C191" s="2">
        <v>2</v>
      </c>
      <c r="D191" s="2">
        <f t="shared" si="8"/>
        <v>2025</v>
      </c>
      <c r="E191" s="2" t="str">
        <f t="shared" si="9"/>
        <v>2025-5</v>
      </c>
      <c r="F191" s="2" t="str">
        <f t="shared" si="10"/>
        <v>Week 5</v>
      </c>
      <c r="G191" s="2" t="str">
        <f t="shared" si="11"/>
        <v>Week 5-2025</v>
      </c>
      <c r="O191"/>
      <c r="Q191"/>
    </row>
    <row r="192" spans="1:17" hidden="1" x14ac:dyDescent="0.2">
      <c r="A192" s="3">
        <v>45684</v>
      </c>
      <c r="B192" s="2" t="s">
        <v>28</v>
      </c>
      <c r="C192" s="2">
        <v>7</v>
      </c>
      <c r="D192" s="2">
        <f t="shared" si="8"/>
        <v>2025</v>
      </c>
      <c r="E192" s="2" t="str">
        <f t="shared" si="9"/>
        <v>2025-5</v>
      </c>
      <c r="F192" s="2" t="str">
        <f t="shared" si="10"/>
        <v>Week 5</v>
      </c>
      <c r="G192" s="2" t="str">
        <f t="shared" si="11"/>
        <v>Week 5-2025</v>
      </c>
      <c r="O192"/>
      <c r="Q192"/>
    </row>
    <row r="193" spans="1:17" hidden="1" x14ac:dyDescent="0.2">
      <c r="A193" s="3">
        <v>45684</v>
      </c>
      <c r="B193" s="2" t="s">
        <v>9</v>
      </c>
      <c r="C193" s="2">
        <v>3</v>
      </c>
      <c r="D193" s="2">
        <f t="shared" si="8"/>
        <v>2025</v>
      </c>
      <c r="E193" s="2" t="str">
        <f t="shared" si="9"/>
        <v>2025-5</v>
      </c>
      <c r="F193" s="2" t="str">
        <f t="shared" si="10"/>
        <v>Week 5</v>
      </c>
      <c r="G193" s="2" t="str">
        <f t="shared" si="11"/>
        <v>Week 5-2025</v>
      </c>
      <c r="O193"/>
      <c r="Q193"/>
    </row>
    <row r="194" spans="1:17" hidden="1" x14ac:dyDescent="0.2">
      <c r="A194" s="3">
        <v>45684</v>
      </c>
      <c r="B194" s="2" t="s">
        <v>9</v>
      </c>
      <c r="C194" s="2">
        <v>2</v>
      </c>
      <c r="D194" s="2">
        <f t="shared" ref="D194:D257" si="12">YEAR(A194)</f>
        <v>2025</v>
      </c>
      <c r="E194" s="2" t="str">
        <f t="shared" ref="E194:E257" si="13">YEAR(A194)&amp;"-"&amp;_xlfn.ISOWEEKNUM(A194)</f>
        <v>2025-5</v>
      </c>
      <c r="F194" s="2" t="str">
        <f t="shared" ref="F194:F257" si="14">_xlfn.CONCAT("Week "&amp;WEEKNUM(A194))</f>
        <v>Week 5</v>
      </c>
      <c r="G194" s="2" t="str">
        <f t="shared" ref="G194:G257" si="15">_xlfn.CONCAT(F194,"-",D194)</f>
        <v>Week 5-2025</v>
      </c>
      <c r="O194"/>
      <c r="Q194"/>
    </row>
    <row r="195" spans="1:17" hidden="1" x14ac:dyDescent="0.2">
      <c r="A195" s="3">
        <v>45684</v>
      </c>
      <c r="B195" s="2" t="s">
        <v>18</v>
      </c>
      <c r="C195" s="2">
        <v>2</v>
      </c>
      <c r="D195" s="2">
        <f t="shared" si="12"/>
        <v>2025</v>
      </c>
      <c r="E195" s="2" t="str">
        <f t="shared" si="13"/>
        <v>2025-5</v>
      </c>
      <c r="F195" s="2" t="str">
        <f t="shared" si="14"/>
        <v>Week 5</v>
      </c>
      <c r="G195" s="2" t="str">
        <f t="shared" si="15"/>
        <v>Week 5-2025</v>
      </c>
      <c r="O195"/>
      <c r="Q195"/>
    </row>
    <row r="196" spans="1:17" hidden="1" x14ac:dyDescent="0.2">
      <c r="A196" s="3">
        <v>45684</v>
      </c>
      <c r="B196" s="2" t="s">
        <v>6</v>
      </c>
      <c r="C196" s="2">
        <v>2</v>
      </c>
      <c r="D196" s="2">
        <f t="shared" si="12"/>
        <v>2025</v>
      </c>
      <c r="E196" s="2" t="str">
        <f t="shared" si="13"/>
        <v>2025-5</v>
      </c>
      <c r="F196" s="2" t="str">
        <f t="shared" si="14"/>
        <v>Week 5</v>
      </c>
      <c r="G196" s="2" t="str">
        <f t="shared" si="15"/>
        <v>Week 5-2025</v>
      </c>
      <c r="O196"/>
      <c r="Q196"/>
    </row>
    <row r="197" spans="1:17" hidden="1" x14ac:dyDescent="0.2">
      <c r="A197" s="3">
        <v>45684</v>
      </c>
      <c r="B197" s="2" t="s">
        <v>15</v>
      </c>
      <c r="C197" s="2">
        <v>6</v>
      </c>
      <c r="D197" s="2">
        <f t="shared" si="12"/>
        <v>2025</v>
      </c>
      <c r="E197" s="2" t="str">
        <f t="shared" si="13"/>
        <v>2025-5</v>
      </c>
      <c r="F197" s="2" t="str">
        <f t="shared" si="14"/>
        <v>Week 5</v>
      </c>
      <c r="G197" s="2" t="str">
        <f t="shared" si="15"/>
        <v>Week 5-2025</v>
      </c>
      <c r="O197"/>
      <c r="Q197"/>
    </row>
    <row r="198" spans="1:17" hidden="1" x14ac:dyDescent="0.2">
      <c r="A198" s="3">
        <v>45684</v>
      </c>
      <c r="B198" s="2" t="s">
        <v>17</v>
      </c>
      <c r="C198" s="2">
        <v>1</v>
      </c>
      <c r="D198" s="2">
        <f t="shared" si="12"/>
        <v>2025</v>
      </c>
      <c r="E198" s="2" t="str">
        <f t="shared" si="13"/>
        <v>2025-5</v>
      </c>
      <c r="F198" s="2" t="str">
        <f t="shared" si="14"/>
        <v>Week 5</v>
      </c>
      <c r="G198" s="2" t="str">
        <f t="shared" si="15"/>
        <v>Week 5-2025</v>
      </c>
      <c r="O198"/>
      <c r="Q198"/>
    </row>
    <row r="199" spans="1:17" hidden="1" x14ac:dyDescent="0.2">
      <c r="A199" s="3">
        <v>45684</v>
      </c>
      <c r="B199" s="2" t="s">
        <v>3</v>
      </c>
      <c r="C199" s="2">
        <v>1</v>
      </c>
      <c r="D199" s="2">
        <f t="shared" si="12"/>
        <v>2025</v>
      </c>
      <c r="E199" s="2" t="str">
        <f t="shared" si="13"/>
        <v>2025-5</v>
      </c>
      <c r="F199" s="2" t="str">
        <f t="shared" si="14"/>
        <v>Week 5</v>
      </c>
      <c r="G199" s="2" t="str">
        <f t="shared" si="15"/>
        <v>Week 5-2025</v>
      </c>
      <c r="O199"/>
      <c r="Q199"/>
    </row>
    <row r="200" spans="1:17" hidden="1" x14ac:dyDescent="0.2">
      <c r="A200" s="3">
        <v>45684</v>
      </c>
      <c r="B200" s="2" t="s">
        <v>3</v>
      </c>
      <c r="C200" s="2">
        <v>1</v>
      </c>
      <c r="D200" s="2">
        <f t="shared" si="12"/>
        <v>2025</v>
      </c>
      <c r="E200" s="2" t="str">
        <f t="shared" si="13"/>
        <v>2025-5</v>
      </c>
      <c r="F200" s="2" t="str">
        <f t="shared" si="14"/>
        <v>Week 5</v>
      </c>
      <c r="G200" s="2" t="str">
        <f t="shared" si="15"/>
        <v>Week 5-2025</v>
      </c>
      <c r="O200"/>
      <c r="Q200"/>
    </row>
    <row r="201" spans="1:17" hidden="1" x14ac:dyDescent="0.2">
      <c r="A201" s="3">
        <v>45686</v>
      </c>
      <c r="B201" s="2" t="s">
        <v>4</v>
      </c>
      <c r="C201" s="2">
        <v>10</v>
      </c>
      <c r="D201" s="2">
        <f t="shared" si="12"/>
        <v>2025</v>
      </c>
      <c r="E201" s="2" t="str">
        <f t="shared" si="13"/>
        <v>2025-5</v>
      </c>
      <c r="F201" s="2" t="str">
        <f t="shared" si="14"/>
        <v>Week 5</v>
      </c>
      <c r="G201" s="2" t="str">
        <f t="shared" si="15"/>
        <v>Week 5-2025</v>
      </c>
      <c r="O201"/>
      <c r="Q201"/>
    </row>
    <row r="202" spans="1:17" hidden="1" x14ac:dyDescent="0.2">
      <c r="A202" s="3">
        <v>45686</v>
      </c>
      <c r="B202" s="2" t="s">
        <v>6</v>
      </c>
      <c r="C202" s="2">
        <v>8</v>
      </c>
      <c r="D202" s="2">
        <f t="shared" si="12"/>
        <v>2025</v>
      </c>
      <c r="E202" s="2" t="str">
        <f t="shared" si="13"/>
        <v>2025-5</v>
      </c>
      <c r="F202" s="2" t="str">
        <f t="shared" si="14"/>
        <v>Week 5</v>
      </c>
      <c r="G202" s="2" t="str">
        <f t="shared" si="15"/>
        <v>Week 5-2025</v>
      </c>
      <c r="O202"/>
      <c r="Q202"/>
    </row>
    <row r="203" spans="1:17" hidden="1" x14ac:dyDescent="0.2">
      <c r="A203" s="3">
        <v>45686</v>
      </c>
      <c r="B203" s="2" t="s">
        <v>7</v>
      </c>
      <c r="C203" s="2">
        <v>6</v>
      </c>
      <c r="D203" s="2">
        <f t="shared" si="12"/>
        <v>2025</v>
      </c>
      <c r="E203" s="2" t="str">
        <f t="shared" si="13"/>
        <v>2025-5</v>
      </c>
      <c r="F203" s="2" t="str">
        <f t="shared" si="14"/>
        <v>Week 5</v>
      </c>
      <c r="G203" s="2" t="str">
        <f t="shared" si="15"/>
        <v>Week 5-2025</v>
      </c>
      <c r="O203"/>
      <c r="Q203"/>
    </row>
    <row r="204" spans="1:17" hidden="1" x14ac:dyDescent="0.2">
      <c r="A204" s="3">
        <v>45686</v>
      </c>
      <c r="B204" s="2" t="s">
        <v>3</v>
      </c>
      <c r="C204" s="2">
        <v>7</v>
      </c>
      <c r="D204" s="2">
        <f t="shared" si="12"/>
        <v>2025</v>
      </c>
      <c r="E204" s="2" t="str">
        <f t="shared" si="13"/>
        <v>2025-5</v>
      </c>
      <c r="F204" s="2" t="str">
        <f t="shared" si="14"/>
        <v>Week 5</v>
      </c>
      <c r="G204" s="2" t="str">
        <f t="shared" si="15"/>
        <v>Week 5-2025</v>
      </c>
      <c r="O204"/>
      <c r="Q204"/>
    </row>
    <row r="205" spans="1:17" hidden="1" x14ac:dyDescent="0.2">
      <c r="A205" s="3">
        <v>45686</v>
      </c>
      <c r="B205" s="2" t="s">
        <v>3</v>
      </c>
      <c r="C205" s="2">
        <v>4</v>
      </c>
      <c r="D205" s="2">
        <f t="shared" si="12"/>
        <v>2025</v>
      </c>
      <c r="E205" s="2" t="str">
        <f t="shared" si="13"/>
        <v>2025-5</v>
      </c>
      <c r="F205" s="2" t="str">
        <f t="shared" si="14"/>
        <v>Week 5</v>
      </c>
      <c r="G205" s="2" t="str">
        <f t="shared" si="15"/>
        <v>Week 5-2025</v>
      </c>
      <c r="O205"/>
      <c r="Q205"/>
    </row>
    <row r="206" spans="1:17" hidden="1" x14ac:dyDescent="0.2">
      <c r="A206" s="3">
        <v>45686</v>
      </c>
      <c r="B206" s="2" t="s">
        <v>7</v>
      </c>
      <c r="C206" s="2">
        <v>2</v>
      </c>
      <c r="D206" s="2">
        <f t="shared" si="12"/>
        <v>2025</v>
      </c>
      <c r="E206" s="2" t="str">
        <f t="shared" si="13"/>
        <v>2025-5</v>
      </c>
      <c r="F206" s="2" t="str">
        <f t="shared" si="14"/>
        <v>Week 5</v>
      </c>
      <c r="G206" s="2" t="str">
        <f t="shared" si="15"/>
        <v>Week 5-2025</v>
      </c>
      <c r="O206"/>
      <c r="Q206"/>
    </row>
    <row r="207" spans="1:17" hidden="1" x14ac:dyDescent="0.2">
      <c r="A207" s="3">
        <v>45686</v>
      </c>
      <c r="B207" s="2" t="s">
        <v>4</v>
      </c>
      <c r="C207" s="2">
        <v>2</v>
      </c>
      <c r="D207" s="2">
        <f t="shared" si="12"/>
        <v>2025</v>
      </c>
      <c r="E207" s="2" t="str">
        <f t="shared" si="13"/>
        <v>2025-5</v>
      </c>
      <c r="F207" s="2" t="str">
        <f t="shared" si="14"/>
        <v>Week 5</v>
      </c>
      <c r="G207" s="2" t="str">
        <f t="shared" si="15"/>
        <v>Week 5-2025</v>
      </c>
      <c r="O207"/>
      <c r="Q207"/>
    </row>
    <row r="208" spans="1:17" hidden="1" x14ac:dyDescent="0.2">
      <c r="A208" s="3">
        <v>45686</v>
      </c>
      <c r="B208" s="2" t="s">
        <v>10</v>
      </c>
      <c r="C208" s="2">
        <v>2</v>
      </c>
      <c r="D208" s="2">
        <f t="shared" si="12"/>
        <v>2025</v>
      </c>
      <c r="E208" s="2" t="str">
        <f t="shared" si="13"/>
        <v>2025-5</v>
      </c>
      <c r="F208" s="2" t="str">
        <f t="shared" si="14"/>
        <v>Week 5</v>
      </c>
      <c r="G208" s="2" t="str">
        <f t="shared" si="15"/>
        <v>Week 5-2025</v>
      </c>
      <c r="O208"/>
      <c r="Q208"/>
    </row>
    <row r="209" spans="1:17" hidden="1" x14ac:dyDescent="0.2">
      <c r="A209" s="3">
        <v>45686</v>
      </c>
      <c r="B209" s="2" t="s">
        <v>3</v>
      </c>
      <c r="C209" s="2">
        <v>1</v>
      </c>
      <c r="D209" s="2">
        <f t="shared" si="12"/>
        <v>2025</v>
      </c>
      <c r="E209" s="2" t="str">
        <f t="shared" si="13"/>
        <v>2025-5</v>
      </c>
      <c r="F209" s="2" t="str">
        <f t="shared" si="14"/>
        <v>Week 5</v>
      </c>
      <c r="G209" s="2" t="str">
        <f t="shared" si="15"/>
        <v>Week 5-2025</v>
      </c>
      <c r="O209"/>
      <c r="Q209"/>
    </row>
    <row r="210" spans="1:17" hidden="1" x14ac:dyDescent="0.2">
      <c r="A210" s="3">
        <v>45686</v>
      </c>
      <c r="B210" s="2" t="s">
        <v>36</v>
      </c>
      <c r="C210" s="2">
        <v>1</v>
      </c>
      <c r="D210" s="2">
        <f t="shared" si="12"/>
        <v>2025</v>
      </c>
      <c r="E210" s="2" t="str">
        <f t="shared" si="13"/>
        <v>2025-5</v>
      </c>
      <c r="F210" s="2" t="str">
        <f t="shared" si="14"/>
        <v>Week 5</v>
      </c>
      <c r="G210" s="2" t="str">
        <f t="shared" si="15"/>
        <v>Week 5-2025</v>
      </c>
      <c r="O210"/>
      <c r="Q210"/>
    </row>
    <row r="211" spans="1:17" hidden="1" x14ac:dyDescent="0.2">
      <c r="A211" s="3">
        <v>45687</v>
      </c>
      <c r="B211" s="2" t="s">
        <v>15</v>
      </c>
      <c r="C211" s="2">
        <v>87</v>
      </c>
      <c r="D211" s="2">
        <f t="shared" si="12"/>
        <v>2025</v>
      </c>
      <c r="E211" s="2" t="str">
        <f t="shared" si="13"/>
        <v>2025-5</v>
      </c>
      <c r="F211" s="2" t="str">
        <f t="shared" si="14"/>
        <v>Week 5</v>
      </c>
      <c r="G211" s="2" t="str">
        <f t="shared" si="15"/>
        <v>Week 5-2025</v>
      </c>
      <c r="O211"/>
      <c r="Q211"/>
    </row>
    <row r="212" spans="1:17" hidden="1" x14ac:dyDescent="0.2">
      <c r="A212" s="3">
        <v>45687</v>
      </c>
      <c r="B212" s="2" t="s">
        <v>4</v>
      </c>
      <c r="C212" s="2">
        <v>16</v>
      </c>
      <c r="D212" s="2">
        <f t="shared" si="12"/>
        <v>2025</v>
      </c>
      <c r="E212" s="2" t="str">
        <f t="shared" si="13"/>
        <v>2025-5</v>
      </c>
      <c r="F212" s="2" t="str">
        <f t="shared" si="14"/>
        <v>Week 5</v>
      </c>
      <c r="G212" s="2" t="str">
        <f t="shared" si="15"/>
        <v>Week 5-2025</v>
      </c>
      <c r="O212"/>
      <c r="Q212"/>
    </row>
    <row r="213" spans="1:17" hidden="1" x14ac:dyDescent="0.2">
      <c r="A213" s="3">
        <v>45687</v>
      </c>
      <c r="B213" s="2" t="s">
        <v>31</v>
      </c>
      <c r="C213" s="2">
        <v>24</v>
      </c>
      <c r="D213" s="2">
        <f t="shared" si="12"/>
        <v>2025</v>
      </c>
      <c r="E213" s="2" t="str">
        <f t="shared" si="13"/>
        <v>2025-5</v>
      </c>
      <c r="F213" s="2" t="str">
        <f t="shared" si="14"/>
        <v>Week 5</v>
      </c>
      <c r="G213" s="2" t="str">
        <f t="shared" si="15"/>
        <v>Week 5-2025</v>
      </c>
      <c r="O213"/>
      <c r="Q213"/>
    </row>
    <row r="214" spans="1:17" hidden="1" x14ac:dyDescent="0.2">
      <c r="A214" s="3">
        <v>45687</v>
      </c>
      <c r="B214" s="2" t="s">
        <v>23</v>
      </c>
      <c r="C214" s="2">
        <v>8</v>
      </c>
      <c r="D214" s="2">
        <f t="shared" si="12"/>
        <v>2025</v>
      </c>
      <c r="E214" s="2" t="str">
        <f t="shared" si="13"/>
        <v>2025-5</v>
      </c>
      <c r="F214" s="2" t="str">
        <f t="shared" si="14"/>
        <v>Week 5</v>
      </c>
      <c r="G214" s="2" t="str">
        <f t="shared" si="15"/>
        <v>Week 5-2025</v>
      </c>
      <c r="O214"/>
      <c r="Q214"/>
    </row>
    <row r="215" spans="1:17" hidden="1" x14ac:dyDescent="0.2">
      <c r="A215" s="3">
        <v>45687</v>
      </c>
      <c r="B215" s="2" t="s">
        <v>5</v>
      </c>
      <c r="C215" s="2">
        <v>10</v>
      </c>
      <c r="D215" s="2">
        <f t="shared" si="12"/>
        <v>2025</v>
      </c>
      <c r="E215" s="2" t="str">
        <f t="shared" si="13"/>
        <v>2025-5</v>
      </c>
      <c r="F215" s="2" t="str">
        <f t="shared" si="14"/>
        <v>Week 5</v>
      </c>
      <c r="G215" s="2" t="str">
        <f t="shared" si="15"/>
        <v>Week 5-2025</v>
      </c>
      <c r="O215"/>
      <c r="Q215"/>
    </row>
    <row r="216" spans="1:17" hidden="1" x14ac:dyDescent="0.2">
      <c r="A216" s="3">
        <v>45687</v>
      </c>
      <c r="B216" s="2" t="s">
        <v>3</v>
      </c>
      <c r="C216" s="2">
        <v>8</v>
      </c>
      <c r="D216" s="2">
        <f t="shared" si="12"/>
        <v>2025</v>
      </c>
      <c r="E216" s="2" t="str">
        <f t="shared" si="13"/>
        <v>2025-5</v>
      </c>
      <c r="F216" s="2" t="str">
        <f t="shared" si="14"/>
        <v>Week 5</v>
      </c>
      <c r="G216" s="2" t="str">
        <f t="shared" si="15"/>
        <v>Week 5-2025</v>
      </c>
      <c r="O216"/>
      <c r="Q216"/>
    </row>
    <row r="217" spans="1:17" hidden="1" x14ac:dyDescent="0.2">
      <c r="A217" s="3">
        <v>45687</v>
      </c>
      <c r="B217" s="2" t="s">
        <v>9</v>
      </c>
      <c r="C217" s="2">
        <v>6</v>
      </c>
      <c r="D217" s="2">
        <f t="shared" si="12"/>
        <v>2025</v>
      </c>
      <c r="E217" s="2" t="str">
        <f t="shared" si="13"/>
        <v>2025-5</v>
      </c>
      <c r="F217" s="2" t="str">
        <f t="shared" si="14"/>
        <v>Week 5</v>
      </c>
      <c r="G217" s="2" t="str">
        <f t="shared" si="15"/>
        <v>Week 5-2025</v>
      </c>
      <c r="O217"/>
      <c r="Q217"/>
    </row>
    <row r="218" spans="1:17" hidden="1" x14ac:dyDescent="0.2">
      <c r="A218" s="3">
        <v>45687</v>
      </c>
      <c r="B218" s="2" t="s">
        <v>15</v>
      </c>
      <c r="C218" s="2">
        <v>13</v>
      </c>
      <c r="D218" s="2">
        <f t="shared" si="12"/>
        <v>2025</v>
      </c>
      <c r="E218" s="2" t="str">
        <f t="shared" si="13"/>
        <v>2025-5</v>
      </c>
      <c r="F218" s="2" t="str">
        <f t="shared" si="14"/>
        <v>Week 5</v>
      </c>
      <c r="G218" s="2" t="str">
        <f t="shared" si="15"/>
        <v>Week 5-2025</v>
      </c>
      <c r="O218"/>
      <c r="Q218"/>
    </row>
    <row r="219" spans="1:17" hidden="1" x14ac:dyDescent="0.2">
      <c r="A219" s="3">
        <v>45687</v>
      </c>
      <c r="B219" s="2" t="s">
        <v>14</v>
      </c>
      <c r="C219" s="2">
        <v>4</v>
      </c>
      <c r="D219" s="2">
        <f t="shared" si="12"/>
        <v>2025</v>
      </c>
      <c r="E219" s="2" t="str">
        <f t="shared" si="13"/>
        <v>2025-5</v>
      </c>
      <c r="F219" s="2" t="str">
        <f t="shared" si="14"/>
        <v>Week 5</v>
      </c>
      <c r="G219" s="2" t="str">
        <f t="shared" si="15"/>
        <v>Week 5-2025</v>
      </c>
      <c r="O219"/>
      <c r="Q219"/>
    </row>
    <row r="220" spans="1:17" hidden="1" x14ac:dyDescent="0.2">
      <c r="A220" s="3">
        <v>45688</v>
      </c>
      <c r="B220" s="2" t="s">
        <v>7</v>
      </c>
      <c r="C220" s="2">
        <v>16</v>
      </c>
      <c r="D220" s="2">
        <f t="shared" si="12"/>
        <v>2025</v>
      </c>
      <c r="E220" s="2" t="str">
        <f t="shared" si="13"/>
        <v>2025-5</v>
      </c>
      <c r="F220" s="2" t="str">
        <f t="shared" si="14"/>
        <v>Week 5</v>
      </c>
      <c r="G220" s="2" t="str">
        <f t="shared" si="15"/>
        <v>Week 5-2025</v>
      </c>
      <c r="O220"/>
      <c r="Q220"/>
    </row>
    <row r="221" spans="1:17" hidden="1" x14ac:dyDescent="0.2">
      <c r="A221" s="3">
        <v>45688</v>
      </c>
      <c r="B221" s="2" t="s">
        <v>18</v>
      </c>
      <c r="C221" s="2">
        <v>4</v>
      </c>
      <c r="D221" s="2">
        <f t="shared" si="12"/>
        <v>2025</v>
      </c>
      <c r="E221" s="2" t="str">
        <f t="shared" si="13"/>
        <v>2025-5</v>
      </c>
      <c r="F221" s="2" t="str">
        <f t="shared" si="14"/>
        <v>Week 5</v>
      </c>
      <c r="G221" s="2" t="str">
        <f t="shared" si="15"/>
        <v>Week 5-2025</v>
      </c>
      <c r="O221"/>
      <c r="Q221"/>
    </row>
    <row r="222" spans="1:17" hidden="1" x14ac:dyDescent="0.2">
      <c r="A222" s="3">
        <v>45691</v>
      </c>
      <c r="B222" s="2" t="s">
        <v>14</v>
      </c>
      <c r="C222" s="2">
        <v>12</v>
      </c>
      <c r="D222" s="2">
        <f t="shared" si="12"/>
        <v>2025</v>
      </c>
      <c r="E222" s="2" t="str">
        <f t="shared" si="13"/>
        <v>2025-6</v>
      </c>
      <c r="F222" s="2" t="str">
        <f t="shared" si="14"/>
        <v>Week 6</v>
      </c>
      <c r="G222" s="2" t="str">
        <f t="shared" si="15"/>
        <v>Week 6-2025</v>
      </c>
      <c r="O222"/>
      <c r="Q222"/>
    </row>
    <row r="223" spans="1:17" hidden="1" x14ac:dyDescent="0.2">
      <c r="A223" s="3">
        <v>45691</v>
      </c>
      <c r="B223" s="2" t="s">
        <v>29</v>
      </c>
      <c r="C223" s="2">
        <v>6</v>
      </c>
      <c r="D223" s="2">
        <f t="shared" si="12"/>
        <v>2025</v>
      </c>
      <c r="E223" s="2" t="str">
        <f t="shared" si="13"/>
        <v>2025-6</v>
      </c>
      <c r="F223" s="2" t="str">
        <f t="shared" si="14"/>
        <v>Week 6</v>
      </c>
      <c r="G223" s="2" t="str">
        <f t="shared" si="15"/>
        <v>Week 6-2025</v>
      </c>
      <c r="O223"/>
      <c r="Q223"/>
    </row>
    <row r="224" spans="1:17" hidden="1" x14ac:dyDescent="0.2">
      <c r="A224" s="3">
        <v>45691</v>
      </c>
      <c r="B224" s="2" t="s">
        <v>37</v>
      </c>
      <c r="C224" s="2">
        <v>8</v>
      </c>
      <c r="D224" s="2">
        <f t="shared" si="12"/>
        <v>2025</v>
      </c>
      <c r="E224" s="2" t="str">
        <f t="shared" si="13"/>
        <v>2025-6</v>
      </c>
      <c r="F224" s="2" t="str">
        <f t="shared" si="14"/>
        <v>Week 6</v>
      </c>
      <c r="G224" s="2" t="str">
        <f t="shared" si="15"/>
        <v>Week 6-2025</v>
      </c>
      <c r="O224"/>
      <c r="Q224"/>
    </row>
    <row r="225" spans="1:17" hidden="1" x14ac:dyDescent="0.2">
      <c r="A225" s="3">
        <v>45691</v>
      </c>
      <c r="B225" s="2" t="s">
        <v>9</v>
      </c>
      <c r="C225" s="2">
        <v>4</v>
      </c>
      <c r="D225" s="2">
        <f t="shared" si="12"/>
        <v>2025</v>
      </c>
      <c r="E225" s="2" t="str">
        <f t="shared" si="13"/>
        <v>2025-6</v>
      </c>
      <c r="F225" s="2" t="str">
        <f t="shared" si="14"/>
        <v>Week 6</v>
      </c>
      <c r="G225" s="2" t="str">
        <f t="shared" si="15"/>
        <v>Week 6-2025</v>
      </c>
      <c r="O225"/>
      <c r="Q225"/>
    </row>
    <row r="226" spans="1:17" hidden="1" x14ac:dyDescent="0.2">
      <c r="A226" s="3">
        <v>45691</v>
      </c>
      <c r="B226" s="2" t="s">
        <v>3</v>
      </c>
      <c r="C226" s="2">
        <v>4</v>
      </c>
      <c r="D226" s="2">
        <f t="shared" si="12"/>
        <v>2025</v>
      </c>
      <c r="E226" s="2" t="str">
        <f t="shared" si="13"/>
        <v>2025-6</v>
      </c>
      <c r="F226" s="2" t="str">
        <f t="shared" si="14"/>
        <v>Week 6</v>
      </c>
      <c r="G226" s="2" t="str">
        <f t="shared" si="15"/>
        <v>Week 6-2025</v>
      </c>
      <c r="O226"/>
      <c r="Q226"/>
    </row>
    <row r="227" spans="1:17" hidden="1" x14ac:dyDescent="0.2">
      <c r="A227" s="3">
        <v>45691</v>
      </c>
      <c r="B227" s="2" t="s">
        <v>5</v>
      </c>
      <c r="C227" s="2">
        <v>2</v>
      </c>
      <c r="D227" s="2">
        <f t="shared" si="12"/>
        <v>2025</v>
      </c>
      <c r="E227" s="2" t="str">
        <f t="shared" si="13"/>
        <v>2025-6</v>
      </c>
      <c r="F227" s="2" t="str">
        <f t="shared" si="14"/>
        <v>Week 6</v>
      </c>
      <c r="G227" s="2" t="str">
        <f t="shared" si="15"/>
        <v>Week 6-2025</v>
      </c>
      <c r="O227"/>
      <c r="Q227"/>
    </row>
    <row r="228" spans="1:17" hidden="1" x14ac:dyDescent="0.2">
      <c r="A228" s="3">
        <v>45691</v>
      </c>
      <c r="B228" s="2" t="s">
        <v>10</v>
      </c>
      <c r="C228" s="2">
        <v>2</v>
      </c>
      <c r="D228" s="2">
        <f t="shared" si="12"/>
        <v>2025</v>
      </c>
      <c r="E228" s="2" t="str">
        <f t="shared" si="13"/>
        <v>2025-6</v>
      </c>
      <c r="F228" s="2" t="str">
        <f t="shared" si="14"/>
        <v>Week 6</v>
      </c>
      <c r="G228" s="2" t="str">
        <f t="shared" si="15"/>
        <v>Week 6-2025</v>
      </c>
      <c r="O228"/>
      <c r="Q228"/>
    </row>
    <row r="229" spans="1:17" hidden="1" x14ac:dyDescent="0.2">
      <c r="A229" s="3">
        <v>45692</v>
      </c>
      <c r="B229" s="2" t="s">
        <v>9</v>
      </c>
      <c r="C229" s="2">
        <v>18</v>
      </c>
      <c r="D229" s="2">
        <f t="shared" si="12"/>
        <v>2025</v>
      </c>
      <c r="E229" s="2" t="str">
        <f t="shared" si="13"/>
        <v>2025-6</v>
      </c>
      <c r="F229" s="2" t="str">
        <f t="shared" si="14"/>
        <v>Week 6</v>
      </c>
      <c r="G229" s="2" t="str">
        <f t="shared" si="15"/>
        <v>Week 6-2025</v>
      </c>
      <c r="O229"/>
      <c r="Q229"/>
    </row>
    <row r="230" spans="1:17" hidden="1" x14ac:dyDescent="0.2">
      <c r="A230" s="3">
        <v>45692</v>
      </c>
      <c r="B230" s="2" t="s">
        <v>12</v>
      </c>
      <c r="C230" s="2">
        <v>10</v>
      </c>
      <c r="D230" s="2">
        <f t="shared" si="12"/>
        <v>2025</v>
      </c>
      <c r="E230" s="2" t="str">
        <f t="shared" si="13"/>
        <v>2025-6</v>
      </c>
      <c r="F230" s="2" t="str">
        <f t="shared" si="14"/>
        <v>Week 6</v>
      </c>
      <c r="G230" s="2" t="str">
        <f t="shared" si="15"/>
        <v>Week 6-2025</v>
      </c>
      <c r="O230"/>
      <c r="Q230"/>
    </row>
    <row r="231" spans="1:17" hidden="1" x14ac:dyDescent="0.2">
      <c r="A231" s="3">
        <v>45692</v>
      </c>
      <c r="B231" s="2" t="s">
        <v>5</v>
      </c>
      <c r="C231" s="2">
        <v>20</v>
      </c>
      <c r="D231" s="2">
        <f t="shared" si="12"/>
        <v>2025</v>
      </c>
      <c r="E231" s="2" t="str">
        <f t="shared" si="13"/>
        <v>2025-6</v>
      </c>
      <c r="F231" s="2" t="str">
        <f t="shared" si="14"/>
        <v>Week 6</v>
      </c>
      <c r="G231" s="2" t="str">
        <f t="shared" si="15"/>
        <v>Week 6-2025</v>
      </c>
      <c r="O231"/>
      <c r="Q231"/>
    </row>
    <row r="232" spans="1:17" hidden="1" x14ac:dyDescent="0.2">
      <c r="A232" s="3">
        <v>45692</v>
      </c>
      <c r="B232" s="2" t="s">
        <v>14</v>
      </c>
      <c r="C232" s="2">
        <v>14</v>
      </c>
      <c r="D232" s="2">
        <f t="shared" si="12"/>
        <v>2025</v>
      </c>
      <c r="E232" s="2" t="str">
        <f t="shared" si="13"/>
        <v>2025-6</v>
      </c>
      <c r="F232" s="2" t="str">
        <f t="shared" si="14"/>
        <v>Week 6</v>
      </c>
      <c r="G232" s="2" t="str">
        <f t="shared" si="15"/>
        <v>Week 6-2025</v>
      </c>
      <c r="O232"/>
      <c r="Q232"/>
    </row>
    <row r="233" spans="1:17" hidden="1" x14ac:dyDescent="0.2">
      <c r="A233" s="3">
        <v>45692</v>
      </c>
      <c r="B233" s="2" t="s">
        <v>6</v>
      </c>
      <c r="C233" s="2">
        <v>4</v>
      </c>
      <c r="D233" s="2">
        <f t="shared" si="12"/>
        <v>2025</v>
      </c>
      <c r="E233" s="2" t="str">
        <f t="shared" si="13"/>
        <v>2025-6</v>
      </c>
      <c r="F233" s="2" t="str">
        <f t="shared" si="14"/>
        <v>Week 6</v>
      </c>
      <c r="G233" s="2" t="str">
        <f t="shared" si="15"/>
        <v>Week 6-2025</v>
      </c>
      <c r="O233"/>
      <c r="Q233"/>
    </row>
    <row r="234" spans="1:17" hidden="1" x14ac:dyDescent="0.2">
      <c r="A234" s="3">
        <v>45692</v>
      </c>
      <c r="B234" s="2" t="s">
        <v>11</v>
      </c>
      <c r="C234" s="2">
        <v>2</v>
      </c>
      <c r="D234" s="2">
        <f t="shared" si="12"/>
        <v>2025</v>
      </c>
      <c r="E234" s="2" t="str">
        <f t="shared" si="13"/>
        <v>2025-6</v>
      </c>
      <c r="F234" s="2" t="str">
        <f t="shared" si="14"/>
        <v>Week 6</v>
      </c>
      <c r="G234" s="2" t="str">
        <f t="shared" si="15"/>
        <v>Week 6-2025</v>
      </c>
      <c r="O234"/>
      <c r="Q234"/>
    </row>
    <row r="235" spans="1:17" hidden="1" x14ac:dyDescent="0.2">
      <c r="A235" s="3">
        <v>45692</v>
      </c>
      <c r="B235" s="2" t="s">
        <v>3</v>
      </c>
      <c r="C235" s="2">
        <v>4</v>
      </c>
      <c r="D235" s="2">
        <f t="shared" si="12"/>
        <v>2025</v>
      </c>
      <c r="E235" s="2" t="str">
        <f t="shared" si="13"/>
        <v>2025-6</v>
      </c>
      <c r="F235" s="2" t="str">
        <f t="shared" si="14"/>
        <v>Week 6</v>
      </c>
      <c r="G235" s="2" t="str">
        <f t="shared" si="15"/>
        <v>Week 6-2025</v>
      </c>
      <c r="O235"/>
      <c r="Q235"/>
    </row>
    <row r="236" spans="1:17" hidden="1" x14ac:dyDescent="0.2">
      <c r="A236" s="3">
        <v>45692</v>
      </c>
      <c r="B236" s="2" t="s">
        <v>21</v>
      </c>
      <c r="C236" s="2">
        <v>2</v>
      </c>
      <c r="D236" s="2">
        <f t="shared" si="12"/>
        <v>2025</v>
      </c>
      <c r="E236" s="2" t="str">
        <f t="shared" si="13"/>
        <v>2025-6</v>
      </c>
      <c r="F236" s="2" t="str">
        <f t="shared" si="14"/>
        <v>Week 6</v>
      </c>
      <c r="G236" s="2" t="str">
        <f t="shared" si="15"/>
        <v>Week 6-2025</v>
      </c>
      <c r="O236"/>
      <c r="Q236"/>
    </row>
    <row r="237" spans="1:17" hidden="1" x14ac:dyDescent="0.2">
      <c r="A237" s="3">
        <v>45692</v>
      </c>
      <c r="B237" s="2" t="s">
        <v>4</v>
      </c>
      <c r="C237" s="2">
        <v>3</v>
      </c>
      <c r="D237" s="2">
        <f t="shared" si="12"/>
        <v>2025</v>
      </c>
      <c r="E237" s="2" t="str">
        <f t="shared" si="13"/>
        <v>2025-6</v>
      </c>
      <c r="F237" s="2" t="str">
        <f t="shared" si="14"/>
        <v>Week 6</v>
      </c>
      <c r="G237" s="2" t="str">
        <f t="shared" si="15"/>
        <v>Week 6-2025</v>
      </c>
      <c r="O237"/>
      <c r="Q237"/>
    </row>
    <row r="238" spans="1:17" hidden="1" x14ac:dyDescent="0.2">
      <c r="A238" s="3">
        <v>45692</v>
      </c>
      <c r="B238" s="2" t="s">
        <v>7</v>
      </c>
      <c r="C238" s="2">
        <v>2</v>
      </c>
      <c r="D238" s="2">
        <f t="shared" si="12"/>
        <v>2025</v>
      </c>
      <c r="E238" s="2" t="str">
        <f t="shared" si="13"/>
        <v>2025-6</v>
      </c>
      <c r="F238" s="2" t="str">
        <f t="shared" si="14"/>
        <v>Week 6</v>
      </c>
      <c r="G238" s="2" t="str">
        <f t="shared" si="15"/>
        <v>Week 6-2025</v>
      </c>
      <c r="O238"/>
      <c r="Q238"/>
    </row>
    <row r="239" spans="1:17" hidden="1" x14ac:dyDescent="0.2">
      <c r="A239" s="3">
        <v>45692</v>
      </c>
      <c r="B239" s="2" t="s">
        <v>29</v>
      </c>
      <c r="C239" s="2">
        <v>2</v>
      </c>
      <c r="D239" s="2">
        <f t="shared" si="12"/>
        <v>2025</v>
      </c>
      <c r="E239" s="2" t="str">
        <f t="shared" si="13"/>
        <v>2025-6</v>
      </c>
      <c r="F239" s="2" t="str">
        <f t="shared" si="14"/>
        <v>Week 6</v>
      </c>
      <c r="G239" s="2" t="str">
        <f t="shared" si="15"/>
        <v>Week 6-2025</v>
      </c>
      <c r="O239"/>
      <c r="Q239"/>
    </row>
    <row r="240" spans="1:17" hidden="1" x14ac:dyDescent="0.2">
      <c r="A240" s="3">
        <v>45692</v>
      </c>
      <c r="B240" s="2" t="s">
        <v>10</v>
      </c>
      <c r="C240" s="2">
        <v>1</v>
      </c>
      <c r="D240" s="2">
        <f t="shared" si="12"/>
        <v>2025</v>
      </c>
      <c r="E240" s="2" t="str">
        <f t="shared" si="13"/>
        <v>2025-6</v>
      </c>
      <c r="F240" s="2" t="str">
        <f t="shared" si="14"/>
        <v>Week 6</v>
      </c>
      <c r="G240" s="2" t="str">
        <f t="shared" si="15"/>
        <v>Week 6-2025</v>
      </c>
      <c r="O240"/>
      <c r="Q240"/>
    </row>
    <row r="241" spans="1:17" hidden="1" x14ac:dyDescent="0.2">
      <c r="A241" s="3">
        <v>45693</v>
      </c>
      <c r="B241" s="2" t="s">
        <v>12</v>
      </c>
      <c r="C241" s="2">
        <v>8</v>
      </c>
      <c r="D241" s="2">
        <f t="shared" si="12"/>
        <v>2025</v>
      </c>
      <c r="E241" s="2" t="str">
        <f t="shared" si="13"/>
        <v>2025-6</v>
      </c>
      <c r="F241" s="2" t="str">
        <f t="shared" si="14"/>
        <v>Week 6</v>
      </c>
      <c r="G241" s="2" t="str">
        <f t="shared" si="15"/>
        <v>Week 6-2025</v>
      </c>
      <c r="O241"/>
      <c r="Q241"/>
    </row>
    <row r="242" spans="1:17" hidden="1" x14ac:dyDescent="0.2">
      <c r="A242" s="3">
        <v>45693</v>
      </c>
      <c r="B242" s="2" t="s">
        <v>3</v>
      </c>
      <c r="C242" s="2">
        <v>8</v>
      </c>
      <c r="D242" s="2">
        <f t="shared" si="12"/>
        <v>2025</v>
      </c>
      <c r="E242" s="2" t="str">
        <f t="shared" si="13"/>
        <v>2025-6</v>
      </c>
      <c r="F242" s="2" t="str">
        <f t="shared" si="14"/>
        <v>Week 6</v>
      </c>
      <c r="G242" s="2" t="str">
        <f t="shared" si="15"/>
        <v>Week 6-2025</v>
      </c>
      <c r="O242"/>
      <c r="Q242"/>
    </row>
    <row r="243" spans="1:17" hidden="1" x14ac:dyDescent="0.2">
      <c r="A243" s="3">
        <v>45693</v>
      </c>
      <c r="B243" s="2" t="s">
        <v>12</v>
      </c>
      <c r="C243" s="2">
        <v>4</v>
      </c>
      <c r="D243" s="2">
        <f t="shared" si="12"/>
        <v>2025</v>
      </c>
      <c r="E243" s="2" t="str">
        <f t="shared" si="13"/>
        <v>2025-6</v>
      </c>
      <c r="F243" s="2" t="str">
        <f t="shared" si="14"/>
        <v>Week 6</v>
      </c>
      <c r="G243" s="2" t="str">
        <f t="shared" si="15"/>
        <v>Week 6-2025</v>
      </c>
      <c r="O243"/>
      <c r="Q243"/>
    </row>
    <row r="244" spans="1:17" hidden="1" x14ac:dyDescent="0.2">
      <c r="A244" s="3">
        <v>45693</v>
      </c>
      <c r="B244" s="2" t="s">
        <v>36</v>
      </c>
      <c r="C244" s="2">
        <v>8</v>
      </c>
      <c r="D244" s="2">
        <f t="shared" si="12"/>
        <v>2025</v>
      </c>
      <c r="E244" s="2" t="str">
        <f t="shared" si="13"/>
        <v>2025-6</v>
      </c>
      <c r="F244" s="2" t="str">
        <f t="shared" si="14"/>
        <v>Week 6</v>
      </c>
      <c r="G244" s="2" t="str">
        <f t="shared" si="15"/>
        <v>Week 6-2025</v>
      </c>
      <c r="O244"/>
      <c r="Q244"/>
    </row>
    <row r="245" spans="1:17" hidden="1" x14ac:dyDescent="0.2">
      <c r="A245" s="3">
        <v>45693</v>
      </c>
      <c r="B245" s="2" t="s">
        <v>15</v>
      </c>
      <c r="C245" s="2">
        <v>4</v>
      </c>
      <c r="D245" s="2">
        <f t="shared" si="12"/>
        <v>2025</v>
      </c>
      <c r="E245" s="2" t="str">
        <f t="shared" si="13"/>
        <v>2025-6</v>
      </c>
      <c r="F245" s="2" t="str">
        <f t="shared" si="14"/>
        <v>Week 6</v>
      </c>
      <c r="G245" s="2" t="str">
        <f t="shared" si="15"/>
        <v>Week 6-2025</v>
      </c>
      <c r="O245"/>
      <c r="Q245"/>
    </row>
    <row r="246" spans="1:17" x14ac:dyDescent="0.2">
      <c r="A246" s="3">
        <v>45693</v>
      </c>
      <c r="B246" s="2" t="s">
        <v>24</v>
      </c>
      <c r="C246" s="2">
        <v>2</v>
      </c>
      <c r="D246" s="2">
        <f t="shared" si="12"/>
        <v>2025</v>
      </c>
      <c r="E246" s="2" t="str">
        <f t="shared" si="13"/>
        <v>2025-6</v>
      </c>
      <c r="F246" s="2" t="str">
        <f t="shared" si="14"/>
        <v>Week 6</v>
      </c>
      <c r="G246" s="2" t="str">
        <f t="shared" si="15"/>
        <v>Week 6-2025</v>
      </c>
      <c r="O246"/>
      <c r="Q246"/>
    </row>
    <row r="247" spans="1:17" hidden="1" x14ac:dyDescent="0.2">
      <c r="A247" s="3">
        <v>45695</v>
      </c>
      <c r="B247" s="2" t="s">
        <v>10</v>
      </c>
      <c r="C247" s="2">
        <v>12</v>
      </c>
      <c r="D247" s="2">
        <f t="shared" si="12"/>
        <v>2025</v>
      </c>
      <c r="E247" s="2" t="str">
        <f t="shared" si="13"/>
        <v>2025-6</v>
      </c>
      <c r="F247" s="2" t="str">
        <f t="shared" si="14"/>
        <v>Week 6</v>
      </c>
      <c r="G247" s="2" t="str">
        <f t="shared" si="15"/>
        <v>Week 6-2025</v>
      </c>
      <c r="O247"/>
      <c r="Q247"/>
    </row>
    <row r="248" spans="1:17" hidden="1" x14ac:dyDescent="0.2">
      <c r="A248" s="3">
        <v>45695</v>
      </c>
      <c r="B248" s="2" t="s">
        <v>4</v>
      </c>
      <c r="C248" s="2">
        <v>8</v>
      </c>
      <c r="D248" s="2">
        <f t="shared" si="12"/>
        <v>2025</v>
      </c>
      <c r="E248" s="2" t="str">
        <f t="shared" si="13"/>
        <v>2025-6</v>
      </c>
      <c r="F248" s="2" t="str">
        <f t="shared" si="14"/>
        <v>Week 6</v>
      </c>
      <c r="G248" s="2" t="str">
        <f t="shared" si="15"/>
        <v>Week 6-2025</v>
      </c>
      <c r="O248"/>
      <c r="Q248"/>
    </row>
    <row r="249" spans="1:17" hidden="1" x14ac:dyDescent="0.2">
      <c r="A249" s="3">
        <v>45695</v>
      </c>
      <c r="B249" s="2" t="s">
        <v>3</v>
      </c>
      <c r="C249" s="2">
        <v>8</v>
      </c>
      <c r="D249" s="2">
        <f t="shared" si="12"/>
        <v>2025</v>
      </c>
      <c r="E249" s="2" t="str">
        <f t="shared" si="13"/>
        <v>2025-6</v>
      </c>
      <c r="F249" s="2" t="str">
        <f t="shared" si="14"/>
        <v>Week 6</v>
      </c>
      <c r="G249" s="2" t="str">
        <f t="shared" si="15"/>
        <v>Week 6-2025</v>
      </c>
      <c r="O249"/>
      <c r="Q249"/>
    </row>
    <row r="250" spans="1:17" hidden="1" x14ac:dyDescent="0.2">
      <c r="A250" s="3">
        <v>45695</v>
      </c>
      <c r="B250" s="2" t="s">
        <v>9</v>
      </c>
      <c r="C250" s="2">
        <v>8</v>
      </c>
      <c r="D250" s="2">
        <f t="shared" si="12"/>
        <v>2025</v>
      </c>
      <c r="E250" s="2" t="str">
        <f t="shared" si="13"/>
        <v>2025-6</v>
      </c>
      <c r="F250" s="2" t="str">
        <f t="shared" si="14"/>
        <v>Week 6</v>
      </c>
      <c r="G250" s="2" t="str">
        <f t="shared" si="15"/>
        <v>Week 6-2025</v>
      </c>
      <c r="O250"/>
      <c r="Q250"/>
    </row>
    <row r="251" spans="1:17" hidden="1" x14ac:dyDescent="0.2">
      <c r="A251" s="3">
        <v>45695</v>
      </c>
      <c r="B251" s="2" t="s">
        <v>5</v>
      </c>
      <c r="C251" s="2">
        <v>10</v>
      </c>
      <c r="D251" s="2">
        <f t="shared" si="12"/>
        <v>2025</v>
      </c>
      <c r="E251" s="2" t="str">
        <f t="shared" si="13"/>
        <v>2025-6</v>
      </c>
      <c r="F251" s="2" t="str">
        <f t="shared" si="14"/>
        <v>Week 6</v>
      </c>
      <c r="G251" s="2" t="str">
        <f t="shared" si="15"/>
        <v>Week 6-2025</v>
      </c>
      <c r="O251"/>
      <c r="Q251"/>
    </row>
    <row r="252" spans="1:17" hidden="1" x14ac:dyDescent="0.2">
      <c r="A252" s="3">
        <v>45695</v>
      </c>
      <c r="B252" s="2" t="s">
        <v>14</v>
      </c>
      <c r="C252" s="2">
        <v>12</v>
      </c>
      <c r="D252" s="2">
        <f t="shared" si="12"/>
        <v>2025</v>
      </c>
      <c r="E252" s="2" t="str">
        <f t="shared" si="13"/>
        <v>2025-6</v>
      </c>
      <c r="F252" s="2" t="str">
        <f t="shared" si="14"/>
        <v>Week 6</v>
      </c>
      <c r="G252" s="2" t="str">
        <f t="shared" si="15"/>
        <v>Week 6-2025</v>
      </c>
      <c r="O252"/>
      <c r="Q252"/>
    </row>
    <row r="253" spans="1:17" hidden="1" x14ac:dyDescent="0.2">
      <c r="A253" s="3">
        <v>45695</v>
      </c>
      <c r="B253" s="2" t="s">
        <v>5</v>
      </c>
      <c r="C253" s="2">
        <v>8</v>
      </c>
      <c r="D253" s="2">
        <f t="shared" si="12"/>
        <v>2025</v>
      </c>
      <c r="E253" s="2" t="str">
        <f t="shared" si="13"/>
        <v>2025-6</v>
      </c>
      <c r="F253" s="2" t="str">
        <f t="shared" si="14"/>
        <v>Week 6</v>
      </c>
      <c r="G253" s="2" t="str">
        <f t="shared" si="15"/>
        <v>Week 6-2025</v>
      </c>
      <c r="O253"/>
      <c r="Q253"/>
    </row>
    <row r="254" spans="1:17" hidden="1" x14ac:dyDescent="0.2">
      <c r="A254" s="3">
        <v>45695</v>
      </c>
      <c r="B254" s="2" t="s">
        <v>9</v>
      </c>
      <c r="C254" s="2">
        <v>6</v>
      </c>
      <c r="D254" s="2">
        <f t="shared" si="12"/>
        <v>2025</v>
      </c>
      <c r="E254" s="2" t="str">
        <f t="shared" si="13"/>
        <v>2025-6</v>
      </c>
      <c r="F254" s="2" t="str">
        <f t="shared" si="14"/>
        <v>Week 6</v>
      </c>
      <c r="G254" s="2" t="str">
        <f t="shared" si="15"/>
        <v>Week 6-2025</v>
      </c>
      <c r="O254"/>
      <c r="Q254"/>
    </row>
    <row r="255" spans="1:17" hidden="1" x14ac:dyDescent="0.2">
      <c r="A255" s="3">
        <v>45695</v>
      </c>
      <c r="B255" s="2" t="s">
        <v>30</v>
      </c>
      <c r="C255" s="2">
        <v>10</v>
      </c>
      <c r="D255" s="2">
        <f t="shared" si="12"/>
        <v>2025</v>
      </c>
      <c r="E255" s="2" t="str">
        <f t="shared" si="13"/>
        <v>2025-6</v>
      </c>
      <c r="F255" s="2" t="str">
        <f t="shared" si="14"/>
        <v>Week 6</v>
      </c>
      <c r="G255" s="2" t="str">
        <f t="shared" si="15"/>
        <v>Week 6-2025</v>
      </c>
      <c r="O255"/>
      <c r="Q255"/>
    </row>
    <row r="256" spans="1:17" hidden="1" x14ac:dyDescent="0.2">
      <c r="A256" s="3">
        <v>45695</v>
      </c>
      <c r="B256" s="2" t="s">
        <v>9</v>
      </c>
      <c r="C256" s="2">
        <v>4</v>
      </c>
      <c r="D256" s="2">
        <f t="shared" si="12"/>
        <v>2025</v>
      </c>
      <c r="E256" s="2" t="str">
        <f t="shared" si="13"/>
        <v>2025-6</v>
      </c>
      <c r="F256" s="2" t="str">
        <f t="shared" si="14"/>
        <v>Week 6</v>
      </c>
      <c r="G256" s="2" t="str">
        <f t="shared" si="15"/>
        <v>Week 6-2025</v>
      </c>
      <c r="O256"/>
      <c r="Q256"/>
    </row>
    <row r="257" spans="1:17" hidden="1" x14ac:dyDescent="0.2">
      <c r="A257" s="3">
        <v>45695</v>
      </c>
      <c r="B257" s="2" t="s">
        <v>14</v>
      </c>
      <c r="C257" s="2">
        <v>6</v>
      </c>
      <c r="D257" s="2">
        <f t="shared" si="12"/>
        <v>2025</v>
      </c>
      <c r="E257" s="2" t="str">
        <f t="shared" si="13"/>
        <v>2025-6</v>
      </c>
      <c r="F257" s="2" t="str">
        <f t="shared" si="14"/>
        <v>Week 6</v>
      </c>
      <c r="G257" s="2" t="str">
        <f t="shared" si="15"/>
        <v>Week 6-2025</v>
      </c>
      <c r="O257"/>
      <c r="Q257"/>
    </row>
    <row r="258" spans="1:17" hidden="1" x14ac:dyDescent="0.2">
      <c r="A258" s="3">
        <v>45695</v>
      </c>
      <c r="B258" s="2" t="s">
        <v>17</v>
      </c>
      <c r="C258" s="2">
        <v>4</v>
      </c>
      <c r="D258" s="2">
        <f t="shared" ref="D258:D321" si="16">YEAR(A258)</f>
        <v>2025</v>
      </c>
      <c r="E258" s="2" t="str">
        <f t="shared" ref="E258:E321" si="17">YEAR(A258)&amp;"-"&amp;_xlfn.ISOWEEKNUM(A258)</f>
        <v>2025-6</v>
      </c>
      <c r="F258" s="2" t="str">
        <f t="shared" ref="F258:F321" si="18">_xlfn.CONCAT("Week "&amp;WEEKNUM(A258))</f>
        <v>Week 6</v>
      </c>
      <c r="G258" s="2" t="str">
        <f t="shared" ref="G258:G321" si="19">_xlfn.CONCAT(F258,"-",D258)</f>
        <v>Week 6-2025</v>
      </c>
      <c r="O258"/>
      <c r="Q258"/>
    </row>
    <row r="259" spans="1:17" hidden="1" x14ac:dyDescent="0.2">
      <c r="A259" s="3">
        <v>45695</v>
      </c>
      <c r="B259" s="2" t="s">
        <v>3</v>
      </c>
      <c r="C259" s="2">
        <v>3</v>
      </c>
      <c r="D259" s="2">
        <f t="shared" si="16"/>
        <v>2025</v>
      </c>
      <c r="E259" s="2" t="str">
        <f t="shared" si="17"/>
        <v>2025-6</v>
      </c>
      <c r="F259" s="2" t="str">
        <f t="shared" si="18"/>
        <v>Week 6</v>
      </c>
      <c r="G259" s="2" t="str">
        <f t="shared" si="19"/>
        <v>Week 6-2025</v>
      </c>
      <c r="O259"/>
      <c r="Q259"/>
    </row>
    <row r="260" spans="1:17" hidden="1" x14ac:dyDescent="0.2">
      <c r="A260" s="3">
        <v>45695</v>
      </c>
      <c r="B260" s="2" t="s">
        <v>9</v>
      </c>
      <c r="C260" s="2">
        <v>2</v>
      </c>
      <c r="D260" s="2">
        <f t="shared" si="16"/>
        <v>2025</v>
      </c>
      <c r="E260" s="2" t="str">
        <f t="shared" si="17"/>
        <v>2025-6</v>
      </c>
      <c r="F260" s="2" t="str">
        <f t="shared" si="18"/>
        <v>Week 6</v>
      </c>
      <c r="G260" s="2" t="str">
        <f t="shared" si="19"/>
        <v>Week 6-2025</v>
      </c>
      <c r="O260"/>
      <c r="Q260"/>
    </row>
    <row r="261" spans="1:17" hidden="1" x14ac:dyDescent="0.2">
      <c r="A261" s="3">
        <v>45695</v>
      </c>
      <c r="B261" s="2" t="s">
        <v>14</v>
      </c>
      <c r="C261" s="2">
        <v>1</v>
      </c>
      <c r="D261" s="2">
        <f t="shared" si="16"/>
        <v>2025</v>
      </c>
      <c r="E261" s="2" t="str">
        <f t="shared" si="17"/>
        <v>2025-6</v>
      </c>
      <c r="F261" s="2" t="str">
        <f t="shared" si="18"/>
        <v>Week 6</v>
      </c>
      <c r="G261" s="2" t="str">
        <f t="shared" si="19"/>
        <v>Week 6-2025</v>
      </c>
      <c r="O261"/>
      <c r="Q261"/>
    </row>
    <row r="262" spans="1:17" hidden="1" x14ac:dyDescent="0.2">
      <c r="A262" s="3">
        <v>45695</v>
      </c>
      <c r="B262" s="2" t="s">
        <v>28</v>
      </c>
      <c r="C262" s="2">
        <v>1</v>
      </c>
      <c r="D262" s="2">
        <f t="shared" si="16"/>
        <v>2025</v>
      </c>
      <c r="E262" s="2" t="str">
        <f t="shared" si="17"/>
        <v>2025-6</v>
      </c>
      <c r="F262" s="2" t="str">
        <f t="shared" si="18"/>
        <v>Week 6</v>
      </c>
      <c r="G262" s="2" t="str">
        <f t="shared" si="19"/>
        <v>Week 6-2025</v>
      </c>
      <c r="O262"/>
      <c r="Q262"/>
    </row>
    <row r="263" spans="1:17" hidden="1" x14ac:dyDescent="0.2">
      <c r="A263" s="3">
        <v>45696</v>
      </c>
      <c r="B263" s="2" t="s">
        <v>17</v>
      </c>
      <c r="C263" s="2">
        <v>40</v>
      </c>
      <c r="D263" s="2">
        <f t="shared" si="16"/>
        <v>2025</v>
      </c>
      <c r="E263" s="2" t="str">
        <f t="shared" si="17"/>
        <v>2025-6</v>
      </c>
      <c r="F263" s="2" t="str">
        <f t="shared" si="18"/>
        <v>Week 6</v>
      </c>
      <c r="G263" s="2" t="str">
        <f t="shared" si="19"/>
        <v>Week 6-2025</v>
      </c>
      <c r="O263"/>
      <c r="Q263"/>
    </row>
    <row r="264" spans="1:17" hidden="1" x14ac:dyDescent="0.2">
      <c r="A264" s="3">
        <v>45696</v>
      </c>
      <c r="B264" s="2" t="s">
        <v>5</v>
      </c>
      <c r="C264" s="2">
        <v>29</v>
      </c>
      <c r="D264" s="2">
        <f t="shared" si="16"/>
        <v>2025</v>
      </c>
      <c r="E264" s="2" t="str">
        <f t="shared" si="17"/>
        <v>2025-6</v>
      </c>
      <c r="F264" s="2" t="str">
        <f t="shared" si="18"/>
        <v>Week 6</v>
      </c>
      <c r="G264" s="2" t="str">
        <f t="shared" si="19"/>
        <v>Week 6-2025</v>
      </c>
      <c r="O264"/>
      <c r="Q264"/>
    </row>
    <row r="265" spans="1:17" hidden="1" x14ac:dyDescent="0.2">
      <c r="A265" s="3">
        <v>45696</v>
      </c>
      <c r="B265" s="2" t="s">
        <v>8</v>
      </c>
      <c r="C265" s="2">
        <v>40</v>
      </c>
      <c r="D265" s="2">
        <f t="shared" si="16"/>
        <v>2025</v>
      </c>
      <c r="E265" s="2" t="str">
        <f t="shared" si="17"/>
        <v>2025-6</v>
      </c>
      <c r="F265" s="2" t="str">
        <f t="shared" si="18"/>
        <v>Week 6</v>
      </c>
      <c r="G265" s="2" t="str">
        <f t="shared" si="19"/>
        <v>Week 6-2025</v>
      </c>
      <c r="O265"/>
      <c r="Q265"/>
    </row>
    <row r="266" spans="1:17" hidden="1" x14ac:dyDescent="0.2">
      <c r="A266" s="3">
        <v>45696</v>
      </c>
      <c r="B266" s="2" t="s">
        <v>10</v>
      </c>
      <c r="C266" s="2">
        <v>21</v>
      </c>
      <c r="D266" s="2">
        <f t="shared" si="16"/>
        <v>2025</v>
      </c>
      <c r="E266" s="2" t="str">
        <f t="shared" si="17"/>
        <v>2025-6</v>
      </c>
      <c r="F266" s="2" t="str">
        <f t="shared" si="18"/>
        <v>Week 6</v>
      </c>
      <c r="G266" s="2" t="str">
        <f t="shared" si="19"/>
        <v>Week 6-2025</v>
      </c>
      <c r="O266"/>
      <c r="Q266"/>
    </row>
    <row r="267" spans="1:17" hidden="1" x14ac:dyDescent="0.2">
      <c r="A267" s="3">
        <v>45696</v>
      </c>
      <c r="B267" s="2" t="s">
        <v>10</v>
      </c>
      <c r="C267" s="2">
        <v>14</v>
      </c>
      <c r="D267" s="2">
        <f t="shared" si="16"/>
        <v>2025</v>
      </c>
      <c r="E267" s="2" t="str">
        <f t="shared" si="17"/>
        <v>2025-6</v>
      </c>
      <c r="F267" s="2" t="str">
        <f t="shared" si="18"/>
        <v>Week 6</v>
      </c>
      <c r="G267" s="2" t="str">
        <f t="shared" si="19"/>
        <v>Week 6-2025</v>
      </c>
      <c r="O267"/>
      <c r="Q267"/>
    </row>
    <row r="268" spans="1:17" hidden="1" x14ac:dyDescent="0.2">
      <c r="A268" s="3">
        <v>45696</v>
      </c>
      <c r="B268" s="2" t="s">
        <v>5</v>
      </c>
      <c r="C268" s="2">
        <v>9</v>
      </c>
      <c r="D268" s="2">
        <f t="shared" si="16"/>
        <v>2025</v>
      </c>
      <c r="E268" s="2" t="str">
        <f t="shared" si="17"/>
        <v>2025-6</v>
      </c>
      <c r="F268" s="2" t="str">
        <f t="shared" si="18"/>
        <v>Week 6</v>
      </c>
      <c r="G268" s="2" t="str">
        <f t="shared" si="19"/>
        <v>Week 6-2025</v>
      </c>
      <c r="O268"/>
      <c r="Q268"/>
    </row>
    <row r="269" spans="1:17" hidden="1" x14ac:dyDescent="0.2">
      <c r="A269" s="3">
        <v>45696</v>
      </c>
      <c r="B269" s="2" t="s">
        <v>10</v>
      </c>
      <c r="C269" s="2">
        <v>5</v>
      </c>
      <c r="D269" s="2">
        <f t="shared" si="16"/>
        <v>2025</v>
      </c>
      <c r="E269" s="2" t="str">
        <f t="shared" si="17"/>
        <v>2025-6</v>
      </c>
      <c r="F269" s="2" t="str">
        <f t="shared" si="18"/>
        <v>Week 6</v>
      </c>
      <c r="G269" s="2" t="str">
        <f t="shared" si="19"/>
        <v>Week 6-2025</v>
      </c>
      <c r="O269"/>
      <c r="Q269"/>
    </row>
    <row r="270" spans="1:17" hidden="1" x14ac:dyDescent="0.2">
      <c r="A270" s="3">
        <v>45696</v>
      </c>
      <c r="B270" s="2" t="s">
        <v>5</v>
      </c>
      <c r="C270" s="2">
        <v>2</v>
      </c>
      <c r="D270" s="2">
        <f t="shared" si="16"/>
        <v>2025</v>
      </c>
      <c r="E270" s="2" t="str">
        <f t="shared" si="17"/>
        <v>2025-6</v>
      </c>
      <c r="F270" s="2" t="str">
        <f t="shared" si="18"/>
        <v>Week 6</v>
      </c>
      <c r="G270" s="2" t="str">
        <f t="shared" si="19"/>
        <v>Week 6-2025</v>
      </c>
      <c r="O270"/>
      <c r="Q270"/>
    </row>
    <row r="271" spans="1:17" hidden="1" x14ac:dyDescent="0.2">
      <c r="A271" s="3">
        <v>45697</v>
      </c>
      <c r="B271" s="2" t="s">
        <v>3</v>
      </c>
      <c r="C271" s="2">
        <v>12</v>
      </c>
      <c r="D271" s="2">
        <f t="shared" si="16"/>
        <v>2025</v>
      </c>
      <c r="E271" s="2" t="str">
        <f t="shared" si="17"/>
        <v>2025-6</v>
      </c>
      <c r="F271" s="2" t="str">
        <f t="shared" si="18"/>
        <v>Week 7</v>
      </c>
      <c r="G271" s="2" t="str">
        <f t="shared" si="19"/>
        <v>Week 7-2025</v>
      </c>
      <c r="O271"/>
      <c r="Q271"/>
    </row>
    <row r="272" spans="1:17" hidden="1" x14ac:dyDescent="0.2">
      <c r="A272" s="3">
        <v>45697</v>
      </c>
      <c r="B272" s="2" t="s">
        <v>14</v>
      </c>
      <c r="C272" s="2">
        <v>19</v>
      </c>
      <c r="D272" s="2">
        <f t="shared" si="16"/>
        <v>2025</v>
      </c>
      <c r="E272" s="2" t="str">
        <f t="shared" si="17"/>
        <v>2025-6</v>
      </c>
      <c r="F272" s="2" t="str">
        <f t="shared" si="18"/>
        <v>Week 7</v>
      </c>
      <c r="G272" s="2" t="str">
        <f t="shared" si="19"/>
        <v>Week 7-2025</v>
      </c>
      <c r="O272"/>
      <c r="Q272"/>
    </row>
    <row r="273" spans="1:17" hidden="1" x14ac:dyDescent="0.2">
      <c r="A273" s="3">
        <v>45697</v>
      </c>
      <c r="B273" s="2" t="s">
        <v>4</v>
      </c>
      <c r="C273" s="2">
        <v>8</v>
      </c>
      <c r="D273" s="2">
        <f t="shared" si="16"/>
        <v>2025</v>
      </c>
      <c r="E273" s="2" t="str">
        <f t="shared" si="17"/>
        <v>2025-6</v>
      </c>
      <c r="F273" s="2" t="str">
        <f t="shared" si="18"/>
        <v>Week 7</v>
      </c>
      <c r="G273" s="2" t="str">
        <f t="shared" si="19"/>
        <v>Week 7-2025</v>
      </c>
      <c r="O273"/>
      <c r="Q273"/>
    </row>
    <row r="274" spans="1:17" hidden="1" x14ac:dyDescent="0.2">
      <c r="A274" s="3">
        <v>45697</v>
      </c>
      <c r="B274" s="2" t="s">
        <v>10</v>
      </c>
      <c r="C274" s="2">
        <v>6</v>
      </c>
      <c r="D274" s="2">
        <f t="shared" si="16"/>
        <v>2025</v>
      </c>
      <c r="E274" s="2" t="str">
        <f t="shared" si="17"/>
        <v>2025-6</v>
      </c>
      <c r="F274" s="2" t="str">
        <f t="shared" si="18"/>
        <v>Week 7</v>
      </c>
      <c r="G274" s="2" t="str">
        <f t="shared" si="19"/>
        <v>Week 7-2025</v>
      </c>
      <c r="O274"/>
      <c r="Q274"/>
    </row>
    <row r="275" spans="1:17" hidden="1" x14ac:dyDescent="0.2">
      <c r="A275" s="3">
        <v>45697</v>
      </c>
      <c r="B275" s="2" t="s">
        <v>5</v>
      </c>
      <c r="C275" s="2">
        <v>4</v>
      </c>
      <c r="D275" s="2">
        <f t="shared" si="16"/>
        <v>2025</v>
      </c>
      <c r="E275" s="2" t="str">
        <f t="shared" si="17"/>
        <v>2025-6</v>
      </c>
      <c r="F275" s="2" t="str">
        <f t="shared" si="18"/>
        <v>Week 7</v>
      </c>
      <c r="G275" s="2" t="str">
        <f t="shared" si="19"/>
        <v>Week 7-2025</v>
      </c>
      <c r="O275"/>
      <c r="Q275"/>
    </row>
    <row r="276" spans="1:17" hidden="1" x14ac:dyDescent="0.2">
      <c r="A276" s="3">
        <v>45697</v>
      </c>
      <c r="B276" s="2" t="s">
        <v>14</v>
      </c>
      <c r="C276" s="2">
        <v>4</v>
      </c>
      <c r="D276" s="2">
        <f t="shared" si="16"/>
        <v>2025</v>
      </c>
      <c r="E276" s="2" t="str">
        <f t="shared" si="17"/>
        <v>2025-6</v>
      </c>
      <c r="F276" s="2" t="str">
        <f t="shared" si="18"/>
        <v>Week 7</v>
      </c>
      <c r="G276" s="2" t="str">
        <f t="shared" si="19"/>
        <v>Week 7-2025</v>
      </c>
      <c r="O276"/>
      <c r="Q276"/>
    </row>
    <row r="277" spans="1:17" hidden="1" x14ac:dyDescent="0.2">
      <c r="A277" s="3">
        <v>45697</v>
      </c>
      <c r="B277" s="2" t="s">
        <v>3</v>
      </c>
      <c r="C277" s="2">
        <v>2</v>
      </c>
      <c r="D277" s="2">
        <f t="shared" si="16"/>
        <v>2025</v>
      </c>
      <c r="E277" s="2" t="str">
        <f t="shared" si="17"/>
        <v>2025-6</v>
      </c>
      <c r="F277" s="2" t="str">
        <f t="shared" si="18"/>
        <v>Week 7</v>
      </c>
      <c r="G277" s="2" t="str">
        <f t="shared" si="19"/>
        <v>Week 7-2025</v>
      </c>
      <c r="O277"/>
      <c r="Q277"/>
    </row>
    <row r="278" spans="1:17" hidden="1" x14ac:dyDescent="0.2">
      <c r="A278" s="3">
        <v>45697</v>
      </c>
      <c r="B278" s="2" t="s">
        <v>30</v>
      </c>
      <c r="C278" s="2">
        <v>2</v>
      </c>
      <c r="D278" s="2">
        <f t="shared" si="16"/>
        <v>2025</v>
      </c>
      <c r="E278" s="2" t="str">
        <f t="shared" si="17"/>
        <v>2025-6</v>
      </c>
      <c r="F278" s="2" t="str">
        <f t="shared" si="18"/>
        <v>Week 7</v>
      </c>
      <c r="G278" s="2" t="str">
        <f t="shared" si="19"/>
        <v>Week 7-2025</v>
      </c>
      <c r="O278"/>
      <c r="Q278"/>
    </row>
    <row r="279" spans="1:17" hidden="1" x14ac:dyDescent="0.2">
      <c r="A279" s="3">
        <v>45697</v>
      </c>
      <c r="B279" s="2" t="s">
        <v>27</v>
      </c>
      <c r="C279" s="2">
        <v>2</v>
      </c>
      <c r="D279" s="2">
        <f t="shared" si="16"/>
        <v>2025</v>
      </c>
      <c r="E279" s="2" t="str">
        <f t="shared" si="17"/>
        <v>2025-6</v>
      </c>
      <c r="F279" s="2" t="str">
        <f t="shared" si="18"/>
        <v>Week 7</v>
      </c>
      <c r="G279" s="2" t="str">
        <f t="shared" si="19"/>
        <v>Week 7-2025</v>
      </c>
      <c r="O279"/>
      <c r="Q279"/>
    </row>
    <row r="280" spans="1:17" hidden="1" x14ac:dyDescent="0.2">
      <c r="A280" s="3">
        <v>45697</v>
      </c>
      <c r="B280" s="2" t="s">
        <v>15</v>
      </c>
      <c r="C280" s="2">
        <v>2</v>
      </c>
      <c r="D280" s="2">
        <f t="shared" si="16"/>
        <v>2025</v>
      </c>
      <c r="E280" s="2" t="str">
        <f t="shared" si="17"/>
        <v>2025-6</v>
      </c>
      <c r="F280" s="2" t="str">
        <f t="shared" si="18"/>
        <v>Week 7</v>
      </c>
      <c r="G280" s="2" t="str">
        <f t="shared" si="19"/>
        <v>Week 7-2025</v>
      </c>
      <c r="O280"/>
      <c r="Q280"/>
    </row>
    <row r="281" spans="1:17" hidden="1" x14ac:dyDescent="0.2">
      <c r="A281" s="3">
        <v>45697</v>
      </c>
      <c r="B281" s="2" t="s">
        <v>10</v>
      </c>
      <c r="C281" s="2">
        <v>1</v>
      </c>
      <c r="D281" s="2">
        <f t="shared" si="16"/>
        <v>2025</v>
      </c>
      <c r="E281" s="2" t="str">
        <f t="shared" si="17"/>
        <v>2025-6</v>
      </c>
      <c r="F281" s="2" t="str">
        <f t="shared" si="18"/>
        <v>Week 7</v>
      </c>
      <c r="G281" s="2" t="str">
        <f t="shared" si="19"/>
        <v>Week 7-2025</v>
      </c>
      <c r="O281"/>
      <c r="Q281"/>
    </row>
    <row r="282" spans="1:17" hidden="1" x14ac:dyDescent="0.2">
      <c r="A282" s="3">
        <v>45697</v>
      </c>
      <c r="B282" s="2" t="s">
        <v>14</v>
      </c>
      <c r="C282" s="2">
        <v>1</v>
      </c>
      <c r="D282" s="2">
        <f t="shared" si="16"/>
        <v>2025</v>
      </c>
      <c r="E282" s="2" t="str">
        <f t="shared" si="17"/>
        <v>2025-6</v>
      </c>
      <c r="F282" s="2" t="str">
        <f t="shared" si="18"/>
        <v>Week 7</v>
      </c>
      <c r="G282" s="2" t="str">
        <f t="shared" si="19"/>
        <v>Week 7-2025</v>
      </c>
      <c r="O282"/>
      <c r="Q282"/>
    </row>
    <row r="283" spans="1:17" hidden="1" x14ac:dyDescent="0.2">
      <c r="A283" s="3">
        <v>45698</v>
      </c>
      <c r="B283" s="2" t="s">
        <v>27</v>
      </c>
      <c r="C283" s="2">
        <v>16</v>
      </c>
      <c r="D283" s="2">
        <f t="shared" si="16"/>
        <v>2025</v>
      </c>
      <c r="E283" s="2" t="str">
        <f t="shared" si="17"/>
        <v>2025-7</v>
      </c>
      <c r="F283" s="2" t="str">
        <f t="shared" si="18"/>
        <v>Week 7</v>
      </c>
      <c r="G283" s="2" t="str">
        <f t="shared" si="19"/>
        <v>Week 7-2025</v>
      </c>
      <c r="O283"/>
      <c r="Q283"/>
    </row>
    <row r="284" spans="1:17" hidden="1" x14ac:dyDescent="0.2">
      <c r="A284" s="3">
        <v>45699</v>
      </c>
      <c r="B284" s="2" t="s">
        <v>10</v>
      </c>
      <c r="C284" s="2">
        <v>8</v>
      </c>
      <c r="D284" s="2">
        <f t="shared" si="16"/>
        <v>2025</v>
      </c>
      <c r="E284" s="2" t="str">
        <f t="shared" si="17"/>
        <v>2025-7</v>
      </c>
      <c r="F284" s="2" t="str">
        <f t="shared" si="18"/>
        <v>Week 7</v>
      </c>
      <c r="G284" s="2" t="str">
        <f t="shared" si="19"/>
        <v>Week 7-2025</v>
      </c>
      <c r="O284"/>
      <c r="Q284"/>
    </row>
    <row r="285" spans="1:17" hidden="1" x14ac:dyDescent="0.2">
      <c r="A285" s="3">
        <v>45699</v>
      </c>
      <c r="B285" s="2" t="s">
        <v>36</v>
      </c>
      <c r="C285" s="2">
        <v>9</v>
      </c>
      <c r="D285" s="2">
        <f t="shared" si="16"/>
        <v>2025</v>
      </c>
      <c r="E285" s="2" t="str">
        <f t="shared" si="17"/>
        <v>2025-7</v>
      </c>
      <c r="F285" s="2" t="str">
        <f t="shared" si="18"/>
        <v>Week 7</v>
      </c>
      <c r="G285" s="2" t="str">
        <f t="shared" si="19"/>
        <v>Week 7-2025</v>
      </c>
      <c r="O285"/>
      <c r="Q285"/>
    </row>
    <row r="286" spans="1:17" hidden="1" x14ac:dyDescent="0.2">
      <c r="A286" s="3">
        <v>45699</v>
      </c>
      <c r="B286" s="2" t="s">
        <v>5</v>
      </c>
      <c r="C286" s="2">
        <v>4</v>
      </c>
      <c r="D286" s="2">
        <f t="shared" si="16"/>
        <v>2025</v>
      </c>
      <c r="E286" s="2" t="str">
        <f t="shared" si="17"/>
        <v>2025-7</v>
      </c>
      <c r="F286" s="2" t="str">
        <f t="shared" si="18"/>
        <v>Week 7</v>
      </c>
      <c r="G286" s="2" t="str">
        <f t="shared" si="19"/>
        <v>Week 7-2025</v>
      </c>
      <c r="O286"/>
      <c r="Q286"/>
    </row>
    <row r="287" spans="1:17" hidden="1" x14ac:dyDescent="0.2">
      <c r="A287" s="3">
        <v>45699</v>
      </c>
      <c r="B287" s="2" t="s">
        <v>30</v>
      </c>
      <c r="C287" s="2">
        <v>5</v>
      </c>
      <c r="D287" s="2">
        <f t="shared" si="16"/>
        <v>2025</v>
      </c>
      <c r="E287" s="2" t="str">
        <f t="shared" si="17"/>
        <v>2025-7</v>
      </c>
      <c r="F287" s="2" t="str">
        <f t="shared" si="18"/>
        <v>Week 7</v>
      </c>
      <c r="G287" s="2" t="str">
        <f t="shared" si="19"/>
        <v>Week 7-2025</v>
      </c>
      <c r="O287"/>
      <c r="Q287"/>
    </row>
    <row r="288" spans="1:17" hidden="1" x14ac:dyDescent="0.2">
      <c r="A288" s="3">
        <v>45699</v>
      </c>
      <c r="B288" s="2" t="s">
        <v>42</v>
      </c>
      <c r="C288" s="2">
        <v>5</v>
      </c>
      <c r="D288" s="2">
        <f t="shared" si="16"/>
        <v>2025</v>
      </c>
      <c r="E288" s="2" t="str">
        <f t="shared" si="17"/>
        <v>2025-7</v>
      </c>
      <c r="F288" s="2" t="str">
        <f t="shared" si="18"/>
        <v>Week 7</v>
      </c>
      <c r="G288" s="2" t="str">
        <f t="shared" si="19"/>
        <v>Week 7-2025</v>
      </c>
      <c r="O288"/>
      <c r="Q288"/>
    </row>
    <row r="289" spans="1:17" hidden="1" x14ac:dyDescent="0.2">
      <c r="A289" s="3">
        <v>45699</v>
      </c>
      <c r="B289" s="2" t="s">
        <v>14</v>
      </c>
      <c r="C289" s="2">
        <v>2</v>
      </c>
      <c r="D289" s="2">
        <f t="shared" si="16"/>
        <v>2025</v>
      </c>
      <c r="E289" s="2" t="str">
        <f t="shared" si="17"/>
        <v>2025-7</v>
      </c>
      <c r="F289" s="2" t="str">
        <f t="shared" si="18"/>
        <v>Week 7</v>
      </c>
      <c r="G289" s="2" t="str">
        <f t="shared" si="19"/>
        <v>Week 7-2025</v>
      </c>
      <c r="O289"/>
      <c r="Q289"/>
    </row>
    <row r="290" spans="1:17" hidden="1" x14ac:dyDescent="0.2">
      <c r="A290" s="3">
        <v>45701</v>
      </c>
      <c r="B290" s="2" t="s">
        <v>6</v>
      </c>
      <c r="C290" s="2">
        <v>8</v>
      </c>
      <c r="D290" s="2">
        <f t="shared" si="16"/>
        <v>2025</v>
      </c>
      <c r="E290" s="2" t="str">
        <f t="shared" si="17"/>
        <v>2025-7</v>
      </c>
      <c r="F290" s="2" t="str">
        <f t="shared" si="18"/>
        <v>Week 7</v>
      </c>
      <c r="G290" s="2" t="str">
        <f t="shared" si="19"/>
        <v>Week 7-2025</v>
      </c>
      <c r="O290"/>
      <c r="Q290"/>
    </row>
    <row r="291" spans="1:17" hidden="1" x14ac:dyDescent="0.2">
      <c r="A291" s="3">
        <v>45701</v>
      </c>
      <c r="B291" s="2" t="s">
        <v>4</v>
      </c>
      <c r="C291" s="2">
        <v>8</v>
      </c>
      <c r="D291" s="2">
        <f t="shared" si="16"/>
        <v>2025</v>
      </c>
      <c r="E291" s="2" t="str">
        <f t="shared" si="17"/>
        <v>2025-7</v>
      </c>
      <c r="F291" s="2" t="str">
        <f t="shared" si="18"/>
        <v>Week 7</v>
      </c>
      <c r="G291" s="2" t="str">
        <f t="shared" si="19"/>
        <v>Week 7-2025</v>
      </c>
      <c r="O291"/>
      <c r="Q291"/>
    </row>
    <row r="292" spans="1:17" hidden="1" x14ac:dyDescent="0.2">
      <c r="A292" s="3">
        <v>45703</v>
      </c>
      <c r="B292" s="2" t="s">
        <v>3</v>
      </c>
      <c r="C292" s="2">
        <v>30</v>
      </c>
      <c r="D292" s="2">
        <f t="shared" si="16"/>
        <v>2025</v>
      </c>
      <c r="E292" s="2" t="str">
        <f t="shared" si="17"/>
        <v>2025-7</v>
      </c>
      <c r="F292" s="2" t="str">
        <f t="shared" si="18"/>
        <v>Week 7</v>
      </c>
      <c r="G292" s="2" t="str">
        <f t="shared" si="19"/>
        <v>Week 7-2025</v>
      </c>
      <c r="O292"/>
      <c r="Q292"/>
    </row>
    <row r="293" spans="1:17" hidden="1" x14ac:dyDescent="0.2">
      <c r="A293" s="3">
        <v>45703</v>
      </c>
      <c r="B293" s="2" t="s">
        <v>7</v>
      </c>
      <c r="C293" s="2">
        <v>22</v>
      </c>
      <c r="D293" s="2">
        <f t="shared" si="16"/>
        <v>2025</v>
      </c>
      <c r="E293" s="2" t="str">
        <f t="shared" si="17"/>
        <v>2025-7</v>
      </c>
      <c r="F293" s="2" t="str">
        <f t="shared" si="18"/>
        <v>Week 7</v>
      </c>
      <c r="G293" s="2" t="str">
        <f t="shared" si="19"/>
        <v>Week 7-2025</v>
      </c>
      <c r="O293"/>
      <c r="Q293"/>
    </row>
    <row r="294" spans="1:17" hidden="1" x14ac:dyDescent="0.2">
      <c r="A294" s="3">
        <v>45703</v>
      </c>
      <c r="B294" s="2" t="s">
        <v>14</v>
      </c>
      <c r="C294" s="2">
        <v>23</v>
      </c>
      <c r="D294" s="2">
        <f t="shared" si="16"/>
        <v>2025</v>
      </c>
      <c r="E294" s="2" t="str">
        <f t="shared" si="17"/>
        <v>2025-7</v>
      </c>
      <c r="F294" s="2" t="str">
        <f t="shared" si="18"/>
        <v>Week 7</v>
      </c>
      <c r="G294" s="2" t="str">
        <f t="shared" si="19"/>
        <v>Week 7-2025</v>
      </c>
      <c r="O294"/>
      <c r="Q294"/>
    </row>
    <row r="295" spans="1:17" hidden="1" x14ac:dyDescent="0.2">
      <c r="A295" s="3">
        <v>45703</v>
      </c>
      <c r="B295" s="2" t="s">
        <v>7</v>
      </c>
      <c r="C295" s="2">
        <v>8</v>
      </c>
      <c r="D295" s="2">
        <f t="shared" si="16"/>
        <v>2025</v>
      </c>
      <c r="E295" s="2" t="str">
        <f t="shared" si="17"/>
        <v>2025-7</v>
      </c>
      <c r="F295" s="2" t="str">
        <f t="shared" si="18"/>
        <v>Week 7</v>
      </c>
      <c r="G295" s="2" t="str">
        <f t="shared" si="19"/>
        <v>Week 7-2025</v>
      </c>
      <c r="O295"/>
      <c r="Q295"/>
    </row>
    <row r="296" spans="1:17" hidden="1" x14ac:dyDescent="0.2">
      <c r="A296" s="3">
        <v>45703</v>
      </c>
      <c r="B296" s="2" t="s">
        <v>14</v>
      </c>
      <c r="C296" s="2">
        <v>7</v>
      </c>
      <c r="D296" s="2">
        <f t="shared" si="16"/>
        <v>2025</v>
      </c>
      <c r="E296" s="2" t="str">
        <f t="shared" si="17"/>
        <v>2025-7</v>
      </c>
      <c r="F296" s="2" t="str">
        <f t="shared" si="18"/>
        <v>Week 7</v>
      </c>
      <c r="G296" s="2" t="str">
        <f t="shared" si="19"/>
        <v>Week 7-2025</v>
      </c>
      <c r="O296"/>
      <c r="Q296"/>
    </row>
    <row r="297" spans="1:17" hidden="1" x14ac:dyDescent="0.2">
      <c r="A297" s="3">
        <v>45703</v>
      </c>
      <c r="B297" s="2" t="s">
        <v>36</v>
      </c>
      <c r="C297" s="2">
        <v>4</v>
      </c>
      <c r="D297" s="2">
        <f t="shared" si="16"/>
        <v>2025</v>
      </c>
      <c r="E297" s="2" t="str">
        <f t="shared" si="17"/>
        <v>2025-7</v>
      </c>
      <c r="F297" s="2" t="str">
        <f t="shared" si="18"/>
        <v>Week 7</v>
      </c>
      <c r="G297" s="2" t="str">
        <f t="shared" si="19"/>
        <v>Week 7-2025</v>
      </c>
      <c r="O297"/>
      <c r="Q297"/>
    </row>
    <row r="298" spans="1:17" hidden="1" x14ac:dyDescent="0.2">
      <c r="A298" s="3">
        <v>45704</v>
      </c>
      <c r="B298" s="2" t="s">
        <v>9</v>
      </c>
      <c r="C298" s="2">
        <v>4</v>
      </c>
      <c r="D298" s="2">
        <f t="shared" si="16"/>
        <v>2025</v>
      </c>
      <c r="E298" s="2" t="str">
        <f t="shared" si="17"/>
        <v>2025-7</v>
      </c>
      <c r="F298" s="2" t="str">
        <f t="shared" si="18"/>
        <v>Week 8</v>
      </c>
      <c r="G298" s="2" t="str">
        <f t="shared" si="19"/>
        <v>Week 8-2025</v>
      </c>
      <c r="O298"/>
      <c r="Q298"/>
    </row>
    <row r="299" spans="1:17" hidden="1" x14ac:dyDescent="0.2">
      <c r="A299" s="3">
        <v>45704</v>
      </c>
      <c r="B299" s="2" t="s">
        <v>7</v>
      </c>
      <c r="C299" s="2">
        <v>2</v>
      </c>
      <c r="D299" s="2">
        <f t="shared" si="16"/>
        <v>2025</v>
      </c>
      <c r="E299" s="2" t="str">
        <f t="shared" si="17"/>
        <v>2025-7</v>
      </c>
      <c r="F299" s="2" t="str">
        <f t="shared" si="18"/>
        <v>Week 8</v>
      </c>
      <c r="G299" s="2" t="str">
        <f t="shared" si="19"/>
        <v>Week 8-2025</v>
      </c>
      <c r="O299"/>
      <c r="Q299"/>
    </row>
    <row r="300" spans="1:17" hidden="1" x14ac:dyDescent="0.2">
      <c r="A300" s="3">
        <v>45706</v>
      </c>
      <c r="B300" s="2" t="s">
        <v>5</v>
      </c>
      <c r="C300" s="2">
        <v>27</v>
      </c>
      <c r="D300" s="2">
        <f t="shared" si="16"/>
        <v>2025</v>
      </c>
      <c r="E300" s="2" t="str">
        <f t="shared" si="17"/>
        <v>2025-8</v>
      </c>
      <c r="F300" s="2" t="str">
        <f t="shared" si="18"/>
        <v>Week 8</v>
      </c>
      <c r="G300" s="2" t="str">
        <f t="shared" si="19"/>
        <v>Week 8-2025</v>
      </c>
      <c r="O300"/>
      <c r="Q300"/>
    </row>
    <row r="301" spans="1:17" hidden="1" x14ac:dyDescent="0.2">
      <c r="A301" s="3">
        <v>45706</v>
      </c>
      <c r="B301" s="2" t="s">
        <v>17</v>
      </c>
      <c r="C301" s="2">
        <v>22</v>
      </c>
      <c r="D301" s="2">
        <f t="shared" si="16"/>
        <v>2025</v>
      </c>
      <c r="E301" s="2" t="str">
        <f t="shared" si="17"/>
        <v>2025-8</v>
      </c>
      <c r="F301" s="2" t="str">
        <f t="shared" si="18"/>
        <v>Week 8</v>
      </c>
      <c r="G301" s="2" t="str">
        <f t="shared" si="19"/>
        <v>Week 8-2025</v>
      </c>
      <c r="O301"/>
      <c r="Q301"/>
    </row>
    <row r="302" spans="1:17" hidden="1" x14ac:dyDescent="0.2">
      <c r="A302" s="3">
        <v>45706</v>
      </c>
      <c r="B302" s="2" t="s">
        <v>9</v>
      </c>
      <c r="C302" s="2">
        <v>15</v>
      </c>
      <c r="D302" s="2">
        <f t="shared" si="16"/>
        <v>2025</v>
      </c>
      <c r="E302" s="2" t="str">
        <f t="shared" si="17"/>
        <v>2025-8</v>
      </c>
      <c r="F302" s="2" t="str">
        <f t="shared" si="18"/>
        <v>Week 8</v>
      </c>
      <c r="G302" s="2" t="str">
        <f t="shared" si="19"/>
        <v>Week 8-2025</v>
      </c>
      <c r="O302"/>
      <c r="Q302"/>
    </row>
    <row r="303" spans="1:17" hidden="1" x14ac:dyDescent="0.2">
      <c r="A303" s="3">
        <v>45706</v>
      </c>
      <c r="B303" s="2" t="s">
        <v>9</v>
      </c>
      <c r="C303" s="2">
        <v>13</v>
      </c>
      <c r="D303" s="2">
        <f t="shared" si="16"/>
        <v>2025</v>
      </c>
      <c r="E303" s="2" t="str">
        <f t="shared" si="17"/>
        <v>2025-8</v>
      </c>
      <c r="F303" s="2" t="str">
        <f t="shared" si="18"/>
        <v>Week 8</v>
      </c>
      <c r="G303" s="2" t="str">
        <f t="shared" si="19"/>
        <v>Week 8-2025</v>
      </c>
      <c r="O303"/>
      <c r="Q303"/>
    </row>
    <row r="304" spans="1:17" hidden="1" x14ac:dyDescent="0.2">
      <c r="A304" s="3">
        <v>45706</v>
      </c>
      <c r="B304" s="2" t="s">
        <v>30</v>
      </c>
      <c r="C304" s="2">
        <v>24</v>
      </c>
      <c r="D304" s="2">
        <f t="shared" si="16"/>
        <v>2025</v>
      </c>
      <c r="E304" s="2" t="str">
        <f t="shared" si="17"/>
        <v>2025-8</v>
      </c>
      <c r="F304" s="2" t="str">
        <f t="shared" si="18"/>
        <v>Week 8</v>
      </c>
      <c r="G304" s="2" t="str">
        <f t="shared" si="19"/>
        <v>Week 8-2025</v>
      </c>
      <c r="O304"/>
      <c r="Q304"/>
    </row>
    <row r="305" spans="1:17" hidden="1" x14ac:dyDescent="0.2">
      <c r="A305" s="3">
        <v>45706</v>
      </c>
      <c r="B305" s="2" t="s">
        <v>19</v>
      </c>
      <c r="C305" s="2">
        <v>7</v>
      </c>
      <c r="D305" s="2">
        <f t="shared" si="16"/>
        <v>2025</v>
      </c>
      <c r="E305" s="2" t="str">
        <f t="shared" si="17"/>
        <v>2025-8</v>
      </c>
      <c r="F305" s="2" t="str">
        <f t="shared" si="18"/>
        <v>Week 8</v>
      </c>
      <c r="G305" s="2" t="str">
        <f t="shared" si="19"/>
        <v>Week 8-2025</v>
      </c>
      <c r="O305"/>
      <c r="Q305"/>
    </row>
    <row r="306" spans="1:17" hidden="1" x14ac:dyDescent="0.2">
      <c r="A306" s="3">
        <v>45706</v>
      </c>
      <c r="B306" s="2" t="s">
        <v>14</v>
      </c>
      <c r="C306" s="2">
        <v>14</v>
      </c>
      <c r="D306" s="2">
        <f t="shared" si="16"/>
        <v>2025</v>
      </c>
      <c r="E306" s="2" t="str">
        <f t="shared" si="17"/>
        <v>2025-8</v>
      </c>
      <c r="F306" s="2" t="str">
        <f t="shared" si="18"/>
        <v>Week 8</v>
      </c>
      <c r="G306" s="2" t="str">
        <f t="shared" si="19"/>
        <v>Week 8-2025</v>
      </c>
      <c r="O306"/>
      <c r="Q306"/>
    </row>
    <row r="307" spans="1:17" hidden="1" x14ac:dyDescent="0.2">
      <c r="A307" s="3">
        <v>45706</v>
      </c>
      <c r="B307" s="2" t="s">
        <v>7</v>
      </c>
      <c r="C307" s="2">
        <v>6</v>
      </c>
      <c r="D307" s="2">
        <f t="shared" si="16"/>
        <v>2025</v>
      </c>
      <c r="E307" s="2" t="str">
        <f t="shared" si="17"/>
        <v>2025-8</v>
      </c>
      <c r="F307" s="2" t="str">
        <f t="shared" si="18"/>
        <v>Week 8</v>
      </c>
      <c r="G307" s="2" t="str">
        <f t="shared" si="19"/>
        <v>Week 8-2025</v>
      </c>
      <c r="O307"/>
      <c r="Q307"/>
    </row>
    <row r="308" spans="1:17" hidden="1" x14ac:dyDescent="0.2">
      <c r="A308" s="3">
        <v>45706</v>
      </c>
      <c r="B308" s="2" t="s">
        <v>5</v>
      </c>
      <c r="C308" s="2">
        <v>8</v>
      </c>
      <c r="D308" s="2">
        <f t="shared" si="16"/>
        <v>2025</v>
      </c>
      <c r="E308" s="2" t="str">
        <f t="shared" si="17"/>
        <v>2025-8</v>
      </c>
      <c r="F308" s="2" t="str">
        <f t="shared" si="18"/>
        <v>Week 8</v>
      </c>
      <c r="G308" s="2" t="str">
        <f t="shared" si="19"/>
        <v>Week 8-2025</v>
      </c>
      <c r="O308"/>
      <c r="Q308"/>
    </row>
    <row r="309" spans="1:17" hidden="1" x14ac:dyDescent="0.2">
      <c r="A309" s="3">
        <v>45706</v>
      </c>
      <c r="B309" s="2" t="s">
        <v>19</v>
      </c>
      <c r="C309" s="2">
        <v>5</v>
      </c>
      <c r="D309" s="2">
        <f t="shared" si="16"/>
        <v>2025</v>
      </c>
      <c r="E309" s="2" t="str">
        <f t="shared" si="17"/>
        <v>2025-8</v>
      </c>
      <c r="F309" s="2" t="str">
        <f t="shared" si="18"/>
        <v>Week 8</v>
      </c>
      <c r="G309" s="2" t="str">
        <f t="shared" si="19"/>
        <v>Week 8-2025</v>
      </c>
      <c r="O309"/>
      <c r="Q309"/>
    </row>
    <row r="310" spans="1:17" hidden="1" x14ac:dyDescent="0.2">
      <c r="A310" s="3">
        <v>45706</v>
      </c>
      <c r="B310" s="2" t="s">
        <v>3</v>
      </c>
      <c r="C310" s="2">
        <v>6</v>
      </c>
      <c r="D310" s="2">
        <f t="shared" si="16"/>
        <v>2025</v>
      </c>
      <c r="E310" s="2" t="str">
        <f t="shared" si="17"/>
        <v>2025-8</v>
      </c>
      <c r="F310" s="2" t="str">
        <f t="shared" si="18"/>
        <v>Week 8</v>
      </c>
      <c r="G310" s="2" t="str">
        <f t="shared" si="19"/>
        <v>Week 8-2025</v>
      </c>
      <c r="O310"/>
      <c r="Q310"/>
    </row>
    <row r="311" spans="1:17" hidden="1" x14ac:dyDescent="0.2">
      <c r="A311" s="3">
        <v>45706</v>
      </c>
      <c r="B311" s="2" t="s">
        <v>9</v>
      </c>
      <c r="C311" s="2">
        <v>5</v>
      </c>
      <c r="D311" s="2">
        <f t="shared" si="16"/>
        <v>2025</v>
      </c>
      <c r="E311" s="2" t="str">
        <f t="shared" si="17"/>
        <v>2025-8</v>
      </c>
      <c r="F311" s="2" t="str">
        <f t="shared" si="18"/>
        <v>Week 8</v>
      </c>
      <c r="G311" s="2" t="str">
        <f t="shared" si="19"/>
        <v>Week 8-2025</v>
      </c>
      <c r="O311"/>
      <c r="Q311"/>
    </row>
    <row r="312" spans="1:17" hidden="1" x14ac:dyDescent="0.2">
      <c r="A312" s="3">
        <v>45706</v>
      </c>
      <c r="B312" s="2" t="s">
        <v>3</v>
      </c>
      <c r="C312" s="2">
        <v>2</v>
      </c>
      <c r="D312" s="2">
        <f t="shared" si="16"/>
        <v>2025</v>
      </c>
      <c r="E312" s="2" t="str">
        <f t="shared" si="17"/>
        <v>2025-8</v>
      </c>
      <c r="F312" s="2" t="str">
        <f t="shared" si="18"/>
        <v>Week 8</v>
      </c>
      <c r="G312" s="2" t="str">
        <f t="shared" si="19"/>
        <v>Week 8-2025</v>
      </c>
      <c r="O312"/>
      <c r="Q312"/>
    </row>
    <row r="313" spans="1:17" hidden="1" x14ac:dyDescent="0.2">
      <c r="A313" s="3">
        <v>45706</v>
      </c>
      <c r="B313" s="2" t="s">
        <v>12</v>
      </c>
      <c r="C313" s="2">
        <v>1</v>
      </c>
      <c r="D313" s="2">
        <f t="shared" si="16"/>
        <v>2025</v>
      </c>
      <c r="E313" s="2" t="str">
        <f t="shared" si="17"/>
        <v>2025-8</v>
      </c>
      <c r="F313" s="2" t="str">
        <f t="shared" si="18"/>
        <v>Week 8</v>
      </c>
      <c r="G313" s="2" t="str">
        <f t="shared" si="19"/>
        <v>Week 8-2025</v>
      </c>
      <c r="O313"/>
      <c r="Q313"/>
    </row>
    <row r="314" spans="1:17" hidden="1" x14ac:dyDescent="0.2">
      <c r="A314" s="3">
        <v>45706</v>
      </c>
      <c r="B314" s="2" t="s">
        <v>8</v>
      </c>
      <c r="C314" s="2">
        <v>2</v>
      </c>
      <c r="D314" s="2">
        <f t="shared" si="16"/>
        <v>2025</v>
      </c>
      <c r="E314" s="2" t="str">
        <f t="shared" si="17"/>
        <v>2025-8</v>
      </c>
      <c r="F314" s="2" t="str">
        <f t="shared" si="18"/>
        <v>Week 8</v>
      </c>
      <c r="G314" s="2" t="str">
        <f t="shared" si="19"/>
        <v>Week 8-2025</v>
      </c>
      <c r="O314"/>
      <c r="Q314"/>
    </row>
    <row r="315" spans="1:17" hidden="1" x14ac:dyDescent="0.2">
      <c r="A315" s="3">
        <v>45706</v>
      </c>
      <c r="B315" s="2" t="s">
        <v>8</v>
      </c>
      <c r="C315" s="2">
        <v>2</v>
      </c>
      <c r="D315" s="2">
        <f t="shared" si="16"/>
        <v>2025</v>
      </c>
      <c r="E315" s="2" t="str">
        <f t="shared" si="17"/>
        <v>2025-8</v>
      </c>
      <c r="F315" s="2" t="str">
        <f t="shared" si="18"/>
        <v>Week 8</v>
      </c>
      <c r="G315" s="2" t="str">
        <f t="shared" si="19"/>
        <v>Week 8-2025</v>
      </c>
      <c r="O315"/>
      <c r="Q315"/>
    </row>
    <row r="316" spans="1:17" hidden="1" x14ac:dyDescent="0.2">
      <c r="A316" s="3">
        <v>45707</v>
      </c>
      <c r="B316" s="2" t="s">
        <v>9</v>
      </c>
      <c r="C316" s="2">
        <v>4</v>
      </c>
      <c r="D316" s="2">
        <f t="shared" si="16"/>
        <v>2025</v>
      </c>
      <c r="E316" s="2" t="str">
        <f t="shared" si="17"/>
        <v>2025-8</v>
      </c>
      <c r="F316" s="2" t="str">
        <f t="shared" si="18"/>
        <v>Week 8</v>
      </c>
      <c r="G316" s="2" t="str">
        <f t="shared" si="19"/>
        <v>Week 8-2025</v>
      </c>
      <c r="O316"/>
      <c r="Q316"/>
    </row>
    <row r="317" spans="1:17" hidden="1" x14ac:dyDescent="0.2">
      <c r="A317" s="3">
        <v>45707</v>
      </c>
      <c r="B317" s="2" t="s">
        <v>3</v>
      </c>
      <c r="C317" s="2">
        <v>4</v>
      </c>
      <c r="D317" s="2">
        <f t="shared" si="16"/>
        <v>2025</v>
      </c>
      <c r="E317" s="2" t="str">
        <f t="shared" si="17"/>
        <v>2025-8</v>
      </c>
      <c r="F317" s="2" t="str">
        <f t="shared" si="18"/>
        <v>Week 8</v>
      </c>
      <c r="G317" s="2" t="str">
        <f t="shared" si="19"/>
        <v>Week 8-2025</v>
      </c>
      <c r="O317"/>
      <c r="Q317"/>
    </row>
    <row r="318" spans="1:17" hidden="1" x14ac:dyDescent="0.2">
      <c r="A318" s="3">
        <v>45708</v>
      </c>
      <c r="B318" s="2" t="s">
        <v>19</v>
      </c>
      <c r="C318" s="2">
        <v>24</v>
      </c>
      <c r="D318" s="2">
        <f t="shared" si="16"/>
        <v>2025</v>
      </c>
      <c r="E318" s="2" t="str">
        <f t="shared" si="17"/>
        <v>2025-8</v>
      </c>
      <c r="F318" s="2" t="str">
        <f t="shared" si="18"/>
        <v>Week 8</v>
      </c>
      <c r="G318" s="2" t="str">
        <f t="shared" si="19"/>
        <v>Week 8-2025</v>
      </c>
      <c r="O318"/>
      <c r="Q318"/>
    </row>
    <row r="319" spans="1:17" hidden="1" x14ac:dyDescent="0.2">
      <c r="A319" s="3">
        <v>45708</v>
      </c>
      <c r="B319" s="2" t="s">
        <v>9</v>
      </c>
      <c r="C319" s="2">
        <v>17</v>
      </c>
      <c r="D319" s="2">
        <f t="shared" si="16"/>
        <v>2025</v>
      </c>
      <c r="E319" s="2" t="str">
        <f t="shared" si="17"/>
        <v>2025-8</v>
      </c>
      <c r="F319" s="2" t="str">
        <f t="shared" si="18"/>
        <v>Week 8</v>
      </c>
      <c r="G319" s="2" t="str">
        <f t="shared" si="19"/>
        <v>Week 8-2025</v>
      </c>
      <c r="O319"/>
      <c r="Q319"/>
    </row>
    <row r="320" spans="1:17" hidden="1" x14ac:dyDescent="0.2">
      <c r="A320" s="3">
        <v>45708</v>
      </c>
      <c r="B320" s="2" t="s">
        <v>7</v>
      </c>
      <c r="C320" s="2">
        <v>14</v>
      </c>
      <c r="D320" s="2">
        <f t="shared" si="16"/>
        <v>2025</v>
      </c>
      <c r="E320" s="2" t="str">
        <f t="shared" si="17"/>
        <v>2025-8</v>
      </c>
      <c r="F320" s="2" t="str">
        <f t="shared" si="18"/>
        <v>Week 8</v>
      </c>
      <c r="G320" s="2" t="str">
        <f t="shared" si="19"/>
        <v>Week 8-2025</v>
      </c>
      <c r="O320"/>
      <c r="Q320"/>
    </row>
    <row r="321" spans="1:17" hidden="1" x14ac:dyDescent="0.2">
      <c r="A321" s="3">
        <v>45708</v>
      </c>
      <c r="B321" s="2" t="s">
        <v>3</v>
      </c>
      <c r="C321" s="2">
        <v>12</v>
      </c>
      <c r="D321" s="2">
        <f t="shared" si="16"/>
        <v>2025</v>
      </c>
      <c r="E321" s="2" t="str">
        <f t="shared" si="17"/>
        <v>2025-8</v>
      </c>
      <c r="F321" s="2" t="str">
        <f t="shared" si="18"/>
        <v>Week 8</v>
      </c>
      <c r="G321" s="2" t="str">
        <f t="shared" si="19"/>
        <v>Week 8-2025</v>
      </c>
      <c r="O321"/>
      <c r="Q321"/>
    </row>
    <row r="322" spans="1:17" hidden="1" x14ac:dyDescent="0.2">
      <c r="A322" s="3">
        <v>45708</v>
      </c>
      <c r="B322" s="2" t="s">
        <v>8</v>
      </c>
      <c r="C322" s="2">
        <v>20</v>
      </c>
      <c r="D322" s="2">
        <f t="shared" ref="D322:D385" si="20">YEAR(A322)</f>
        <v>2025</v>
      </c>
      <c r="E322" s="2" t="str">
        <f t="shared" ref="E322:E385" si="21">YEAR(A322)&amp;"-"&amp;_xlfn.ISOWEEKNUM(A322)</f>
        <v>2025-8</v>
      </c>
      <c r="F322" s="2" t="str">
        <f t="shared" ref="F322:F385" si="22">_xlfn.CONCAT("Week "&amp;WEEKNUM(A322))</f>
        <v>Week 8</v>
      </c>
      <c r="G322" s="2" t="str">
        <f t="shared" ref="G322:G385" si="23">_xlfn.CONCAT(F322,"-",D322)</f>
        <v>Week 8-2025</v>
      </c>
      <c r="O322"/>
      <c r="Q322"/>
    </row>
    <row r="323" spans="1:17" hidden="1" x14ac:dyDescent="0.2">
      <c r="A323" s="3">
        <v>45708</v>
      </c>
      <c r="B323" s="2" t="s">
        <v>5</v>
      </c>
      <c r="C323" s="2">
        <v>13</v>
      </c>
      <c r="D323" s="2">
        <f t="shared" si="20"/>
        <v>2025</v>
      </c>
      <c r="E323" s="2" t="str">
        <f t="shared" si="21"/>
        <v>2025-8</v>
      </c>
      <c r="F323" s="2" t="str">
        <f t="shared" si="22"/>
        <v>Week 8</v>
      </c>
      <c r="G323" s="2" t="str">
        <f t="shared" si="23"/>
        <v>Week 8-2025</v>
      </c>
      <c r="O323"/>
      <c r="Q323"/>
    </row>
    <row r="324" spans="1:17" hidden="1" x14ac:dyDescent="0.2">
      <c r="A324" s="3">
        <v>45708</v>
      </c>
      <c r="B324" s="2" t="s">
        <v>19</v>
      </c>
      <c r="C324" s="2">
        <v>8</v>
      </c>
      <c r="D324" s="2">
        <f t="shared" si="20"/>
        <v>2025</v>
      </c>
      <c r="E324" s="2" t="str">
        <f t="shared" si="21"/>
        <v>2025-8</v>
      </c>
      <c r="F324" s="2" t="str">
        <f t="shared" si="22"/>
        <v>Week 8</v>
      </c>
      <c r="G324" s="2" t="str">
        <f t="shared" si="23"/>
        <v>Week 8-2025</v>
      </c>
      <c r="O324"/>
      <c r="Q324"/>
    </row>
    <row r="325" spans="1:17" hidden="1" x14ac:dyDescent="0.2">
      <c r="A325" s="3">
        <v>45708</v>
      </c>
      <c r="B325" s="2" t="s">
        <v>10</v>
      </c>
      <c r="C325" s="2">
        <v>14</v>
      </c>
      <c r="D325" s="2">
        <f t="shared" si="20"/>
        <v>2025</v>
      </c>
      <c r="E325" s="2" t="str">
        <f t="shared" si="21"/>
        <v>2025-8</v>
      </c>
      <c r="F325" s="2" t="str">
        <f t="shared" si="22"/>
        <v>Week 8</v>
      </c>
      <c r="G325" s="2" t="str">
        <f t="shared" si="23"/>
        <v>Week 8-2025</v>
      </c>
      <c r="O325"/>
      <c r="Q325"/>
    </row>
    <row r="326" spans="1:17" hidden="1" x14ac:dyDescent="0.2">
      <c r="A326" s="3">
        <v>45708</v>
      </c>
      <c r="B326" s="2" t="s">
        <v>21</v>
      </c>
      <c r="C326" s="2">
        <v>4</v>
      </c>
      <c r="D326" s="2">
        <f t="shared" si="20"/>
        <v>2025</v>
      </c>
      <c r="E326" s="2" t="str">
        <f t="shared" si="21"/>
        <v>2025-8</v>
      </c>
      <c r="F326" s="2" t="str">
        <f t="shared" si="22"/>
        <v>Week 8</v>
      </c>
      <c r="G326" s="2" t="str">
        <f t="shared" si="23"/>
        <v>Week 8-2025</v>
      </c>
      <c r="O326"/>
      <c r="Q326"/>
    </row>
    <row r="327" spans="1:17" hidden="1" x14ac:dyDescent="0.2">
      <c r="A327" s="3">
        <v>45708</v>
      </c>
      <c r="B327" s="2" t="s">
        <v>31</v>
      </c>
      <c r="C327" s="2">
        <v>10</v>
      </c>
      <c r="D327" s="2">
        <f t="shared" si="20"/>
        <v>2025</v>
      </c>
      <c r="E327" s="2" t="str">
        <f t="shared" si="21"/>
        <v>2025-8</v>
      </c>
      <c r="F327" s="2" t="str">
        <f t="shared" si="22"/>
        <v>Week 8</v>
      </c>
      <c r="G327" s="2" t="str">
        <f t="shared" si="23"/>
        <v>Week 8-2025</v>
      </c>
      <c r="O327"/>
      <c r="Q327"/>
    </row>
    <row r="328" spans="1:17" hidden="1" x14ac:dyDescent="0.2">
      <c r="A328" s="3">
        <v>45708</v>
      </c>
      <c r="B328" s="2" t="s">
        <v>10</v>
      </c>
      <c r="C328" s="2">
        <v>8</v>
      </c>
      <c r="D328" s="2">
        <f t="shared" si="20"/>
        <v>2025</v>
      </c>
      <c r="E328" s="2" t="str">
        <f t="shared" si="21"/>
        <v>2025-8</v>
      </c>
      <c r="F328" s="2" t="str">
        <f t="shared" si="22"/>
        <v>Week 8</v>
      </c>
      <c r="G328" s="2" t="str">
        <f t="shared" si="23"/>
        <v>Week 8-2025</v>
      </c>
      <c r="O328"/>
      <c r="Q328"/>
    </row>
    <row r="329" spans="1:17" hidden="1" x14ac:dyDescent="0.2">
      <c r="A329" s="3">
        <v>45708</v>
      </c>
      <c r="B329" s="2" t="s">
        <v>29</v>
      </c>
      <c r="C329" s="2">
        <v>6</v>
      </c>
      <c r="D329" s="2">
        <f t="shared" si="20"/>
        <v>2025</v>
      </c>
      <c r="E329" s="2" t="str">
        <f t="shared" si="21"/>
        <v>2025-8</v>
      </c>
      <c r="F329" s="2" t="str">
        <f t="shared" si="22"/>
        <v>Week 8</v>
      </c>
      <c r="G329" s="2" t="str">
        <f t="shared" si="23"/>
        <v>Week 8-2025</v>
      </c>
      <c r="O329"/>
      <c r="Q329"/>
    </row>
    <row r="330" spans="1:17" hidden="1" x14ac:dyDescent="0.2">
      <c r="A330" s="3">
        <v>45708</v>
      </c>
      <c r="B330" s="2" t="s">
        <v>17</v>
      </c>
      <c r="C330" s="2">
        <v>7</v>
      </c>
      <c r="D330" s="2">
        <f t="shared" si="20"/>
        <v>2025</v>
      </c>
      <c r="E330" s="2" t="str">
        <f t="shared" si="21"/>
        <v>2025-8</v>
      </c>
      <c r="F330" s="2" t="str">
        <f t="shared" si="22"/>
        <v>Week 8</v>
      </c>
      <c r="G330" s="2" t="str">
        <f t="shared" si="23"/>
        <v>Week 8-2025</v>
      </c>
      <c r="O330"/>
      <c r="Q330"/>
    </row>
    <row r="331" spans="1:17" hidden="1" x14ac:dyDescent="0.2">
      <c r="A331" s="3">
        <v>45708</v>
      </c>
      <c r="B331" s="2" t="s">
        <v>9</v>
      </c>
      <c r="C331" s="2">
        <v>5</v>
      </c>
      <c r="D331" s="2">
        <f t="shared" si="20"/>
        <v>2025</v>
      </c>
      <c r="E331" s="2" t="str">
        <f t="shared" si="21"/>
        <v>2025-8</v>
      </c>
      <c r="F331" s="2" t="str">
        <f t="shared" si="22"/>
        <v>Week 8</v>
      </c>
      <c r="G331" s="2" t="str">
        <f t="shared" si="23"/>
        <v>Week 8-2025</v>
      </c>
      <c r="O331"/>
      <c r="Q331"/>
    </row>
    <row r="332" spans="1:17" hidden="1" x14ac:dyDescent="0.2">
      <c r="A332" s="3">
        <v>45708</v>
      </c>
      <c r="B332" s="2" t="s">
        <v>12</v>
      </c>
      <c r="C332" s="2">
        <v>3</v>
      </c>
      <c r="D332" s="2">
        <f t="shared" si="20"/>
        <v>2025</v>
      </c>
      <c r="E332" s="2" t="str">
        <f t="shared" si="21"/>
        <v>2025-8</v>
      </c>
      <c r="F332" s="2" t="str">
        <f t="shared" si="22"/>
        <v>Week 8</v>
      </c>
      <c r="G332" s="2" t="str">
        <f t="shared" si="23"/>
        <v>Week 8-2025</v>
      </c>
      <c r="O332"/>
      <c r="Q332"/>
    </row>
    <row r="333" spans="1:17" hidden="1" x14ac:dyDescent="0.2">
      <c r="A333" s="3">
        <v>45708</v>
      </c>
      <c r="B333" s="2" t="s">
        <v>4</v>
      </c>
      <c r="C333" s="2">
        <v>4</v>
      </c>
      <c r="D333" s="2">
        <f t="shared" si="20"/>
        <v>2025</v>
      </c>
      <c r="E333" s="2" t="str">
        <f t="shared" si="21"/>
        <v>2025-8</v>
      </c>
      <c r="F333" s="2" t="str">
        <f t="shared" si="22"/>
        <v>Week 8</v>
      </c>
      <c r="G333" s="2" t="str">
        <f t="shared" si="23"/>
        <v>Week 8-2025</v>
      </c>
      <c r="O333"/>
      <c r="Q333"/>
    </row>
    <row r="334" spans="1:17" hidden="1" x14ac:dyDescent="0.2">
      <c r="A334" s="3">
        <v>45708</v>
      </c>
      <c r="B334" s="2" t="s">
        <v>23</v>
      </c>
      <c r="C334" s="2">
        <v>3</v>
      </c>
      <c r="D334" s="2">
        <f t="shared" si="20"/>
        <v>2025</v>
      </c>
      <c r="E334" s="2" t="str">
        <f t="shared" si="21"/>
        <v>2025-8</v>
      </c>
      <c r="F334" s="2" t="str">
        <f t="shared" si="22"/>
        <v>Week 8</v>
      </c>
      <c r="G334" s="2" t="str">
        <f t="shared" si="23"/>
        <v>Week 8-2025</v>
      </c>
      <c r="O334"/>
      <c r="Q334"/>
    </row>
    <row r="335" spans="1:17" hidden="1" x14ac:dyDescent="0.2">
      <c r="A335" s="3">
        <v>45708</v>
      </c>
      <c r="B335" s="2" t="s">
        <v>17</v>
      </c>
      <c r="C335" s="2">
        <v>4</v>
      </c>
      <c r="D335" s="2">
        <f t="shared" si="20"/>
        <v>2025</v>
      </c>
      <c r="E335" s="2" t="str">
        <f t="shared" si="21"/>
        <v>2025-8</v>
      </c>
      <c r="F335" s="2" t="str">
        <f t="shared" si="22"/>
        <v>Week 8</v>
      </c>
      <c r="G335" s="2" t="str">
        <f t="shared" si="23"/>
        <v>Week 8-2025</v>
      </c>
      <c r="O335"/>
      <c r="Q335"/>
    </row>
    <row r="336" spans="1:17" hidden="1" x14ac:dyDescent="0.2">
      <c r="A336" s="3">
        <v>45708</v>
      </c>
      <c r="B336" s="2" t="s">
        <v>29</v>
      </c>
      <c r="C336" s="2">
        <v>3</v>
      </c>
      <c r="D336" s="2">
        <f t="shared" si="20"/>
        <v>2025</v>
      </c>
      <c r="E336" s="2" t="str">
        <f t="shared" si="21"/>
        <v>2025-8</v>
      </c>
      <c r="F336" s="2" t="str">
        <f t="shared" si="22"/>
        <v>Week 8</v>
      </c>
      <c r="G336" s="2" t="str">
        <f t="shared" si="23"/>
        <v>Week 8-2025</v>
      </c>
      <c r="O336"/>
      <c r="Q336"/>
    </row>
    <row r="337" spans="1:17" hidden="1" x14ac:dyDescent="0.2">
      <c r="A337" s="3">
        <v>45708</v>
      </c>
      <c r="B337" s="2" t="s">
        <v>7</v>
      </c>
      <c r="C337" s="2">
        <v>2</v>
      </c>
      <c r="D337" s="2">
        <f t="shared" si="20"/>
        <v>2025</v>
      </c>
      <c r="E337" s="2" t="str">
        <f t="shared" si="21"/>
        <v>2025-8</v>
      </c>
      <c r="F337" s="2" t="str">
        <f t="shared" si="22"/>
        <v>Week 8</v>
      </c>
      <c r="G337" s="2" t="str">
        <f t="shared" si="23"/>
        <v>Week 8-2025</v>
      </c>
      <c r="O337"/>
      <c r="Q337"/>
    </row>
    <row r="338" spans="1:17" hidden="1" x14ac:dyDescent="0.2">
      <c r="A338" s="3">
        <v>45708</v>
      </c>
      <c r="B338" s="2" t="s">
        <v>14</v>
      </c>
      <c r="C338" s="2">
        <v>4</v>
      </c>
      <c r="D338" s="2">
        <f t="shared" si="20"/>
        <v>2025</v>
      </c>
      <c r="E338" s="2" t="str">
        <f t="shared" si="21"/>
        <v>2025-8</v>
      </c>
      <c r="F338" s="2" t="str">
        <f t="shared" si="22"/>
        <v>Week 8</v>
      </c>
      <c r="G338" s="2" t="str">
        <f t="shared" si="23"/>
        <v>Week 8-2025</v>
      </c>
      <c r="O338"/>
      <c r="Q338"/>
    </row>
    <row r="339" spans="1:17" hidden="1" x14ac:dyDescent="0.2">
      <c r="A339" s="3">
        <v>45708</v>
      </c>
      <c r="B339" s="2" t="s">
        <v>4</v>
      </c>
      <c r="C339" s="2">
        <v>2</v>
      </c>
      <c r="D339" s="2">
        <f t="shared" si="20"/>
        <v>2025</v>
      </c>
      <c r="E339" s="2" t="str">
        <f t="shared" si="21"/>
        <v>2025-8</v>
      </c>
      <c r="F339" s="2" t="str">
        <f t="shared" si="22"/>
        <v>Week 8</v>
      </c>
      <c r="G339" s="2" t="str">
        <f t="shared" si="23"/>
        <v>Week 8-2025</v>
      </c>
      <c r="O339"/>
      <c r="Q339"/>
    </row>
    <row r="340" spans="1:17" hidden="1" x14ac:dyDescent="0.2">
      <c r="A340" s="3">
        <v>45708</v>
      </c>
      <c r="B340" s="2" t="s">
        <v>12</v>
      </c>
      <c r="C340" s="2">
        <v>1</v>
      </c>
      <c r="D340" s="2">
        <f t="shared" si="20"/>
        <v>2025</v>
      </c>
      <c r="E340" s="2" t="str">
        <f t="shared" si="21"/>
        <v>2025-8</v>
      </c>
      <c r="F340" s="2" t="str">
        <f t="shared" si="22"/>
        <v>Week 8</v>
      </c>
      <c r="G340" s="2" t="str">
        <f t="shared" si="23"/>
        <v>Week 8-2025</v>
      </c>
      <c r="O340"/>
      <c r="Q340"/>
    </row>
    <row r="341" spans="1:17" hidden="1" x14ac:dyDescent="0.2">
      <c r="A341" s="3">
        <v>45708</v>
      </c>
      <c r="B341" s="2" t="s">
        <v>23</v>
      </c>
      <c r="C341" s="2">
        <v>1</v>
      </c>
      <c r="D341" s="2">
        <f t="shared" si="20"/>
        <v>2025</v>
      </c>
      <c r="E341" s="2" t="str">
        <f t="shared" si="21"/>
        <v>2025-8</v>
      </c>
      <c r="F341" s="2" t="str">
        <f t="shared" si="22"/>
        <v>Week 8</v>
      </c>
      <c r="G341" s="2" t="str">
        <f t="shared" si="23"/>
        <v>Week 8-2025</v>
      </c>
      <c r="O341"/>
      <c r="Q341"/>
    </row>
    <row r="342" spans="1:17" hidden="1" x14ac:dyDescent="0.2">
      <c r="A342" s="3">
        <v>45708</v>
      </c>
      <c r="B342" s="2" t="s">
        <v>27</v>
      </c>
      <c r="C342" s="2">
        <v>2</v>
      </c>
      <c r="D342" s="2">
        <f t="shared" si="20"/>
        <v>2025</v>
      </c>
      <c r="E342" s="2" t="str">
        <f t="shared" si="21"/>
        <v>2025-8</v>
      </c>
      <c r="F342" s="2" t="str">
        <f t="shared" si="22"/>
        <v>Week 8</v>
      </c>
      <c r="G342" s="2" t="str">
        <f t="shared" si="23"/>
        <v>Week 8-2025</v>
      </c>
      <c r="O342"/>
      <c r="Q342"/>
    </row>
    <row r="343" spans="1:17" hidden="1" x14ac:dyDescent="0.2">
      <c r="A343" s="3">
        <v>45708</v>
      </c>
      <c r="B343" s="2" t="s">
        <v>5</v>
      </c>
      <c r="C343" s="2">
        <v>1</v>
      </c>
      <c r="D343" s="2">
        <f t="shared" si="20"/>
        <v>2025</v>
      </c>
      <c r="E343" s="2" t="str">
        <f t="shared" si="21"/>
        <v>2025-8</v>
      </c>
      <c r="F343" s="2" t="str">
        <f t="shared" si="22"/>
        <v>Week 8</v>
      </c>
      <c r="G343" s="2" t="str">
        <f t="shared" si="23"/>
        <v>Week 8-2025</v>
      </c>
      <c r="O343"/>
      <c r="Q343"/>
    </row>
    <row r="344" spans="1:17" hidden="1" x14ac:dyDescent="0.2">
      <c r="A344" s="3">
        <v>45710</v>
      </c>
      <c r="B344" s="2" t="s">
        <v>27</v>
      </c>
      <c r="C344" s="2">
        <v>8</v>
      </c>
      <c r="D344" s="2">
        <f t="shared" si="20"/>
        <v>2025</v>
      </c>
      <c r="E344" s="2" t="str">
        <f t="shared" si="21"/>
        <v>2025-8</v>
      </c>
      <c r="F344" s="2" t="str">
        <f t="shared" si="22"/>
        <v>Week 8</v>
      </c>
      <c r="G344" s="2" t="str">
        <f t="shared" si="23"/>
        <v>Week 8-2025</v>
      </c>
      <c r="O344"/>
      <c r="Q344"/>
    </row>
    <row r="345" spans="1:17" hidden="1" x14ac:dyDescent="0.2">
      <c r="A345" s="3">
        <v>45710</v>
      </c>
      <c r="B345" s="2" t="s">
        <v>15</v>
      </c>
      <c r="C345" s="2">
        <v>4</v>
      </c>
      <c r="D345" s="2">
        <f t="shared" si="20"/>
        <v>2025</v>
      </c>
      <c r="E345" s="2" t="str">
        <f t="shared" si="21"/>
        <v>2025-8</v>
      </c>
      <c r="F345" s="2" t="str">
        <f t="shared" si="22"/>
        <v>Week 8</v>
      </c>
      <c r="G345" s="2" t="str">
        <f t="shared" si="23"/>
        <v>Week 8-2025</v>
      </c>
      <c r="O345"/>
      <c r="Q345"/>
    </row>
    <row r="346" spans="1:17" hidden="1" x14ac:dyDescent="0.2">
      <c r="A346" s="3">
        <v>45710</v>
      </c>
      <c r="B346" s="2" t="s">
        <v>31</v>
      </c>
      <c r="C346" s="2">
        <v>2</v>
      </c>
      <c r="D346" s="2">
        <f t="shared" si="20"/>
        <v>2025</v>
      </c>
      <c r="E346" s="2" t="str">
        <f t="shared" si="21"/>
        <v>2025-8</v>
      </c>
      <c r="F346" s="2" t="str">
        <f t="shared" si="22"/>
        <v>Week 8</v>
      </c>
      <c r="G346" s="2" t="str">
        <f t="shared" si="23"/>
        <v>Week 8-2025</v>
      </c>
      <c r="O346"/>
      <c r="Q346"/>
    </row>
    <row r="347" spans="1:17" hidden="1" x14ac:dyDescent="0.2">
      <c r="A347" s="3">
        <v>45710</v>
      </c>
      <c r="B347" s="2" t="s">
        <v>30</v>
      </c>
      <c r="C347" s="2">
        <v>2</v>
      </c>
      <c r="D347" s="2">
        <f t="shared" si="20"/>
        <v>2025</v>
      </c>
      <c r="E347" s="2" t="str">
        <f t="shared" si="21"/>
        <v>2025-8</v>
      </c>
      <c r="F347" s="2" t="str">
        <f t="shared" si="22"/>
        <v>Week 8</v>
      </c>
      <c r="G347" s="2" t="str">
        <f t="shared" si="23"/>
        <v>Week 8-2025</v>
      </c>
      <c r="O347"/>
      <c r="Q347"/>
    </row>
    <row r="348" spans="1:17" hidden="1" x14ac:dyDescent="0.2">
      <c r="A348" s="3">
        <v>45710</v>
      </c>
      <c r="B348" s="2" t="s">
        <v>36</v>
      </c>
      <c r="C348" s="2">
        <v>2</v>
      </c>
      <c r="D348" s="2">
        <f t="shared" si="20"/>
        <v>2025</v>
      </c>
      <c r="E348" s="2" t="str">
        <f t="shared" si="21"/>
        <v>2025-8</v>
      </c>
      <c r="F348" s="2" t="str">
        <f t="shared" si="22"/>
        <v>Week 8</v>
      </c>
      <c r="G348" s="2" t="str">
        <f t="shared" si="23"/>
        <v>Week 8-2025</v>
      </c>
      <c r="O348"/>
      <c r="Q348"/>
    </row>
    <row r="349" spans="1:17" hidden="1" x14ac:dyDescent="0.2">
      <c r="A349" s="3">
        <v>45712</v>
      </c>
      <c r="B349" s="2" t="s">
        <v>7</v>
      </c>
      <c r="C349" s="2">
        <v>16</v>
      </c>
      <c r="D349" s="2">
        <f t="shared" si="20"/>
        <v>2025</v>
      </c>
      <c r="E349" s="2" t="str">
        <f t="shared" si="21"/>
        <v>2025-9</v>
      </c>
      <c r="F349" s="2" t="str">
        <f t="shared" si="22"/>
        <v>Week 9</v>
      </c>
      <c r="G349" s="2" t="str">
        <f t="shared" si="23"/>
        <v>Week 9-2025</v>
      </c>
      <c r="O349"/>
      <c r="Q349"/>
    </row>
    <row r="350" spans="1:17" hidden="1" x14ac:dyDescent="0.2">
      <c r="A350" s="3">
        <v>45712</v>
      </c>
      <c r="B350" s="2" t="s">
        <v>6</v>
      </c>
      <c r="C350" s="2">
        <v>4</v>
      </c>
      <c r="D350" s="2">
        <f t="shared" si="20"/>
        <v>2025</v>
      </c>
      <c r="E350" s="2" t="str">
        <f t="shared" si="21"/>
        <v>2025-9</v>
      </c>
      <c r="F350" s="2" t="str">
        <f t="shared" si="22"/>
        <v>Week 9</v>
      </c>
      <c r="G350" s="2" t="str">
        <f t="shared" si="23"/>
        <v>Week 9-2025</v>
      </c>
      <c r="O350"/>
      <c r="Q350"/>
    </row>
    <row r="351" spans="1:17" hidden="1" x14ac:dyDescent="0.2">
      <c r="A351" s="3">
        <v>45712</v>
      </c>
      <c r="B351" s="2" t="s">
        <v>14</v>
      </c>
      <c r="C351" s="2">
        <v>8</v>
      </c>
      <c r="D351" s="2">
        <f t="shared" si="20"/>
        <v>2025</v>
      </c>
      <c r="E351" s="2" t="str">
        <f t="shared" si="21"/>
        <v>2025-9</v>
      </c>
      <c r="F351" s="2" t="str">
        <f t="shared" si="22"/>
        <v>Week 9</v>
      </c>
      <c r="G351" s="2" t="str">
        <f t="shared" si="23"/>
        <v>Week 9-2025</v>
      </c>
      <c r="O351"/>
      <c r="Q351"/>
    </row>
    <row r="352" spans="1:17" hidden="1" x14ac:dyDescent="0.2">
      <c r="A352" s="3">
        <v>45712</v>
      </c>
      <c r="B352" s="2" t="s">
        <v>9</v>
      </c>
      <c r="C352" s="2">
        <v>4</v>
      </c>
      <c r="D352" s="2">
        <f t="shared" si="20"/>
        <v>2025</v>
      </c>
      <c r="E352" s="2" t="str">
        <f t="shared" si="21"/>
        <v>2025-9</v>
      </c>
      <c r="F352" s="2" t="str">
        <f t="shared" si="22"/>
        <v>Week 9</v>
      </c>
      <c r="G352" s="2" t="str">
        <f t="shared" si="23"/>
        <v>Week 9-2025</v>
      </c>
      <c r="O352"/>
      <c r="Q352"/>
    </row>
    <row r="353" spans="1:17" hidden="1" x14ac:dyDescent="0.2">
      <c r="A353" s="3">
        <v>45712</v>
      </c>
      <c r="B353" s="2" t="s">
        <v>9</v>
      </c>
      <c r="C353" s="2">
        <v>4</v>
      </c>
      <c r="D353" s="2">
        <f t="shared" si="20"/>
        <v>2025</v>
      </c>
      <c r="E353" s="2" t="str">
        <f t="shared" si="21"/>
        <v>2025-9</v>
      </c>
      <c r="F353" s="2" t="str">
        <f t="shared" si="22"/>
        <v>Week 9</v>
      </c>
      <c r="G353" s="2" t="str">
        <f t="shared" si="23"/>
        <v>Week 9-2025</v>
      </c>
      <c r="O353"/>
      <c r="Q353"/>
    </row>
    <row r="354" spans="1:17" hidden="1" x14ac:dyDescent="0.2">
      <c r="A354" s="3">
        <v>45712</v>
      </c>
      <c r="B354" s="2" t="s">
        <v>3</v>
      </c>
      <c r="C354" s="2">
        <v>2</v>
      </c>
      <c r="D354" s="2">
        <f t="shared" si="20"/>
        <v>2025</v>
      </c>
      <c r="E354" s="2" t="str">
        <f t="shared" si="21"/>
        <v>2025-9</v>
      </c>
      <c r="F354" s="2" t="str">
        <f t="shared" si="22"/>
        <v>Week 9</v>
      </c>
      <c r="G354" s="2" t="str">
        <f t="shared" si="23"/>
        <v>Week 9-2025</v>
      </c>
      <c r="O354"/>
      <c r="Q354"/>
    </row>
    <row r="355" spans="1:17" hidden="1" x14ac:dyDescent="0.2">
      <c r="A355" s="3">
        <v>45712</v>
      </c>
      <c r="B355" s="2" t="s">
        <v>8</v>
      </c>
      <c r="C355" s="2">
        <v>2</v>
      </c>
      <c r="D355" s="2">
        <f t="shared" si="20"/>
        <v>2025</v>
      </c>
      <c r="E355" s="2" t="str">
        <f t="shared" si="21"/>
        <v>2025-9</v>
      </c>
      <c r="F355" s="2" t="str">
        <f t="shared" si="22"/>
        <v>Week 9</v>
      </c>
      <c r="G355" s="2" t="str">
        <f t="shared" si="23"/>
        <v>Week 9-2025</v>
      </c>
      <c r="O355"/>
      <c r="Q355"/>
    </row>
    <row r="356" spans="1:17" hidden="1" x14ac:dyDescent="0.2">
      <c r="A356" s="3">
        <v>45713</v>
      </c>
      <c r="B356" s="2" t="s">
        <v>28</v>
      </c>
      <c r="C356" s="2">
        <v>35</v>
      </c>
      <c r="D356" s="2">
        <f t="shared" si="20"/>
        <v>2025</v>
      </c>
      <c r="E356" s="2" t="str">
        <f t="shared" si="21"/>
        <v>2025-9</v>
      </c>
      <c r="F356" s="2" t="str">
        <f t="shared" si="22"/>
        <v>Week 9</v>
      </c>
      <c r="G356" s="2" t="str">
        <f t="shared" si="23"/>
        <v>Week 9-2025</v>
      </c>
      <c r="O356"/>
      <c r="Q356"/>
    </row>
    <row r="357" spans="1:17" hidden="1" x14ac:dyDescent="0.2">
      <c r="A357" s="3">
        <v>45713</v>
      </c>
      <c r="B357" s="2" t="s">
        <v>36</v>
      </c>
      <c r="C357" s="2">
        <v>20</v>
      </c>
      <c r="D357" s="2">
        <f t="shared" si="20"/>
        <v>2025</v>
      </c>
      <c r="E357" s="2" t="str">
        <f t="shared" si="21"/>
        <v>2025-9</v>
      </c>
      <c r="F357" s="2" t="str">
        <f t="shared" si="22"/>
        <v>Week 9</v>
      </c>
      <c r="G357" s="2" t="str">
        <f t="shared" si="23"/>
        <v>Week 9-2025</v>
      </c>
      <c r="O357"/>
      <c r="Q357"/>
    </row>
    <row r="358" spans="1:17" hidden="1" x14ac:dyDescent="0.2">
      <c r="A358" s="3">
        <v>45713</v>
      </c>
      <c r="B358" s="2" t="s">
        <v>28</v>
      </c>
      <c r="C358" s="2">
        <v>13</v>
      </c>
      <c r="D358" s="2">
        <f t="shared" si="20"/>
        <v>2025</v>
      </c>
      <c r="E358" s="2" t="str">
        <f t="shared" si="21"/>
        <v>2025-9</v>
      </c>
      <c r="F358" s="2" t="str">
        <f t="shared" si="22"/>
        <v>Week 9</v>
      </c>
      <c r="G358" s="2" t="str">
        <f t="shared" si="23"/>
        <v>Week 9-2025</v>
      </c>
      <c r="O358"/>
      <c r="Q358"/>
    </row>
    <row r="359" spans="1:17" hidden="1" x14ac:dyDescent="0.2">
      <c r="A359" s="3">
        <v>45713</v>
      </c>
      <c r="B359" s="2" t="s">
        <v>5</v>
      </c>
      <c r="C359" s="2">
        <v>7</v>
      </c>
      <c r="D359" s="2">
        <f t="shared" si="20"/>
        <v>2025</v>
      </c>
      <c r="E359" s="2" t="str">
        <f t="shared" si="21"/>
        <v>2025-9</v>
      </c>
      <c r="F359" s="2" t="str">
        <f t="shared" si="22"/>
        <v>Week 9</v>
      </c>
      <c r="G359" s="2" t="str">
        <f t="shared" si="23"/>
        <v>Week 9-2025</v>
      </c>
      <c r="O359"/>
      <c r="Q359"/>
    </row>
    <row r="360" spans="1:17" hidden="1" x14ac:dyDescent="0.2">
      <c r="A360" s="3">
        <v>45713</v>
      </c>
      <c r="B360" s="2" t="s">
        <v>5</v>
      </c>
      <c r="C360" s="2">
        <v>6</v>
      </c>
      <c r="D360" s="2">
        <f t="shared" si="20"/>
        <v>2025</v>
      </c>
      <c r="E360" s="2" t="str">
        <f t="shared" si="21"/>
        <v>2025-9</v>
      </c>
      <c r="F360" s="2" t="str">
        <f t="shared" si="22"/>
        <v>Week 9</v>
      </c>
      <c r="G360" s="2" t="str">
        <f t="shared" si="23"/>
        <v>Week 9-2025</v>
      </c>
      <c r="O360"/>
      <c r="Q360"/>
    </row>
    <row r="361" spans="1:17" hidden="1" x14ac:dyDescent="0.2">
      <c r="A361" s="3">
        <v>45713</v>
      </c>
      <c r="B361" s="2" t="s">
        <v>14</v>
      </c>
      <c r="C361" s="2">
        <v>8</v>
      </c>
      <c r="D361" s="2">
        <f t="shared" si="20"/>
        <v>2025</v>
      </c>
      <c r="E361" s="2" t="str">
        <f t="shared" si="21"/>
        <v>2025-9</v>
      </c>
      <c r="F361" s="2" t="str">
        <f t="shared" si="22"/>
        <v>Week 9</v>
      </c>
      <c r="G361" s="2" t="str">
        <f t="shared" si="23"/>
        <v>Week 9-2025</v>
      </c>
      <c r="O361"/>
      <c r="Q361"/>
    </row>
    <row r="362" spans="1:17" hidden="1" x14ac:dyDescent="0.2">
      <c r="A362" s="3">
        <v>45713</v>
      </c>
      <c r="B362" s="2" t="s">
        <v>4</v>
      </c>
      <c r="C362" s="2">
        <v>4</v>
      </c>
      <c r="D362" s="2">
        <f t="shared" si="20"/>
        <v>2025</v>
      </c>
      <c r="E362" s="2" t="str">
        <f t="shared" si="21"/>
        <v>2025-9</v>
      </c>
      <c r="F362" s="2" t="str">
        <f t="shared" si="22"/>
        <v>Week 9</v>
      </c>
      <c r="G362" s="2" t="str">
        <f t="shared" si="23"/>
        <v>Week 9-2025</v>
      </c>
      <c r="O362"/>
      <c r="Q362"/>
    </row>
    <row r="363" spans="1:17" hidden="1" x14ac:dyDescent="0.2">
      <c r="A363" s="3">
        <v>45713</v>
      </c>
      <c r="B363" s="2" t="s">
        <v>9</v>
      </c>
      <c r="C363" s="2">
        <v>4</v>
      </c>
      <c r="D363" s="2">
        <f t="shared" si="20"/>
        <v>2025</v>
      </c>
      <c r="E363" s="2" t="str">
        <f t="shared" si="21"/>
        <v>2025-9</v>
      </c>
      <c r="F363" s="2" t="str">
        <f t="shared" si="22"/>
        <v>Week 9</v>
      </c>
      <c r="G363" s="2" t="str">
        <f t="shared" si="23"/>
        <v>Week 9-2025</v>
      </c>
      <c r="O363"/>
      <c r="Q363"/>
    </row>
    <row r="364" spans="1:17" hidden="1" x14ac:dyDescent="0.2">
      <c r="A364" s="3">
        <v>45713</v>
      </c>
      <c r="B364" s="2" t="s">
        <v>46</v>
      </c>
      <c r="C364" s="2">
        <v>8</v>
      </c>
      <c r="D364" s="2">
        <f t="shared" si="20"/>
        <v>2025</v>
      </c>
      <c r="E364" s="2" t="str">
        <f t="shared" si="21"/>
        <v>2025-9</v>
      </c>
      <c r="F364" s="2" t="str">
        <f t="shared" si="22"/>
        <v>Week 9</v>
      </c>
      <c r="G364" s="2" t="str">
        <f t="shared" si="23"/>
        <v>Week 9-2025</v>
      </c>
      <c r="O364"/>
      <c r="Q364"/>
    </row>
    <row r="365" spans="1:17" hidden="1" x14ac:dyDescent="0.2">
      <c r="A365" s="3">
        <v>45713</v>
      </c>
      <c r="B365" s="2" t="s">
        <v>17</v>
      </c>
      <c r="C365" s="2">
        <v>4</v>
      </c>
      <c r="D365" s="2">
        <f t="shared" si="20"/>
        <v>2025</v>
      </c>
      <c r="E365" s="2" t="str">
        <f t="shared" si="21"/>
        <v>2025-9</v>
      </c>
      <c r="F365" s="2" t="str">
        <f t="shared" si="22"/>
        <v>Week 9</v>
      </c>
      <c r="G365" s="2" t="str">
        <f t="shared" si="23"/>
        <v>Week 9-2025</v>
      </c>
      <c r="O365"/>
      <c r="Q365"/>
    </row>
    <row r="366" spans="1:17" hidden="1" x14ac:dyDescent="0.2">
      <c r="A366" s="3">
        <v>45713</v>
      </c>
      <c r="B366" s="2" t="s">
        <v>30</v>
      </c>
      <c r="C366" s="2">
        <v>6</v>
      </c>
      <c r="D366" s="2">
        <f t="shared" si="20"/>
        <v>2025</v>
      </c>
      <c r="E366" s="2" t="str">
        <f t="shared" si="21"/>
        <v>2025-9</v>
      </c>
      <c r="F366" s="2" t="str">
        <f t="shared" si="22"/>
        <v>Week 9</v>
      </c>
      <c r="G366" s="2" t="str">
        <f t="shared" si="23"/>
        <v>Week 9-2025</v>
      </c>
      <c r="O366"/>
      <c r="Q366"/>
    </row>
    <row r="367" spans="1:17" hidden="1" x14ac:dyDescent="0.2">
      <c r="A367" s="3">
        <v>45713</v>
      </c>
      <c r="B367" s="2" t="s">
        <v>30</v>
      </c>
      <c r="C367" s="2">
        <v>6</v>
      </c>
      <c r="D367" s="2">
        <f t="shared" si="20"/>
        <v>2025</v>
      </c>
      <c r="E367" s="2" t="str">
        <f t="shared" si="21"/>
        <v>2025-9</v>
      </c>
      <c r="F367" s="2" t="str">
        <f t="shared" si="22"/>
        <v>Week 9</v>
      </c>
      <c r="G367" s="2" t="str">
        <f t="shared" si="23"/>
        <v>Week 9-2025</v>
      </c>
      <c r="O367"/>
      <c r="Q367"/>
    </row>
    <row r="368" spans="1:17" hidden="1" x14ac:dyDescent="0.2">
      <c r="A368" s="3">
        <v>45713</v>
      </c>
      <c r="B368" s="2" t="s">
        <v>15</v>
      </c>
      <c r="C368" s="2">
        <v>7</v>
      </c>
      <c r="D368" s="2">
        <f t="shared" si="20"/>
        <v>2025</v>
      </c>
      <c r="E368" s="2" t="str">
        <f t="shared" si="21"/>
        <v>2025-9</v>
      </c>
      <c r="F368" s="2" t="str">
        <f t="shared" si="22"/>
        <v>Week 9</v>
      </c>
      <c r="G368" s="2" t="str">
        <f t="shared" si="23"/>
        <v>Week 9-2025</v>
      </c>
      <c r="O368"/>
      <c r="Q368"/>
    </row>
    <row r="369" spans="1:17" hidden="1" x14ac:dyDescent="0.2">
      <c r="A369" s="3">
        <v>45713</v>
      </c>
      <c r="B369" s="2" t="s">
        <v>15</v>
      </c>
      <c r="C369" s="2">
        <v>4</v>
      </c>
      <c r="D369" s="2">
        <f t="shared" si="20"/>
        <v>2025</v>
      </c>
      <c r="E369" s="2" t="str">
        <f t="shared" si="21"/>
        <v>2025-9</v>
      </c>
      <c r="F369" s="2" t="str">
        <f t="shared" si="22"/>
        <v>Week 9</v>
      </c>
      <c r="G369" s="2" t="str">
        <f t="shared" si="23"/>
        <v>Week 9-2025</v>
      </c>
      <c r="O369"/>
      <c r="Q369"/>
    </row>
    <row r="370" spans="1:17" hidden="1" x14ac:dyDescent="0.2">
      <c r="A370" s="3">
        <v>45713</v>
      </c>
      <c r="B370" s="2" t="s">
        <v>42</v>
      </c>
      <c r="C370" s="2">
        <v>2</v>
      </c>
      <c r="D370" s="2">
        <f t="shared" si="20"/>
        <v>2025</v>
      </c>
      <c r="E370" s="2" t="str">
        <f t="shared" si="21"/>
        <v>2025-9</v>
      </c>
      <c r="F370" s="2" t="str">
        <f t="shared" si="22"/>
        <v>Week 9</v>
      </c>
      <c r="G370" s="2" t="str">
        <f t="shared" si="23"/>
        <v>Week 9-2025</v>
      </c>
      <c r="O370"/>
      <c r="Q370"/>
    </row>
    <row r="371" spans="1:17" hidden="1" x14ac:dyDescent="0.2">
      <c r="A371" s="3">
        <v>45713</v>
      </c>
      <c r="B371" s="2" t="s">
        <v>51</v>
      </c>
      <c r="C371" s="2">
        <v>2</v>
      </c>
      <c r="D371" s="2">
        <f t="shared" si="20"/>
        <v>2025</v>
      </c>
      <c r="E371" s="2" t="str">
        <f t="shared" si="21"/>
        <v>2025-9</v>
      </c>
      <c r="F371" s="2" t="str">
        <f t="shared" si="22"/>
        <v>Week 9</v>
      </c>
      <c r="G371" s="2" t="str">
        <f t="shared" si="23"/>
        <v>Week 9-2025</v>
      </c>
      <c r="O371"/>
      <c r="Q371"/>
    </row>
    <row r="372" spans="1:17" hidden="1" x14ac:dyDescent="0.2">
      <c r="A372" s="3">
        <v>45713</v>
      </c>
      <c r="B372" s="2" t="s">
        <v>17</v>
      </c>
      <c r="C372" s="2">
        <v>1</v>
      </c>
      <c r="D372" s="2">
        <f t="shared" si="20"/>
        <v>2025</v>
      </c>
      <c r="E372" s="2" t="str">
        <f t="shared" si="21"/>
        <v>2025-9</v>
      </c>
      <c r="F372" s="2" t="str">
        <f t="shared" si="22"/>
        <v>Week 9</v>
      </c>
      <c r="G372" s="2" t="str">
        <f t="shared" si="23"/>
        <v>Week 9-2025</v>
      </c>
      <c r="O372"/>
      <c r="Q372"/>
    </row>
    <row r="373" spans="1:17" hidden="1" x14ac:dyDescent="0.2">
      <c r="A373" s="3">
        <v>45714</v>
      </c>
      <c r="B373" s="2" t="s">
        <v>6</v>
      </c>
      <c r="C373" s="2">
        <v>8</v>
      </c>
      <c r="D373" s="2">
        <f t="shared" si="20"/>
        <v>2025</v>
      </c>
      <c r="E373" s="2" t="str">
        <f t="shared" si="21"/>
        <v>2025-9</v>
      </c>
      <c r="F373" s="2" t="str">
        <f t="shared" si="22"/>
        <v>Week 9</v>
      </c>
      <c r="G373" s="2" t="str">
        <f t="shared" si="23"/>
        <v>Week 9-2025</v>
      </c>
      <c r="O373"/>
      <c r="Q373"/>
    </row>
    <row r="374" spans="1:17" hidden="1" x14ac:dyDescent="0.2">
      <c r="A374" s="3">
        <v>45714</v>
      </c>
      <c r="B374" s="2" t="s">
        <v>3</v>
      </c>
      <c r="C374" s="2">
        <v>8</v>
      </c>
      <c r="D374" s="2">
        <f t="shared" si="20"/>
        <v>2025</v>
      </c>
      <c r="E374" s="2" t="str">
        <f t="shared" si="21"/>
        <v>2025-9</v>
      </c>
      <c r="F374" s="2" t="str">
        <f t="shared" si="22"/>
        <v>Week 9</v>
      </c>
      <c r="G374" s="2" t="str">
        <f t="shared" si="23"/>
        <v>Week 9-2025</v>
      </c>
      <c r="O374"/>
      <c r="Q374"/>
    </row>
    <row r="375" spans="1:17" hidden="1" x14ac:dyDescent="0.2">
      <c r="A375" s="3">
        <v>45717</v>
      </c>
      <c r="B375" s="2" t="s">
        <v>9</v>
      </c>
      <c r="C375" s="2">
        <v>14</v>
      </c>
      <c r="D375" s="2">
        <f t="shared" si="20"/>
        <v>2025</v>
      </c>
      <c r="E375" s="2" t="str">
        <f t="shared" si="21"/>
        <v>2025-9</v>
      </c>
      <c r="F375" s="2" t="str">
        <f t="shared" si="22"/>
        <v>Week 9</v>
      </c>
      <c r="G375" s="2" t="str">
        <f t="shared" si="23"/>
        <v>Week 9-2025</v>
      </c>
      <c r="O375"/>
      <c r="Q375"/>
    </row>
    <row r="376" spans="1:17" hidden="1" x14ac:dyDescent="0.2">
      <c r="A376" s="3">
        <v>45717</v>
      </c>
      <c r="B376" s="2" t="s">
        <v>6</v>
      </c>
      <c r="C376" s="2">
        <v>8</v>
      </c>
      <c r="D376" s="2">
        <f t="shared" si="20"/>
        <v>2025</v>
      </c>
      <c r="E376" s="2" t="str">
        <f t="shared" si="21"/>
        <v>2025-9</v>
      </c>
      <c r="F376" s="2" t="str">
        <f t="shared" si="22"/>
        <v>Week 9</v>
      </c>
      <c r="G376" s="2" t="str">
        <f t="shared" si="23"/>
        <v>Week 9-2025</v>
      </c>
      <c r="O376"/>
      <c r="Q376"/>
    </row>
    <row r="377" spans="1:17" hidden="1" x14ac:dyDescent="0.2">
      <c r="A377" s="3">
        <v>45717</v>
      </c>
      <c r="B377" s="2" t="s">
        <v>3</v>
      </c>
      <c r="C377" s="2">
        <v>10</v>
      </c>
      <c r="D377" s="2">
        <f t="shared" si="20"/>
        <v>2025</v>
      </c>
      <c r="E377" s="2" t="str">
        <f t="shared" si="21"/>
        <v>2025-9</v>
      </c>
      <c r="F377" s="2" t="str">
        <f t="shared" si="22"/>
        <v>Week 9</v>
      </c>
      <c r="G377" s="2" t="str">
        <f t="shared" si="23"/>
        <v>Week 9-2025</v>
      </c>
      <c r="O377"/>
      <c r="Q377"/>
    </row>
    <row r="378" spans="1:17" hidden="1" x14ac:dyDescent="0.2">
      <c r="A378" s="3">
        <v>45717</v>
      </c>
      <c r="B378" s="2" t="s">
        <v>3</v>
      </c>
      <c r="C378" s="2">
        <v>8</v>
      </c>
      <c r="D378" s="2">
        <f t="shared" si="20"/>
        <v>2025</v>
      </c>
      <c r="E378" s="2" t="str">
        <f t="shared" si="21"/>
        <v>2025-9</v>
      </c>
      <c r="F378" s="2" t="str">
        <f t="shared" si="22"/>
        <v>Week 9</v>
      </c>
      <c r="G378" s="2" t="str">
        <f t="shared" si="23"/>
        <v>Week 9-2025</v>
      </c>
      <c r="O378"/>
      <c r="Q378"/>
    </row>
    <row r="379" spans="1:17" hidden="1" x14ac:dyDescent="0.2">
      <c r="A379" s="3">
        <v>45717</v>
      </c>
      <c r="B379" s="2" t="s">
        <v>5</v>
      </c>
      <c r="C379" s="2">
        <v>8</v>
      </c>
      <c r="D379" s="2">
        <f t="shared" si="20"/>
        <v>2025</v>
      </c>
      <c r="E379" s="2" t="str">
        <f t="shared" si="21"/>
        <v>2025-9</v>
      </c>
      <c r="F379" s="2" t="str">
        <f t="shared" si="22"/>
        <v>Week 9</v>
      </c>
      <c r="G379" s="2" t="str">
        <f t="shared" si="23"/>
        <v>Week 9-2025</v>
      </c>
      <c r="O379"/>
      <c r="Q379"/>
    </row>
    <row r="380" spans="1:17" hidden="1" x14ac:dyDescent="0.2">
      <c r="A380" s="3">
        <v>45717</v>
      </c>
      <c r="B380" s="2" t="s">
        <v>5</v>
      </c>
      <c r="C380" s="2">
        <v>8</v>
      </c>
      <c r="D380" s="2">
        <f t="shared" si="20"/>
        <v>2025</v>
      </c>
      <c r="E380" s="2" t="str">
        <f t="shared" si="21"/>
        <v>2025-9</v>
      </c>
      <c r="F380" s="2" t="str">
        <f t="shared" si="22"/>
        <v>Week 9</v>
      </c>
      <c r="G380" s="2" t="str">
        <f t="shared" si="23"/>
        <v>Week 9-2025</v>
      </c>
      <c r="O380"/>
      <c r="Q380"/>
    </row>
    <row r="381" spans="1:17" hidden="1" x14ac:dyDescent="0.2">
      <c r="A381" s="3">
        <v>45717</v>
      </c>
      <c r="B381" s="2" t="s">
        <v>5</v>
      </c>
      <c r="C381" s="2">
        <v>8</v>
      </c>
      <c r="D381" s="2">
        <f t="shared" si="20"/>
        <v>2025</v>
      </c>
      <c r="E381" s="2" t="str">
        <f t="shared" si="21"/>
        <v>2025-9</v>
      </c>
      <c r="F381" s="2" t="str">
        <f t="shared" si="22"/>
        <v>Week 9</v>
      </c>
      <c r="G381" s="2" t="str">
        <f t="shared" si="23"/>
        <v>Week 9-2025</v>
      </c>
      <c r="O381"/>
      <c r="Q381"/>
    </row>
    <row r="382" spans="1:17" hidden="1" x14ac:dyDescent="0.2">
      <c r="A382" s="3">
        <v>45717</v>
      </c>
      <c r="B382" s="2" t="s">
        <v>3</v>
      </c>
      <c r="C382" s="2">
        <v>6</v>
      </c>
      <c r="D382" s="2">
        <f t="shared" si="20"/>
        <v>2025</v>
      </c>
      <c r="E382" s="2" t="str">
        <f t="shared" si="21"/>
        <v>2025-9</v>
      </c>
      <c r="F382" s="2" t="str">
        <f t="shared" si="22"/>
        <v>Week 9</v>
      </c>
      <c r="G382" s="2" t="str">
        <f t="shared" si="23"/>
        <v>Week 9-2025</v>
      </c>
      <c r="O382"/>
      <c r="Q382"/>
    </row>
    <row r="383" spans="1:17" hidden="1" x14ac:dyDescent="0.2">
      <c r="A383" s="3">
        <v>45717</v>
      </c>
      <c r="B383" s="2" t="s">
        <v>10</v>
      </c>
      <c r="C383" s="2">
        <v>8</v>
      </c>
      <c r="D383" s="2">
        <f t="shared" si="20"/>
        <v>2025</v>
      </c>
      <c r="E383" s="2" t="str">
        <f t="shared" si="21"/>
        <v>2025-9</v>
      </c>
      <c r="F383" s="2" t="str">
        <f t="shared" si="22"/>
        <v>Week 9</v>
      </c>
      <c r="G383" s="2" t="str">
        <f t="shared" si="23"/>
        <v>Week 9-2025</v>
      </c>
      <c r="O383"/>
      <c r="Q383"/>
    </row>
    <row r="384" spans="1:17" hidden="1" x14ac:dyDescent="0.2">
      <c r="A384" s="3">
        <v>45717</v>
      </c>
      <c r="B384" s="2" t="s">
        <v>5</v>
      </c>
      <c r="C384" s="2">
        <v>6</v>
      </c>
      <c r="D384" s="2">
        <f t="shared" si="20"/>
        <v>2025</v>
      </c>
      <c r="E384" s="2" t="str">
        <f t="shared" si="21"/>
        <v>2025-9</v>
      </c>
      <c r="F384" s="2" t="str">
        <f t="shared" si="22"/>
        <v>Week 9</v>
      </c>
      <c r="G384" s="2" t="str">
        <f t="shared" si="23"/>
        <v>Week 9-2025</v>
      </c>
      <c r="O384"/>
      <c r="Q384"/>
    </row>
    <row r="385" spans="1:17" hidden="1" x14ac:dyDescent="0.2">
      <c r="A385" s="3">
        <v>45717</v>
      </c>
      <c r="B385" s="2" t="s">
        <v>40</v>
      </c>
      <c r="C385" s="2">
        <v>6</v>
      </c>
      <c r="D385" s="2">
        <f t="shared" si="20"/>
        <v>2025</v>
      </c>
      <c r="E385" s="2" t="str">
        <f t="shared" si="21"/>
        <v>2025-9</v>
      </c>
      <c r="F385" s="2" t="str">
        <f t="shared" si="22"/>
        <v>Week 9</v>
      </c>
      <c r="G385" s="2" t="str">
        <f t="shared" si="23"/>
        <v>Week 9-2025</v>
      </c>
      <c r="O385"/>
      <c r="Q385"/>
    </row>
    <row r="386" spans="1:17" hidden="1" x14ac:dyDescent="0.2">
      <c r="A386" s="3">
        <v>45717</v>
      </c>
      <c r="B386" s="2" t="s">
        <v>14</v>
      </c>
      <c r="C386" s="2">
        <v>8</v>
      </c>
      <c r="D386" s="2">
        <f t="shared" ref="D386:D449" si="24">YEAR(A386)</f>
        <v>2025</v>
      </c>
      <c r="E386" s="2" t="str">
        <f t="shared" ref="E386:E449" si="25">YEAR(A386)&amp;"-"&amp;_xlfn.ISOWEEKNUM(A386)</f>
        <v>2025-9</v>
      </c>
      <c r="F386" s="2" t="str">
        <f t="shared" ref="F386:F449" si="26">_xlfn.CONCAT("Week "&amp;WEEKNUM(A386))</f>
        <v>Week 9</v>
      </c>
      <c r="G386" s="2" t="str">
        <f t="shared" ref="G386:G449" si="27">_xlfn.CONCAT(F386,"-",D386)</f>
        <v>Week 9-2025</v>
      </c>
      <c r="O386"/>
      <c r="Q386"/>
    </row>
    <row r="387" spans="1:17" hidden="1" x14ac:dyDescent="0.2">
      <c r="A387" s="3">
        <v>45717</v>
      </c>
      <c r="B387" s="2" t="s">
        <v>14</v>
      </c>
      <c r="C387" s="2">
        <v>8</v>
      </c>
      <c r="D387" s="2">
        <f t="shared" si="24"/>
        <v>2025</v>
      </c>
      <c r="E387" s="2" t="str">
        <f t="shared" si="25"/>
        <v>2025-9</v>
      </c>
      <c r="F387" s="2" t="str">
        <f t="shared" si="26"/>
        <v>Week 9</v>
      </c>
      <c r="G387" s="2" t="str">
        <f t="shared" si="27"/>
        <v>Week 9-2025</v>
      </c>
      <c r="O387"/>
      <c r="Q387"/>
    </row>
    <row r="388" spans="1:17" hidden="1" x14ac:dyDescent="0.2">
      <c r="A388" s="3">
        <v>45717</v>
      </c>
      <c r="B388" s="2" t="s">
        <v>13</v>
      </c>
      <c r="C388" s="2">
        <v>4</v>
      </c>
      <c r="D388" s="2">
        <f t="shared" si="24"/>
        <v>2025</v>
      </c>
      <c r="E388" s="2" t="str">
        <f t="shared" si="25"/>
        <v>2025-9</v>
      </c>
      <c r="F388" s="2" t="str">
        <f t="shared" si="26"/>
        <v>Week 9</v>
      </c>
      <c r="G388" s="2" t="str">
        <f t="shared" si="27"/>
        <v>Week 9-2025</v>
      </c>
      <c r="O388"/>
      <c r="Q388"/>
    </row>
    <row r="389" spans="1:17" hidden="1" x14ac:dyDescent="0.2">
      <c r="A389" s="3">
        <v>45717</v>
      </c>
      <c r="B389" s="2" t="s">
        <v>17</v>
      </c>
      <c r="C389" s="2">
        <v>4</v>
      </c>
      <c r="D389" s="2">
        <f t="shared" si="24"/>
        <v>2025</v>
      </c>
      <c r="E389" s="2" t="str">
        <f t="shared" si="25"/>
        <v>2025-9</v>
      </c>
      <c r="F389" s="2" t="str">
        <f t="shared" si="26"/>
        <v>Week 9</v>
      </c>
      <c r="G389" s="2" t="str">
        <f t="shared" si="27"/>
        <v>Week 9-2025</v>
      </c>
      <c r="O389"/>
      <c r="Q389"/>
    </row>
    <row r="390" spans="1:17" hidden="1" x14ac:dyDescent="0.2">
      <c r="A390" s="3">
        <v>45717</v>
      </c>
      <c r="B390" s="2" t="s">
        <v>18</v>
      </c>
      <c r="C390" s="2">
        <v>2</v>
      </c>
      <c r="D390" s="2">
        <f t="shared" si="24"/>
        <v>2025</v>
      </c>
      <c r="E390" s="2" t="str">
        <f t="shared" si="25"/>
        <v>2025-9</v>
      </c>
      <c r="F390" s="2" t="str">
        <f t="shared" si="26"/>
        <v>Week 9</v>
      </c>
      <c r="G390" s="2" t="str">
        <f t="shared" si="27"/>
        <v>Week 9-2025</v>
      </c>
      <c r="O390"/>
      <c r="Q390"/>
    </row>
    <row r="391" spans="1:17" hidden="1" x14ac:dyDescent="0.2">
      <c r="A391" s="3">
        <v>45717</v>
      </c>
      <c r="B391" s="2" t="s">
        <v>7</v>
      </c>
      <c r="C391" s="2">
        <v>2</v>
      </c>
      <c r="D391" s="2">
        <f t="shared" si="24"/>
        <v>2025</v>
      </c>
      <c r="E391" s="2" t="str">
        <f t="shared" si="25"/>
        <v>2025-9</v>
      </c>
      <c r="F391" s="2" t="str">
        <f t="shared" si="26"/>
        <v>Week 9</v>
      </c>
      <c r="G391" s="2" t="str">
        <f t="shared" si="27"/>
        <v>Week 9-2025</v>
      </c>
      <c r="O391"/>
      <c r="Q391"/>
    </row>
    <row r="392" spans="1:17" hidden="1" x14ac:dyDescent="0.2">
      <c r="A392" s="3">
        <v>45717</v>
      </c>
      <c r="B392" s="2" t="s">
        <v>38</v>
      </c>
      <c r="C392" s="2">
        <v>4</v>
      </c>
      <c r="D392" s="2">
        <f t="shared" si="24"/>
        <v>2025</v>
      </c>
      <c r="E392" s="2" t="str">
        <f t="shared" si="25"/>
        <v>2025-9</v>
      </c>
      <c r="F392" s="2" t="str">
        <f t="shared" si="26"/>
        <v>Week 9</v>
      </c>
      <c r="G392" s="2" t="str">
        <f t="shared" si="27"/>
        <v>Week 9-2025</v>
      </c>
      <c r="O392"/>
      <c r="Q392"/>
    </row>
    <row r="393" spans="1:17" hidden="1" x14ac:dyDescent="0.2">
      <c r="A393" s="3">
        <v>45720</v>
      </c>
      <c r="B393" s="2" t="s">
        <v>3</v>
      </c>
      <c r="C393" s="2">
        <v>8</v>
      </c>
      <c r="D393" s="2">
        <f t="shared" si="24"/>
        <v>2025</v>
      </c>
      <c r="E393" s="2" t="str">
        <f t="shared" si="25"/>
        <v>2025-10</v>
      </c>
      <c r="F393" s="2" t="str">
        <f t="shared" si="26"/>
        <v>Week 10</v>
      </c>
      <c r="G393" s="2" t="str">
        <f t="shared" si="27"/>
        <v>Week 10-2025</v>
      </c>
      <c r="O393"/>
      <c r="Q393"/>
    </row>
    <row r="394" spans="1:17" hidden="1" x14ac:dyDescent="0.2">
      <c r="A394" s="3">
        <v>45720</v>
      </c>
      <c r="B394" s="2" t="s">
        <v>5</v>
      </c>
      <c r="C394" s="2">
        <v>4</v>
      </c>
      <c r="D394" s="2">
        <f t="shared" si="24"/>
        <v>2025</v>
      </c>
      <c r="E394" s="2" t="str">
        <f t="shared" si="25"/>
        <v>2025-10</v>
      </c>
      <c r="F394" s="2" t="str">
        <f t="shared" si="26"/>
        <v>Week 10</v>
      </c>
      <c r="G394" s="2" t="str">
        <f t="shared" si="27"/>
        <v>Week 10-2025</v>
      </c>
      <c r="O394"/>
      <c r="Q394"/>
    </row>
    <row r="395" spans="1:17" hidden="1" x14ac:dyDescent="0.2">
      <c r="A395" s="3">
        <v>45720</v>
      </c>
      <c r="B395" s="2" t="s">
        <v>9</v>
      </c>
      <c r="C395" s="2">
        <v>2</v>
      </c>
      <c r="D395" s="2">
        <f t="shared" si="24"/>
        <v>2025</v>
      </c>
      <c r="E395" s="2" t="str">
        <f t="shared" si="25"/>
        <v>2025-10</v>
      </c>
      <c r="F395" s="2" t="str">
        <f t="shared" si="26"/>
        <v>Week 10</v>
      </c>
      <c r="G395" s="2" t="str">
        <f t="shared" si="27"/>
        <v>Week 10-2025</v>
      </c>
      <c r="O395"/>
      <c r="Q395"/>
    </row>
    <row r="396" spans="1:17" hidden="1" x14ac:dyDescent="0.2">
      <c r="A396" s="3">
        <v>45721</v>
      </c>
      <c r="B396" s="2" t="s">
        <v>7</v>
      </c>
      <c r="C396" s="2">
        <v>2</v>
      </c>
      <c r="D396" s="2">
        <f t="shared" si="24"/>
        <v>2025</v>
      </c>
      <c r="E396" s="2" t="str">
        <f t="shared" si="25"/>
        <v>2025-10</v>
      </c>
      <c r="F396" s="2" t="str">
        <f t="shared" si="26"/>
        <v>Week 10</v>
      </c>
      <c r="G396" s="2" t="str">
        <f t="shared" si="27"/>
        <v>Week 10-2025</v>
      </c>
      <c r="O396"/>
      <c r="Q396"/>
    </row>
    <row r="397" spans="1:17" hidden="1" x14ac:dyDescent="0.2">
      <c r="A397" s="3">
        <v>45722</v>
      </c>
      <c r="B397" s="2" t="s">
        <v>3</v>
      </c>
      <c r="C397" s="2">
        <v>50</v>
      </c>
      <c r="D397" s="2">
        <f t="shared" si="24"/>
        <v>2025</v>
      </c>
      <c r="E397" s="2" t="str">
        <f t="shared" si="25"/>
        <v>2025-10</v>
      </c>
      <c r="F397" s="2" t="str">
        <f t="shared" si="26"/>
        <v>Week 10</v>
      </c>
      <c r="G397" s="2" t="str">
        <f t="shared" si="27"/>
        <v>Week 10-2025</v>
      </c>
      <c r="O397"/>
      <c r="Q397"/>
    </row>
    <row r="398" spans="1:17" hidden="1" x14ac:dyDescent="0.2">
      <c r="A398" s="3">
        <v>45722</v>
      </c>
      <c r="B398" s="2" t="s">
        <v>5</v>
      </c>
      <c r="C398" s="2">
        <v>50</v>
      </c>
      <c r="D398" s="2">
        <f t="shared" si="24"/>
        <v>2025</v>
      </c>
      <c r="E398" s="2" t="str">
        <f t="shared" si="25"/>
        <v>2025-10</v>
      </c>
      <c r="F398" s="2" t="str">
        <f t="shared" si="26"/>
        <v>Week 10</v>
      </c>
      <c r="G398" s="2" t="str">
        <f t="shared" si="27"/>
        <v>Week 10-2025</v>
      </c>
      <c r="O398"/>
      <c r="Q398"/>
    </row>
    <row r="399" spans="1:17" hidden="1" x14ac:dyDescent="0.2">
      <c r="A399" s="3">
        <v>45722</v>
      </c>
      <c r="B399" s="2" t="s">
        <v>9</v>
      </c>
      <c r="C399" s="2">
        <v>36</v>
      </c>
      <c r="D399" s="2">
        <f t="shared" si="24"/>
        <v>2025</v>
      </c>
      <c r="E399" s="2" t="str">
        <f t="shared" si="25"/>
        <v>2025-10</v>
      </c>
      <c r="F399" s="2" t="str">
        <f t="shared" si="26"/>
        <v>Week 10</v>
      </c>
      <c r="G399" s="2" t="str">
        <f t="shared" si="27"/>
        <v>Week 10-2025</v>
      </c>
      <c r="O399"/>
      <c r="Q399"/>
    </row>
    <row r="400" spans="1:17" hidden="1" x14ac:dyDescent="0.2">
      <c r="A400" s="3">
        <v>45722</v>
      </c>
      <c r="B400" s="2" t="s">
        <v>4</v>
      </c>
      <c r="C400" s="2">
        <v>27</v>
      </c>
      <c r="D400" s="2">
        <f t="shared" si="24"/>
        <v>2025</v>
      </c>
      <c r="E400" s="2" t="str">
        <f t="shared" si="25"/>
        <v>2025-10</v>
      </c>
      <c r="F400" s="2" t="str">
        <f t="shared" si="26"/>
        <v>Week 10</v>
      </c>
      <c r="G400" s="2" t="str">
        <f t="shared" si="27"/>
        <v>Week 10-2025</v>
      </c>
      <c r="O400"/>
      <c r="Q400"/>
    </row>
    <row r="401" spans="1:17" hidden="1" x14ac:dyDescent="0.2">
      <c r="A401" s="3">
        <v>45722</v>
      </c>
      <c r="B401" s="2" t="s">
        <v>4</v>
      </c>
      <c r="C401" s="2">
        <v>23</v>
      </c>
      <c r="D401" s="2">
        <f t="shared" si="24"/>
        <v>2025</v>
      </c>
      <c r="E401" s="2" t="str">
        <f t="shared" si="25"/>
        <v>2025-10</v>
      </c>
      <c r="F401" s="2" t="str">
        <f t="shared" si="26"/>
        <v>Week 10</v>
      </c>
      <c r="G401" s="2" t="str">
        <f t="shared" si="27"/>
        <v>Week 10-2025</v>
      </c>
      <c r="O401"/>
      <c r="Q401"/>
    </row>
    <row r="402" spans="1:17" hidden="1" x14ac:dyDescent="0.2">
      <c r="A402" s="3">
        <v>45722</v>
      </c>
      <c r="B402" s="2" t="s">
        <v>7</v>
      </c>
      <c r="C402" s="2">
        <v>20</v>
      </c>
      <c r="D402" s="2">
        <f t="shared" si="24"/>
        <v>2025</v>
      </c>
      <c r="E402" s="2" t="str">
        <f t="shared" si="25"/>
        <v>2025-10</v>
      </c>
      <c r="F402" s="2" t="str">
        <f t="shared" si="26"/>
        <v>Week 10</v>
      </c>
      <c r="G402" s="2" t="str">
        <f t="shared" si="27"/>
        <v>Week 10-2025</v>
      </c>
      <c r="O402"/>
      <c r="Q402"/>
    </row>
    <row r="403" spans="1:17" hidden="1" x14ac:dyDescent="0.2">
      <c r="A403" s="3">
        <v>45722</v>
      </c>
      <c r="B403" s="2" t="s">
        <v>4</v>
      </c>
      <c r="C403" s="2">
        <v>16</v>
      </c>
      <c r="D403" s="2">
        <f t="shared" si="24"/>
        <v>2025</v>
      </c>
      <c r="E403" s="2" t="str">
        <f t="shared" si="25"/>
        <v>2025-10</v>
      </c>
      <c r="F403" s="2" t="str">
        <f t="shared" si="26"/>
        <v>Week 10</v>
      </c>
      <c r="G403" s="2" t="str">
        <f t="shared" si="27"/>
        <v>Week 10-2025</v>
      </c>
      <c r="O403"/>
      <c r="Q403"/>
    </row>
    <row r="404" spans="1:17" hidden="1" x14ac:dyDescent="0.2">
      <c r="A404" s="3">
        <v>45722</v>
      </c>
      <c r="B404" s="2" t="s">
        <v>9</v>
      </c>
      <c r="C404" s="2">
        <v>10</v>
      </c>
      <c r="D404" s="2">
        <f t="shared" si="24"/>
        <v>2025</v>
      </c>
      <c r="E404" s="2" t="str">
        <f t="shared" si="25"/>
        <v>2025-10</v>
      </c>
      <c r="F404" s="2" t="str">
        <f t="shared" si="26"/>
        <v>Week 10</v>
      </c>
      <c r="G404" s="2" t="str">
        <f t="shared" si="27"/>
        <v>Week 10-2025</v>
      </c>
      <c r="O404"/>
      <c r="Q404"/>
    </row>
    <row r="405" spans="1:17" hidden="1" x14ac:dyDescent="0.2">
      <c r="A405" s="3">
        <v>45722</v>
      </c>
      <c r="B405" s="2" t="s">
        <v>14</v>
      </c>
      <c r="C405" s="2">
        <v>13</v>
      </c>
      <c r="D405" s="2">
        <f t="shared" si="24"/>
        <v>2025</v>
      </c>
      <c r="E405" s="2" t="str">
        <f t="shared" si="25"/>
        <v>2025-10</v>
      </c>
      <c r="F405" s="2" t="str">
        <f t="shared" si="26"/>
        <v>Week 10</v>
      </c>
      <c r="G405" s="2" t="str">
        <f t="shared" si="27"/>
        <v>Week 10-2025</v>
      </c>
      <c r="O405"/>
      <c r="Q405"/>
    </row>
    <row r="406" spans="1:17" hidden="1" x14ac:dyDescent="0.2">
      <c r="A406" s="3">
        <v>45722</v>
      </c>
      <c r="B406" s="2" t="s">
        <v>30</v>
      </c>
      <c r="C406" s="2">
        <v>14</v>
      </c>
      <c r="D406" s="2">
        <f t="shared" si="24"/>
        <v>2025</v>
      </c>
      <c r="E406" s="2" t="str">
        <f t="shared" si="25"/>
        <v>2025-10</v>
      </c>
      <c r="F406" s="2" t="str">
        <f t="shared" si="26"/>
        <v>Week 10</v>
      </c>
      <c r="G406" s="2" t="str">
        <f t="shared" si="27"/>
        <v>Week 10-2025</v>
      </c>
      <c r="O406"/>
      <c r="Q406"/>
    </row>
    <row r="407" spans="1:17" hidden="1" x14ac:dyDescent="0.2">
      <c r="A407" s="3">
        <v>45722</v>
      </c>
      <c r="B407" s="2" t="s">
        <v>9</v>
      </c>
      <c r="C407" s="2">
        <v>4</v>
      </c>
      <c r="D407" s="2">
        <f t="shared" si="24"/>
        <v>2025</v>
      </c>
      <c r="E407" s="2" t="str">
        <f t="shared" si="25"/>
        <v>2025-10</v>
      </c>
      <c r="F407" s="2" t="str">
        <f t="shared" si="26"/>
        <v>Week 10</v>
      </c>
      <c r="G407" s="2" t="str">
        <f t="shared" si="27"/>
        <v>Week 10-2025</v>
      </c>
      <c r="O407"/>
      <c r="Q407"/>
    </row>
    <row r="408" spans="1:17" hidden="1" x14ac:dyDescent="0.2">
      <c r="A408" s="3">
        <v>45722</v>
      </c>
      <c r="B408" s="2" t="s">
        <v>14</v>
      </c>
      <c r="C408" s="2">
        <v>7</v>
      </c>
      <c r="D408" s="2">
        <f t="shared" si="24"/>
        <v>2025</v>
      </c>
      <c r="E408" s="2" t="str">
        <f t="shared" si="25"/>
        <v>2025-10</v>
      </c>
      <c r="F408" s="2" t="str">
        <f t="shared" si="26"/>
        <v>Week 10</v>
      </c>
      <c r="G408" s="2" t="str">
        <f t="shared" si="27"/>
        <v>Week 10-2025</v>
      </c>
      <c r="O408"/>
      <c r="Q408"/>
    </row>
    <row r="409" spans="1:17" hidden="1" x14ac:dyDescent="0.2">
      <c r="A409" s="3">
        <v>45722</v>
      </c>
      <c r="B409" s="2" t="s">
        <v>30</v>
      </c>
      <c r="C409" s="2">
        <v>6</v>
      </c>
      <c r="D409" s="2">
        <f t="shared" si="24"/>
        <v>2025</v>
      </c>
      <c r="E409" s="2" t="str">
        <f t="shared" si="25"/>
        <v>2025-10</v>
      </c>
      <c r="F409" s="2" t="str">
        <f t="shared" si="26"/>
        <v>Week 10</v>
      </c>
      <c r="G409" s="2" t="str">
        <f t="shared" si="27"/>
        <v>Week 10-2025</v>
      </c>
      <c r="O409"/>
      <c r="Q409"/>
    </row>
    <row r="410" spans="1:17" hidden="1" x14ac:dyDescent="0.2">
      <c r="A410" s="3">
        <v>45723</v>
      </c>
      <c r="B410" s="2" t="s">
        <v>18</v>
      </c>
      <c r="C410" s="2">
        <v>2</v>
      </c>
      <c r="D410" s="2">
        <f t="shared" si="24"/>
        <v>2025</v>
      </c>
      <c r="E410" s="2" t="str">
        <f t="shared" si="25"/>
        <v>2025-10</v>
      </c>
      <c r="F410" s="2" t="str">
        <f t="shared" si="26"/>
        <v>Week 10</v>
      </c>
      <c r="G410" s="2" t="str">
        <f t="shared" si="27"/>
        <v>Week 10-2025</v>
      </c>
      <c r="O410"/>
      <c r="Q410"/>
    </row>
    <row r="411" spans="1:17" hidden="1" x14ac:dyDescent="0.2">
      <c r="A411" s="3">
        <v>45724</v>
      </c>
      <c r="B411" s="2" t="s">
        <v>5</v>
      </c>
      <c r="C411" s="2">
        <v>26</v>
      </c>
      <c r="D411" s="2">
        <f t="shared" si="24"/>
        <v>2025</v>
      </c>
      <c r="E411" s="2" t="str">
        <f t="shared" si="25"/>
        <v>2025-10</v>
      </c>
      <c r="F411" s="2" t="str">
        <f t="shared" si="26"/>
        <v>Week 10</v>
      </c>
      <c r="G411" s="2" t="str">
        <f t="shared" si="27"/>
        <v>Week 10-2025</v>
      </c>
      <c r="O411"/>
      <c r="Q411"/>
    </row>
    <row r="412" spans="1:17" hidden="1" x14ac:dyDescent="0.2">
      <c r="A412" s="3">
        <v>45724</v>
      </c>
      <c r="B412" s="2" t="s">
        <v>3</v>
      </c>
      <c r="C412" s="2">
        <v>6</v>
      </c>
      <c r="D412" s="2">
        <f t="shared" si="24"/>
        <v>2025</v>
      </c>
      <c r="E412" s="2" t="str">
        <f t="shared" si="25"/>
        <v>2025-10</v>
      </c>
      <c r="F412" s="2" t="str">
        <f t="shared" si="26"/>
        <v>Week 10</v>
      </c>
      <c r="G412" s="2" t="str">
        <f t="shared" si="27"/>
        <v>Week 10-2025</v>
      </c>
      <c r="O412"/>
      <c r="Q412"/>
    </row>
    <row r="413" spans="1:17" hidden="1" x14ac:dyDescent="0.2">
      <c r="A413" s="3">
        <v>45724</v>
      </c>
      <c r="B413" s="2" t="s">
        <v>14</v>
      </c>
      <c r="C413" s="2">
        <v>8</v>
      </c>
      <c r="D413" s="2">
        <f t="shared" si="24"/>
        <v>2025</v>
      </c>
      <c r="E413" s="2" t="str">
        <f t="shared" si="25"/>
        <v>2025-10</v>
      </c>
      <c r="F413" s="2" t="str">
        <f t="shared" si="26"/>
        <v>Week 10</v>
      </c>
      <c r="G413" s="2" t="str">
        <f t="shared" si="27"/>
        <v>Week 10-2025</v>
      </c>
      <c r="O413"/>
      <c r="Q413"/>
    </row>
    <row r="414" spans="1:17" hidden="1" x14ac:dyDescent="0.2">
      <c r="A414" s="3">
        <v>45724</v>
      </c>
      <c r="B414" s="2" t="s">
        <v>9</v>
      </c>
      <c r="C414" s="2">
        <v>2</v>
      </c>
      <c r="D414" s="2">
        <f t="shared" si="24"/>
        <v>2025</v>
      </c>
      <c r="E414" s="2" t="str">
        <f t="shared" si="25"/>
        <v>2025-10</v>
      </c>
      <c r="F414" s="2" t="str">
        <f t="shared" si="26"/>
        <v>Week 10</v>
      </c>
      <c r="G414" s="2" t="str">
        <f t="shared" si="27"/>
        <v>Week 10-2025</v>
      </c>
      <c r="O414"/>
      <c r="Q414"/>
    </row>
    <row r="415" spans="1:17" hidden="1" x14ac:dyDescent="0.2">
      <c r="A415" s="3">
        <v>45724</v>
      </c>
      <c r="B415" s="2" t="s">
        <v>5</v>
      </c>
      <c r="C415" s="2">
        <v>2</v>
      </c>
      <c r="D415" s="2">
        <f t="shared" si="24"/>
        <v>2025</v>
      </c>
      <c r="E415" s="2" t="str">
        <f t="shared" si="25"/>
        <v>2025-10</v>
      </c>
      <c r="F415" s="2" t="str">
        <f t="shared" si="26"/>
        <v>Week 10</v>
      </c>
      <c r="G415" s="2" t="str">
        <f t="shared" si="27"/>
        <v>Week 10-2025</v>
      </c>
      <c r="O415"/>
      <c r="Q415"/>
    </row>
    <row r="416" spans="1:17" hidden="1" x14ac:dyDescent="0.2">
      <c r="A416" s="3">
        <v>45724</v>
      </c>
      <c r="B416" s="2" t="s">
        <v>28</v>
      </c>
      <c r="C416" s="2">
        <v>1</v>
      </c>
      <c r="D416" s="2">
        <f t="shared" si="24"/>
        <v>2025</v>
      </c>
      <c r="E416" s="2" t="str">
        <f t="shared" si="25"/>
        <v>2025-10</v>
      </c>
      <c r="F416" s="2" t="str">
        <f t="shared" si="26"/>
        <v>Week 10</v>
      </c>
      <c r="G416" s="2" t="str">
        <f t="shared" si="27"/>
        <v>Week 10-2025</v>
      </c>
      <c r="O416"/>
      <c r="Q416"/>
    </row>
    <row r="417" spans="1:17" hidden="1" x14ac:dyDescent="0.2">
      <c r="A417" s="3">
        <v>45725</v>
      </c>
      <c r="B417" s="2" t="s">
        <v>14</v>
      </c>
      <c r="C417" s="2">
        <v>8</v>
      </c>
      <c r="D417" s="2">
        <f t="shared" si="24"/>
        <v>2025</v>
      </c>
      <c r="E417" s="2" t="str">
        <f t="shared" si="25"/>
        <v>2025-10</v>
      </c>
      <c r="F417" s="2" t="str">
        <f t="shared" si="26"/>
        <v>Week 11</v>
      </c>
      <c r="G417" s="2" t="str">
        <f t="shared" si="27"/>
        <v>Week 11-2025</v>
      </c>
      <c r="O417"/>
      <c r="Q417"/>
    </row>
    <row r="418" spans="1:17" hidden="1" x14ac:dyDescent="0.2">
      <c r="A418" s="3">
        <v>45725</v>
      </c>
      <c r="B418" s="2" t="s">
        <v>5</v>
      </c>
      <c r="C418" s="2">
        <v>4</v>
      </c>
      <c r="D418" s="2">
        <f t="shared" si="24"/>
        <v>2025</v>
      </c>
      <c r="E418" s="2" t="str">
        <f t="shared" si="25"/>
        <v>2025-10</v>
      </c>
      <c r="F418" s="2" t="str">
        <f t="shared" si="26"/>
        <v>Week 11</v>
      </c>
      <c r="G418" s="2" t="str">
        <f t="shared" si="27"/>
        <v>Week 11-2025</v>
      </c>
      <c r="O418"/>
      <c r="Q418"/>
    </row>
    <row r="419" spans="1:17" hidden="1" x14ac:dyDescent="0.2">
      <c r="A419" s="3">
        <v>45725</v>
      </c>
      <c r="B419" s="2" t="s">
        <v>10</v>
      </c>
      <c r="C419" s="2">
        <v>4</v>
      </c>
      <c r="D419" s="2">
        <f t="shared" si="24"/>
        <v>2025</v>
      </c>
      <c r="E419" s="2" t="str">
        <f t="shared" si="25"/>
        <v>2025-10</v>
      </c>
      <c r="F419" s="2" t="str">
        <f t="shared" si="26"/>
        <v>Week 11</v>
      </c>
      <c r="G419" s="2" t="str">
        <f t="shared" si="27"/>
        <v>Week 11-2025</v>
      </c>
      <c r="O419"/>
      <c r="Q419"/>
    </row>
    <row r="420" spans="1:17" hidden="1" x14ac:dyDescent="0.2">
      <c r="A420" s="3">
        <v>45725</v>
      </c>
      <c r="B420" s="2" t="s">
        <v>3</v>
      </c>
      <c r="C420" s="2">
        <v>2</v>
      </c>
      <c r="D420" s="2">
        <f t="shared" si="24"/>
        <v>2025</v>
      </c>
      <c r="E420" s="2" t="str">
        <f t="shared" si="25"/>
        <v>2025-10</v>
      </c>
      <c r="F420" s="2" t="str">
        <f t="shared" si="26"/>
        <v>Week 11</v>
      </c>
      <c r="G420" s="2" t="str">
        <f t="shared" si="27"/>
        <v>Week 11-2025</v>
      </c>
      <c r="O420"/>
      <c r="Q420"/>
    </row>
    <row r="421" spans="1:17" hidden="1" x14ac:dyDescent="0.2">
      <c r="A421" s="3">
        <v>45727</v>
      </c>
      <c r="B421" s="2" t="s">
        <v>9</v>
      </c>
      <c r="C421" s="2">
        <v>8</v>
      </c>
      <c r="D421" s="2">
        <f t="shared" si="24"/>
        <v>2025</v>
      </c>
      <c r="E421" s="2" t="str">
        <f t="shared" si="25"/>
        <v>2025-11</v>
      </c>
      <c r="F421" s="2" t="str">
        <f t="shared" si="26"/>
        <v>Week 11</v>
      </c>
      <c r="G421" s="2" t="str">
        <f t="shared" si="27"/>
        <v>Week 11-2025</v>
      </c>
      <c r="O421"/>
      <c r="Q421"/>
    </row>
    <row r="422" spans="1:17" hidden="1" x14ac:dyDescent="0.2">
      <c r="A422" s="3">
        <v>45727</v>
      </c>
      <c r="B422" s="2" t="s">
        <v>23</v>
      </c>
      <c r="C422" s="2">
        <v>2</v>
      </c>
      <c r="D422" s="2">
        <f t="shared" si="24"/>
        <v>2025</v>
      </c>
      <c r="E422" s="2" t="str">
        <f t="shared" si="25"/>
        <v>2025-11</v>
      </c>
      <c r="F422" s="2" t="str">
        <f t="shared" si="26"/>
        <v>Week 11</v>
      </c>
      <c r="G422" s="2" t="str">
        <f t="shared" si="27"/>
        <v>Week 11-2025</v>
      </c>
      <c r="O422"/>
      <c r="Q422"/>
    </row>
    <row r="423" spans="1:17" hidden="1" x14ac:dyDescent="0.2">
      <c r="A423" s="3">
        <v>45727</v>
      </c>
      <c r="B423" s="2" t="s">
        <v>23</v>
      </c>
      <c r="C423" s="2">
        <v>2</v>
      </c>
      <c r="D423" s="2">
        <f t="shared" si="24"/>
        <v>2025</v>
      </c>
      <c r="E423" s="2" t="str">
        <f t="shared" si="25"/>
        <v>2025-11</v>
      </c>
      <c r="F423" s="2" t="str">
        <f t="shared" si="26"/>
        <v>Week 11</v>
      </c>
      <c r="G423" s="2" t="str">
        <f t="shared" si="27"/>
        <v>Week 11-2025</v>
      </c>
      <c r="O423"/>
      <c r="Q423"/>
    </row>
    <row r="424" spans="1:17" hidden="1" x14ac:dyDescent="0.2">
      <c r="A424" s="3">
        <v>45728</v>
      </c>
      <c r="B424" s="2" t="s">
        <v>14</v>
      </c>
      <c r="C424" s="2">
        <v>4</v>
      </c>
      <c r="D424" s="2">
        <f t="shared" si="24"/>
        <v>2025</v>
      </c>
      <c r="E424" s="2" t="str">
        <f t="shared" si="25"/>
        <v>2025-11</v>
      </c>
      <c r="F424" s="2" t="str">
        <f t="shared" si="26"/>
        <v>Week 11</v>
      </c>
      <c r="G424" s="2" t="str">
        <f t="shared" si="27"/>
        <v>Week 11-2025</v>
      </c>
      <c r="O424"/>
      <c r="Q424"/>
    </row>
    <row r="425" spans="1:17" hidden="1" x14ac:dyDescent="0.2">
      <c r="A425" s="3">
        <v>45728</v>
      </c>
      <c r="B425" s="2" t="s">
        <v>5</v>
      </c>
      <c r="C425" s="2">
        <v>2</v>
      </c>
      <c r="D425" s="2">
        <f t="shared" si="24"/>
        <v>2025</v>
      </c>
      <c r="E425" s="2" t="str">
        <f t="shared" si="25"/>
        <v>2025-11</v>
      </c>
      <c r="F425" s="2" t="str">
        <f t="shared" si="26"/>
        <v>Week 11</v>
      </c>
      <c r="G425" s="2" t="str">
        <f t="shared" si="27"/>
        <v>Week 11-2025</v>
      </c>
      <c r="O425"/>
      <c r="Q425"/>
    </row>
    <row r="426" spans="1:17" hidden="1" x14ac:dyDescent="0.2">
      <c r="A426" s="3">
        <v>45728</v>
      </c>
      <c r="B426" s="2" t="s">
        <v>28</v>
      </c>
      <c r="C426" s="2">
        <v>2</v>
      </c>
      <c r="D426" s="2">
        <f t="shared" si="24"/>
        <v>2025</v>
      </c>
      <c r="E426" s="2" t="str">
        <f t="shared" si="25"/>
        <v>2025-11</v>
      </c>
      <c r="F426" s="2" t="str">
        <f t="shared" si="26"/>
        <v>Week 11</v>
      </c>
      <c r="G426" s="2" t="str">
        <f t="shared" si="27"/>
        <v>Week 11-2025</v>
      </c>
      <c r="O426"/>
      <c r="Q426"/>
    </row>
    <row r="427" spans="1:17" hidden="1" x14ac:dyDescent="0.2">
      <c r="A427" s="3">
        <v>45728</v>
      </c>
      <c r="B427" s="2" t="s">
        <v>3</v>
      </c>
      <c r="C427" s="2">
        <v>1</v>
      </c>
      <c r="D427" s="2">
        <f t="shared" si="24"/>
        <v>2025</v>
      </c>
      <c r="E427" s="2" t="str">
        <f t="shared" si="25"/>
        <v>2025-11</v>
      </c>
      <c r="F427" s="2" t="str">
        <f t="shared" si="26"/>
        <v>Week 11</v>
      </c>
      <c r="G427" s="2" t="str">
        <f t="shared" si="27"/>
        <v>Week 11-2025</v>
      </c>
      <c r="O427"/>
      <c r="Q427"/>
    </row>
    <row r="428" spans="1:17" hidden="1" x14ac:dyDescent="0.2">
      <c r="A428" s="3">
        <v>45729</v>
      </c>
      <c r="B428" s="2" t="s">
        <v>6</v>
      </c>
      <c r="C428" s="2">
        <v>8</v>
      </c>
      <c r="D428" s="2">
        <f t="shared" si="24"/>
        <v>2025</v>
      </c>
      <c r="E428" s="2" t="str">
        <f t="shared" si="25"/>
        <v>2025-11</v>
      </c>
      <c r="F428" s="2" t="str">
        <f t="shared" si="26"/>
        <v>Week 11</v>
      </c>
      <c r="G428" s="2" t="str">
        <f t="shared" si="27"/>
        <v>Week 11-2025</v>
      </c>
      <c r="O428"/>
      <c r="Q428"/>
    </row>
    <row r="429" spans="1:17" hidden="1" x14ac:dyDescent="0.2">
      <c r="A429" s="3">
        <v>45729</v>
      </c>
      <c r="B429" s="2" t="s">
        <v>4</v>
      </c>
      <c r="C429" s="2">
        <v>8</v>
      </c>
      <c r="D429" s="2">
        <f t="shared" si="24"/>
        <v>2025</v>
      </c>
      <c r="E429" s="2" t="str">
        <f t="shared" si="25"/>
        <v>2025-11</v>
      </c>
      <c r="F429" s="2" t="str">
        <f t="shared" si="26"/>
        <v>Week 11</v>
      </c>
      <c r="G429" s="2" t="str">
        <f t="shared" si="27"/>
        <v>Week 11-2025</v>
      </c>
      <c r="O429"/>
      <c r="Q429"/>
    </row>
    <row r="430" spans="1:17" hidden="1" x14ac:dyDescent="0.2">
      <c r="A430" s="3">
        <v>45729</v>
      </c>
      <c r="B430" s="2" t="s">
        <v>3</v>
      </c>
      <c r="C430" s="2">
        <v>8</v>
      </c>
      <c r="D430" s="2">
        <f t="shared" si="24"/>
        <v>2025</v>
      </c>
      <c r="E430" s="2" t="str">
        <f t="shared" si="25"/>
        <v>2025-11</v>
      </c>
      <c r="F430" s="2" t="str">
        <f t="shared" si="26"/>
        <v>Week 11</v>
      </c>
      <c r="G430" s="2" t="str">
        <f t="shared" si="27"/>
        <v>Week 11-2025</v>
      </c>
      <c r="O430"/>
      <c r="Q430"/>
    </row>
    <row r="431" spans="1:17" hidden="1" x14ac:dyDescent="0.2">
      <c r="A431" s="3">
        <v>45729</v>
      </c>
      <c r="B431" s="2" t="s">
        <v>3</v>
      </c>
      <c r="C431" s="2">
        <v>8</v>
      </c>
      <c r="D431" s="2">
        <f t="shared" si="24"/>
        <v>2025</v>
      </c>
      <c r="E431" s="2" t="str">
        <f t="shared" si="25"/>
        <v>2025-11</v>
      </c>
      <c r="F431" s="2" t="str">
        <f t="shared" si="26"/>
        <v>Week 11</v>
      </c>
      <c r="G431" s="2" t="str">
        <f t="shared" si="27"/>
        <v>Week 11-2025</v>
      </c>
      <c r="O431"/>
      <c r="Q431"/>
    </row>
    <row r="432" spans="1:17" hidden="1" x14ac:dyDescent="0.2">
      <c r="A432" s="3">
        <v>45729</v>
      </c>
      <c r="B432" s="2" t="s">
        <v>6</v>
      </c>
      <c r="C432" s="2">
        <v>6</v>
      </c>
      <c r="D432" s="2">
        <f t="shared" si="24"/>
        <v>2025</v>
      </c>
      <c r="E432" s="2" t="str">
        <f t="shared" si="25"/>
        <v>2025-11</v>
      </c>
      <c r="F432" s="2" t="str">
        <f t="shared" si="26"/>
        <v>Week 11</v>
      </c>
      <c r="G432" s="2" t="str">
        <f t="shared" si="27"/>
        <v>Week 11-2025</v>
      </c>
      <c r="O432"/>
      <c r="Q432"/>
    </row>
    <row r="433" spans="1:17" hidden="1" x14ac:dyDescent="0.2">
      <c r="A433" s="3">
        <v>45729</v>
      </c>
      <c r="B433" s="2" t="s">
        <v>18</v>
      </c>
      <c r="C433" s="2">
        <v>4</v>
      </c>
      <c r="D433" s="2">
        <f t="shared" si="24"/>
        <v>2025</v>
      </c>
      <c r="E433" s="2" t="str">
        <f t="shared" si="25"/>
        <v>2025-11</v>
      </c>
      <c r="F433" s="2" t="str">
        <f t="shared" si="26"/>
        <v>Week 11</v>
      </c>
      <c r="G433" s="2" t="str">
        <f t="shared" si="27"/>
        <v>Week 11-2025</v>
      </c>
      <c r="O433"/>
      <c r="Q433"/>
    </row>
    <row r="434" spans="1:17" hidden="1" x14ac:dyDescent="0.2">
      <c r="A434" s="3">
        <v>45729</v>
      </c>
      <c r="B434" s="2" t="s">
        <v>7</v>
      </c>
      <c r="C434" s="2">
        <v>2</v>
      </c>
      <c r="D434" s="2">
        <f t="shared" si="24"/>
        <v>2025</v>
      </c>
      <c r="E434" s="2" t="str">
        <f t="shared" si="25"/>
        <v>2025-11</v>
      </c>
      <c r="F434" s="2" t="str">
        <f t="shared" si="26"/>
        <v>Week 11</v>
      </c>
      <c r="G434" s="2" t="str">
        <f t="shared" si="27"/>
        <v>Week 11-2025</v>
      </c>
      <c r="O434"/>
      <c r="Q434"/>
    </row>
    <row r="435" spans="1:17" hidden="1" x14ac:dyDescent="0.2">
      <c r="A435" s="3">
        <v>45729</v>
      </c>
      <c r="B435" s="2" t="s">
        <v>7</v>
      </c>
      <c r="C435" s="2">
        <v>2</v>
      </c>
      <c r="D435" s="2">
        <f t="shared" si="24"/>
        <v>2025</v>
      </c>
      <c r="E435" s="2" t="str">
        <f t="shared" si="25"/>
        <v>2025-11</v>
      </c>
      <c r="F435" s="2" t="str">
        <f t="shared" si="26"/>
        <v>Week 11</v>
      </c>
      <c r="G435" s="2" t="str">
        <f t="shared" si="27"/>
        <v>Week 11-2025</v>
      </c>
      <c r="O435"/>
      <c r="Q435"/>
    </row>
    <row r="436" spans="1:17" hidden="1" x14ac:dyDescent="0.2">
      <c r="A436" s="3">
        <v>45730</v>
      </c>
      <c r="B436" s="2" t="s">
        <v>5</v>
      </c>
      <c r="C436" s="2">
        <v>10</v>
      </c>
      <c r="D436" s="2">
        <f t="shared" si="24"/>
        <v>2025</v>
      </c>
      <c r="E436" s="2" t="str">
        <f t="shared" si="25"/>
        <v>2025-11</v>
      </c>
      <c r="F436" s="2" t="str">
        <f t="shared" si="26"/>
        <v>Week 11</v>
      </c>
      <c r="G436" s="2" t="str">
        <f t="shared" si="27"/>
        <v>Week 11-2025</v>
      </c>
      <c r="O436"/>
      <c r="Q436"/>
    </row>
    <row r="437" spans="1:17" hidden="1" x14ac:dyDescent="0.2">
      <c r="A437" s="3">
        <v>45731</v>
      </c>
      <c r="B437" s="2" t="s">
        <v>3</v>
      </c>
      <c r="C437" s="2">
        <v>22</v>
      </c>
      <c r="D437" s="2">
        <f t="shared" si="24"/>
        <v>2025</v>
      </c>
      <c r="E437" s="2" t="str">
        <f t="shared" si="25"/>
        <v>2025-11</v>
      </c>
      <c r="F437" s="2" t="str">
        <f t="shared" si="26"/>
        <v>Week 11</v>
      </c>
      <c r="G437" s="2" t="str">
        <f t="shared" si="27"/>
        <v>Week 11-2025</v>
      </c>
      <c r="O437"/>
      <c r="Q437"/>
    </row>
    <row r="438" spans="1:17" hidden="1" x14ac:dyDescent="0.2">
      <c r="A438" s="3">
        <v>45731</v>
      </c>
      <c r="B438" s="2" t="s">
        <v>9</v>
      </c>
      <c r="C438" s="2">
        <v>12</v>
      </c>
      <c r="D438" s="2">
        <f t="shared" si="24"/>
        <v>2025</v>
      </c>
      <c r="E438" s="2" t="str">
        <f t="shared" si="25"/>
        <v>2025-11</v>
      </c>
      <c r="F438" s="2" t="str">
        <f t="shared" si="26"/>
        <v>Week 11</v>
      </c>
      <c r="G438" s="2" t="str">
        <f t="shared" si="27"/>
        <v>Week 11-2025</v>
      </c>
      <c r="O438"/>
      <c r="Q438"/>
    </row>
    <row r="439" spans="1:17" hidden="1" x14ac:dyDescent="0.2">
      <c r="A439" s="3">
        <v>45731</v>
      </c>
      <c r="B439" s="2" t="s">
        <v>31</v>
      </c>
      <c r="C439" s="2">
        <v>14</v>
      </c>
      <c r="D439" s="2">
        <f t="shared" si="24"/>
        <v>2025</v>
      </c>
      <c r="E439" s="2" t="str">
        <f t="shared" si="25"/>
        <v>2025-11</v>
      </c>
      <c r="F439" s="2" t="str">
        <f t="shared" si="26"/>
        <v>Week 11</v>
      </c>
      <c r="G439" s="2" t="str">
        <f t="shared" si="27"/>
        <v>Week 11-2025</v>
      </c>
      <c r="O439"/>
      <c r="Q439"/>
    </row>
    <row r="440" spans="1:17" hidden="1" x14ac:dyDescent="0.2">
      <c r="A440" s="3">
        <v>45731</v>
      </c>
      <c r="B440" s="2" t="s">
        <v>5</v>
      </c>
      <c r="C440" s="2">
        <v>10</v>
      </c>
      <c r="D440" s="2">
        <f t="shared" si="24"/>
        <v>2025</v>
      </c>
      <c r="E440" s="2" t="str">
        <f t="shared" si="25"/>
        <v>2025-11</v>
      </c>
      <c r="F440" s="2" t="str">
        <f t="shared" si="26"/>
        <v>Week 11</v>
      </c>
      <c r="G440" s="2" t="str">
        <f t="shared" si="27"/>
        <v>Week 11-2025</v>
      </c>
      <c r="O440"/>
      <c r="Q440"/>
    </row>
    <row r="441" spans="1:17" hidden="1" x14ac:dyDescent="0.2">
      <c r="A441" s="3">
        <v>45731</v>
      </c>
      <c r="B441" s="2" t="s">
        <v>35</v>
      </c>
      <c r="C441" s="2">
        <v>8</v>
      </c>
      <c r="D441" s="2">
        <f t="shared" si="24"/>
        <v>2025</v>
      </c>
      <c r="E441" s="2" t="str">
        <f t="shared" si="25"/>
        <v>2025-11</v>
      </c>
      <c r="F441" s="2" t="str">
        <f t="shared" si="26"/>
        <v>Week 11</v>
      </c>
      <c r="G441" s="2" t="str">
        <f t="shared" si="27"/>
        <v>Week 11-2025</v>
      </c>
      <c r="O441"/>
      <c r="Q441"/>
    </row>
    <row r="442" spans="1:17" hidden="1" x14ac:dyDescent="0.2">
      <c r="A442" s="3">
        <v>45731</v>
      </c>
      <c r="B442" s="2" t="s">
        <v>14</v>
      </c>
      <c r="C442" s="2">
        <v>6</v>
      </c>
      <c r="D442" s="2">
        <f t="shared" si="24"/>
        <v>2025</v>
      </c>
      <c r="E442" s="2" t="str">
        <f t="shared" si="25"/>
        <v>2025-11</v>
      </c>
      <c r="F442" s="2" t="str">
        <f t="shared" si="26"/>
        <v>Week 11</v>
      </c>
      <c r="G442" s="2" t="str">
        <f t="shared" si="27"/>
        <v>Week 11-2025</v>
      </c>
      <c r="O442"/>
      <c r="Q442"/>
    </row>
    <row r="443" spans="1:17" hidden="1" x14ac:dyDescent="0.2">
      <c r="A443" s="3">
        <v>45731</v>
      </c>
      <c r="B443" s="2" t="s">
        <v>5</v>
      </c>
      <c r="C443" s="2">
        <v>4</v>
      </c>
      <c r="D443" s="2">
        <f t="shared" si="24"/>
        <v>2025</v>
      </c>
      <c r="E443" s="2" t="str">
        <f t="shared" si="25"/>
        <v>2025-11</v>
      </c>
      <c r="F443" s="2" t="str">
        <f t="shared" si="26"/>
        <v>Week 11</v>
      </c>
      <c r="G443" s="2" t="str">
        <f t="shared" si="27"/>
        <v>Week 11-2025</v>
      </c>
      <c r="O443"/>
      <c r="Q443"/>
    </row>
    <row r="444" spans="1:17" hidden="1" x14ac:dyDescent="0.2">
      <c r="A444" s="3">
        <v>45732</v>
      </c>
      <c r="B444" s="2" t="s">
        <v>19</v>
      </c>
      <c r="C444" s="2">
        <v>11</v>
      </c>
      <c r="D444" s="2">
        <f t="shared" si="24"/>
        <v>2025</v>
      </c>
      <c r="E444" s="2" t="str">
        <f t="shared" si="25"/>
        <v>2025-11</v>
      </c>
      <c r="F444" s="2" t="str">
        <f t="shared" si="26"/>
        <v>Week 12</v>
      </c>
      <c r="G444" s="2" t="str">
        <f t="shared" si="27"/>
        <v>Week 12-2025</v>
      </c>
      <c r="O444"/>
      <c r="Q444"/>
    </row>
    <row r="445" spans="1:17" hidden="1" x14ac:dyDescent="0.2">
      <c r="A445" s="3">
        <v>45732</v>
      </c>
      <c r="B445" s="2" t="s">
        <v>4</v>
      </c>
      <c r="C445" s="2">
        <v>8</v>
      </c>
      <c r="D445" s="2">
        <f t="shared" si="24"/>
        <v>2025</v>
      </c>
      <c r="E445" s="2" t="str">
        <f t="shared" si="25"/>
        <v>2025-11</v>
      </c>
      <c r="F445" s="2" t="str">
        <f t="shared" si="26"/>
        <v>Week 12</v>
      </c>
      <c r="G445" s="2" t="str">
        <f t="shared" si="27"/>
        <v>Week 12-2025</v>
      </c>
      <c r="O445"/>
      <c r="Q445"/>
    </row>
    <row r="446" spans="1:17" hidden="1" x14ac:dyDescent="0.2">
      <c r="A446" s="3">
        <v>45732</v>
      </c>
      <c r="B446" s="2" t="s">
        <v>23</v>
      </c>
      <c r="C446" s="2">
        <v>6</v>
      </c>
      <c r="D446" s="2">
        <f t="shared" si="24"/>
        <v>2025</v>
      </c>
      <c r="E446" s="2" t="str">
        <f t="shared" si="25"/>
        <v>2025-11</v>
      </c>
      <c r="F446" s="2" t="str">
        <f t="shared" si="26"/>
        <v>Week 12</v>
      </c>
      <c r="G446" s="2" t="str">
        <f t="shared" si="27"/>
        <v>Week 12-2025</v>
      </c>
      <c r="O446"/>
      <c r="Q446"/>
    </row>
    <row r="447" spans="1:17" hidden="1" x14ac:dyDescent="0.2">
      <c r="A447" s="3">
        <v>45732</v>
      </c>
      <c r="B447" s="2" t="s">
        <v>19</v>
      </c>
      <c r="C447" s="2">
        <v>5</v>
      </c>
      <c r="D447" s="2">
        <f t="shared" si="24"/>
        <v>2025</v>
      </c>
      <c r="E447" s="2" t="str">
        <f t="shared" si="25"/>
        <v>2025-11</v>
      </c>
      <c r="F447" s="2" t="str">
        <f t="shared" si="26"/>
        <v>Week 12</v>
      </c>
      <c r="G447" s="2" t="str">
        <f t="shared" si="27"/>
        <v>Week 12-2025</v>
      </c>
      <c r="O447"/>
      <c r="Q447"/>
    </row>
    <row r="448" spans="1:17" hidden="1" x14ac:dyDescent="0.2">
      <c r="A448" s="3">
        <v>45732</v>
      </c>
      <c r="B448" s="2" t="s">
        <v>34</v>
      </c>
      <c r="C448" s="2">
        <v>8</v>
      </c>
      <c r="D448" s="2">
        <f t="shared" si="24"/>
        <v>2025</v>
      </c>
      <c r="E448" s="2" t="str">
        <f t="shared" si="25"/>
        <v>2025-11</v>
      </c>
      <c r="F448" s="2" t="str">
        <f t="shared" si="26"/>
        <v>Week 12</v>
      </c>
      <c r="G448" s="2" t="str">
        <f t="shared" si="27"/>
        <v>Week 12-2025</v>
      </c>
      <c r="O448"/>
      <c r="Q448"/>
    </row>
    <row r="449" spans="1:17" hidden="1" x14ac:dyDescent="0.2">
      <c r="A449" s="3">
        <v>45732</v>
      </c>
      <c r="B449" s="2" t="s">
        <v>13</v>
      </c>
      <c r="C449" s="2">
        <v>5</v>
      </c>
      <c r="D449" s="2">
        <f t="shared" si="24"/>
        <v>2025</v>
      </c>
      <c r="E449" s="2" t="str">
        <f t="shared" si="25"/>
        <v>2025-11</v>
      </c>
      <c r="F449" s="2" t="str">
        <f t="shared" si="26"/>
        <v>Week 12</v>
      </c>
      <c r="G449" s="2" t="str">
        <f t="shared" si="27"/>
        <v>Week 12-2025</v>
      </c>
      <c r="O449"/>
      <c r="Q449"/>
    </row>
    <row r="450" spans="1:17" hidden="1" x14ac:dyDescent="0.2">
      <c r="A450" s="3">
        <v>45732</v>
      </c>
      <c r="B450" s="2" t="s">
        <v>28</v>
      </c>
      <c r="C450" s="2">
        <v>8</v>
      </c>
      <c r="D450" s="2">
        <f t="shared" ref="D450:D513" si="28">YEAR(A450)</f>
        <v>2025</v>
      </c>
      <c r="E450" s="2" t="str">
        <f t="shared" ref="E450:E513" si="29">YEAR(A450)&amp;"-"&amp;_xlfn.ISOWEEKNUM(A450)</f>
        <v>2025-11</v>
      </c>
      <c r="F450" s="2" t="str">
        <f t="shared" ref="F450:F513" si="30">_xlfn.CONCAT("Week "&amp;WEEKNUM(A450))</f>
        <v>Week 12</v>
      </c>
      <c r="G450" s="2" t="str">
        <f t="shared" ref="G450:G513" si="31">_xlfn.CONCAT(F450,"-",D450)</f>
        <v>Week 12-2025</v>
      </c>
      <c r="O450"/>
      <c r="Q450"/>
    </row>
    <row r="451" spans="1:17" hidden="1" x14ac:dyDescent="0.2">
      <c r="A451" s="3">
        <v>45732</v>
      </c>
      <c r="B451" s="2" t="s">
        <v>5</v>
      </c>
      <c r="C451" s="2">
        <v>4</v>
      </c>
      <c r="D451" s="2">
        <f t="shared" si="28"/>
        <v>2025</v>
      </c>
      <c r="E451" s="2" t="str">
        <f t="shared" si="29"/>
        <v>2025-11</v>
      </c>
      <c r="F451" s="2" t="str">
        <f t="shared" si="30"/>
        <v>Week 12</v>
      </c>
      <c r="G451" s="2" t="str">
        <f t="shared" si="31"/>
        <v>Week 12-2025</v>
      </c>
      <c r="O451"/>
      <c r="Q451"/>
    </row>
    <row r="452" spans="1:17" hidden="1" x14ac:dyDescent="0.2">
      <c r="A452" s="3">
        <v>45732</v>
      </c>
      <c r="B452" s="2" t="s">
        <v>15</v>
      </c>
      <c r="C452" s="2">
        <v>8</v>
      </c>
      <c r="D452" s="2">
        <f t="shared" si="28"/>
        <v>2025</v>
      </c>
      <c r="E452" s="2" t="str">
        <f t="shared" si="29"/>
        <v>2025-11</v>
      </c>
      <c r="F452" s="2" t="str">
        <f t="shared" si="30"/>
        <v>Week 12</v>
      </c>
      <c r="G452" s="2" t="str">
        <f t="shared" si="31"/>
        <v>Week 12-2025</v>
      </c>
      <c r="O452"/>
      <c r="Q452"/>
    </row>
    <row r="453" spans="1:17" hidden="1" x14ac:dyDescent="0.2">
      <c r="A453" s="3">
        <v>45732</v>
      </c>
      <c r="B453" s="2" t="s">
        <v>13</v>
      </c>
      <c r="C453" s="2">
        <v>3</v>
      </c>
      <c r="D453" s="2">
        <f t="shared" si="28"/>
        <v>2025</v>
      </c>
      <c r="E453" s="2" t="str">
        <f t="shared" si="29"/>
        <v>2025-11</v>
      </c>
      <c r="F453" s="2" t="str">
        <f t="shared" si="30"/>
        <v>Week 12</v>
      </c>
      <c r="G453" s="2" t="str">
        <f t="shared" si="31"/>
        <v>Week 12-2025</v>
      </c>
      <c r="O453"/>
      <c r="Q453"/>
    </row>
    <row r="454" spans="1:17" hidden="1" x14ac:dyDescent="0.2">
      <c r="A454" s="3">
        <v>45732</v>
      </c>
      <c r="B454" s="2" t="s">
        <v>14</v>
      </c>
      <c r="C454" s="2">
        <v>4</v>
      </c>
      <c r="D454" s="2">
        <f t="shared" si="28"/>
        <v>2025</v>
      </c>
      <c r="E454" s="2" t="str">
        <f t="shared" si="29"/>
        <v>2025-11</v>
      </c>
      <c r="F454" s="2" t="str">
        <f t="shared" si="30"/>
        <v>Week 12</v>
      </c>
      <c r="G454" s="2" t="str">
        <f t="shared" si="31"/>
        <v>Week 12-2025</v>
      </c>
      <c r="O454"/>
      <c r="Q454"/>
    </row>
    <row r="455" spans="1:17" hidden="1" x14ac:dyDescent="0.2">
      <c r="A455" s="3">
        <v>45732</v>
      </c>
      <c r="B455" s="2" t="s">
        <v>15</v>
      </c>
      <c r="C455" s="2">
        <v>4</v>
      </c>
      <c r="D455" s="2">
        <f t="shared" si="28"/>
        <v>2025</v>
      </c>
      <c r="E455" s="2" t="str">
        <f t="shared" si="29"/>
        <v>2025-11</v>
      </c>
      <c r="F455" s="2" t="str">
        <f t="shared" si="30"/>
        <v>Week 12</v>
      </c>
      <c r="G455" s="2" t="str">
        <f t="shared" si="31"/>
        <v>Week 12-2025</v>
      </c>
      <c r="O455"/>
      <c r="Q455"/>
    </row>
    <row r="456" spans="1:17" hidden="1" x14ac:dyDescent="0.2">
      <c r="A456" s="3">
        <v>45733</v>
      </c>
      <c r="B456" s="2" t="s">
        <v>6</v>
      </c>
      <c r="C456" s="2">
        <v>32</v>
      </c>
      <c r="D456" s="2">
        <f t="shared" si="28"/>
        <v>2025</v>
      </c>
      <c r="E456" s="2" t="str">
        <f t="shared" si="29"/>
        <v>2025-12</v>
      </c>
      <c r="F456" s="2" t="str">
        <f t="shared" si="30"/>
        <v>Week 12</v>
      </c>
      <c r="G456" s="2" t="str">
        <f t="shared" si="31"/>
        <v>Week 12-2025</v>
      </c>
      <c r="O456"/>
      <c r="Q456"/>
    </row>
    <row r="457" spans="1:17" hidden="1" x14ac:dyDescent="0.2">
      <c r="A457" s="3">
        <v>45733</v>
      </c>
      <c r="B457" s="2" t="s">
        <v>12</v>
      </c>
      <c r="C457" s="2">
        <v>16</v>
      </c>
      <c r="D457" s="2">
        <f t="shared" si="28"/>
        <v>2025</v>
      </c>
      <c r="E457" s="2" t="str">
        <f t="shared" si="29"/>
        <v>2025-12</v>
      </c>
      <c r="F457" s="2" t="str">
        <f t="shared" si="30"/>
        <v>Week 12</v>
      </c>
      <c r="G457" s="2" t="str">
        <f t="shared" si="31"/>
        <v>Week 12-2025</v>
      </c>
      <c r="O457"/>
      <c r="Q457"/>
    </row>
    <row r="458" spans="1:17" hidden="1" x14ac:dyDescent="0.2">
      <c r="A458" s="3">
        <v>45733</v>
      </c>
      <c r="B458" s="2" t="s">
        <v>9</v>
      </c>
      <c r="C458" s="2">
        <v>24</v>
      </c>
      <c r="D458" s="2">
        <f t="shared" si="28"/>
        <v>2025</v>
      </c>
      <c r="E458" s="2" t="str">
        <f t="shared" si="29"/>
        <v>2025-12</v>
      </c>
      <c r="F458" s="2" t="str">
        <f t="shared" si="30"/>
        <v>Week 12</v>
      </c>
      <c r="G458" s="2" t="str">
        <f t="shared" si="31"/>
        <v>Week 12-2025</v>
      </c>
      <c r="O458"/>
      <c r="Q458"/>
    </row>
    <row r="459" spans="1:17" hidden="1" x14ac:dyDescent="0.2">
      <c r="A459" s="3">
        <v>45733</v>
      </c>
      <c r="B459" s="2" t="s">
        <v>19</v>
      </c>
      <c r="C459" s="2">
        <v>14</v>
      </c>
      <c r="D459" s="2">
        <f t="shared" si="28"/>
        <v>2025</v>
      </c>
      <c r="E459" s="2" t="str">
        <f t="shared" si="29"/>
        <v>2025-12</v>
      </c>
      <c r="F459" s="2" t="str">
        <f t="shared" si="30"/>
        <v>Week 12</v>
      </c>
      <c r="G459" s="2" t="str">
        <f t="shared" si="31"/>
        <v>Week 12-2025</v>
      </c>
      <c r="O459"/>
      <c r="Q459"/>
    </row>
    <row r="460" spans="1:17" hidden="1" x14ac:dyDescent="0.2">
      <c r="A460" s="3">
        <v>45733</v>
      </c>
      <c r="B460" s="2" t="s">
        <v>46</v>
      </c>
      <c r="C460" s="2">
        <v>8</v>
      </c>
      <c r="D460" s="2">
        <f t="shared" si="28"/>
        <v>2025</v>
      </c>
      <c r="E460" s="2" t="str">
        <f t="shared" si="29"/>
        <v>2025-12</v>
      </c>
      <c r="F460" s="2" t="str">
        <f t="shared" si="30"/>
        <v>Week 12</v>
      </c>
      <c r="G460" s="2" t="str">
        <f t="shared" si="31"/>
        <v>Week 12-2025</v>
      </c>
      <c r="O460"/>
      <c r="Q460"/>
    </row>
    <row r="461" spans="1:17" hidden="1" x14ac:dyDescent="0.2">
      <c r="A461" s="3">
        <v>45733</v>
      </c>
      <c r="B461" s="2" t="s">
        <v>29</v>
      </c>
      <c r="C461" s="2">
        <v>4</v>
      </c>
      <c r="D461" s="2">
        <f t="shared" si="28"/>
        <v>2025</v>
      </c>
      <c r="E461" s="2" t="str">
        <f t="shared" si="29"/>
        <v>2025-12</v>
      </c>
      <c r="F461" s="2" t="str">
        <f t="shared" si="30"/>
        <v>Week 12</v>
      </c>
      <c r="G461" s="2" t="str">
        <f t="shared" si="31"/>
        <v>Week 12-2025</v>
      </c>
      <c r="O461"/>
      <c r="Q461"/>
    </row>
    <row r="462" spans="1:17" hidden="1" x14ac:dyDescent="0.2">
      <c r="A462" s="3">
        <v>45733</v>
      </c>
      <c r="B462" s="2" t="s">
        <v>30</v>
      </c>
      <c r="C462" s="2">
        <v>4</v>
      </c>
      <c r="D462" s="2">
        <f t="shared" si="28"/>
        <v>2025</v>
      </c>
      <c r="E462" s="2" t="str">
        <f t="shared" si="29"/>
        <v>2025-12</v>
      </c>
      <c r="F462" s="2" t="str">
        <f t="shared" si="30"/>
        <v>Week 12</v>
      </c>
      <c r="G462" s="2" t="str">
        <f t="shared" si="31"/>
        <v>Week 12-2025</v>
      </c>
      <c r="O462"/>
      <c r="Q462"/>
    </row>
    <row r="463" spans="1:17" hidden="1" x14ac:dyDescent="0.2">
      <c r="A463" s="3">
        <v>45736</v>
      </c>
      <c r="B463" s="2" t="s">
        <v>7</v>
      </c>
      <c r="C463" s="2">
        <v>7</v>
      </c>
      <c r="D463" s="2">
        <f t="shared" si="28"/>
        <v>2025</v>
      </c>
      <c r="E463" s="2" t="str">
        <f t="shared" si="29"/>
        <v>2025-12</v>
      </c>
      <c r="F463" s="2" t="str">
        <f t="shared" si="30"/>
        <v>Week 12</v>
      </c>
      <c r="G463" s="2" t="str">
        <f t="shared" si="31"/>
        <v>Week 12-2025</v>
      </c>
      <c r="O463"/>
      <c r="Q463"/>
    </row>
    <row r="464" spans="1:17" hidden="1" x14ac:dyDescent="0.2">
      <c r="A464" s="3">
        <v>45736</v>
      </c>
      <c r="B464" s="2" t="s">
        <v>17</v>
      </c>
      <c r="C464" s="2">
        <v>3</v>
      </c>
      <c r="D464" s="2">
        <f t="shared" si="28"/>
        <v>2025</v>
      </c>
      <c r="E464" s="2" t="str">
        <f t="shared" si="29"/>
        <v>2025-12</v>
      </c>
      <c r="F464" s="2" t="str">
        <f t="shared" si="30"/>
        <v>Week 12</v>
      </c>
      <c r="G464" s="2" t="str">
        <f t="shared" si="31"/>
        <v>Week 12-2025</v>
      </c>
      <c r="O464"/>
      <c r="Q464"/>
    </row>
    <row r="465" spans="1:17" hidden="1" x14ac:dyDescent="0.2">
      <c r="A465" s="3">
        <v>45739</v>
      </c>
      <c r="B465" s="2" t="s">
        <v>30</v>
      </c>
      <c r="C465" s="2">
        <v>2</v>
      </c>
      <c r="D465" s="2">
        <f t="shared" si="28"/>
        <v>2025</v>
      </c>
      <c r="E465" s="2" t="str">
        <f t="shared" si="29"/>
        <v>2025-12</v>
      </c>
      <c r="F465" s="2" t="str">
        <f t="shared" si="30"/>
        <v>Week 13</v>
      </c>
      <c r="G465" s="2" t="str">
        <f t="shared" si="31"/>
        <v>Week 13-2025</v>
      </c>
      <c r="O465"/>
      <c r="Q465"/>
    </row>
    <row r="466" spans="1:17" hidden="1" x14ac:dyDescent="0.2">
      <c r="A466" s="3">
        <v>45740</v>
      </c>
      <c r="B466" s="2" t="s">
        <v>27</v>
      </c>
      <c r="C466" s="2">
        <v>4</v>
      </c>
      <c r="D466" s="2">
        <f t="shared" si="28"/>
        <v>2025</v>
      </c>
      <c r="E466" s="2" t="str">
        <f t="shared" si="29"/>
        <v>2025-13</v>
      </c>
      <c r="F466" s="2" t="str">
        <f t="shared" si="30"/>
        <v>Week 13</v>
      </c>
      <c r="G466" s="2" t="str">
        <f t="shared" si="31"/>
        <v>Week 13-2025</v>
      </c>
      <c r="O466"/>
      <c r="Q466"/>
    </row>
    <row r="467" spans="1:17" hidden="1" x14ac:dyDescent="0.2">
      <c r="A467" s="3">
        <v>45740</v>
      </c>
      <c r="B467" s="2" t="s">
        <v>15</v>
      </c>
      <c r="C467" s="2">
        <v>2</v>
      </c>
      <c r="D467" s="2">
        <f t="shared" si="28"/>
        <v>2025</v>
      </c>
      <c r="E467" s="2" t="str">
        <f t="shared" si="29"/>
        <v>2025-13</v>
      </c>
      <c r="F467" s="2" t="str">
        <f t="shared" si="30"/>
        <v>Week 13</v>
      </c>
      <c r="G467" s="2" t="str">
        <f t="shared" si="31"/>
        <v>Week 13-2025</v>
      </c>
      <c r="O467"/>
      <c r="Q467"/>
    </row>
    <row r="468" spans="1:17" hidden="1" x14ac:dyDescent="0.2">
      <c r="A468" s="3">
        <v>45741</v>
      </c>
      <c r="B468" s="2" t="s">
        <v>12</v>
      </c>
      <c r="C468" s="2">
        <v>2</v>
      </c>
      <c r="D468" s="2">
        <f t="shared" si="28"/>
        <v>2025</v>
      </c>
      <c r="E468" s="2" t="str">
        <f t="shared" si="29"/>
        <v>2025-13</v>
      </c>
      <c r="F468" s="2" t="str">
        <f t="shared" si="30"/>
        <v>Week 13</v>
      </c>
      <c r="G468" s="2" t="str">
        <f t="shared" si="31"/>
        <v>Week 13-2025</v>
      </c>
      <c r="O468"/>
      <c r="Q468"/>
    </row>
    <row r="469" spans="1:17" hidden="1" x14ac:dyDescent="0.2">
      <c r="A469" s="3">
        <v>45742</v>
      </c>
      <c r="B469" s="2" t="s">
        <v>6</v>
      </c>
      <c r="C469" s="2">
        <v>8</v>
      </c>
      <c r="D469" s="2">
        <f t="shared" si="28"/>
        <v>2025</v>
      </c>
      <c r="E469" s="2" t="str">
        <f t="shared" si="29"/>
        <v>2025-13</v>
      </c>
      <c r="F469" s="2" t="str">
        <f t="shared" si="30"/>
        <v>Week 13</v>
      </c>
      <c r="G469" s="2" t="str">
        <f t="shared" si="31"/>
        <v>Week 13-2025</v>
      </c>
      <c r="O469"/>
      <c r="Q469"/>
    </row>
    <row r="470" spans="1:17" hidden="1" x14ac:dyDescent="0.2">
      <c r="A470" s="3">
        <v>45742</v>
      </c>
      <c r="B470" s="2" t="s">
        <v>35</v>
      </c>
      <c r="C470" s="2">
        <v>2</v>
      </c>
      <c r="D470" s="2">
        <f t="shared" si="28"/>
        <v>2025</v>
      </c>
      <c r="E470" s="2" t="str">
        <f t="shared" si="29"/>
        <v>2025-13</v>
      </c>
      <c r="F470" s="2" t="str">
        <f t="shared" si="30"/>
        <v>Week 13</v>
      </c>
      <c r="G470" s="2" t="str">
        <f t="shared" si="31"/>
        <v>Week 13-2025</v>
      </c>
      <c r="O470"/>
      <c r="Q470"/>
    </row>
    <row r="471" spans="1:17" hidden="1" x14ac:dyDescent="0.2">
      <c r="A471" s="3">
        <v>45743</v>
      </c>
      <c r="B471" s="2" t="s">
        <v>4</v>
      </c>
      <c r="C471" s="2">
        <v>24</v>
      </c>
      <c r="D471" s="2">
        <f t="shared" si="28"/>
        <v>2025</v>
      </c>
      <c r="E471" s="2" t="str">
        <f t="shared" si="29"/>
        <v>2025-13</v>
      </c>
      <c r="F471" s="2" t="str">
        <f t="shared" si="30"/>
        <v>Week 13</v>
      </c>
      <c r="G471" s="2" t="str">
        <f t="shared" si="31"/>
        <v>Week 13-2025</v>
      </c>
      <c r="O471"/>
      <c r="Q471"/>
    </row>
    <row r="472" spans="1:17" hidden="1" x14ac:dyDescent="0.2">
      <c r="A472" s="3">
        <v>45743</v>
      </c>
      <c r="B472" s="2" t="s">
        <v>6</v>
      </c>
      <c r="C472" s="2">
        <v>20</v>
      </c>
      <c r="D472" s="2">
        <f t="shared" si="28"/>
        <v>2025</v>
      </c>
      <c r="E472" s="2" t="str">
        <f t="shared" si="29"/>
        <v>2025-13</v>
      </c>
      <c r="F472" s="2" t="str">
        <f t="shared" si="30"/>
        <v>Week 13</v>
      </c>
      <c r="G472" s="2" t="str">
        <f t="shared" si="31"/>
        <v>Week 13-2025</v>
      </c>
      <c r="O472"/>
      <c r="Q472"/>
    </row>
    <row r="473" spans="1:17" hidden="1" x14ac:dyDescent="0.2">
      <c r="A473" s="3">
        <v>45743</v>
      </c>
      <c r="B473" s="2" t="s">
        <v>3</v>
      </c>
      <c r="C473" s="2">
        <v>24</v>
      </c>
      <c r="D473" s="2">
        <f t="shared" si="28"/>
        <v>2025</v>
      </c>
      <c r="E473" s="2" t="str">
        <f t="shared" si="29"/>
        <v>2025-13</v>
      </c>
      <c r="F473" s="2" t="str">
        <f t="shared" si="30"/>
        <v>Week 13</v>
      </c>
      <c r="G473" s="2" t="str">
        <f t="shared" si="31"/>
        <v>Week 13-2025</v>
      </c>
      <c r="O473"/>
      <c r="Q473"/>
    </row>
    <row r="474" spans="1:17" hidden="1" x14ac:dyDescent="0.2">
      <c r="A474" s="3">
        <v>45743</v>
      </c>
      <c r="B474" s="2" t="s">
        <v>27</v>
      </c>
      <c r="C474" s="2">
        <v>16</v>
      </c>
      <c r="D474" s="2">
        <f t="shared" si="28"/>
        <v>2025</v>
      </c>
      <c r="E474" s="2" t="str">
        <f t="shared" si="29"/>
        <v>2025-13</v>
      </c>
      <c r="F474" s="2" t="str">
        <f t="shared" si="30"/>
        <v>Week 13</v>
      </c>
      <c r="G474" s="2" t="str">
        <f t="shared" si="31"/>
        <v>Week 13-2025</v>
      </c>
      <c r="O474"/>
      <c r="Q474"/>
    </row>
    <row r="475" spans="1:17" hidden="1" x14ac:dyDescent="0.2">
      <c r="A475" s="3">
        <v>45743</v>
      </c>
      <c r="B475" s="2" t="s">
        <v>30</v>
      </c>
      <c r="C475" s="2">
        <v>12</v>
      </c>
      <c r="D475" s="2">
        <f t="shared" si="28"/>
        <v>2025</v>
      </c>
      <c r="E475" s="2" t="str">
        <f t="shared" si="29"/>
        <v>2025-13</v>
      </c>
      <c r="F475" s="2" t="str">
        <f t="shared" si="30"/>
        <v>Week 13</v>
      </c>
      <c r="G475" s="2" t="str">
        <f t="shared" si="31"/>
        <v>Week 13-2025</v>
      </c>
      <c r="O475"/>
      <c r="Q475"/>
    </row>
    <row r="476" spans="1:17" hidden="1" x14ac:dyDescent="0.2">
      <c r="A476" s="3">
        <v>45743</v>
      </c>
      <c r="B476" s="2" t="s">
        <v>38</v>
      </c>
      <c r="C476" s="2">
        <v>8</v>
      </c>
      <c r="D476" s="2">
        <f t="shared" si="28"/>
        <v>2025</v>
      </c>
      <c r="E476" s="2" t="str">
        <f t="shared" si="29"/>
        <v>2025-13</v>
      </c>
      <c r="F476" s="2" t="str">
        <f t="shared" si="30"/>
        <v>Week 13</v>
      </c>
      <c r="G476" s="2" t="str">
        <f t="shared" si="31"/>
        <v>Week 13-2025</v>
      </c>
      <c r="O476"/>
      <c r="Q476"/>
    </row>
    <row r="477" spans="1:17" hidden="1" x14ac:dyDescent="0.2">
      <c r="A477" s="3">
        <v>45743</v>
      </c>
      <c r="B477" s="2" t="s">
        <v>37</v>
      </c>
      <c r="C477" s="2">
        <v>4</v>
      </c>
      <c r="D477" s="2">
        <f t="shared" si="28"/>
        <v>2025</v>
      </c>
      <c r="E477" s="2" t="str">
        <f t="shared" si="29"/>
        <v>2025-13</v>
      </c>
      <c r="F477" s="2" t="str">
        <f t="shared" si="30"/>
        <v>Week 13</v>
      </c>
      <c r="G477" s="2" t="str">
        <f t="shared" si="31"/>
        <v>Week 13-2025</v>
      </c>
      <c r="O477"/>
      <c r="Q477"/>
    </row>
    <row r="478" spans="1:17" hidden="1" x14ac:dyDescent="0.2">
      <c r="A478" s="3">
        <v>45743</v>
      </c>
      <c r="B478" s="2" t="s">
        <v>14</v>
      </c>
      <c r="C478" s="2">
        <v>4</v>
      </c>
      <c r="D478" s="2">
        <f t="shared" si="28"/>
        <v>2025</v>
      </c>
      <c r="E478" s="2" t="str">
        <f t="shared" si="29"/>
        <v>2025-13</v>
      </c>
      <c r="F478" s="2" t="str">
        <f t="shared" si="30"/>
        <v>Week 13</v>
      </c>
      <c r="G478" s="2" t="str">
        <f t="shared" si="31"/>
        <v>Week 13-2025</v>
      </c>
      <c r="O478"/>
      <c r="Q478"/>
    </row>
    <row r="479" spans="1:17" hidden="1" x14ac:dyDescent="0.2">
      <c r="A479" s="3">
        <v>45743</v>
      </c>
      <c r="B479" s="2" t="s">
        <v>8</v>
      </c>
      <c r="C479" s="2">
        <v>2</v>
      </c>
      <c r="D479" s="2">
        <f t="shared" si="28"/>
        <v>2025</v>
      </c>
      <c r="E479" s="2" t="str">
        <f t="shared" si="29"/>
        <v>2025-13</v>
      </c>
      <c r="F479" s="2" t="str">
        <f t="shared" si="30"/>
        <v>Week 13</v>
      </c>
      <c r="G479" s="2" t="str">
        <f t="shared" si="31"/>
        <v>Week 13-2025</v>
      </c>
      <c r="O479"/>
      <c r="Q479"/>
    </row>
    <row r="480" spans="1:17" hidden="1" x14ac:dyDescent="0.2">
      <c r="A480" s="3">
        <v>45745</v>
      </c>
      <c r="B480" s="2" t="s">
        <v>6</v>
      </c>
      <c r="C480" s="2">
        <v>11</v>
      </c>
      <c r="D480" s="2">
        <f t="shared" si="28"/>
        <v>2025</v>
      </c>
      <c r="E480" s="2" t="str">
        <f t="shared" si="29"/>
        <v>2025-13</v>
      </c>
      <c r="F480" s="2" t="str">
        <f t="shared" si="30"/>
        <v>Week 13</v>
      </c>
      <c r="G480" s="2" t="str">
        <f t="shared" si="31"/>
        <v>Week 13-2025</v>
      </c>
      <c r="O480"/>
      <c r="Q480"/>
    </row>
    <row r="481" spans="1:17" hidden="1" x14ac:dyDescent="0.2">
      <c r="A481" s="3">
        <v>45745</v>
      </c>
      <c r="B481" s="2" t="s">
        <v>6</v>
      </c>
      <c r="C481" s="2">
        <v>11</v>
      </c>
      <c r="D481" s="2">
        <f t="shared" si="28"/>
        <v>2025</v>
      </c>
      <c r="E481" s="2" t="str">
        <f t="shared" si="29"/>
        <v>2025-13</v>
      </c>
      <c r="F481" s="2" t="str">
        <f t="shared" si="30"/>
        <v>Week 13</v>
      </c>
      <c r="G481" s="2" t="str">
        <f t="shared" si="31"/>
        <v>Week 13-2025</v>
      </c>
      <c r="O481"/>
      <c r="Q481"/>
    </row>
    <row r="482" spans="1:17" hidden="1" x14ac:dyDescent="0.2">
      <c r="A482" s="3">
        <v>45745</v>
      </c>
      <c r="B482" s="2" t="s">
        <v>6</v>
      </c>
      <c r="C482" s="2">
        <v>11</v>
      </c>
      <c r="D482" s="2">
        <f t="shared" si="28"/>
        <v>2025</v>
      </c>
      <c r="E482" s="2" t="str">
        <f t="shared" si="29"/>
        <v>2025-13</v>
      </c>
      <c r="F482" s="2" t="str">
        <f t="shared" si="30"/>
        <v>Week 13</v>
      </c>
      <c r="G482" s="2" t="str">
        <f t="shared" si="31"/>
        <v>Week 13-2025</v>
      </c>
      <c r="O482"/>
      <c r="Q482"/>
    </row>
    <row r="483" spans="1:17" hidden="1" x14ac:dyDescent="0.2">
      <c r="A483" s="3">
        <v>45745</v>
      </c>
      <c r="B483" s="2" t="s">
        <v>6</v>
      </c>
      <c r="C483" s="2">
        <v>11</v>
      </c>
      <c r="D483" s="2">
        <f t="shared" si="28"/>
        <v>2025</v>
      </c>
      <c r="E483" s="2" t="str">
        <f t="shared" si="29"/>
        <v>2025-13</v>
      </c>
      <c r="F483" s="2" t="str">
        <f t="shared" si="30"/>
        <v>Week 13</v>
      </c>
      <c r="G483" s="2" t="str">
        <f t="shared" si="31"/>
        <v>Week 13-2025</v>
      </c>
      <c r="O483"/>
      <c r="Q483"/>
    </row>
    <row r="484" spans="1:17" hidden="1" x14ac:dyDescent="0.2">
      <c r="A484" s="3">
        <v>45745</v>
      </c>
      <c r="B484" s="2" t="s">
        <v>6</v>
      </c>
      <c r="C484" s="2">
        <v>10</v>
      </c>
      <c r="D484" s="2">
        <f t="shared" si="28"/>
        <v>2025</v>
      </c>
      <c r="E484" s="2" t="str">
        <f t="shared" si="29"/>
        <v>2025-13</v>
      </c>
      <c r="F484" s="2" t="str">
        <f t="shared" si="30"/>
        <v>Week 13</v>
      </c>
      <c r="G484" s="2" t="str">
        <f t="shared" si="31"/>
        <v>Week 13-2025</v>
      </c>
      <c r="O484"/>
      <c r="Q484"/>
    </row>
    <row r="485" spans="1:17" hidden="1" x14ac:dyDescent="0.2">
      <c r="A485" s="3">
        <v>45745</v>
      </c>
      <c r="B485" s="2" t="s">
        <v>6</v>
      </c>
      <c r="C485" s="2">
        <v>10</v>
      </c>
      <c r="D485" s="2">
        <f t="shared" si="28"/>
        <v>2025</v>
      </c>
      <c r="E485" s="2" t="str">
        <f t="shared" si="29"/>
        <v>2025-13</v>
      </c>
      <c r="F485" s="2" t="str">
        <f t="shared" si="30"/>
        <v>Week 13</v>
      </c>
      <c r="G485" s="2" t="str">
        <f t="shared" si="31"/>
        <v>Week 13-2025</v>
      </c>
      <c r="O485"/>
      <c r="Q485"/>
    </row>
    <row r="486" spans="1:17" hidden="1" x14ac:dyDescent="0.2">
      <c r="A486" s="3">
        <v>45745</v>
      </c>
      <c r="B486" s="2" t="s">
        <v>9</v>
      </c>
      <c r="C486" s="2">
        <v>10</v>
      </c>
      <c r="D486" s="2">
        <f t="shared" si="28"/>
        <v>2025</v>
      </c>
      <c r="E486" s="2" t="str">
        <f t="shared" si="29"/>
        <v>2025-13</v>
      </c>
      <c r="F486" s="2" t="str">
        <f t="shared" si="30"/>
        <v>Week 13</v>
      </c>
      <c r="G486" s="2" t="str">
        <f t="shared" si="31"/>
        <v>Week 13-2025</v>
      </c>
      <c r="O486"/>
      <c r="Q486"/>
    </row>
    <row r="487" spans="1:17" hidden="1" x14ac:dyDescent="0.2">
      <c r="A487" s="3">
        <v>45745</v>
      </c>
      <c r="B487" s="2" t="s">
        <v>12</v>
      </c>
      <c r="C487" s="2">
        <v>6</v>
      </c>
      <c r="D487" s="2">
        <f t="shared" si="28"/>
        <v>2025</v>
      </c>
      <c r="E487" s="2" t="str">
        <f t="shared" si="29"/>
        <v>2025-13</v>
      </c>
      <c r="F487" s="2" t="str">
        <f t="shared" si="30"/>
        <v>Week 13</v>
      </c>
      <c r="G487" s="2" t="str">
        <f t="shared" si="31"/>
        <v>Week 13-2025</v>
      </c>
      <c r="O487"/>
      <c r="Q487"/>
    </row>
    <row r="488" spans="1:17" hidden="1" x14ac:dyDescent="0.2">
      <c r="A488" s="3">
        <v>45745</v>
      </c>
      <c r="B488" s="2" t="s">
        <v>10</v>
      </c>
      <c r="C488" s="2">
        <v>12</v>
      </c>
      <c r="D488" s="2">
        <f t="shared" si="28"/>
        <v>2025</v>
      </c>
      <c r="E488" s="2" t="str">
        <f t="shared" si="29"/>
        <v>2025-13</v>
      </c>
      <c r="F488" s="2" t="str">
        <f t="shared" si="30"/>
        <v>Week 13</v>
      </c>
      <c r="G488" s="2" t="str">
        <f t="shared" si="31"/>
        <v>Week 13-2025</v>
      </c>
      <c r="O488"/>
      <c r="Q488"/>
    </row>
    <row r="489" spans="1:17" hidden="1" x14ac:dyDescent="0.2">
      <c r="A489" s="3">
        <v>45745</v>
      </c>
      <c r="B489" s="2" t="s">
        <v>12</v>
      </c>
      <c r="C489" s="2">
        <v>5</v>
      </c>
      <c r="D489" s="2">
        <f t="shared" si="28"/>
        <v>2025</v>
      </c>
      <c r="E489" s="2" t="str">
        <f t="shared" si="29"/>
        <v>2025-13</v>
      </c>
      <c r="F489" s="2" t="str">
        <f t="shared" si="30"/>
        <v>Week 13</v>
      </c>
      <c r="G489" s="2" t="str">
        <f t="shared" si="31"/>
        <v>Week 13-2025</v>
      </c>
      <c r="O489"/>
      <c r="Q489"/>
    </row>
    <row r="490" spans="1:17" hidden="1" x14ac:dyDescent="0.2">
      <c r="A490" s="3">
        <v>45745</v>
      </c>
      <c r="B490" s="2" t="s">
        <v>6</v>
      </c>
      <c r="C490" s="2">
        <v>6</v>
      </c>
      <c r="D490" s="2">
        <f t="shared" si="28"/>
        <v>2025</v>
      </c>
      <c r="E490" s="2" t="str">
        <f t="shared" si="29"/>
        <v>2025-13</v>
      </c>
      <c r="F490" s="2" t="str">
        <f t="shared" si="30"/>
        <v>Week 13</v>
      </c>
      <c r="G490" s="2" t="str">
        <f t="shared" si="31"/>
        <v>Week 13-2025</v>
      </c>
      <c r="O490"/>
      <c r="Q490"/>
    </row>
    <row r="491" spans="1:17" hidden="1" x14ac:dyDescent="0.2">
      <c r="A491" s="3">
        <v>45745</v>
      </c>
      <c r="B491" s="2" t="s">
        <v>19</v>
      </c>
      <c r="C491" s="2">
        <v>5</v>
      </c>
      <c r="D491" s="2">
        <f t="shared" si="28"/>
        <v>2025</v>
      </c>
      <c r="E491" s="2" t="str">
        <f t="shared" si="29"/>
        <v>2025-13</v>
      </c>
      <c r="F491" s="2" t="str">
        <f t="shared" si="30"/>
        <v>Week 13</v>
      </c>
      <c r="G491" s="2" t="str">
        <f t="shared" si="31"/>
        <v>Week 13-2025</v>
      </c>
      <c r="O491"/>
      <c r="Q491"/>
    </row>
    <row r="492" spans="1:17" hidden="1" x14ac:dyDescent="0.2">
      <c r="A492" s="3">
        <v>45745</v>
      </c>
      <c r="B492" s="2" t="s">
        <v>19</v>
      </c>
      <c r="C492" s="2">
        <v>5</v>
      </c>
      <c r="D492" s="2">
        <f t="shared" si="28"/>
        <v>2025</v>
      </c>
      <c r="E492" s="2" t="str">
        <f t="shared" si="29"/>
        <v>2025-13</v>
      </c>
      <c r="F492" s="2" t="str">
        <f t="shared" si="30"/>
        <v>Week 13</v>
      </c>
      <c r="G492" s="2" t="str">
        <f t="shared" si="31"/>
        <v>Week 13-2025</v>
      </c>
      <c r="O492"/>
      <c r="Q492"/>
    </row>
    <row r="493" spans="1:17" hidden="1" x14ac:dyDescent="0.2">
      <c r="A493" s="3">
        <v>45745</v>
      </c>
      <c r="B493" s="2" t="s">
        <v>34</v>
      </c>
      <c r="C493" s="2">
        <v>9</v>
      </c>
      <c r="D493" s="2">
        <f t="shared" si="28"/>
        <v>2025</v>
      </c>
      <c r="E493" s="2" t="str">
        <f t="shared" si="29"/>
        <v>2025-13</v>
      </c>
      <c r="F493" s="2" t="str">
        <f t="shared" si="30"/>
        <v>Week 13</v>
      </c>
      <c r="G493" s="2" t="str">
        <f t="shared" si="31"/>
        <v>Week 13-2025</v>
      </c>
      <c r="O493"/>
      <c r="Q493"/>
    </row>
    <row r="494" spans="1:17" hidden="1" x14ac:dyDescent="0.2">
      <c r="A494" s="3">
        <v>45745</v>
      </c>
      <c r="B494" s="2" t="s">
        <v>34</v>
      </c>
      <c r="C494" s="2">
        <v>9</v>
      </c>
      <c r="D494" s="2">
        <f t="shared" si="28"/>
        <v>2025</v>
      </c>
      <c r="E494" s="2" t="str">
        <f t="shared" si="29"/>
        <v>2025-13</v>
      </c>
      <c r="F494" s="2" t="str">
        <f t="shared" si="30"/>
        <v>Week 13</v>
      </c>
      <c r="G494" s="2" t="str">
        <f t="shared" si="31"/>
        <v>Week 13-2025</v>
      </c>
      <c r="O494"/>
      <c r="Q494"/>
    </row>
    <row r="495" spans="1:17" hidden="1" x14ac:dyDescent="0.2">
      <c r="A495" s="3">
        <v>45745</v>
      </c>
      <c r="B495" s="2" t="s">
        <v>10</v>
      </c>
      <c r="C495" s="2">
        <v>7</v>
      </c>
      <c r="D495" s="2">
        <f t="shared" si="28"/>
        <v>2025</v>
      </c>
      <c r="E495" s="2" t="str">
        <f t="shared" si="29"/>
        <v>2025-13</v>
      </c>
      <c r="F495" s="2" t="str">
        <f t="shared" si="30"/>
        <v>Week 13</v>
      </c>
      <c r="G495" s="2" t="str">
        <f t="shared" si="31"/>
        <v>Week 13-2025</v>
      </c>
      <c r="O495"/>
      <c r="Q495"/>
    </row>
    <row r="496" spans="1:17" hidden="1" x14ac:dyDescent="0.2">
      <c r="A496" s="3">
        <v>45745</v>
      </c>
      <c r="B496" s="2" t="s">
        <v>23</v>
      </c>
      <c r="C496" s="2">
        <v>3</v>
      </c>
      <c r="D496" s="2">
        <f t="shared" si="28"/>
        <v>2025</v>
      </c>
      <c r="E496" s="2" t="str">
        <f t="shared" si="29"/>
        <v>2025-13</v>
      </c>
      <c r="F496" s="2" t="str">
        <f t="shared" si="30"/>
        <v>Week 13</v>
      </c>
      <c r="G496" s="2" t="str">
        <f t="shared" si="31"/>
        <v>Week 13-2025</v>
      </c>
      <c r="O496"/>
      <c r="Q496"/>
    </row>
    <row r="497" spans="1:17" hidden="1" x14ac:dyDescent="0.2">
      <c r="A497" s="3">
        <v>45745</v>
      </c>
      <c r="B497" s="2" t="s">
        <v>23</v>
      </c>
      <c r="C497" s="2">
        <v>3</v>
      </c>
      <c r="D497" s="2">
        <f t="shared" si="28"/>
        <v>2025</v>
      </c>
      <c r="E497" s="2" t="str">
        <f t="shared" si="29"/>
        <v>2025-13</v>
      </c>
      <c r="F497" s="2" t="str">
        <f t="shared" si="30"/>
        <v>Week 13</v>
      </c>
      <c r="G497" s="2" t="str">
        <f t="shared" si="31"/>
        <v>Week 13-2025</v>
      </c>
      <c r="O497"/>
      <c r="Q497"/>
    </row>
    <row r="498" spans="1:17" hidden="1" x14ac:dyDescent="0.2">
      <c r="A498" s="3">
        <v>45745</v>
      </c>
      <c r="B498" s="2" t="s">
        <v>33</v>
      </c>
      <c r="C498" s="2">
        <v>2</v>
      </c>
      <c r="D498" s="2">
        <f t="shared" si="28"/>
        <v>2025</v>
      </c>
      <c r="E498" s="2" t="str">
        <f t="shared" si="29"/>
        <v>2025-13</v>
      </c>
      <c r="F498" s="2" t="str">
        <f t="shared" si="30"/>
        <v>Week 13</v>
      </c>
      <c r="G498" s="2" t="str">
        <f t="shared" si="31"/>
        <v>Week 13-2025</v>
      </c>
      <c r="O498"/>
      <c r="Q498"/>
    </row>
    <row r="499" spans="1:17" hidden="1" x14ac:dyDescent="0.2">
      <c r="A499" s="3">
        <v>45745</v>
      </c>
      <c r="B499" s="2" t="s">
        <v>33</v>
      </c>
      <c r="C499" s="2">
        <v>2</v>
      </c>
      <c r="D499" s="2">
        <f t="shared" si="28"/>
        <v>2025</v>
      </c>
      <c r="E499" s="2" t="str">
        <f t="shared" si="29"/>
        <v>2025-13</v>
      </c>
      <c r="F499" s="2" t="str">
        <f t="shared" si="30"/>
        <v>Week 13</v>
      </c>
      <c r="G499" s="2" t="str">
        <f t="shared" si="31"/>
        <v>Week 13-2025</v>
      </c>
      <c r="O499"/>
      <c r="Q499"/>
    </row>
    <row r="500" spans="1:17" hidden="1" x14ac:dyDescent="0.2">
      <c r="A500" s="3">
        <v>45745</v>
      </c>
      <c r="B500" s="2" t="s">
        <v>38</v>
      </c>
      <c r="C500" s="2">
        <v>7</v>
      </c>
      <c r="D500" s="2">
        <f t="shared" si="28"/>
        <v>2025</v>
      </c>
      <c r="E500" s="2" t="str">
        <f t="shared" si="29"/>
        <v>2025-13</v>
      </c>
      <c r="F500" s="2" t="str">
        <f t="shared" si="30"/>
        <v>Week 13</v>
      </c>
      <c r="G500" s="2" t="str">
        <f t="shared" si="31"/>
        <v>Week 13-2025</v>
      </c>
      <c r="O500"/>
      <c r="Q500"/>
    </row>
    <row r="501" spans="1:17" hidden="1" x14ac:dyDescent="0.2">
      <c r="A501" s="3">
        <v>45745</v>
      </c>
      <c r="B501" s="2" t="s">
        <v>17</v>
      </c>
      <c r="C501" s="2">
        <v>5</v>
      </c>
      <c r="D501" s="2">
        <f t="shared" si="28"/>
        <v>2025</v>
      </c>
      <c r="E501" s="2" t="str">
        <f t="shared" si="29"/>
        <v>2025-13</v>
      </c>
      <c r="F501" s="2" t="str">
        <f t="shared" si="30"/>
        <v>Week 13</v>
      </c>
      <c r="G501" s="2" t="str">
        <f t="shared" si="31"/>
        <v>Week 13-2025</v>
      </c>
      <c r="O501"/>
      <c r="Q501"/>
    </row>
    <row r="502" spans="1:17" hidden="1" x14ac:dyDescent="0.2">
      <c r="A502" s="3">
        <v>45745</v>
      </c>
      <c r="B502" s="2" t="s">
        <v>17</v>
      </c>
      <c r="C502" s="2">
        <v>5</v>
      </c>
      <c r="D502" s="2">
        <f t="shared" si="28"/>
        <v>2025</v>
      </c>
      <c r="E502" s="2" t="str">
        <f t="shared" si="29"/>
        <v>2025-13</v>
      </c>
      <c r="F502" s="2" t="str">
        <f t="shared" si="30"/>
        <v>Week 13</v>
      </c>
      <c r="G502" s="2" t="str">
        <f t="shared" si="31"/>
        <v>Week 13-2025</v>
      </c>
      <c r="O502"/>
      <c r="Q502"/>
    </row>
    <row r="503" spans="1:17" hidden="1" x14ac:dyDescent="0.2">
      <c r="A503" s="3">
        <v>45745</v>
      </c>
      <c r="B503" s="2" t="s">
        <v>19</v>
      </c>
      <c r="C503" s="2">
        <v>3</v>
      </c>
      <c r="D503" s="2">
        <f t="shared" si="28"/>
        <v>2025</v>
      </c>
      <c r="E503" s="2" t="str">
        <f t="shared" si="29"/>
        <v>2025-13</v>
      </c>
      <c r="F503" s="2" t="str">
        <f t="shared" si="30"/>
        <v>Week 13</v>
      </c>
      <c r="G503" s="2" t="str">
        <f t="shared" si="31"/>
        <v>Week 13-2025</v>
      </c>
      <c r="O503"/>
      <c r="Q503"/>
    </row>
    <row r="504" spans="1:17" hidden="1" x14ac:dyDescent="0.2">
      <c r="A504" s="3">
        <v>45745</v>
      </c>
      <c r="B504" s="2" t="s">
        <v>19</v>
      </c>
      <c r="C504" s="2">
        <v>3</v>
      </c>
      <c r="D504" s="2">
        <f t="shared" si="28"/>
        <v>2025</v>
      </c>
      <c r="E504" s="2" t="str">
        <f t="shared" si="29"/>
        <v>2025-13</v>
      </c>
      <c r="F504" s="2" t="str">
        <f t="shared" si="30"/>
        <v>Week 13</v>
      </c>
      <c r="G504" s="2" t="str">
        <f t="shared" si="31"/>
        <v>Week 13-2025</v>
      </c>
      <c r="O504"/>
      <c r="Q504"/>
    </row>
    <row r="505" spans="1:17" hidden="1" x14ac:dyDescent="0.2">
      <c r="A505" s="3">
        <v>45745</v>
      </c>
      <c r="B505" s="2" t="s">
        <v>47</v>
      </c>
      <c r="C505" s="2">
        <v>2</v>
      </c>
      <c r="D505" s="2">
        <f t="shared" si="28"/>
        <v>2025</v>
      </c>
      <c r="E505" s="2" t="str">
        <f t="shared" si="29"/>
        <v>2025-13</v>
      </c>
      <c r="F505" s="2" t="str">
        <f t="shared" si="30"/>
        <v>Week 13</v>
      </c>
      <c r="G505" s="2" t="str">
        <f t="shared" si="31"/>
        <v>Week 13-2025</v>
      </c>
      <c r="O505"/>
      <c r="Q505"/>
    </row>
    <row r="506" spans="1:17" hidden="1" x14ac:dyDescent="0.2">
      <c r="A506" s="3">
        <v>45745</v>
      </c>
      <c r="B506" s="2" t="s">
        <v>47</v>
      </c>
      <c r="C506" s="2">
        <v>2</v>
      </c>
      <c r="D506" s="2">
        <f t="shared" si="28"/>
        <v>2025</v>
      </c>
      <c r="E506" s="2" t="str">
        <f t="shared" si="29"/>
        <v>2025-13</v>
      </c>
      <c r="F506" s="2" t="str">
        <f t="shared" si="30"/>
        <v>Week 13</v>
      </c>
      <c r="G506" s="2" t="str">
        <f t="shared" si="31"/>
        <v>Week 13-2025</v>
      </c>
      <c r="O506"/>
      <c r="Q506"/>
    </row>
    <row r="507" spans="1:17" hidden="1" x14ac:dyDescent="0.2">
      <c r="A507" s="3">
        <v>45745</v>
      </c>
      <c r="B507" s="2" t="s">
        <v>10</v>
      </c>
      <c r="C507" s="2">
        <v>5</v>
      </c>
      <c r="D507" s="2">
        <f t="shared" si="28"/>
        <v>2025</v>
      </c>
      <c r="E507" s="2" t="str">
        <f t="shared" si="29"/>
        <v>2025-13</v>
      </c>
      <c r="F507" s="2" t="str">
        <f t="shared" si="30"/>
        <v>Week 13</v>
      </c>
      <c r="G507" s="2" t="str">
        <f t="shared" si="31"/>
        <v>Week 13-2025</v>
      </c>
      <c r="O507"/>
      <c r="Q507"/>
    </row>
    <row r="508" spans="1:17" hidden="1" x14ac:dyDescent="0.2">
      <c r="A508" s="3">
        <v>45745</v>
      </c>
      <c r="B508" s="2" t="s">
        <v>9</v>
      </c>
      <c r="C508" s="2">
        <v>3</v>
      </c>
      <c r="D508" s="2">
        <f t="shared" si="28"/>
        <v>2025</v>
      </c>
      <c r="E508" s="2" t="str">
        <f t="shared" si="29"/>
        <v>2025-13</v>
      </c>
      <c r="F508" s="2" t="str">
        <f t="shared" si="30"/>
        <v>Week 13</v>
      </c>
      <c r="G508" s="2" t="str">
        <f t="shared" si="31"/>
        <v>Week 13-2025</v>
      </c>
      <c r="O508"/>
      <c r="Q508"/>
    </row>
    <row r="509" spans="1:17" hidden="1" x14ac:dyDescent="0.2">
      <c r="A509" s="3">
        <v>45745</v>
      </c>
      <c r="B509" s="2" t="s">
        <v>17</v>
      </c>
      <c r="C509" s="2">
        <v>4</v>
      </c>
      <c r="D509" s="2">
        <f t="shared" si="28"/>
        <v>2025</v>
      </c>
      <c r="E509" s="2" t="str">
        <f t="shared" si="29"/>
        <v>2025-13</v>
      </c>
      <c r="F509" s="2" t="str">
        <f t="shared" si="30"/>
        <v>Week 13</v>
      </c>
      <c r="G509" s="2" t="str">
        <f t="shared" si="31"/>
        <v>Week 13-2025</v>
      </c>
      <c r="O509"/>
      <c r="Q509"/>
    </row>
    <row r="510" spans="1:17" hidden="1" x14ac:dyDescent="0.2">
      <c r="A510" s="3">
        <v>45745</v>
      </c>
      <c r="B510" s="2" t="s">
        <v>7</v>
      </c>
      <c r="C510" s="2">
        <v>2</v>
      </c>
      <c r="D510" s="2">
        <f t="shared" si="28"/>
        <v>2025</v>
      </c>
      <c r="E510" s="2" t="str">
        <f t="shared" si="29"/>
        <v>2025-13</v>
      </c>
      <c r="F510" s="2" t="str">
        <f t="shared" si="30"/>
        <v>Week 13</v>
      </c>
      <c r="G510" s="2" t="str">
        <f t="shared" si="31"/>
        <v>Week 13-2025</v>
      </c>
      <c r="O510"/>
      <c r="Q510"/>
    </row>
    <row r="511" spans="1:17" hidden="1" x14ac:dyDescent="0.2">
      <c r="A511" s="3">
        <v>45745</v>
      </c>
      <c r="B511" s="2" t="s">
        <v>9</v>
      </c>
      <c r="C511" s="2">
        <v>2</v>
      </c>
      <c r="D511" s="2">
        <f t="shared" si="28"/>
        <v>2025</v>
      </c>
      <c r="E511" s="2" t="str">
        <f t="shared" si="29"/>
        <v>2025-13</v>
      </c>
      <c r="F511" s="2" t="str">
        <f t="shared" si="30"/>
        <v>Week 13</v>
      </c>
      <c r="G511" s="2" t="str">
        <f t="shared" si="31"/>
        <v>Week 13-2025</v>
      </c>
      <c r="O511"/>
      <c r="Q511"/>
    </row>
    <row r="512" spans="1:17" hidden="1" x14ac:dyDescent="0.2">
      <c r="A512" s="3">
        <v>45745</v>
      </c>
      <c r="B512" s="2" t="s">
        <v>29</v>
      </c>
      <c r="C512" s="2">
        <v>2</v>
      </c>
      <c r="D512" s="2">
        <f t="shared" si="28"/>
        <v>2025</v>
      </c>
      <c r="E512" s="2" t="str">
        <f t="shared" si="29"/>
        <v>2025-13</v>
      </c>
      <c r="F512" s="2" t="str">
        <f t="shared" si="30"/>
        <v>Week 13</v>
      </c>
      <c r="G512" s="2" t="str">
        <f t="shared" si="31"/>
        <v>Week 13-2025</v>
      </c>
      <c r="O512"/>
      <c r="Q512"/>
    </row>
    <row r="513" spans="1:17" hidden="1" x14ac:dyDescent="0.2">
      <c r="A513" s="3">
        <v>45745</v>
      </c>
      <c r="B513" s="2" t="s">
        <v>12</v>
      </c>
      <c r="C513" s="2">
        <v>1</v>
      </c>
      <c r="D513" s="2">
        <f t="shared" si="28"/>
        <v>2025</v>
      </c>
      <c r="E513" s="2" t="str">
        <f t="shared" si="29"/>
        <v>2025-13</v>
      </c>
      <c r="F513" s="2" t="str">
        <f t="shared" si="30"/>
        <v>Week 13</v>
      </c>
      <c r="G513" s="2" t="str">
        <f t="shared" si="31"/>
        <v>Week 13-2025</v>
      </c>
      <c r="O513"/>
      <c r="Q513"/>
    </row>
    <row r="514" spans="1:17" hidden="1" x14ac:dyDescent="0.2">
      <c r="A514" s="3">
        <v>45745</v>
      </c>
      <c r="B514" s="2" t="s">
        <v>18</v>
      </c>
      <c r="C514" s="2">
        <v>1</v>
      </c>
      <c r="D514" s="2">
        <f t="shared" ref="D514:D577" si="32">YEAR(A514)</f>
        <v>2025</v>
      </c>
      <c r="E514" s="2" t="str">
        <f t="shared" ref="E514:E577" si="33">YEAR(A514)&amp;"-"&amp;_xlfn.ISOWEEKNUM(A514)</f>
        <v>2025-13</v>
      </c>
      <c r="F514" s="2" t="str">
        <f t="shared" ref="F514:F577" si="34">_xlfn.CONCAT("Week "&amp;WEEKNUM(A514))</f>
        <v>Week 13</v>
      </c>
      <c r="G514" s="2" t="str">
        <f t="shared" ref="G514:G577" si="35">_xlfn.CONCAT(F514,"-",D514)</f>
        <v>Week 13-2025</v>
      </c>
      <c r="O514"/>
      <c r="Q514"/>
    </row>
    <row r="515" spans="1:17" hidden="1" x14ac:dyDescent="0.2">
      <c r="A515" s="3">
        <v>45745</v>
      </c>
      <c r="B515" s="2" t="s">
        <v>18</v>
      </c>
      <c r="C515" s="2">
        <v>1</v>
      </c>
      <c r="D515" s="2">
        <f t="shared" si="32"/>
        <v>2025</v>
      </c>
      <c r="E515" s="2" t="str">
        <f t="shared" si="33"/>
        <v>2025-13</v>
      </c>
      <c r="F515" s="2" t="str">
        <f t="shared" si="34"/>
        <v>Week 13</v>
      </c>
      <c r="G515" s="2" t="str">
        <f t="shared" si="35"/>
        <v>Week 13-2025</v>
      </c>
      <c r="O515"/>
      <c r="Q515"/>
    </row>
    <row r="516" spans="1:17" hidden="1" x14ac:dyDescent="0.2">
      <c r="A516" s="3">
        <v>45745</v>
      </c>
      <c r="B516" s="2" t="s">
        <v>10</v>
      </c>
      <c r="C516" s="2">
        <v>2</v>
      </c>
      <c r="D516" s="2">
        <f t="shared" si="32"/>
        <v>2025</v>
      </c>
      <c r="E516" s="2" t="str">
        <f t="shared" si="33"/>
        <v>2025-13</v>
      </c>
      <c r="F516" s="2" t="str">
        <f t="shared" si="34"/>
        <v>Week 13</v>
      </c>
      <c r="G516" s="2" t="str">
        <f t="shared" si="35"/>
        <v>Week 13-2025</v>
      </c>
      <c r="O516"/>
      <c r="Q516"/>
    </row>
    <row r="517" spans="1:17" hidden="1" x14ac:dyDescent="0.2">
      <c r="A517" s="3">
        <v>45745</v>
      </c>
      <c r="B517" s="2" t="s">
        <v>38</v>
      </c>
      <c r="C517" s="2">
        <v>2</v>
      </c>
      <c r="D517" s="2">
        <f t="shared" si="32"/>
        <v>2025</v>
      </c>
      <c r="E517" s="2" t="str">
        <f t="shared" si="33"/>
        <v>2025-13</v>
      </c>
      <c r="F517" s="2" t="str">
        <f t="shared" si="34"/>
        <v>Week 13</v>
      </c>
      <c r="G517" s="2" t="str">
        <f t="shared" si="35"/>
        <v>Week 13-2025</v>
      </c>
      <c r="O517"/>
      <c r="Q517"/>
    </row>
    <row r="518" spans="1:17" hidden="1" x14ac:dyDescent="0.2">
      <c r="A518" s="3">
        <v>45745</v>
      </c>
      <c r="B518" s="2" t="s">
        <v>38</v>
      </c>
      <c r="C518" s="2">
        <v>2</v>
      </c>
      <c r="D518" s="2">
        <f t="shared" si="32"/>
        <v>2025</v>
      </c>
      <c r="E518" s="2" t="str">
        <f t="shared" si="33"/>
        <v>2025-13</v>
      </c>
      <c r="F518" s="2" t="str">
        <f t="shared" si="34"/>
        <v>Week 13</v>
      </c>
      <c r="G518" s="2" t="str">
        <f t="shared" si="35"/>
        <v>Week 13-2025</v>
      </c>
      <c r="O518"/>
      <c r="Q518"/>
    </row>
    <row r="519" spans="1:17" hidden="1" x14ac:dyDescent="0.2">
      <c r="A519" s="3">
        <v>45745</v>
      </c>
      <c r="B519" s="2" t="s">
        <v>38</v>
      </c>
      <c r="C519" s="2">
        <v>2</v>
      </c>
      <c r="D519" s="2">
        <f t="shared" si="32"/>
        <v>2025</v>
      </c>
      <c r="E519" s="2" t="str">
        <f t="shared" si="33"/>
        <v>2025-13</v>
      </c>
      <c r="F519" s="2" t="str">
        <f t="shared" si="34"/>
        <v>Week 13</v>
      </c>
      <c r="G519" s="2" t="str">
        <f t="shared" si="35"/>
        <v>Week 13-2025</v>
      </c>
      <c r="O519"/>
      <c r="Q519"/>
    </row>
    <row r="520" spans="1:17" hidden="1" x14ac:dyDescent="0.2">
      <c r="A520" s="3">
        <v>45745</v>
      </c>
      <c r="B520" s="2" t="s">
        <v>38</v>
      </c>
      <c r="C520" s="2">
        <v>2</v>
      </c>
      <c r="D520" s="2">
        <f t="shared" si="32"/>
        <v>2025</v>
      </c>
      <c r="E520" s="2" t="str">
        <f t="shared" si="33"/>
        <v>2025-13</v>
      </c>
      <c r="F520" s="2" t="str">
        <f t="shared" si="34"/>
        <v>Week 13</v>
      </c>
      <c r="G520" s="2" t="str">
        <f t="shared" si="35"/>
        <v>Week 13-2025</v>
      </c>
      <c r="O520"/>
      <c r="Q520"/>
    </row>
    <row r="521" spans="1:17" hidden="1" x14ac:dyDescent="0.2">
      <c r="A521" s="3">
        <v>45745</v>
      </c>
      <c r="B521" s="2" t="s">
        <v>9</v>
      </c>
      <c r="C521" s="2">
        <v>1</v>
      </c>
      <c r="D521" s="2">
        <f t="shared" si="32"/>
        <v>2025</v>
      </c>
      <c r="E521" s="2" t="str">
        <f t="shared" si="33"/>
        <v>2025-13</v>
      </c>
      <c r="F521" s="2" t="str">
        <f t="shared" si="34"/>
        <v>Week 13</v>
      </c>
      <c r="G521" s="2" t="str">
        <f t="shared" si="35"/>
        <v>Week 13-2025</v>
      </c>
      <c r="O521"/>
      <c r="Q521"/>
    </row>
    <row r="522" spans="1:17" hidden="1" x14ac:dyDescent="0.2">
      <c r="A522" s="3">
        <v>45745</v>
      </c>
      <c r="B522" s="2" t="s">
        <v>9</v>
      </c>
      <c r="C522" s="2">
        <v>1</v>
      </c>
      <c r="D522" s="2">
        <f t="shared" si="32"/>
        <v>2025</v>
      </c>
      <c r="E522" s="2" t="str">
        <f t="shared" si="33"/>
        <v>2025-13</v>
      </c>
      <c r="F522" s="2" t="str">
        <f t="shared" si="34"/>
        <v>Week 13</v>
      </c>
      <c r="G522" s="2" t="str">
        <f t="shared" si="35"/>
        <v>Week 13-2025</v>
      </c>
      <c r="O522"/>
      <c r="Q522"/>
    </row>
    <row r="523" spans="1:17" hidden="1" x14ac:dyDescent="0.2">
      <c r="A523" s="3">
        <v>45745</v>
      </c>
      <c r="B523" s="2" t="s">
        <v>9</v>
      </c>
      <c r="C523" s="2">
        <v>1</v>
      </c>
      <c r="D523" s="2">
        <f t="shared" si="32"/>
        <v>2025</v>
      </c>
      <c r="E523" s="2" t="str">
        <f t="shared" si="33"/>
        <v>2025-13</v>
      </c>
      <c r="F523" s="2" t="str">
        <f t="shared" si="34"/>
        <v>Week 13</v>
      </c>
      <c r="G523" s="2" t="str">
        <f t="shared" si="35"/>
        <v>Week 13-2025</v>
      </c>
      <c r="O523"/>
      <c r="Q523"/>
    </row>
    <row r="524" spans="1:17" hidden="1" x14ac:dyDescent="0.2">
      <c r="A524" s="3">
        <v>45745</v>
      </c>
      <c r="B524" s="2" t="s">
        <v>28</v>
      </c>
      <c r="C524" s="2">
        <v>2</v>
      </c>
      <c r="D524" s="2">
        <f t="shared" si="32"/>
        <v>2025</v>
      </c>
      <c r="E524" s="2" t="str">
        <f t="shared" si="33"/>
        <v>2025-13</v>
      </c>
      <c r="F524" s="2" t="str">
        <f t="shared" si="34"/>
        <v>Week 13</v>
      </c>
      <c r="G524" s="2" t="str">
        <f t="shared" si="35"/>
        <v>Week 13-2025</v>
      </c>
      <c r="O524"/>
      <c r="Q524"/>
    </row>
    <row r="525" spans="1:17" hidden="1" x14ac:dyDescent="0.2">
      <c r="A525" s="3">
        <v>45745</v>
      </c>
      <c r="B525" s="2" t="s">
        <v>28</v>
      </c>
      <c r="C525" s="2">
        <v>2</v>
      </c>
      <c r="D525" s="2">
        <f t="shared" si="32"/>
        <v>2025</v>
      </c>
      <c r="E525" s="2" t="str">
        <f t="shared" si="33"/>
        <v>2025-13</v>
      </c>
      <c r="F525" s="2" t="str">
        <f t="shared" si="34"/>
        <v>Week 13</v>
      </c>
      <c r="G525" s="2" t="str">
        <f t="shared" si="35"/>
        <v>Week 13-2025</v>
      </c>
      <c r="O525"/>
      <c r="Q525"/>
    </row>
    <row r="526" spans="1:17" hidden="1" x14ac:dyDescent="0.2">
      <c r="A526" s="3">
        <v>45745</v>
      </c>
      <c r="B526" s="2" t="s">
        <v>13</v>
      </c>
      <c r="C526" s="2">
        <v>1</v>
      </c>
      <c r="D526" s="2">
        <f t="shared" si="32"/>
        <v>2025</v>
      </c>
      <c r="E526" s="2" t="str">
        <f t="shared" si="33"/>
        <v>2025-13</v>
      </c>
      <c r="F526" s="2" t="str">
        <f t="shared" si="34"/>
        <v>Week 13</v>
      </c>
      <c r="G526" s="2" t="str">
        <f t="shared" si="35"/>
        <v>Week 13-2025</v>
      </c>
      <c r="O526"/>
      <c r="Q526"/>
    </row>
    <row r="527" spans="1:17" hidden="1" x14ac:dyDescent="0.2">
      <c r="A527" s="3">
        <v>45745</v>
      </c>
      <c r="B527" s="2" t="s">
        <v>13</v>
      </c>
      <c r="C527" s="2">
        <v>1</v>
      </c>
      <c r="D527" s="2">
        <f t="shared" si="32"/>
        <v>2025</v>
      </c>
      <c r="E527" s="2" t="str">
        <f t="shared" si="33"/>
        <v>2025-13</v>
      </c>
      <c r="F527" s="2" t="str">
        <f t="shared" si="34"/>
        <v>Week 13</v>
      </c>
      <c r="G527" s="2" t="str">
        <f t="shared" si="35"/>
        <v>Week 13-2025</v>
      </c>
      <c r="O527"/>
      <c r="Q527"/>
    </row>
    <row r="528" spans="1:17" hidden="1" x14ac:dyDescent="0.2">
      <c r="A528" s="3">
        <v>45745</v>
      </c>
      <c r="B528" s="2" t="s">
        <v>37</v>
      </c>
      <c r="C528" s="2">
        <v>1</v>
      </c>
      <c r="D528" s="2">
        <f t="shared" si="32"/>
        <v>2025</v>
      </c>
      <c r="E528" s="2" t="str">
        <f t="shared" si="33"/>
        <v>2025-13</v>
      </c>
      <c r="F528" s="2" t="str">
        <f t="shared" si="34"/>
        <v>Week 13</v>
      </c>
      <c r="G528" s="2" t="str">
        <f t="shared" si="35"/>
        <v>Week 13-2025</v>
      </c>
      <c r="O528"/>
      <c r="Q528"/>
    </row>
    <row r="529" spans="1:17" hidden="1" x14ac:dyDescent="0.2">
      <c r="A529" s="3">
        <v>45745</v>
      </c>
      <c r="B529" s="2" t="s">
        <v>38</v>
      </c>
      <c r="C529" s="2">
        <v>1</v>
      </c>
      <c r="D529" s="2">
        <f t="shared" si="32"/>
        <v>2025</v>
      </c>
      <c r="E529" s="2" t="str">
        <f t="shared" si="33"/>
        <v>2025-13</v>
      </c>
      <c r="F529" s="2" t="str">
        <f t="shared" si="34"/>
        <v>Week 13</v>
      </c>
      <c r="G529" s="2" t="str">
        <f t="shared" si="35"/>
        <v>Week 13-2025</v>
      </c>
      <c r="O529"/>
      <c r="Q529"/>
    </row>
    <row r="530" spans="1:17" hidden="1" x14ac:dyDescent="0.2">
      <c r="A530" s="3">
        <v>45745</v>
      </c>
      <c r="B530" s="2" t="s">
        <v>28</v>
      </c>
      <c r="C530" s="2">
        <v>1</v>
      </c>
      <c r="D530" s="2">
        <f t="shared" si="32"/>
        <v>2025</v>
      </c>
      <c r="E530" s="2" t="str">
        <f t="shared" si="33"/>
        <v>2025-13</v>
      </c>
      <c r="F530" s="2" t="str">
        <f t="shared" si="34"/>
        <v>Week 13</v>
      </c>
      <c r="G530" s="2" t="str">
        <f t="shared" si="35"/>
        <v>Week 13-2025</v>
      </c>
      <c r="O530"/>
      <c r="Q530"/>
    </row>
    <row r="531" spans="1:17" hidden="1" x14ac:dyDescent="0.2">
      <c r="A531" s="3">
        <v>45745</v>
      </c>
      <c r="B531" s="2" t="s">
        <v>28</v>
      </c>
      <c r="C531" s="2">
        <v>1</v>
      </c>
      <c r="D531" s="2">
        <f t="shared" si="32"/>
        <v>2025</v>
      </c>
      <c r="E531" s="2" t="str">
        <f t="shared" si="33"/>
        <v>2025-13</v>
      </c>
      <c r="F531" s="2" t="str">
        <f t="shared" si="34"/>
        <v>Week 13</v>
      </c>
      <c r="G531" s="2" t="str">
        <f t="shared" si="35"/>
        <v>Week 13-2025</v>
      </c>
      <c r="O531"/>
      <c r="Q531"/>
    </row>
    <row r="532" spans="1:17" hidden="1" x14ac:dyDescent="0.2">
      <c r="A532" s="3">
        <v>45746</v>
      </c>
      <c r="B532" s="2" t="s">
        <v>3</v>
      </c>
      <c r="C532" s="2">
        <v>18</v>
      </c>
      <c r="D532" s="2">
        <f t="shared" si="32"/>
        <v>2025</v>
      </c>
      <c r="E532" s="2" t="str">
        <f t="shared" si="33"/>
        <v>2025-13</v>
      </c>
      <c r="F532" s="2" t="str">
        <f t="shared" si="34"/>
        <v>Week 14</v>
      </c>
      <c r="G532" s="2" t="str">
        <f t="shared" si="35"/>
        <v>Week 14-2025</v>
      </c>
      <c r="O532"/>
      <c r="Q532"/>
    </row>
    <row r="533" spans="1:17" hidden="1" x14ac:dyDescent="0.2">
      <c r="A533" s="3">
        <v>45746</v>
      </c>
      <c r="B533" s="2" t="s">
        <v>3</v>
      </c>
      <c r="C533" s="2">
        <v>12</v>
      </c>
      <c r="D533" s="2">
        <f t="shared" si="32"/>
        <v>2025</v>
      </c>
      <c r="E533" s="2" t="str">
        <f t="shared" si="33"/>
        <v>2025-13</v>
      </c>
      <c r="F533" s="2" t="str">
        <f t="shared" si="34"/>
        <v>Week 14</v>
      </c>
      <c r="G533" s="2" t="str">
        <f t="shared" si="35"/>
        <v>Week 14-2025</v>
      </c>
      <c r="O533"/>
      <c r="Q533"/>
    </row>
    <row r="534" spans="1:17" hidden="1" x14ac:dyDescent="0.2">
      <c r="A534" s="3">
        <v>45746</v>
      </c>
      <c r="B534" s="2" t="s">
        <v>5</v>
      </c>
      <c r="C534" s="2">
        <v>12</v>
      </c>
      <c r="D534" s="2">
        <f t="shared" si="32"/>
        <v>2025</v>
      </c>
      <c r="E534" s="2" t="str">
        <f t="shared" si="33"/>
        <v>2025-13</v>
      </c>
      <c r="F534" s="2" t="str">
        <f t="shared" si="34"/>
        <v>Week 14</v>
      </c>
      <c r="G534" s="2" t="str">
        <f t="shared" si="35"/>
        <v>Week 14-2025</v>
      </c>
      <c r="O534"/>
      <c r="Q534"/>
    </row>
    <row r="535" spans="1:17" hidden="1" x14ac:dyDescent="0.2">
      <c r="A535" s="3">
        <v>45746</v>
      </c>
      <c r="B535" s="2" t="s">
        <v>4</v>
      </c>
      <c r="C535" s="2">
        <v>8</v>
      </c>
      <c r="D535" s="2">
        <f t="shared" si="32"/>
        <v>2025</v>
      </c>
      <c r="E535" s="2" t="str">
        <f t="shared" si="33"/>
        <v>2025-13</v>
      </c>
      <c r="F535" s="2" t="str">
        <f t="shared" si="34"/>
        <v>Week 14</v>
      </c>
      <c r="G535" s="2" t="str">
        <f t="shared" si="35"/>
        <v>Week 14-2025</v>
      </c>
      <c r="O535"/>
      <c r="Q535"/>
    </row>
    <row r="536" spans="1:17" hidden="1" x14ac:dyDescent="0.2">
      <c r="A536" s="3">
        <v>45746</v>
      </c>
      <c r="B536" s="2" t="s">
        <v>9</v>
      </c>
      <c r="C536" s="2">
        <v>8</v>
      </c>
      <c r="D536" s="2">
        <f t="shared" si="32"/>
        <v>2025</v>
      </c>
      <c r="E536" s="2" t="str">
        <f t="shared" si="33"/>
        <v>2025-13</v>
      </c>
      <c r="F536" s="2" t="str">
        <f t="shared" si="34"/>
        <v>Week 14</v>
      </c>
      <c r="G536" s="2" t="str">
        <f t="shared" si="35"/>
        <v>Week 14-2025</v>
      </c>
      <c r="O536"/>
      <c r="Q536"/>
    </row>
    <row r="537" spans="1:17" hidden="1" x14ac:dyDescent="0.2">
      <c r="A537" s="3">
        <v>45746</v>
      </c>
      <c r="B537" s="2" t="s">
        <v>4</v>
      </c>
      <c r="C537" s="2">
        <v>6</v>
      </c>
      <c r="D537" s="2">
        <f t="shared" si="32"/>
        <v>2025</v>
      </c>
      <c r="E537" s="2" t="str">
        <f t="shared" si="33"/>
        <v>2025-13</v>
      </c>
      <c r="F537" s="2" t="str">
        <f t="shared" si="34"/>
        <v>Week 14</v>
      </c>
      <c r="G537" s="2" t="str">
        <f t="shared" si="35"/>
        <v>Week 14-2025</v>
      </c>
      <c r="O537"/>
      <c r="Q537"/>
    </row>
    <row r="538" spans="1:17" hidden="1" x14ac:dyDescent="0.2">
      <c r="A538" s="3">
        <v>45746</v>
      </c>
      <c r="B538" s="2" t="s">
        <v>11</v>
      </c>
      <c r="C538" s="2">
        <v>2</v>
      </c>
      <c r="D538" s="2">
        <f t="shared" si="32"/>
        <v>2025</v>
      </c>
      <c r="E538" s="2" t="str">
        <f t="shared" si="33"/>
        <v>2025-13</v>
      </c>
      <c r="F538" s="2" t="str">
        <f t="shared" si="34"/>
        <v>Week 14</v>
      </c>
      <c r="G538" s="2" t="str">
        <f t="shared" si="35"/>
        <v>Week 14-2025</v>
      </c>
      <c r="O538"/>
      <c r="Q538"/>
    </row>
    <row r="539" spans="1:17" hidden="1" x14ac:dyDescent="0.2">
      <c r="A539" s="3">
        <v>45746</v>
      </c>
      <c r="B539" s="2" t="s">
        <v>5</v>
      </c>
      <c r="C539" s="2">
        <v>6</v>
      </c>
      <c r="D539" s="2">
        <f t="shared" si="32"/>
        <v>2025</v>
      </c>
      <c r="E539" s="2" t="str">
        <f t="shared" si="33"/>
        <v>2025-13</v>
      </c>
      <c r="F539" s="2" t="str">
        <f t="shared" si="34"/>
        <v>Week 14</v>
      </c>
      <c r="G539" s="2" t="str">
        <f t="shared" si="35"/>
        <v>Week 14-2025</v>
      </c>
      <c r="O539"/>
      <c r="Q539"/>
    </row>
    <row r="540" spans="1:17" hidden="1" x14ac:dyDescent="0.2">
      <c r="A540" s="3">
        <v>45746</v>
      </c>
      <c r="B540" s="2" t="s">
        <v>30</v>
      </c>
      <c r="C540" s="2">
        <v>6</v>
      </c>
      <c r="D540" s="2">
        <f t="shared" si="32"/>
        <v>2025</v>
      </c>
      <c r="E540" s="2" t="str">
        <f t="shared" si="33"/>
        <v>2025-13</v>
      </c>
      <c r="F540" s="2" t="str">
        <f t="shared" si="34"/>
        <v>Week 14</v>
      </c>
      <c r="G540" s="2" t="str">
        <f t="shared" si="35"/>
        <v>Week 14-2025</v>
      </c>
      <c r="O540"/>
      <c r="Q540"/>
    </row>
    <row r="541" spans="1:17" hidden="1" x14ac:dyDescent="0.2">
      <c r="A541" s="3">
        <v>45746</v>
      </c>
      <c r="B541" s="2" t="s">
        <v>14</v>
      </c>
      <c r="C541" s="2">
        <v>4</v>
      </c>
      <c r="D541" s="2">
        <f t="shared" si="32"/>
        <v>2025</v>
      </c>
      <c r="E541" s="2" t="str">
        <f t="shared" si="33"/>
        <v>2025-13</v>
      </c>
      <c r="F541" s="2" t="str">
        <f t="shared" si="34"/>
        <v>Week 14</v>
      </c>
      <c r="G541" s="2" t="str">
        <f t="shared" si="35"/>
        <v>Week 14-2025</v>
      </c>
      <c r="O541"/>
      <c r="Q541"/>
    </row>
    <row r="542" spans="1:17" hidden="1" x14ac:dyDescent="0.2">
      <c r="A542" s="3">
        <v>45746</v>
      </c>
      <c r="B542" s="2" t="s">
        <v>9</v>
      </c>
      <c r="C542" s="2">
        <v>2</v>
      </c>
      <c r="D542" s="2">
        <f t="shared" si="32"/>
        <v>2025</v>
      </c>
      <c r="E542" s="2" t="str">
        <f t="shared" si="33"/>
        <v>2025-13</v>
      </c>
      <c r="F542" s="2" t="str">
        <f t="shared" si="34"/>
        <v>Week 14</v>
      </c>
      <c r="G542" s="2" t="str">
        <f t="shared" si="35"/>
        <v>Week 14-2025</v>
      </c>
      <c r="O542"/>
      <c r="Q542"/>
    </row>
    <row r="543" spans="1:17" hidden="1" x14ac:dyDescent="0.2">
      <c r="A543" s="3">
        <v>45746</v>
      </c>
      <c r="B543" s="2" t="s">
        <v>28</v>
      </c>
      <c r="C543" s="2">
        <v>4</v>
      </c>
      <c r="D543" s="2">
        <f t="shared" si="32"/>
        <v>2025</v>
      </c>
      <c r="E543" s="2" t="str">
        <f t="shared" si="33"/>
        <v>2025-13</v>
      </c>
      <c r="F543" s="2" t="str">
        <f t="shared" si="34"/>
        <v>Week 14</v>
      </c>
      <c r="G543" s="2" t="str">
        <f t="shared" si="35"/>
        <v>Week 14-2025</v>
      </c>
      <c r="O543"/>
      <c r="Q543"/>
    </row>
    <row r="544" spans="1:17" hidden="1" x14ac:dyDescent="0.2">
      <c r="A544" s="3">
        <v>45746</v>
      </c>
      <c r="B544" s="2" t="s">
        <v>28</v>
      </c>
      <c r="C544" s="2">
        <v>4</v>
      </c>
      <c r="D544" s="2">
        <f t="shared" si="32"/>
        <v>2025</v>
      </c>
      <c r="E544" s="2" t="str">
        <f t="shared" si="33"/>
        <v>2025-13</v>
      </c>
      <c r="F544" s="2" t="str">
        <f t="shared" si="34"/>
        <v>Week 14</v>
      </c>
      <c r="G544" s="2" t="str">
        <f t="shared" si="35"/>
        <v>Week 14-2025</v>
      </c>
      <c r="O544"/>
      <c r="Q544"/>
    </row>
    <row r="545" spans="1:17" hidden="1" x14ac:dyDescent="0.2">
      <c r="A545" s="3">
        <v>45746</v>
      </c>
      <c r="B545" s="2" t="s">
        <v>14</v>
      </c>
      <c r="C545" s="2">
        <v>2</v>
      </c>
      <c r="D545" s="2">
        <f t="shared" si="32"/>
        <v>2025</v>
      </c>
      <c r="E545" s="2" t="str">
        <f t="shared" si="33"/>
        <v>2025-13</v>
      </c>
      <c r="F545" s="2" t="str">
        <f t="shared" si="34"/>
        <v>Week 14</v>
      </c>
      <c r="G545" s="2" t="str">
        <f t="shared" si="35"/>
        <v>Week 14-2025</v>
      </c>
      <c r="O545"/>
      <c r="Q545"/>
    </row>
    <row r="546" spans="1:17" hidden="1" x14ac:dyDescent="0.2">
      <c r="A546" s="3">
        <v>45746</v>
      </c>
      <c r="B546" s="2" t="s">
        <v>8</v>
      </c>
      <c r="C546" s="2">
        <v>2</v>
      </c>
      <c r="D546" s="2">
        <f t="shared" si="32"/>
        <v>2025</v>
      </c>
      <c r="E546" s="2" t="str">
        <f t="shared" si="33"/>
        <v>2025-13</v>
      </c>
      <c r="F546" s="2" t="str">
        <f t="shared" si="34"/>
        <v>Week 14</v>
      </c>
      <c r="G546" s="2" t="str">
        <f t="shared" si="35"/>
        <v>Week 14-2025</v>
      </c>
      <c r="O546"/>
      <c r="Q546"/>
    </row>
    <row r="547" spans="1:17" hidden="1" x14ac:dyDescent="0.2">
      <c r="A547" s="3">
        <v>45746</v>
      </c>
      <c r="B547" s="2" t="s">
        <v>30</v>
      </c>
      <c r="C547" s="2">
        <v>2</v>
      </c>
      <c r="D547" s="2">
        <f t="shared" si="32"/>
        <v>2025</v>
      </c>
      <c r="E547" s="2" t="str">
        <f t="shared" si="33"/>
        <v>2025-13</v>
      </c>
      <c r="F547" s="2" t="str">
        <f t="shared" si="34"/>
        <v>Week 14</v>
      </c>
      <c r="G547" s="2" t="str">
        <f t="shared" si="35"/>
        <v>Week 14-2025</v>
      </c>
      <c r="O547"/>
      <c r="Q547"/>
    </row>
    <row r="548" spans="1:17" hidden="1" x14ac:dyDescent="0.2">
      <c r="A548" s="3">
        <v>45747</v>
      </c>
      <c r="B548" s="2" t="s">
        <v>18</v>
      </c>
      <c r="C548" s="2">
        <v>2</v>
      </c>
      <c r="D548" s="2">
        <f t="shared" si="32"/>
        <v>2025</v>
      </c>
      <c r="E548" s="2" t="str">
        <f t="shared" si="33"/>
        <v>2025-14</v>
      </c>
      <c r="F548" s="2" t="str">
        <f t="shared" si="34"/>
        <v>Week 14</v>
      </c>
      <c r="G548" s="2" t="str">
        <f t="shared" si="35"/>
        <v>Week 14-2025</v>
      </c>
      <c r="O548"/>
      <c r="Q548"/>
    </row>
    <row r="549" spans="1:17" hidden="1" x14ac:dyDescent="0.2">
      <c r="A549" s="3">
        <v>45747</v>
      </c>
      <c r="B549" s="2" t="s">
        <v>43</v>
      </c>
      <c r="C549" s="2">
        <v>2</v>
      </c>
      <c r="D549" s="2">
        <f t="shared" si="32"/>
        <v>2025</v>
      </c>
      <c r="E549" s="2" t="str">
        <f t="shared" si="33"/>
        <v>2025-14</v>
      </c>
      <c r="F549" s="2" t="str">
        <f t="shared" si="34"/>
        <v>Week 14</v>
      </c>
      <c r="G549" s="2" t="str">
        <f t="shared" si="35"/>
        <v>Week 14-2025</v>
      </c>
      <c r="O549"/>
      <c r="Q549"/>
    </row>
    <row r="550" spans="1:17" hidden="1" x14ac:dyDescent="0.2">
      <c r="A550" s="3">
        <v>45747</v>
      </c>
      <c r="B550" s="2" t="s">
        <v>48</v>
      </c>
      <c r="C550" s="2">
        <v>2</v>
      </c>
      <c r="D550" s="2">
        <f t="shared" si="32"/>
        <v>2025</v>
      </c>
      <c r="E550" s="2" t="str">
        <f t="shared" si="33"/>
        <v>2025-14</v>
      </c>
      <c r="F550" s="2" t="str">
        <f t="shared" si="34"/>
        <v>Week 14</v>
      </c>
      <c r="G550" s="2" t="str">
        <f t="shared" si="35"/>
        <v>Week 14-2025</v>
      </c>
      <c r="O550"/>
      <c r="Q550"/>
    </row>
    <row r="551" spans="1:17" hidden="1" x14ac:dyDescent="0.2">
      <c r="A551" s="3">
        <v>45747</v>
      </c>
      <c r="B551" s="2" t="s">
        <v>17</v>
      </c>
      <c r="C551" s="2">
        <v>2</v>
      </c>
      <c r="D551" s="2">
        <f t="shared" si="32"/>
        <v>2025</v>
      </c>
      <c r="E551" s="2" t="str">
        <f t="shared" si="33"/>
        <v>2025-14</v>
      </c>
      <c r="F551" s="2" t="str">
        <f t="shared" si="34"/>
        <v>Week 14</v>
      </c>
      <c r="G551" s="2" t="str">
        <f t="shared" si="35"/>
        <v>Week 14-2025</v>
      </c>
      <c r="O551"/>
      <c r="Q551"/>
    </row>
    <row r="552" spans="1:17" hidden="1" x14ac:dyDescent="0.2">
      <c r="A552" s="3">
        <v>45747</v>
      </c>
      <c r="B552" s="2" t="s">
        <v>19</v>
      </c>
      <c r="C552" s="2">
        <v>1</v>
      </c>
      <c r="D552" s="2">
        <f t="shared" si="32"/>
        <v>2025</v>
      </c>
      <c r="E552" s="2" t="str">
        <f t="shared" si="33"/>
        <v>2025-14</v>
      </c>
      <c r="F552" s="2" t="str">
        <f t="shared" si="34"/>
        <v>Week 14</v>
      </c>
      <c r="G552" s="2" t="str">
        <f t="shared" si="35"/>
        <v>Week 14-2025</v>
      </c>
      <c r="O552"/>
      <c r="Q552"/>
    </row>
    <row r="553" spans="1:17" hidden="1" x14ac:dyDescent="0.2">
      <c r="A553" s="3">
        <v>45750</v>
      </c>
      <c r="B553" s="2" t="s">
        <v>5</v>
      </c>
      <c r="C553" s="2">
        <v>33</v>
      </c>
      <c r="D553" s="2">
        <f t="shared" si="32"/>
        <v>2025</v>
      </c>
      <c r="E553" s="2" t="str">
        <f t="shared" si="33"/>
        <v>2025-14</v>
      </c>
      <c r="F553" s="2" t="str">
        <f t="shared" si="34"/>
        <v>Week 14</v>
      </c>
      <c r="G553" s="2" t="str">
        <f t="shared" si="35"/>
        <v>Week 14-2025</v>
      </c>
      <c r="O553"/>
      <c r="Q553"/>
    </row>
    <row r="554" spans="1:17" hidden="1" x14ac:dyDescent="0.2">
      <c r="A554" s="3">
        <v>45750</v>
      </c>
      <c r="B554" s="2" t="s">
        <v>6</v>
      </c>
      <c r="C554" s="2">
        <v>12</v>
      </c>
      <c r="D554" s="2">
        <f t="shared" si="32"/>
        <v>2025</v>
      </c>
      <c r="E554" s="2" t="str">
        <f t="shared" si="33"/>
        <v>2025-14</v>
      </c>
      <c r="F554" s="2" t="str">
        <f t="shared" si="34"/>
        <v>Week 14</v>
      </c>
      <c r="G554" s="2" t="str">
        <f t="shared" si="35"/>
        <v>Week 14-2025</v>
      </c>
      <c r="O554"/>
      <c r="Q554"/>
    </row>
    <row r="555" spans="1:17" hidden="1" x14ac:dyDescent="0.2">
      <c r="A555" s="3">
        <v>45750</v>
      </c>
      <c r="B555" s="2" t="s">
        <v>5</v>
      </c>
      <c r="C555" s="2">
        <v>23</v>
      </c>
      <c r="D555" s="2">
        <f t="shared" si="32"/>
        <v>2025</v>
      </c>
      <c r="E555" s="2" t="str">
        <f t="shared" si="33"/>
        <v>2025-14</v>
      </c>
      <c r="F555" s="2" t="str">
        <f t="shared" si="34"/>
        <v>Week 14</v>
      </c>
      <c r="G555" s="2" t="str">
        <f t="shared" si="35"/>
        <v>Week 14-2025</v>
      </c>
      <c r="O555"/>
      <c r="Q555"/>
    </row>
    <row r="556" spans="1:17" hidden="1" x14ac:dyDescent="0.2">
      <c r="A556" s="3">
        <v>45750</v>
      </c>
      <c r="B556" s="2" t="s">
        <v>4</v>
      </c>
      <c r="C556" s="2">
        <v>12</v>
      </c>
      <c r="D556" s="2">
        <f t="shared" si="32"/>
        <v>2025</v>
      </c>
      <c r="E556" s="2" t="str">
        <f t="shared" si="33"/>
        <v>2025-14</v>
      </c>
      <c r="F556" s="2" t="str">
        <f t="shared" si="34"/>
        <v>Week 14</v>
      </c>
      <c r="G556" s="2" t="str">
        <f t="shared" si="35"/>
        <v>Week 14-2025</v>
      </c>
      <c r="O556"/>
      <c r="Q556"/>
    </row>
    <row r="557" spans="1:17" hidden="1" x14ac:dyDescent="0.2">
      <c r="A557" s="3">
        <v>45750</v>
      </c>
      <c r="B557" s="2" t="s">
        <v>3</v>
      </c>
      <c r="C557" s="2">
        <v>12</v>
      </c>
      <c r="D557" s="2">
        <f t="shared" si="32"/>
        <v>2025</v>
      </c>
      <c r="E557" s="2" t="str">
        <f t="shared" si="33"/>
        <v>2025-14</v>
      </c>
      <c r="F557" s="2" t="str">
        <f t="shared" si="34"/>
        <v>Week 14</v>
      </c>
      <c r="G557" s="2" t="str">
        <f t="shared" si="35"/>
        <v>Week 14-2025</v>
      </c>
      <c r="O557"/>
      <c r="Q557"/>
    </row>
    <row r="558" spans="1:17" hidden="1" x14ac:dyDescent="0.2">
      <c r="A558" s="3">
        <v>45750</v>
      </c>
      <c r="B558" s="2" t="s">
        <v>5</v>
      </c>
      <c r="C558" s="2">
        <v>16</v>
      </c>
      <c r="D558" s="2">
        <f t="shared" si="32"/>
        <v>2025</v>
      </c>
      <c r="E558" s="2" t="str">
        <f t="shared" si="33"/>
        <v>2025-14</v>
      </c>
      <c r="F558" s="2" t="str">
        <f t="shared" si="34"/>
        <v>Week 14</v>
      </c>
      <c r="G558" s="2" t="str">
        <f t="shared" si="35"/>
        <v>Week 14-2025</v>
      </c>
      <c r="O558"/>
      <c r="Q558"/>
    </row>
    <row r="559" spans="1:17" hidden="1" x14ac:dyDescent="0.2">
      <c r="A559" s="3">
        <v>45750</v>
      </c>
      <c r="B559" s="2" t="s">
        <v>9</v>
      </c>
      <c r="C559" s="2">
        <v>12</v>
      </c>
      <c r="D559" s="2">
        <f t="shared" si="32"/>
        <v>2025</v>
      </c>
      <c r="E559" s="2" t="str">
        <f t="shared" si="33"/>
        <v>2025-14</v>
      </c>
      <c r="F559" s="2" t="str">
        <f t="shared" si="34"/>
        <v>Week 14</v>
      </c>
      <c r="G559" s="2" t="str">
        <f t="shared" si="35"/>
        <v>Week 14-2025</v>
      </c>
      <c r="O559"/>
      <c r="Q559"/>
    </row>
    <row r="560" spans="1:17" hidden="1" x14ac:dyDescent="0.2">
      <c r="A560" s="3">
        <v>45750</v>
      </c>
      <c r="B560" s="2" t="s">
        <v>9</v>
      </c>
      <c r="C560" s="2">
        <v>12</v>
      </c>
      <c r="D560" s="2">
        <f t="shared" si="32"/>
        <v>2025</v>
      </c>
      <c r="E560" s="2" t="str">
        <f t="shared" si="33"/>
        <v>2025-14</v>
      </c>
      <c r="F560" s="2" t="str">
        <f t="shared" si="34"/>
        <v>Week 14</v>
      </c>
      <c r="G560" s="2" t="str">
        <f t="shared" si="35"/>
        <v>Week 14-2025</v>
      </c>
      <c r="O560"/>
      <c r="Q560"/>
    </row>
    <row r="561" spans="1:17" hidden="1" x14ac:dyDescent="0.2">
      <c r="A561" s="3">
        <v>45750</v>
      </c>
      <c r="B561" s="2" t="s">
        <v>7</v>
      </c>
      <c r="C561" s="2">
        <v>10</v>
      </c>
      <c r="D561" s="2">
        <f t="shared" si="32"/>
        <v>2025</v>
      </c>
      <c r="E561" s="2" t="str">
        <f t="shared" si="33"/>
        <v>2025-14</v>
      </c>
      <c r="F561" s="2" t="str">
        <f t="shared" si="34"/>
        <v>Week 14</v>
      </c>
      <c r="G561" s="2" t="str">
        <f t="shared" si="35"/>
        <v>Week 14-2025</v>
      </c>
      <c r="O561"/>
      <c r="Q561"/>
    </row>
    <row r="562" spans="1:17" hidden="1" x14ac:dyDescent="0.2">
      <c r="A562" s="3">
        <v>45750</v>
      </c>
      <c r="B562" s="2" t="s">
        <v>4</v>
      </c>
      <c r="C562" s="2">
        <v>10</v>
      </c>
      <c r="D562" s="2">
        <f t="shared" si="32"/>
        <v>2025</v>
      </c>
      <c r="E562" s="2" t="str">
        <f t="shared" si="33"/>
        <v>2025-14</v>
      </c>
      <c r="F562" s="2" t="str">
        <f t="shared" si="34"/>
        <v>Week 14</v>
      </c>
      <c r="G562" s="2" t="str">
        <f t="shared" si="35"/>
        <v>Week 14-2025</v>
      </c>
      <c r="O562"/>
      <c r="Q562"/>
    </row>
    <row r="563" spans="1:17" hidden="1" x14ac:dyDescent="0.2">
      <c r="A563" s="3">
        <v>45750</v>
      </c>
      <c r="B563" s="2" t="s">
        <v>19</v>
      </c>
      <c r="C563" s="2">
        <v>9</v>
      </c>
      <c r="D563" s="2">
        <f t="shared" si="32"/>
        <v>2025</v>
      </c>
      <c r="E563" s="2" t="str">
        <f t="shared" si="33"/>
        <v>2025-14</v>
      </c>
      <c r="F563" s="2" t="str">
        <f t="shared" si="34"/>
        <v>Week 14</v>
      </c>
      <c r="G563" s="2" t="str">
        <f t="shared" si="35"/>
        <v>Week 14-2025</v>
      </c>
      <c r="O563"/>
      <c r="Q563"/>
    </row>
    <row r="564" spans="1:17" hidden="1" x14ac:dyDescent="0.2">
      <c r="A564" s="3">
        <v>45750</v>
      </c>
      <c r="B564" s="2" t="s">
        <v>4</v>
      </c>
      <c r="C564" s="2">
        <v>8</v>
      </c>
      <c r="D564" s="2">
        <f t="shared" si="32"/>
        <v>2025</v>
      </c>
      <c r="E564" s="2" t="str">
        <f t="shared" si="33"/>
        <v>2025-14</v>
      </c>
      <c r="F564" s="2" t="str">
        <f t="shared" si="34"/>
        <v>Week 14</v>
      </c>
      <c r="G564" s="2" t="str">
        <f t="shared" si="35"/>
        <v>Week 14-2025</v>
      </c>
      <c r="O564"/>
      <c r="Q564"/>
    </row>
    <row r="565" spans="1:17" hidden="1" x14ac:dyDescent="0.2">
      <c r="A565" s="3">
        <v>45750</v>
      </c>
      <c r="B565" s="2" t="s">
        <v>3</v>
      </c>
      <c r="C565" s="2">
        <v>12</v>
      </c>
      <c r="D565" s="2">
        <f t="shared" si="32"/>
        <v>2025</v>
      </c>
      <c r="E565" s="2" t="str">
        <f t="shared" si="33"/>
        <v>2025-14</v>
      </c>
      <c r="F565" s="2" t="str">
        <f t="shared" si="34"/>
        <v>Week 14</v>
      </c>
      <c r="G565" s="2" t="str">
        <f t="shared" si="35"/>
        <v>Week 14-2025</v>
      </c>
      <c r="O565"/>
      <c r="Q565"/>
    </row>
    <row r="566" spans="1:17" hidden="1" x14ac:dyDescent="0.2">
      <c r="A566" s="3">
        <v>45750</v>
      </c>
      <c r="B566" s="2" t="s">
        <v>3</v>
      </c>
      <c r="C566" s="2">
        <v>11</v>
      </c>
      <c r="D566" s="2">
        <f t="shared" si="32"/>
        <v>2025</v>
      </c>
      <c r="E566" s="2" t="str">
        <f t="shared" si="33"/>
        <v>2025-14</v>
      </c>
      <c r="F566" s="2" t="str">
        <f t="shared" si="34"/>
        <v>Week 14</v>
      </c>
      <c r="G566" s="2" t="str">
        <f t="shared" si="35"/>
        <v>Week 14-2025</v>
      </c>
      <c r="O566"/>
      <c r="Q566"/>
    </row>
    <row r="567" spans="1:17" hidden="1" x14ac:dyDescent="0.2">
      <c r="A567" s="3">
        <v>45750</v>
      </c>
      <c r="B567" s="2" t="s">
        <v>3</v>
      </c>
      <c r="C567" s="2">
        <v>11</v>
      </c>
      <c r="D567" s="2">
        <f t="shared" si="32"/>
        <v>2025</v>
      </c>
      <c r="E567" s="2" t="str">
        <f t="shared" si="33"/>
        <v>2025-14</v>
      </c>
      <c r="F567" s="2" t="str">
        <f t="shared" si="34"/>
        <v>Week 14</v>
      </c>
      <c r="G567" s="2" t="str">
        <f t="shared" si="35"/>
        <v>Week 14-2025</v>
      </c>
      <c r="O567"/>
      <c r="Q567"/>
    </row>
    <row r="568" spans="1:17" hidden="1" x14ac:dyDescent="0.2">
      <c r="A568" s="3">
        <v>45750</v>
      </c>
      <c r="B568" s="2" t="s">
        <v>14</v>
      </c>
      <c r="C568" s="2">
        <v>17</v>
      </c>
      <c r="D568" s="2">
        <f t="shared" si="32"/>
        <v>2025</v>
      </c>
      <c r="E568" s="2" t="str">
        <f t="shared" si="33"/>
        <v>2025-14</v>
      </c>
      <c r="F568" s="2" t="str">
        <f t="shared" si="34"/>
        <v>Week 14</v>
      </c>
      <c r="G568" s="2" t="str">
        <f t="shared" si="35"/>
        <v>Week 14-2025</v>
      </c>
      <c r="O568"/>
      <c r="Q568"/>
    </row>
    <row r="569" spans="1:17" hidden="1" x14ac:dyDescent="0.2">
      <c r="A569" s="3">
        <v>45750</v>
      </c>
      <c r="B569" s="2" t="s">
        <v>3</v>
      </c>
      <c r="C569" s="2">
        <v>8</v>
      </c>
      <c r="D569" s="2">
        <f t="shared" si="32"/>
        <v>2025</v>
      </c>
      <c r="E569" s="2" t="str">
        <f t="shared" si="33"/>
        <v>2025-14</v>
      </c>
      <c r="F569" s="2" t="str">
        <f t="shared" si="34"/>
        <v>Week 14</v>
      </c>
      <c r="G569" s="2" t="str">
        <f t="shared" si="35"/>
        <v>Week 14-2025</v>
      </c>
      <c r="O569"/>
      <c r="Q569"/>
    </row>
    <row r="570" spans="1:17" hidden="1" x14ac:dyDescent="0.2">
      <c r="A570" s="3">
        <v>45750</v>
      </c>
      <c r="B570" s="2" t="s">
        <v>3</v>
      </c>
      <c r="C570" s="2">
        <v>8</v>
      </c>
      <c r="D570" s="2">
        <f t="shared" si="32"/>
        <v>2025</v>
      </c>
      <c r="E570" s="2" t="str">
        <f t="shared" si="33"/>
        <v>2025-14</v>
      </c>
      <c r="F570" s="2" t="str">
        <f t="shared" si="34"/>
        <v>Week 14</v>
      </c>
      <c r="G570" s="2" t="str">
        <f t="shared" si="35"/>
        <v>Week 14-2025</v>
      </c>
      <c r="O570"/>
      <c r="Q570"/>
    </row>
    <row r="571" spans="1:17" hidden="1" x14ac:dyDescent="0.2">
      <c r="A571" s="3">
        <v>45750</v>
      </c>
      <c r="B571" s="2" t="s">
        <v>3</v>
      </c>
      <c r="C571" s="2">
        <v>8</v>
      </c>
      <c r="D571" s="2">
        <f t="shared" si="32"/>
        <v>2025</v>
      </c>
      <c r="E571" s="2" t="str">
        <f t="shared" si="33"/>
        <v>2025-14</v>
      </c>
      <c r="F571" s="2" t="str">
        <f t="shared" si="34"/>
        <v>Week 14</v>
      </c>
      <c r="G571" s="2" t="str">
        <f t="shared" si="35"/>
        <v>Week 14-2025</v>
      </c>
      <c r="O571"/>
      <c r="Q571"/>
    </row>
    <row r="572" spans="1:17" hidden="1" x14ac:dyDescent="0.2">
      <c r="A572" s="3">
        <v>45750</v>
      </c>
      <c r="B572" s="2" t="s">
        <v>18</v>
      </c>
      <c r="C572" s="2">
        <v>4</v>
      </c>
      <c r="D572" s="2">
        <f t="shared" si="32"/>
        <v>2025</v>
      </c>
      <c r="E572" s="2" t="str">
        <f t="shared" si="33"/>
        <v>2025-14</v>
      </c>
      <c r="F572" s="2" t="str">
        <f t="shared" si="34"/>
        <v>Week 14</v>
      </c>
      <c r="G572" s="2" t="str">
        <f t="shared" si="35"/>
        <v>Week 14-2025</v>
      </c>
      <c r="O572"/>
      <c r="Q572"/>
    </row>
    <row r="573" spans="1:17" hidden="1" x14ac:dyDescent="0.2">
      <c r="A573" s="3">
        <v>45750</v>
      </c>
      <c r="B573" s="2" t="s">
        <v>7</v>
      </c>
      <c r="C573" s="2">
        <v>4</v>
      </c>
      <c r="D573" s="2">
        <f t="shared" si="32"/>
        <v>2025</v>
      </c>
      <c r="E573" s="2" t="str">
        <f t="shared" si="33"/>
        <v>2025-14</v>
      </c>
      <c r="F573" s="2" t="str">
        <f t="shared" si="34"/>
        <v>Week 14</v>
      </c>
      <c r="G573" s="2" t="str">
        <f t="shared" si="35"/>
        <v>Week 14-2025</v>
      </c>
      <c r="O573"/>
      <c r="Q573"/>
    </row>
    <row r="574" spans="1:17" hidden="1" x14ac:dyDescent="0.2">
      <c r="A574" s="3">
        <v>45750</v>
      </c>
      <c r="B574" s="2" t="s">
        <v>10</v>
      </c>
      <c r="C574" s="2">
        <v>7</v>
      </c>
      <c r="D574" s="2">
        <f t="shared" si="32"/>
        <v>2025</v>
      </c>
      <c r="E574" s="2" t="str">
        <f t="shared" si="33"/>
        <v>2025-14</v>
      </c>
      <c r="F574" s="2" t="str">
        <f t="shared" si="34"/>
        <v>Week 14</v>
      </c>
      <c r="G574" s="2" t="str">
        <f t="shared" si="35"/>
        <v>Week 14-2025</v>
      </c>
      <c r="O574"/>
      <c r="Q574"/>
    </row>
    <row r="575" spans="1:17" hidden="1" x14ac:dyDescent="0.2">
      <c r="A575" s="3">
        <v>45750</v>
      </c>
      <c r="B575" s="2" t="s">
        <v>14</v>
      </c>
      <c r="C575" s="2">
        <v>8</v>
      </c>
      <c r="D575" s="2">
        <f t="shared" si="32"/>
        <v>2025</v>
      </c>
      <c r="E575" s="2" t="str">
        <f t="shared" si="33"/>
        <v>2025-14</v>
      </c>
      <c r="F575" s="2" t="str">
        <f t="shared" si="34"/>
        <v>Week 14</v>
      </c>
      <c r="G575" s="2" t="str">
        <f t="shared" si="35"/>
        <v>Week 14-2025</v>
      </c>
      <c r="O575"/>
      <c r="Q575"/>
    </row>
    <row r="576" spans="1:17" hidden="1" x14ac:dyDescent="0.2">
      <c r="A576" s="3">
        <v>45750</v>
      </c>
      <c r="B576" s="2" t="s">
        <v>5</v>
      </c>
      <c r="C576" s="2">
        <v>5</v>
      </c>
      <c r="D576" s="2">
        <f t="shared" si="32"/>
        <v>2025</v>
      </c>
      <c r="E576" s="2" t="str">
        <f t="shared" si="33"/>
        <v>2025-14</v>
      </c>
      <c r="F576" s="2" t="str">
        <f t="shared" si="34"/>
        <v>Week 14</v>
      </c>
      <c r="G576" s="2" t="str">
        <f t="shared" si="35"/>
        <v>Week 14-2025</v>
      </c>
      <c r="O576"/>
      <c r="Q576"/>
    </row>
    <row r="577" spans="1:17" hidden="1" x14ac:dyDescent="0.2">
      <c r="A577" s="3">
        <v>45750</v>
      </c>
      <c r="B577" s="2" t="s">
        <v>5</v>
      </c>
      <c r="C577" s="2">
        <v>5</v>
      </c>
      <c r="D577" s="2">
        <f t="shared" si="32"/>
        <v>2025</v>
      </c>
      <c r="E577" s="2" t="str">
        <f t="shared" si="33"/>
        <v>2025-14</v>
      </c>
      <c r="F577" s="2" t="str">
        <f t="shared" si="34"/>
        <v>Week 14</v>
      </c>
      <c r="G577" s="2" t="str">
        <f t="shared" si="35"/>
        <v>Week 14-2025</v>
      </c>
      <c r="O577"/>
      <c r="Q577"/>
    </row>
    <row r="578" spans="1:17" hidden="1" x14ac:dyDescent="0.2">
      <c r="A578" s="3">
        <v>45750</v>
      </c>
      <c r="B578" s="2" t="s">
        <v>5</v>
      </c>
      <c r="C578" s="2">
        <v>4</v>
      </c>
      <c r="D578" s="2">
        <f t="shared" ref="D578:D641" si="36">YEAR(A578)</f>
        <v>2025</v>
      </c>
      <c r="E578" s="2" t="str">
        <f t="shared" ref="E578:E641" si="37">YEAR(A578)&amp;"-"&amp;_xlfn.ISOWEEKNUM(A578)</f>
        <v>2025-14</v>
      </c>
      <c r="F578" s="2" t="str">
        <f t="shared" ref="F578:F641" si="38">_xlfn.CONCAT("Week "&amp;WEEKNUM(A578))</f>
        <v>Week 14</v>
      </c>
      <c r="G578" s="2" t="str">
        <f t="shared" ref="G578:G641" si="39">_xlfn.CONCAT(F578,"-",D578)</f>
        <v>Week 14-2025</v>
      </c>
      <c r="O578"/>
      <c r="Q578"/>
    </row>
    <row r="579" spans="1:17" hidden="1" x14ac:dyDescent="0.2">
      <c r="A579" s="3">
        <v>45750</v>
      </c>
      <c r="B579" s="2" t="s">
        <v>19</v>
      </c>
      <c r="C579" s="2">
        <v>3</v>
      </c>
      <c r="D579" s="2">
        <f t="shared" si="36"/>
        <v>2025</v>
      </c>
      <c r="E579" s="2" t="str">
        <f t="shared" si="37"/>
        <v>2025-14</v>
      </c>
      <c r="F579" s="2" t="str">
        <f t="shared" si="38"/>
        <v>Week 14</v>
      </c>
      <c r="G579" s="2" t="str">
        <f t="shared" si="39"/>
        <v>Week 14-2025</v>
      </c>
      <c r="O579"/>
      <c r="Q579"/>
    </row>
    <row r="580" spans="1:17" hidden="1" x14ac:dyDescent="0.2">
      <c r="A580" s="3">
        <v>45750</v>
      </c>
      <c r="B580" s="2" t="s">
        <v>12</v>
      </c>
      <c r="C580" s="2">
        <v>2</v>
      </c>
      <c r="D580" s="2">
        <f t="shared" si="36"/>
        <v>2025</v>
      </c>
      <c r="E580" s="2" t="str">
        <f t="shared" si="37"/>
        <v>2025-14</v>
      </c>
      <c r="F580" s="2" t="str">
        <f t="shared" si="38"/>
        <v>Week 14</v>
      </c>
      <c r="G580" s="2" t="str">
        <f t="shared" si="39"/>
        <v>Week 14-2025</v>
      </c>
      <c r="O580"/>
      <c r="Q580"/>
    </row>
    <row r="581" spans="1:17" hidden="1" x14ac:dyDescent="0.2">
      <c r="A581" s="3">
        <v>45750</v>
      </c>
      <c r="B581" s="2" t="s">
        <v>18</v>
      </c>
      <c r="C581" s="2">
        <v>2</v>
      </c>
      <c r="D581" s="2">
        <f t="shared" si="36"/>
        <v>2025</v>
      </c>
      <c r="E581" s="2" t="str">
        <f t="shared" si="37"/>
        <v>2025-14</v>
      </c>
      <c r="F581" s="2" t="str">
        <f t="shared" si="38"/>
        <v>Week 14</v>
      </c>
      <c r="G581" s="2" t="str">
        <f t="shared" si="39"/>
        <v>Week 14-2025</v>
      </c>
      <c r="O581"/>
      <c r="Q581"/>
    </row>
    <row r="582" spans="1:17" hidden="1" x14ac:dyDescent="0.2">
      <c r="A582" s="3">
        <v>45750</v>
      </c>
      <c r="B582" s="2" t="s">
        <v>10</v>
      </c>
      <c r="C582" s="2">
        <v>4</v>
      </c>
      <c r="D582" s="2">
        <f t="shared" si="36"/>
        <v>2025</v>
      </c>
      <c r="E582" s="2" t="str">
        <f t="shared" si="37"/>
        <v>2025-14</v>
      </c>
      <c r="F582" s="2" t="str">
        <f t="shared" si="38"/>
        <v>Week 14</v>
      </c>
      <c r="G582" s="2" t="str">
        <f t="shared" si="39"/>
        <v>Week 14-2025</v>
      </c>
      <c r="O582"/>
      <c r="Q582"/>
    </row>
    <row r="583" spans="1:17" hidden="1" x14ac:dyDescent="0.2">
      <c r="A583" s="3">
        <v>45750</v>
      </c>
      <c r="B583" s="2" t="s">
        <v>10</v>
      </c>
      <c r="C583" s="2">
        <v>4</v>
      </c>
      <c r="D583" s="2">
        <f t="shared" si="36"/>
        <v>2025</v>
      </c>
      <c r="E583" s="2" t="str">
        <f t="shared" si="37"/>
        <v>2025-14</v>
      </c>
      <c r="F583" s="2" t="str">
        <f t="shared" si="38"/>
        <v>Week 14</v>
      </c>
      <c r="G583" s="2" t="str">
        <f t="shared" si="39"/>
        <v>Week 14-2025</v>
      </c>
      <c r="O583"/>
      <c r="Q583"/>
    </row>
    <row r="584" spans="1:17" hidden="1" x14ac:dyDescent="0.2">
      <c r="A584" s="3">
        <v>45750</v>
      </c>
      <c r="B584" s="2" t="s">
        <v>8</v>
      </c>
      <c r="C584" s="2">
        <v>4</v>
      </c>
      <c r="D584" s="2">
        <f t="shared" si="36"/>
        <v>2025</v>
      </c>
      <c r="E584" s="2" t="str">
        <f t="shared" si="37"/>
        <v>2025-14</v>
      </c>
      <c r="F584" s="2" t="str">
        <f t="shared" si="38"/>
        <v>Week 14</v>
      </c>
      <c r="G584" s="2" t="str">
        <f t="shared" si="39"/>
        <v>Week 14-2025</v>
      </c>
      <c r="O584"/>
      <c r="Q584"/>
    </row>
    <row r="585" spans="1:17" hidden="1" x14ac:dyDescent="0.2">
      <c r="A585" s="3">
        <v>45750</v>
      </c>
      <c r="B585" s="2" t="s">
        <v>8</v>
      </c>
      <c r="C585" s="2">
        <v>4</v>
      </c>
      <c r="D585" s="2">
        <f t="shared" si="36"/>
        <v>2025</v>
      </c>
      <c r="E585" s="2" t="str">
        <f t="shared" si="37"/>
        <v>2025-14</v>
      </c>
      <c r="F585" s="2" t="str">
        <f t="shared" si="38"/>
        <v>Week 14</v>
      </c>
      <c r="G585" s="2" t="str">
        <f t="shared" si="39"/>
        <v>Week 14-2025</v>
      </c>
      <c r="O585"/>
      <c r="Q585"/>
    </row>
    <row r="586" spans="1:17" hidden="1" x14ac:dyDescent="0.2">
      <c r="A586" s="3">
        <v>45750</v>
      </c>
      <c r="B586" s="2" t="s">
        <v>27</v>
      </c>
      <c r="C586" s="2">
        <v>4</v>
      </c>
      <c r="D586" s="2">
        <f t="shared" si="36"/>
        <v>2025</v>
      </c>
      <c r="E586" s="2" t="str">
        <f t="shared" si="37"/>
        <v>2025-14</v>
      </c>
      <c r="F586" s="2" t="str">
        <f t="shared" si="38"/>
        <v>Week 14</v>
      </c>
      <c r="G586" s="2" t="str">
        <f t="shared" si="39"/>
        <v>Week 14-2025</v>
      </c>
      <c r="O586"/>
      <c r="Q586"/>
    </row>
    <row r="587" spans="1:17" hidden="1" x14ac:dyDescent="0.2">
      <c r="A587" s="3">
        <v>45750</v>
      </c>
      <c r="B587" s="2" t="s">
        <v>8</v>
      </c>
      <c r="C587" s="2">
        <v>2</v>
      </c>
      <c r="D587" s="2">
        <f t="shared" si="36"/>
        <v>2025</v>
      </c>
      <c r="E587" s="2" t="str">
        <f t="shared" si="37"/>
        <v>2025-14</v>
      </c>
      <c r="F587" s="2" t="str">
        <f t="shared" si="38"/>
        <v>Week 14</v>
      </c>
      <c r="G587" s="2" t="str">
        <f t="shared" si="39"/>
        <v>Week 14-2025</v>
      </c>
      <c r="O587"/>
      <c r="Q587"/>
    </row>
    <row r="588" spans="1:17" hidden="1" x14ac:dyDescent="0.2">
      <c r="A588" s="3">
        <v>45750</v>
      </c>
      <c r="B588" s="2" t="s">
        <v>27</v>
      </c>
      <c r="C588" s="2">
        <v>2</v>
      </c>
      <c r="D588" s="2">
        <f t="shared" si="36"/>
        <v>2025</v>
      </c>
      <c r="E588" s="2" t="str">
        <f t="shared" si="37"/>
        <v>2025-14</v>
      </c>
      <c r="F588" s="2" t="str">
        <f t="shared" si="38"/>
        <v>Week 14</v>
      </c>
      <c r="G588" s="2" t="str">
        <f t="shared" si="39"/>
        <v>Week 14-2025</v>
      </c>
      <c r="O588"/>
      <c r="Q588"/>
    </row>
    <row r="589" spans="1:17" hidden="1" x14ac:dyDescent="0.2">
      <c r="A589" s="3">
        <v>45750</v>
      </c>
      <c r="B589" s="2" t="s">
        <v>10</v>
      </c>
      <c r="C589" s="2">
        <v>1</v>
      </c>
      <c r="D589" s="2">
        <f t="shared" si="36"/>
        <v>2025</v>
      </c>
      <c r="E589" s="2" t="str">
        <f t="shared" si="37"/>
        <v>2025-14</v>
      </c>
      <c r="F589" s="2" t="str">
        <f t="shared" si="38"/>
        <v>Week 14</v>
      </c>
      <c r="G589" s="2" t="str">
        <f t="shared" si="39"/>
        <v>Week 14-2025</v>
      </c>
      <c r="O589"/>
      <c r="Q589"/>
    </row>
    <row r="590" spans="1:17" hidden="1" x14ac:dyDescent="0.2">
      <c r="A590" s="3">
        <v>45752</v>
      </c>
      <c r="B590" s="2" t="s">
        <v>14</v>
      </c>
      <c r="C590" s="2">
        <v>8</v>
      </c>
      <c r="D590" s="2">
        <f t="shared" si="36"/>
        <v>2025</v>
      </c>
      <c r="E590" s="2" t="str">
        <f t="shared" si="37"/>
        <v>2025-14</v>
      </c>
      <c r="F590" s="2" t="str">
        <f t="shared" si="38"/>
        <v>Week 14</v>
      </c>
      <c r="G590" s="2" t="str">
        <f t="shared" si="39"/>
        <v>Week 14-2025</v>
      </c>
      <c r="O590"/>
      <c r="Q590"/>
    </row>
    <row r="591" spans="1:17" hidden="1" x14ac:dyDescent="0.2">
      <c r="A591" s="3">
        <v>45752</v>
      </c>
      <c r="B591" s="2" t="s">
        <v>7</v>
      </c>
      <c r="C591" s="2">
        <v>3</v>
      </c>
      <c r="D591" s="2">
        <f t="shared" si="36"/>
        <v>2025</v>
      </c>
      <c r="E591" s="2" t="str">
        <f t="shared" si="37"/>
        <v>2025-14</v>
      </c>
      <c r="F591" s="2" t="str">
        <f t="shared" si="38"/>
        <v>Week 14</v>
      </c>
      <c r="G591" s="2" t="str">
        <f t="shared" si="39"/>
        <v>Week 14-2025</v>
      </c>
      <c r="O591"/>
      <c r="Q591"/>
    </row>
    <row r="592" spans="1:17" hidden="1" x14ac:dyDescent="0.2">
      <c r="A592" s="3">
        <v>45752</v>
      </c>
      <c r="B592" s="2" t="s">
        <v>14</v>
      </c>
      <c r="C592" s="2">
        <v>6</v>
      </c>
      <c r="D592" s="2">
        <f t="shared" si="36"/>
        <v>2025</v>
      </c>
      <c r="E592" s="2" t="str">
        <f t="shared" si="37"/>
        <v>2025-14</v>
      </c>
      <c r="F592" s="2" t="str">
        <f t="shared" si="38"/>
        <v>Week 14</v>
      </c>
      <c r="G592" s="2" t="str">
        <f t="shared" si="39"/>
        <v>Week 14-2025</v>
      </c>
      <c r="O592"/>
      <c r="Q592"/>
    </row>
    <row r="593" spans="1:17" hidden="1" x14ac:dyDescent="0.2">
      <c r="A593" s="3">
        <v>45752</v>
      </c>
      <c r="B593" s="2" t="s">
        <v>5</v>
      </c>
      <c r="C593" s="2">
        <v>4</v>
      </c>
      <c r="D593" s="2">
        <f t="shared" si="36"/>
        <v>2025</v>
      </c>
      <c r="E593" s="2" t="str">
        <f t="shared" si="37"/>
        <v>2025-14</v>
      </c>
      <c r="F593" s="2" t="str">
        <f t="shared" si="38"/>
        <v>Week 14</v>
      </c>
      <c r="G593" s="2" t="str">
        <f t="shared" si="39"/>
        <v>Week 14-2025</v>
      </c>
      <c r="O593"/>
      <c r="Q593"/>
    </row>
    <row r="594" spans="1:17" hidden="1" x14ac:dyDescent="0.2">
      <c r="A594" s="3">
        <v>45752</v>
      </c>
      <c r="B594" s="2" t="s">
        <v>5</v>
      </c>
      <c r="C594" s="2">
        <v>4</v>
      </c>
      <c r="D594" s="2">
        <f t="shared" si="36"/>
        <v>2025</v>
      </c>
      <c r="E594" s="2" t="str">
        <f t="shared" si="37"/>
        <v>2025-14</v>
      </c>
      <c r="F594" s="2" t="str">
        <f t="shared" si="38"/>
        <v>Week 14</v>
      </c>
      <c r="G594" s="2" t="str">
        <f t="shared" si="39"/>
        <v>Week 14-2025</v>
      </c>
      <c r="O594"/>
      <c r="Q594"/>
    </row>
    <row r="595" spans="1:17" hidden="1" x14ac:dyDescent="0.2">
      <c r="A595" s="3">
        <v>45752</v>
      </c>
      <c r="B595" s="2" t="s">
        <v>9</v>
      </c>
      <c r="C595" s="2">
        <v>2</v>
      </c>
      <c r="D595" s="2">
        <f t="shared" si="36"/>
        <v>2025</v>
      </c>
      <c r="E595" s="2" t="str">
        <f t="shared" si="37"/>
        <v>2025-14</v>
      </c>
      <c r="F595" s="2" t="str">
        <f t="shared" si="38"/>
        <v>Week 14</v>
      </c>
      <c r="G595" s="2" t="str">
        <f t="shared" si="39"/>
        <v>Week 14-2025</v>
      </c>
      <c r="O595"/>
      <c r="Q595"/>
    </row>
    <row r="596" spans="1:17" hidden="1" x14ac:dyDescent="0.2">
      <c r="A596" s="3">
        <v>45752</v>
      </c>
      <c r="B596" s="2" t="s">
        <v>9</v>
      </c>
      <c r="C596" s="2">
        <v>2</v>
      </c>
      <c r="D596" s="2">
        <f t="shared" si="36"/>
        <v>2025</v>
      </c>
      <c r="E596" s="2" t="str">
        <f t="shared" si="37"/>
        <v>2025-14</v>
      </c>
      <c r="F596" s="2" t="str">
        <f t="shared" si="38"/>
        <v>Week 14</v>
      </c>
      <c r="G596" s="2" t="str">
        <f t="shared" si="39"/>
        <v>Week 14-2025</v>
      </c>
      <c r="O596"/>
      <c r="Q596"/>
    </row>
    <row r="597" spans="1:17" hidden="1" x14ac:dyDescent="0.2">
      <c r="A597" s="3">
        <v>45752</v>
      </c>
      <c r="B597" s="2" t="s">
        <v>3</v>
      </c>
      <c r="C597" s="2">
        <v>2</v>
      </c>
      <c r="D597" s="2">
        <f t="shared" si="36"/>
        <v>2025</v>
      </c>
      <c r="E597" s="2" t="str">
        <f t="shared" si="37"/>
        <v>2025-14</v>
      </c>
      <c r="F597" s="2" t="str">
        <f t="shared" si="38"/>
        <v>Week 14</v>
      </c>
      <c r="G597" s="2" t="str">
        <f t="shared" si="39"/>
        <v>Week 14-2025</v>
      </c>
      <c r="O597"/>
      <c r="Q597"/>
    </row>
    <row r="598" spans="1:17" hidden="1" x14ac:dyDescent="0.2">
      <c r="A598" s="3">
        <v>45752</v>
      </c>
      <c r="B598" s="2" t="s">
        <v>27</v>
      </c>
      <c r="C598" s="2">
        <v>4</v>
      </c>
      <c r="D598" s="2">
        <f t="shared" si="36"/>
        <v>2025</v>
      </c>
      <c r="E598" s="2" t="str">
        <f t="shared" si="37"/>
        <v>2025-14</v>
      </c>
      <c r="F598" s="2" t="str">
        <f t="shared" si="38"/>
        <v>Week 14</v>
      </c>
      <c r="G598" s="2" t="str">
        <f t="shared" si="39"/>
        <v>Week 14-2025</v>
      </c>
      <c r="O598"/>
      <c r="Q598"/>
    </row>
    <row r="599" spans="1:17" hidden="1" x14ac:dyDescent="0.2">
      <c r="A599" s="3">
        <v>45752</v>
      </c>
      <c r="B599" s="2" t="s">
        <v>8</v>
      </c>
      <c r="C599" s="2">
        <v>2</v>
      </c>
      <c r="D599" s="2">
        <f t="shared" si="36"/>
        <v>2025</v>
      </c>
      <c r="E599" s="2" t="str">
        <f t="shared" si="37"/>
        <v>2025-14</v>
      </c>
      <c r="F599" s="2" t="str">
        <f t="shared" si="38"/>
        <v>Week 14</v>
      </c>
      <c r="G599" s="2" t="str">
        <f t="shared" si="39"/>
        <v>Week 14-2025</v>
      </c>
      <c r="O599"/>
      <c r="Q599"/>
    </row>
    <row r="600" spans="1:17" hidden="1" x14ac:dyDescent="0.2">
      <c r="A600" s="3">
        <v>45752</v>
      </c>
      <c r="B600" s="2" t="s">
        <v>46</v>
      </c>
      <c r="C600" s="2">
        <v>2</v>
      </c>
      <c r="D600" s="2">
        <f t="shared" si="36"/>
        <v>2025</v>
      </c>
      <c r="E600" s="2" t="str">
        <f t="shared" si="37"/>
        <v>2025-14</v>
      </c>
      <c r="F600" s="2" t="str">
        <f t="shared" si="38"/>
        <v>Week 14</v>
      </c>
      <c r="G600" s="2" t="str">
        <f t="shared" si="39"/>
        <v>Week 14-2025</v>
      </c>
      <c r="O600"/>
      <c r="Q600"/>
    </row>
    <row r="601" spans="1:17" hidden="1" x14ac:dyDescent="0.2">
      <c r="A601" s="3">
        <v>45752</v>
      </c>
      <c r="B601" s="2" t="s">
        <v>15</v>
      </c>
      <c r="C601" s="2">
        <v>2</v>
      </c>
      <c r="D601" s="2">
        <f t="shared" si="36"/>
        <v>2025</v>
      </c>
      <c r="E601" s="2" t="str">
        <f t="shared" si="37"/>
        <v>2025-14</v>
      </c>
      <c r="F601" s="2" t="str">
        <f t="shared" si="38"/>
        <v>Week 14</v>
      </c>
      <c r="G601" s="2" t="str">
        <f t="shared" si="39"/>
        <v>Week 14-2025</v>
      </c>
      <c r="O601"/>
      <c r="Q601"/>
    </row>
    <row r="602" spans="1:17" hidden="1" x14ac:dyDescent="0.2">
      <c r="A602" s="3">
        <v>45752</v>
      </c>
      <c r="B602" s="2" t="s">
        <v>36</v>
      </c>
      <c r="C602" s="2">
        <v>2</v>
      </c>
      <c r="D602" s="2">
        <f t="shared" si="36"/>
        <v>2025</v>
      </c>
      <c r="E602" s="2" t="str">
        <f t="shared" si="37"/>
        <v>2025-14</v>
      </c>
      <c r="F602" s="2" t="str">
        <f t="shared" si="38"/>
        <v>Week 14</v>
      </c>
      <c r="G602" s="2" t="str">
        <f t="shared" si="39"/>
        <v>Week 14-2025</v>
      </c>
      <c r="O602"/>
      <c r="Q602"/>
    </row>
    <row r="603" spans="1:17" hidden="1" x14ac:dyDescent="0.2">
      <c r="A603" s="3">
        <v>45754</v>
      </c>
      <c r="B603" s="2" t="s">
        <v>9</v>
      </c>
      <c r="C603" s="2">
        <v>10</v>
      </c>
      <c r="D603" s="2">
        <f t="shared" si="36"/>
        <v>2025</v>
      </c>
      <c r="E603" s="2" t="str">
        <f t="shared" si="37"/>
        <v>2025-15</v>
      </c>
      <c r="F603" s="2" t="str">
        <f t="shared" si="38"/>
        <v>Week 15</v>
      </c>
      <c r="G603" s="2" t="str">
        <f t="shared" si="39"/>
        <v>Week 15-2025</v>
      </c>
      <c r="O603"/>
      <c r="Q603"/>
    </row>
    <row r="604" spans="1:17" hidden="1" x14ac:dyDescent="0.2">
      <c r="A604" s="3">
        <v>45754</v>
      </c>
      <c r="B604" s="2" t="s">
        <v>6</v>
      </c>
      <c r="C604" s="2">
        <v>6</v>
      </c>
      <c r="D604" s="2">
        <f t="shared" si="36"/>
        <v>2025</v>
      </c>
      <c r="E604" s="2" t="str">
        <f t="shared" si="37"/>
        <v>2025-15</v>
      </c>
      <c r="F604" s="2" t="str">
        <f t="shared" si="38"/>
        <v>Week 15</v>
      </c>
      <c r="G604" s="2" t="str">
        <f t="shared" si="39"/>
        <v>Week 15-2025</v>
      </c>
      <c r="O604"/>
      <c r="Q604"/>
    </row>
    <row r="605" spans="1:17" hidden="1" x14ac:dyDescent="0.2">
      <c r="A605" s="3">
        <v>45754</v>
      </c>
      <c r="B605" s="2" t="s">
        <v>38</v>
      </c>
      <c r="C605" s="2">
        <v>7</v>
      </c>
      <c r="D605" s="2">
        <f t="shared" si="36"/>
        <v>2025</v>
      </c>
      <c r="E605" s="2" t="str">
        <f t="shared" si="37"/>
        <v>2025-15</v>
      </c>
      <c r="F605" s="2" t="str">
        <f t="shared" si="38"/>
        <v>Week 15</v>
      </c>
      <c r="G605" s="2" t="str">
        <f t="shared" si="39"/>
        <v>Week 15-2025</v>
      </c>
      <c r="O605"/>
      <c r="Q605"/>
    </row>
    <row r="606" spans="1:17" hidden="1" x14ac:dyDescent="0.2">
      <c r="A606" s="3">
        <v>45754</v>
      </c>
      <c r="B606" s="2" t="s">
        <v>17</v>
      </c>
      <c r="C606" s="2">
        <v>4</v>
      </c>
      <c r="D606" s="2">
        <f t="shared" si="36"/>
        <v>2025</v>
      </c>
      <c r="E606" s="2" t="str">
        <f t="shared" si="37"/>
        <v>2025-15</v>
      </c>
      <c r="F606" s="2" t="str">
        <f t="shared" si="38"/>
        <v>Week 15</v>
      </c>
      <c r="G606" s="2" t="str">
        <f t="shared" si="39"/>
        <v>Week 15-2025</v>
      </c>
      <c r="O606"/>
      <c r="Q606"/>
    </row>
    <row r="607" spans="1:17" hidden="1" x14ac:dyDescent="0.2">
      <c r="A607" s="3">
        <v>45754</v>
      </c>
      <c r="B607" s="2" t="s">
        <v>7</v>
      </c>
      <c r="C607" s="2">
        <v>2</v>
      </c>
      <c r="D607" s="2">
        <f t="shared" si="36"/>
        <v>2025</v>
      </c>
      <c r="E607" s="2" t="str">
        <f t="shared" si="37"/>
        <v>2025-15</v>
      </c>
      <c r="F607" s="2" t="str">
        <f t="shared" si="38"/>
        <v>Week 15</v>
      </c>
      <c r="G607" s="2" t="str">
        <f t="shared" si="39"/>
        <v>Week 15-2025</v>
      </c>
      <c r="O607"/>
      <c r="Q607"/>
    </row>
    <row r="608" spans="1:17" hidden="1" x14ac:dyDescent="0.2">
      <c r="A608" s="3">
        <v>45754</v>
      </c>
      <c r="B608" s="2" t="s">
        <v>29</v>
      </c>
      <c r="C608" s="2">
        <v>2</v>
      </c>
      <c r="D608" s="2">
        <f t="shared" si="36"/>
        <v>2025</v>
      </c>
      <c r="E608" s="2" t="str">
        <f t="shared" si="37"/>
        <v>2025-15</v>
      </c>
      <c r="F608" s="2" t="str">
        <f t="shared" si="38"/>
        <v>Week 15</v>
      </c>
      <c r="G608" s="2" t="str">
        <f t="shared" si="39"/>
        <v>Week 15-2025</v>
      </c>
      <c r="O608"/>
      <c r="Q608"/>
    </row>
    <row r="609" spans="1:17" hidden="1" x14ac:dyDescent="0.2">
      <c r="A609" s="3">
        <v>45754</v>
      </c>
      <c r="B609" s="2" t="s">
        <v>10</v>
      </c>
      <c r="C609" s="2">
        <v>2</v>
      </c>
      <c r="D609" s="2">
        <f t="shared" si="36"/>
        <v>2025</v>
      </c>
      <c r="E609" s="2" t="str">
        <f t="shared" si="37"/>
        <v>2025-15</v>
      </c>
      <c r="F609" s="2" t="str">
        <f t="shared" si="38"/>
        <v>Week 15</v>
      </c>
      <c r="G609" s="2" t="str">
        <f t="shared" si="39"/>
        <v>Week 15-2025</v>
      </c>
      <c r="O609"/>
      <c r="Q609"/>
    </row>
    <row r="610" spans="1:17" hidden="1" x14ac:dyDescent="0.2">
      <c r="A610" s="3">
        <v>45754</v>
      </c>
      <c r="B610" s="2" t="s">
        <v>37</v>
      </c>
      <c r="C610" s="2">
        <v>1</v>
      </c>
      <c r="D610" s="2">
        <f t="shared" si="36"/>
        <v>2025</v>
      </c>
      <c r="E610" s="2" t="str">
        <f t="shared" si="37"/>
        <v>2025-15</v>
      </c>
      <c r="F610" s="2" t="str">
        <f t="shared" si="38"/>
        <v>Week 15</v>
      </c>
      <c r="G610" s="2" t="str">
        <f t="shared" si="39"/>
        <v>Week 15-2025</v>
      </c>
      <c r="O610"/>
      <c r="Q610"/>
    </row>
    <row r="611" spans="1:17" hidden="1" x14ac:dyDescent="0.2">
      <c r="A611" s="3">
        <v>45754</v>
      </c>
      <c r="B611" s="2" t="s">
        <v>38</v>
      </c>
      <c r="C611" s="2">
        <v>1</v>
      </c>
      <c r="D611" s="2">
        <f t="shared" si="36"/>
        <v>2025</v>
      </c>
      <c r="E611" s="2" t="str">
        <f t="shared" si="37"/>
        <v>2025-15</v>
      </c>
      <c r="F611" s="2" t="str">
        <f t="shared" si="38"/>
        <v>Week 15</v>
      </c>
      <c r="G611" s="2" t="str">
        <f t="shared" si="39"/>
        <v>Week 15-2025</v>
      </c>
      <c r="O611"/>
      <c r="Q611"/>
    </row>
    <row r="612" spans="1:17" hidden="1" x14ac:dyDescent="0.2">
      <c r="A612" s="3">
        <v>45755</v>
      </c>
      <c r="B612" s="2" t="s">
        <v>4</v>
      </c>
      <c r="C612" s="2">
        <v>16</v>
      </c>
      <c r="D612" s="2">
        <f t="shared" si="36"/>
        <v>2025</v>
      </c>
      <c r="E612" s="2" t="str">
        <f t="shared" si="37"/>
        <v>2025-15</v>
      </c>
      <c r="F612" s="2" t="str">
        <f t="shared" si="38"/>
        <v>Week 15</v>
      </c>
      <c r="G612" s="2" t="str">
        <f t="shared" si="39"/>
        <v>Week 15-2025</v>
      </c>
      <c r="O612"/>
      <c r="Q612"/>
    </row>
    <row r="613" spans="1:17" hidden="1" x14ac:dyDescent="0.2">
      <c r="A613" s="3">
        <v>45755</v>
      </c>
      <c r="B613" s="2" t="s">
        <v>4</v>
      </c>
      <c r="C613" s="2">
        <v>10</v>
      </c>
      <c r="D613" s="2">
        <f t="shared" si="36"/>
        <v>2025</v>
      </c>
      <c r="E613" s="2" t="str">
        <f t="shared" si="37"/>
        <v>2025-15</v>
      </c>
      <c r="F613" s="2" t="str">
        <f t="shared" si="38"/>
        <v>Week 15</v>
      </c>
      <c r="G613" s="2" t="str">
        <f t="shared" si="39"/>
        <v>Week 15-2025</v>
      </c>
      <c r="O613"/>
      <c r="Q613"/>
    </row>
    <row r="614" spans="1:17" hidden="1" x14ac:dyDescent="0.2">
      <c r="A614" s="3">
        <v>45755</v>
      </c>
      <c r="B614" s="2" t="s">
        <v>3</v>
      </c>
      <c r="C614" s="2">
        <v>10</v>
      </c>
      <c r="D614" s="2">
        <f t="shared" si="36"/>
        <v>2025</v>
      </c>
      <c r="E614" s="2" t="str">
        <f t="shared" si="37"/>
        <v>2025-15</v>
      </c>
      <c r="F614" s="2" t="str">
        <f t="shared" si="38"/>
        <v>Week 15</v>
      </c>
      <c r="G614" s="2" t="str">
        <f t="shared" si="39"/>
        <v>Week 15-2025</v>
      </c>
      <c r="O614"/>
      <c r="Q614"/>
    </row>
    <row r="615" spans="1:17" hidden="1" x14ac:dyDescent="0.2">
      <c r="A615" s="3">
        <v>45755</v>
      </c>
      <c r="B615" s="2" t="s">
        <v>7</v>
      </c>
      <c r="C615" s="2">
        <v>2</v>
      </c>
      <c r="D615" s="2">
        <f t="shared" si="36"/>
        <v>2025</v>
      </c>
      <c r="E615" s="2" t="str">
        <f t="shared" si="37"/>
        <v>2025-15</v>
      </c>
      <c r="F615" s="2" t="str">
        <f t="shared" si="38"/>
        <v>Week 15</v>
      </c>
      <c r="G615" s="2" t="str">
        <f t="shared" si="39"/>
        <v>Week 15-2025</v>
      </c>
      <c r="O615"/>
      <c r="Q615"/>
    </row>
    <row r="616" spans="1:17" hidden="1" x14ac:dyDescent="0.2">
      <c r="A616" s="3">
        <v>45755</v>
      </c>
      <c r="B616" s="2" t="s">
        <v>21</v>
      </c>
      <c r="C616" s="2">
        <v>2</v>
      </c>
      <c r="D616" s="2">
        <f t="shared" si="36"/>
        <v>2025</v>
      </c>
      <c r="E616" s="2" t="str">
        <f t="shared" si="37"/>
        <v>2025-15</v>
      </c>
      <c r="F616" s="2" t="str">
        <f t="shared" si="38"/>
        <v>Week 15</v>
      </c>
      <c r="G616" s="2" t="str">
        <f t="shared" si="39"/>
        <v>Week 15-2025</v>
      </c>
      <c r="O616"/>
      <c r="Q616"/>
    </row>
    <row r="617" spans="1:17" hidden="1" x14ac:dyDescent="0.2">
      <c r="A617" s="3">
        <v>45756</v>
      </c>
      <c r="B617" s="2" t="s">
        <v>7</v>
      </c>
      <c r="C617" s="2">
        <v>16</v>
      </c>
      <c r="D617" s="2">
        <f t="shared" si="36"/>
        <v>2025</v>
      </c>
      <c r="E617" s="2" t="str">
        <f t="shared" si="37"/>
        <v>2025-15</v>
      </c>
      <c r="F617" s="2" t="str">
        <f t="shared" si="38"/>
        <v>Week 15</v>
      </c>
      <c r="G617" s="2" t="str">
        <f t="shared" si="39"/>
        <v>Week 15-2025</v>
      </c>
      <c r="O617"/>
      <c r="Q617"/>
    </row>
    <row r="618" spans="1:17" hidden="1" x14ac:dyDescent="0.2">
      <c r="A618" s="3">
        <v>45756</v>
      </c>
      <c r="B618" s="2" t="s">
        <v>9</v>
      </c>
      <c r="C618" s="2">
        <v>16</v>
      </c>
      <c r="D618" s="2">
        <f t="shared" si="36"/>
        <v>2025</v>
      </c>
      <c r="E618" s="2" t="str">
        <f t="shared" si="37"/>
        <v>2025-15</v>
      </c>
      <c r="F618" s="2" t="str">
        <f t="shared" si="38"/>
        <v>Week 15</v>
      </c>
      <c r="G618" s="2" t="str">
        <f t="shared" si="39"/>
        <v>Week 15-2025</v>
      </c>
      <c r="O618"/>
      <c r="Q618"/>
    </row>
    <row r="619" spans="1:17" hidden="1" x14ac:dyDescent="0.2">
      <c r="A619" s="3">
        <v>45756</v>
      </c>
      <c r="B619" s="2" t="s">
        <v>7</v>
      </c>
      <c r="C619" s="2">
        <v>12</v>
      </c>
      <c r="D619" s="2">
        <f t="shared" si="36"/>
        <v>2025</v>
      </c>
      <c r="E619" s="2" t="str">
        <f t="shared" si="37"/>
        <v>2025-15</v>
      </c>
      <c r="F619" s="2" t="str">
        <f t="shared" si="38"/>
        <v>Week 15</v>
      </c>
      <c r="G619" s="2" t="str">
        <f t="shared" si="39"/>
        <v>Week 15-2025</v>
      </c>
      <c r="O619"/>
      <c r="Q619"/>
    </row>
    <row r="620" spans="1:17" hidden="1" x14ac:dyDescent="0.2">
      <c r="A620" s="3">
        <v>45756</v>
      </c>
      <c r="B620" s="2" t="s">
        <v>6</v>
      </c>
      <c r="C620" s="2">
        <v>4</v>
      </c>
      <c r="D620" s="2">
        <f t="shared" si="36"/>
        <v>2025</v>
      </c>
      <c r="E620" s="2" t="str">
        <f t="shared" si="37"/>
        <v>2025-15</v>
      </c>
      <c r="F620" s="2" t="str">
        <f t="shared" si="38"/>
        <v>Week 15</v>
      </c>
      <c r="G620" s="2" t="str">
        <f t="shared" si="39"/>
        <v>Week 15-2025</v>
      </c>
      <c r="O620"/>
      <c r="Q620"/>
    </row>
    <row r="621" spans="1:17" hidden="1" x14ac:dyDescent="0.2">
      <c r="A621" s="3">
        <v>45756</v>
      </c>
      <c r="B621" s="2" t="s">
        <v>4</v>
      </c>
      <c r="C621" s="2">
        <v>4</v>
      </c>
      <c r="D621" s="2">
        <f t="shared" si="36"/>
        <v>2025</v>
      </c>
      <c r="E621" s="2" t="str">
        <f t="shared" si="37"/>
        <v>2025-15</v>
      </c>
      <c r="F621" s="2" t="str">
        <f t="shared" si="38"/>
        <v>Week 15</v>
      </c>
      <c r="G621" s="2" t="str">
        <f t="shared" si="39"/>
        <v>Week 15-2025</v>
      </c>
      <c r="O621"/>
      <c r="Q621"/>
    </row>
    <row r="622" spans="1:17" hidden="1" x14ac:dyDescent="0.2">
      <c r="A622" s="3">
        <v>45756</v>
      </c>
      <c r="B622" s="2" t="s">
        <v>30</v>
      </c>
      <c r="C622" s="2">
        <v>2</v>
      </c>
      <c r="D622" s="2">
        <f t="shared" si="36"/>
        <v>2025</v>
      </c>
      <c r="E622" s="2" t="str">
        <f t="shared" si="37"/>
        <v>2025-15</v>
      </c>
      <c r="F622" s="2" t="str">
        <f t="shared" si="38"/>
        <v>Week 15</v>
      </c>
      <c r="G622" s="2" t="str">
        <f t="shared" si="39"/>
        <v>Week 15-2025</v>
      </c>
      <c r="O622"/>
      <c r="Q622"/>
    </row>
    <row r="623" spans="1:17" hidden="1" x14ac:dyDescent="0.2">
      <c r="A623" s="3">
        <v>45759</v>
      </c>
      <c r="B623" s="2" t="s">
        <v>3</v>
      </c>
      <c r="C623" s="2">
        <v>19</v>
      </c>
      <c r="D623" s="2">
        <f t="shared" si="36"/>
        <v>2025</v>
      </c>
      <c r="E623" s="2" t="str">
        <f t="shared" si="37"/>
        <v>2025-15</v>
      </c>
      <c r="F623" s="2" t="str">
        <f t="shared" si="38"/>
        <v>Week 15</v>
      </c>
      <c r="G623" s="2" t="str">
        <f t="shared" si="39"/>
        <v>Week 15-2025</v>
      </c>
      <c r="O623"/>
      <c r="Q623"/>
    </row>
    <row r="624" spans="1:17" hidden="1" x14ac:dyDescent="0.2">
      <c r="A624" s="3">
        <v>45759</v>
      </c>
      <c r="B624" s="2" t="s">
        <v>6</v>
      </c>
      <c r="C624" s="2">
        <v>10</v>
      </c>
      <c r="D624" s="2">
        <f t="shared" si="36"/>
        <v>2025</v>
      </c>
      <c r="E624" s="2" t="str">
        <f t="shared" si="37"/>
        <v>2025-15</v>
      </c>
      <c r="F624" s="2" t="str">
        <f t="shared" si="38"/>
        <v>Week 15</v>
      </c>
      <c r="G624" s="2" t="str">
        <f t="shared" si="39"/>
        <v>Week 15-2025</v>
      </c>
      <c r="O624"/>
      <c r="Q624"/>
    </row>
    <row r="625" spans="1:17" hidden="1" x14ac:dyDescent="0.2">
      <c r="A625" s="3">
        <v>45759</v>
      </c>
      <c r="B625" s="2" t="s">
        <v>9</v>
      </c>
      <c r="C625" s="2">
        <v>12</v>
      </c>
      <c r="D625" s="2">
        <f t="shared" si="36"/>
        <v>2025</v>
      </c>
      <c r="E625" s="2" t="str">
        <f t="shared" si="37"/>
        <v>2025-15</v>
      </c>
      <c r="F625" s="2" t="str">
        <f t="shared" si="38"/>
        <v>Week 15</v>
      </c>
      <c r="G625" s="2" t="str">
        <f t="shared" si="39"/>
        <v>Week 15-2025</v>
      </c>
      <c r="O625"/>
      <c r="Q625"/>
    </row>
    <row r="626" spans="1:17" hidden="1" x14ac:dyDescent="0.2">
      <c r="A626" s="3">
        <v>45759</v>
      </c>
      <c r="B626" s="2" t="s">
        <v>12</v>
      </c>
      <c r="C626" s="2">
        <v>5</v>
      </c>
      <c r="D626" s="2">
        <f t="shared" si="36"/>
        <v>2025</v>
      </c>
      <c r="E626" s="2" t="str">
        <f t="shared" si="37"/>
        <v>2025-15</v>
      </c>
      <c r="F626" s="2" t="str">
        <f t="shared" si="38"/>
        <v>Week 15</v>
      </c>
      <c r="G626" s="2" t="str">
        <f t="shared" si="39"/>
        <v>Week 15-2025</v>
      </c>
      <c r="O626"/>
      <c r="Q626"/>
    </row>
    <row r="627" spans="1:17" hidden="1" x14ac:dyDescent="0.2">
      <c r="A627" s="3">
        <v>45759</v>
      </c>
      <c r="B627" s="2" t="s">
        <v>3</v>
      </c>
      <c r="C627" s="2">
        <v>7</v>
      </c>
      <c r="D627" s="2">
        <f t="shared" si="36"/>
        <v>2025</v>
      </c>
      <c r="E627" s="2" t="str">
        <f t="shared" si="37"/>
        <v>2025-15</v>
      </c>
      <c r="F627" s="2" t="str">
        <f t="shared" si="38"/>
        <v>Week 15</v>
      </c>
      <c r="G627" s="2" t="str">
        <f t="shared" si="39"/>
        <v>Week 15-2025</v>
      </c>
      <c r="O627"/>
      <c r="Q627"/>
    </row>
    <row r="628" spans="1:17" hidden="1" x14ac:dyDescent="0.2">
      <c r="A628" s="3">
        <v>45759</v>
      </c>
      <c r="B628" s="2" t="s">
        <v>12</v>
      </c>
      <c r="C628" s="2">
        <v>2</v>
      </c>
      <c r="D628" s="2">
        <f t="shared" si="36"/>
        <v>2025</v>
      </c>
      <c r="E628" s="2" t="str">
        <f t="shared" si="37"/>
        <v>2025-15</v>
      </c>
      <c r="F628" s="2" t="str">
        <f t="shared" si="38"/>
        <v>Week 15</v>
      </c>
      <c r="G628" s="2" t="str">
        <f t="shared" si="39"/>
        <v>Week 15-2025</v>
      </c>
      <c r="O628"/>
      <c r="Q628"/>
    </row>
    <row r="629" spans="1:17" hidden="1" x14ac:dyDescent="0.2">
      <c r="A629" s="3">
        <v>45759</v>
      </c>
      <c r="B629" s="2" t="s">
        <v>5</v>
      </c>
      <c r="C629" s="2">
        <v>4</v>
      </c>
      <c r="D629" s="2">
        <f t="shared" si="36"/>
        <v>2025</v>
      </c>
      <c r="E629" s="2" t="str">
        <f t="shared" si="37"/>
        <v>2025-15</v>
      </c>
      <c r="F629" s="2" t="str">
        <f t="shared" si="38"/>
        <v>Week 15</v>
      </c>
      <c r="G629" s="2" t="str">
        <f t="shared" si="39"/>
        <v>Week 15-2025</v>
      </c>
      <c r="O629"/>
      <c r="Q629"/>
    </row>
    <row r="630" spans="1:17" hidden="1" x14ac:dyDescent="0.2">
      <c r="A630" s="3">
        <v>45759</v>
      </c>
      <c r="B630" s="2" t="s">
        <v>12</v>
      </c>
      <c r="C630" s="2">
        <v>1</v>
      </c>
      <c r="D630" s="2">
        <f t="shared" si="36"/>
        <v>2025</v>
      </c>
      <c r="E630" s="2" t="str">
        <f t="shared" si="37"/>
        <v>2025-15</v>
      </c>
      <c r="F630" s="2" t="str">
        <f t="shared" si="38"/>
        <v>Week 15</v>
      </c>
      <c r="G630" s="2" t="str">
        <f t="shared" si="39"/>
        <v>Week 15-2025</v>
      </c>
      <c r="O630"/>
      <c r="Q630"/>
    </row>
    <row r="631" spans="1:17" hidden="1" x14ac:dyDescent="0.2">
      <c r="A631" s="3">
        <v>45759</v>
      </c>
      <c r="B631" s="2" t="s">
        <v>31</v>
      </c>
      <c r="C631" s="2">
        <v>2</v>
      </c>
      <c r="D631" s="2">
        <f t="shared" si="36"/>
        <v>2025</v>
      </c>
      <c r="E631" s="2" t="str">
        <f t="shared" si="37"/>
        <v>2025-15</v>
      </c>
      <c r="F631" s="2" t="str">
        <f t="shared" si="38"/>
        <v>Week 15</v>
      </c>
      <c r="G631" s="2" t="str">
        <f t="shared" si="39"/>
        <v>Week 15-2025</v>
      </c>
      <c r="O631"/>
      <c r="Q631"/>
    </row>
    <row r="632" spans="1:17" hidden="1" x14ac:dyDescent="0.2">
      <c r="A632" s="3">
        <v>45759</v>
      </c>
      <c r="B632" s="2" t="s">
        <v>14</v>
      </c>
      <c r="C632" s="2">
        <v>2</v>
      </c>
      <c r="D632" s="2">
        <f t="shared" si="36"/>
        <v>2025</v>
      </c>
      <c r="E632" s="2" t="str">
        <f t="shared" si="37"/>
        <v>2025-15</v>
      </c>
      <c r="F632" s="2" t="str">
        <f t="shared" si="38"/>
        <v>Week 15</v>
      </c>
      <c r="G632" s="2" t="str">
        <f t="shared" si="39"/>
        <v>Week 15-2025</v>
      </c>
      <c r="O632"/>
      <c r="Q632"/>
    </row>
    <row r="633" spans="1:17" hidden="1" x14ac:dyDescent="0.2">
      <c r="A633" s="3">
        <v>45759</v>
      </c>
      <c r="B633" s="2" t="s">
        <v>38</v>
      </c>
      <c r="C633" s="2">
        <v>1</v>
      </c>
      <c r="D633" s="2">
        <f t="shared" si="36"/>
        <v>2025</v>
      </c>
      <c r="E633" s="2" t="str">
        <f t="shared" si="37"/>
        <v>2025-15</v>
      </c>
      <c r="F633" s="2" t="str">
        <f t="shared" si="38"/>
        <v>Week 15</v>
      </c>
      <c r="G633" s="2" t="str">
        <f t="shared" si="39"/>
        <v>Week 15-2025</v>
      </c>
      <c r="O633"/>
      <c r="Q633"/>
    </row>
    <row r="634" spans="1:17" hidden="1" x14ac:dyDescent="0.2">
      <c r="A634" s="3">
        <v>45761</v>
      </c>
      <c r="B634" s="2" t="s">
        <v>3</v>
      </c>
      <c r="C634" s="2">
        <v>50</v>
      </c>
      <c r="D634" s="2">
        <f t="shared" si="36"/>
        <v>2025</v>
      </c>
      <c r="E634" s="2" t="str">
        <f t="shared" si="37"/>
        <v>2025-16</v>
      </c>
      <c r="F634" s="2" t="str">
        <f t="shared" si="38"/>
        <v>Week 16</v>
      </c>
      <c r="G634" s="2" t="str">
        <f t="shared" si="39"/>
        <v>Week 16-2025</v>
      </c>
      <c r="O634"/>
      <c r="Q634"/>
    </row>
    <row r="635" spans="1:17" hidden="1" x14ac:dyDescent="0.2">
      <c r="A635" s="3">
        <v>45761</v>
      </c>
      <c r="B635" s="2" t="s">
        <v>7</v>
      </c>
      <c r="C635" s="2">
        <v>22</v>
      </c>
      <c r="D635" s="2">
        <f t="shared" si="36"/>
        <v>2025</v>
      </c>
      <c r="E635" s="2" t="str">
        <f t="shared" si="37"/>
        <v>2025-16</v>
      </c>
      <c r="F635" s="2" t="str">
        <f t="shared" si="38"/>
        <v>Week 16</v>
      </c>
      <c r="G635" s="2" t="str">
        <f t="shared" si="39"/>
        <v>Week 16-2025</v>
      </c>
      <c r="O635"/>
      <c r="Q635"/>
    </row>
    <row r="636" spans="1:17" hidden="1" x14ac:dyDescent="0.2">
      <c r="A636" s="3">
        <v>45761</v>
      </c>
      <c r="B636" s="2" t="s">
        <v>14</v>
      </c>
      <c r="C636" s="2">
        <v>30</v>
      </c>
      <c r="D636" s="2">
        <f t="shared" si="36"/>
        <v>2025</v>
      </c>
      <c r="E636" s="2" t="str">
        <f t="shared" si="37"/>
        <v>2025-16</v>
      </c>
      <c r="F636" s="2" t="str">
        <f t="shared" si="38"/>
        <v>Week 16</v>
      </c>
      <c r="G636" s="2" t="str">
        <f t="shared" si="39"/>
        <v>Week 16-2025</v>
      </c>
      <c r="O636"/>
      <c r="Q636"/>
    </row>
    <row r="637" spans="1:17" hidden="1" x14ac:dyDescent="0.2">
      <c r="A637" s="3">
        <v>45761</v>
      </c>
      <c r="B637" s="2" t="s">
        <v>27</v>
      </c>
      <c r="C637" s="2">
        <v>27</v>
      </c>
      <c r="D637" s="2">
        <f t="shared" si="36"/>
        <v>2025</v>
      </c>
      <c r="E637" s="2" t="str">
        <f t="shared" si="37"/>
        <v>2025-16</v>
      </c>
      <c r="F637" s="2" t="str">
        <f t="shared" si="38"/>
        <v>Week 16</v>
      </c>
      <c r="G637" s="2" t="str">
        <f t="shared" si="39"/>
        <v>Week 16-2025</v>
      </c>
      <c r="O637"/>
      <c r="Q637"/>
    </row>
    <row r="638" spans="1:17" hidden="1" x14ac:dyDescent="0.2">
      <c r="A638" s="3">
        <v>45761</v>
      </c>
      <c r="B638" s="2" t="s">
        <v>6</v>
      </c>
      <c r="C638" s="2">
        <v>5</v>
      </c>
      <c r="D638" s="2">
        <f t="shared" si="36"/>
        <v>2025</v>
      </c>
      <c r="E638" s="2" t="str">
        <f t="shared" si="37"/>
        <v>2025-16</v>
      </c>
      <c r="F638" s="2" t="str">
        <f t="shared" si="38"/>
        <v>Week 16</v>
      </c>
      <c r="G638" s="2" t="str">
        <f t="shared" si="39"/>
        <v>Week 16-2025</v>
      </c>
      <c r="O638"/>
      <c r="Q638"/>
    </row>
    <row r="639" spans="1:17" hidden="1" x14ac:dyDescent="0.2">
      <c r="A639" s="3">
        <v>45761</v>
      </c>
      <c r="B639" s="2" t="s">
        <v>6</v>
      </c>
      <c r="C639" s="2">
        <v>4</v>
      </c>
      <c r="D639" s="2">
        <f t="shared" si="36"/>
        <v>2025</v>
      </c>
      <c r="E639" s="2" t="str">
        <f t="shared" si="37"/>
        <v>2025-16</v>
      </c>
      <c r="F639" s="2" t="str">
        <f t="shared" si="38"/>
        <v>Week 16</v>
      </c>
      <c r="G639" s="2" t="str">
        <f t="shared" si="39"/>
        <v>Week 16-2025</v>
      </c>
      <c r="O639"/>
      <c r="Q639"/>
    </row>
    <row r="640" spans="1:17" hidden="1" x14ac:dyDescent="0.2">
      <c r="A640" s="3">
        <v>45761</v>
      </c>
      <c r="B640" s="2" t="s">
        <v>11</v>
      </c>
      <c r="C640" s="2">
        <v>2</v>
      </c>
      <c r="D640" s="2">
        <f t="shared" si="36"/>
        <v>2025</v>
      </c>
      <c r="E640" s="2" t="str">
        <f t="shared" si="37"/>
        <v>2025-16</v>
      </c>
      <c r="F640" s="2" t="str">
        <f t="shared" si="38"/>
        <v>Week 16</v>
      </c>
      <c r="G640" s="2" t="str">
        <f t="shared" si="39"/>
        <v>Week 16-2025</v>
      </c>
      <c r="O640"/>
      <c r="Q640"/>
    </row>
    <row r="641" spans="1:17" hidden="1" x14ac:dyDescent="0.2">
      <c r="A641" s="3">
        <v>45761</v>
      </c>
      <c r="B641" s="2" t="s">
        <v>27</v>
      </c>
      <c r="C641" s="2">
        <v>3</v>
      </c>
      <c r="D641" s="2">
        <f t="shared" si="36"/>
        <v>2025</v>
      </c>
      <c r="E641" s="2" t="str">
        <f t="shared" si="37"/>
        <v>2025-16</v>
      </c>
      <c r="F641" s="2" t="str">
        <f t="shared" si="38"/>
        <v>Week 16</v>
      </c>
      <c r="G641" s="2" t="str">
        <f t="shared" si="39"/>
        <v>Week 16-2025</v>
      </c>
      <c r="O641"/>
      <c r="Q641"/>
    </row>
    <row r="642" spans="1:17" hidden="1" x14ac:dyDescent="0.2">
      <c r="A642" s="3">
        <v>45762</v>
      </c>
      <c r="B642" s="2" t="s">
        <v>5</v>
      </c>
      <c r="C642" s="2">
        <v>13</v>
      </c>
      <c r="D642" s="2">
        <f t="shared" ref="D642:D705" si="40">YEAR(A642)</f>
        <v>2025</v>
      </c>
      <c r="E642" s="2" t="str">
        <f t="shared" ref="E642:E705" si="41">YEAR(A642)&amp;"-"&amp;_xlfn.ISOWEEKNUM(A642)</f>
        <v>2025-16</v>
      </c>
      <c r="F642" s="2" t="str">
        <f t="shared" ref="F642:F705" si="42">_xlfn.CONCAT("Week "&amp;WEEKNUM(A642))</f>
        <v>Week 16</v>
      </c>
      <c r="G642" s="2" t="str">
        <f t="shared" ref="G642:G705" si="43">_xlfn.CONCAT(F642,"-",D642)</f>
        <v>Week 16-2025</v>
      </c>
      <c r="O642"/>
      <c r="Q642"/>
    </row>
    <row r="643" spans="1:17" hidden="1" x14ac:dyDescent="0.2">
      <c r="A643" s="3">
        <v>45762</v>
      </c>
      <c r="B643" s="2" t="s">
        <v>9</v>
      </c>
      <c r="C643" s="2">
        <v>9</v>
      </c>
      <c r="D643" s="2">
        <f t="shared" si="40"/>
        <v>2025</v>
      </c>
      <c r="E643" s="2" t="str">
        <f t="shared" si="41"/>
        <v>2025-16</v>
      </c>
      <c r="F643" s="2" t="str">
        <f t="shared" si="42"/>
        <v>Week 16</v>
      </c>
      <c r="G643" s="2" t="str">
        <f t="shared" si="43"/>
        <v>Week 16-2025</v>
      </c>
      <c r="O643"/>
      <c r="Q643"/>
    </row>
    <row r="644" spans="1:17" hidden="1" x14ac:dyDescent="0.2">
      <c r="A644" s="3">
        <v>45762</v>
      </c>
      <c r="B644" s="2" t="s">
        <v>3</v>
      </c>
      <c r="C644" s="2">
        <v>10</v>
      </c>
      <c r="D644" s="2">
        <f t="shared" si="40"/>
        <v>2025</v>
      </c>
      <c r="E644" s="2" t="str">
        <f t="shared" si="41"/>
        <v>2025-16</v>
      </c>
      <c r="F644" s="2" t="str">
        <f t="shared" si="42"/>
        <v>Week 16</v>
      </c>
      <c r="G644" s="2" t="str">
        <f t="shared" si="43"/>
        <v>Week 16-2025</v>
      </c>
      <c r="O644"/>
      <c r="Q644"/>
    </row>
    <row r="645" spans="1:17" hidden="1" x14ac:dyDescent="0.2">
      <c r="A645" s="3">
        <v>45762</v>
      </c>
      <c r="B645" s="2" t="s">
        <v>4</v>
      </c>
      <c r="C645" s="2">
        <v>8</v>
      </c>
      <c r="D645" s="2">
        <f t="shared" si="40"/>
        <v>2025</v>
      </c>
      <c r="E645" s="2" t="str">
        <f t="shared" si="41"/>
        <v>2025-16</v>
      </c>
      <c r="F645" s="2" t="str">
        <f t="shared" si="42"/>
        <v>Week 16</v>
      </c>
      <c r="G645" s="2" t="str">
        <f t="shared" si="43"/>
        <v>Week 16-2025</v>
      </c>
      <c r="O645"/>
      <c r="Q645"/>
    </row>
    <row r="646" spans="1:17" hidden="1" x14ac:dyDescent="0.2">
      <c r="A646" s="3">
        <v>45762</v>
      </c>
      <c r="B646" s="2" t="s">
        <v>7</v>
      </c>
      <c r="C646" s="2">
        <v>6</v>
      </c>
      <c r="D646" s="2">
        <f t="shared" si="40"/>
        <v>2025</v>
      </c>
      <c r="E646" s="2" t="str">
        <f t="shared" si="41"/>
        <v>2025-16</v>
      </c>
      <c r="F646" s="2" t="str">
        <f t="shared" si="42"/>
        <v>Week 16</v>
      </c>
      <c r="G646" s="2" t="str">
        <f t="shared" si="43"/>
        <v>Week 16-2025</v>
      </c>
      <c r="O646"/>
      <c r="Q646"/>
    </row>
    <row r="647" spans="1:17" hidden="1" x14ac:dyDescent="0.2">
      <c r="A647" s="3">
        <v>45762</v>
      </c>
      <c r="B647" s="2" t="s">
        <v>14</v>
      </c>
      <c r="C647" s="2">
        <v>12</v>
      </c>
      <c r="D647" s="2">
        <f t="shared" si="40"/>
        <v>2025</v>
      </c>
      <c r="E647" s="2" t="str">
        <f t="shared" si="41"/>
        <v>2025-16</v>
      </c>
      <c r="F647" s="2" t="str">
        <f t="shared" si="42"/>
        <v>Week 16</v>
      </c>
      <c r="G647" s="2" t="str">
        <f t="shared" si="43"/>
        <v>Week 16-2025</v>
      </c>
      <c r="O647"/>
      <c r="Q647"/>
    </row>
    <row r="648" spans="1:17" hidden="1" x14ac:dyDescent="0.2">
      <c r="A648" s="3">
        <v>45762</v>
      </c>
      <c r="B648" s="2" t="s">
        <v>5</v>
      </c>
      <c r="C648" s="2">
        <v>8</v>
      </c>
      <c r="D648" s="2">
        <f t="shared" si="40"/>
        <v>2025</v>
      </c>
      <c r="E648" s="2" t="str">
        <f t="shared" si="41"/>
        <v>2025-16</v>
      </c>
      <c r="F648" s="2" t="str">
        <f t="shared" si="42"/>
        <v>Week 16</v>
      </c>
      <c r="G648" s="2" t="str">
        <f t="shared" si="43"/>
        <v>Week 16-2025</v>
      </c>
      <c r="O648"/>
      <c r="Q648"/>
    </row>
    <row r="649" spans="1:17" hidden="1" x14ac:dyDescent="0.2">
      <c r="A649" s="3">
        <v>45762</v>
      </c>
      <c r="B649" s="2" t="s">
        <v>9</v>
      </c>
      <c r="C649" s="2">
        <v>4</v>
      </c>
      <c r="D649" s="2">
        <f t="shared" si="40"/>
        <v>2025</v>
      </c>
      <c r="E649" s="2" t="str">
        <f t="shared" si="41"/>
        <v>2025-16</v>
      </c>
      <c r="F649" s="2" t="str">
        <f t="shared" si="42"/>
        <v>Week 16</v>
      </c>
      <c r="G649" s="2" t="str">
        <f t="shared" si="43"/>
        <v>Week 16-2025</v>
      </c>
      <c r="O649"/>
      <c r="Q649"/>
    </row>
    <row r="650" spans="1:17" hidden="1" x14ac:dyDescent="0.2">
      <c r="A650" s="3">
        <v>45762</v>
      </c>
      <c r="B650" s="2" t="s">
        <v>9</v>
      </c>
      <c r="C650" s="2">
        <v>4</v>
      </c>
      <c r="D650" s="2">
        <f t="shared" si="40"/>
        <v>2025</v>
      </c>
      <c r="E650" s="2" t="str">
        <f t="shared" si="41"/>
        <v>2025-16</v>
      </c>
      <c r="F650" s="2" t="str">
        <f t="shared" si="42"/>
        <v>Week 16</v>
      </c>
      <c r="G650" s="2" t="str">
        <f t="shared" si="43"/>
        <v>Week 16-2025</v>
      </c>
      <c r="O650"/>
      <c r="Q650"/>
    </row>
    <row r="651" spans="1:17" hidden="1" x14ac:dyDescent="0.2">
      <c r="A651" s="3">
        <v>45762</v>
      </c>
      <c r="B651" s="2" t="s">
        <v>3</v>
      </c>
      <c r="C651" s="2">
        <v>4</v>
      </c>
      <c r="D651" s="2">
        <f t="shared" si="40"/>
        <v>2025</v>
      </c>
      <c r="E651" s="2" t="str">
        <f t="shared" si="41"/>
        <v>2025-16</v>
      </c>
      <c r="F651" s="2" t="str">
        <f t="shared" si="42"/>
        <v>Week 16</v>
      </c>
      <c r="G651" s="2" t="str">
        <f t="shared" si="43"/>
        <v>Week 16-2025</v>
      </c>
      <c r="O651"/>
      <c r="Q651"/>
    </row>
    <row r="652" spans="1:17" hidden="1" x14ac:dyDescent="0.2">
      <c r="A652" s="3">
        <v>45762</v>
      </c>
      <c r="B652" s="2" t="s">
        <v>5</v>
      </c>
      <c r="C652" s="2">
        <v>4</v>
      </c>
      <c r="D652" s="2">
        <f t="shared" si="40"/>
        <v>2025</v>
      </c>
      <c r="E652" s="2" t="str">
        <f t="shared" si="41"/>
        <v>2025-16</v>
      </c>
      <c r="F652" s="2" t="str">
        <f t="shared" si="42"/>
        <v>Week 16</v>
      </c>
      <c r="G652" s="2" t="str">
        <f t="shared" si="43"/>
        <v>Week 16-2025</v>
      </c>
      <c r="O652"/>
      <c r="Q652"/>
    </row>
    <row r="653" spans="1:17" hidden="1" x14ac:dyDescent="0.2">
      <c r="A653" s="3">
        <v>45762</v>
      </c>
      <c r="B653" s="2" t="s">
        <v>40</v>
      </c>
      <c r="C653" s="2">
        <v>4</v>
      </c>
      <c r="D653" s="2">
        <f t="shared" si="40"/>
        <v>2025</v>
      </c>
      <c r="E653" s="2" t="str">
        <f t="shared" si="41"/>
        <v>2025-16</v>
      </c>
      <c r="F653" s="2" t="str">
        <f t="shared" si="42"/>
        <v>Week 16</v>
      </c>
      <c r="G653" s="2" t="str">
        <f t="shared" si="43"/>
        <v>Week 16-2025</v>
      </c>
      <c r="O653"/>
      <c r="Q653"/>
    </row>
    <row r="654" spans="1:17" hidden="1" x14ac:dyDescent="0.2">
      <c r="A654" s="3">
        <v>45762</v>
      </c>
      <c r="B654" s="2" t="s">
        <v>19</v>
      </c>
      <c r="C654" s="2">
        <v>2</v>
      </c>
      <c r="D654" s="2">
        <f t="shared" si="40"/>
        <v>2025</v>
      </c>
      <c r="E654" s="2" t="str">
        <f t="shared" si="41"/>
        <v>2025-16</v>
      </c>
      <c r="F654" s="2" t="str">
        <f t="shared" si="42"/>
        <v>Week 16</v>
      </c>
      <c r="G654" s="2" t="str">
        <f t="shared" si="43"/>
        <v>Week 16-2025</v>
      </c>
      <c r="O654"/>
      <c r="Q654"/>
    </row>
    <row r="655" spans="1:17" hidden="1" x14ac:dyDescent="0.2">
      <c r="A655" s="3">
        <v>45762</v>
      </c>
      <c r="B655" s="2" t="s">
        <v>7</v>
      </c>
      <c r="C655" s="2">
        <v>2</v>
      </c>
      <c r="D655" s="2">
        <f t="shared" si="40"/>
        <v>2025</v>
      </c>
      <c r="E655" s="2" t="str">
        <f t="shared" si="41"/>
        <v>2025-16</v>
      </c>
      <c r="F655" s="2" t="str">
        <f t="shared" si="42"/>
        <v>Week 16</v>
      </c>
      <c r="G655" s="2" t="str">
        <f t="shared" si="43"/>
        <v>Week 16-2025</v>
      </c>
      <c r="O655"/>
      <c r="Q655"/>
    </row>
    <row r="656" spans="1:17" hidden="1" x14ac:dyDescent="0.2">
      <c r="A656" s="3">
        <v>45762</v>
      </c>
      <c r="B656" s="2" t="s">
        <v>14</v>
      </c>
      <c r="C656" s="2">
        <v>4</v>
      </c>
      <c r="D656" s="2">
        <f t="shared" si="40"/>
        <v>2025</v>
      </c>
      <c r="E656" s="2" t="str">
        <f t="shared" si="41"/>
        <v>2025-16</v>
      </c>
      <c r="F656" s="2" t="str">
        <f t="shared" si="42"/>
        <v>Week 16</v>
      </c>
      <c r="G656" s="2" t="str">
        <f t="shared" si="43"/>
        <v>Week 16-2025</v>
      </c>
      <c r="O656"/>
      <c r="Q656"/>
    </row>
    <row r="657" spans="1:17" hidden="1" x14ac:dyDescent="0.2">
      <c r="A657" s="3">
        <v>45762</v>
      </c>
      <c r="B657" s="2" t="s">
        <v>8</v>
      </c>
      <c r="C657" s="2">
        <v>4</v>
      </c>
      <c r="D657" s="2">
        <f t="shared" si="40"/>
        <v>2025</v>
      </c>
      <c r="E657" s="2" t="str">
        <f t="shared" si="41"/>
        <v>2025-16</v>
      </c>
      <c r="F657" s="2" t="str">
        <f t="shared" si="42"/>
        <v>Week 16</v>
      </c>
      <c r="G657" s="2" t="str">
        <f t="shared" si="43"/>
        <v>Week 16-2025</v>
      </c>
      <c r="O657"/>
      <c r="Q657"/>
    </row>
    <row r="658" spans="1:17" hidden="1" x14ac:dyDescent="0.2">
      <c r="A658" s="3">
        <v>45762</v>
      </c>
      <c r="B658" s="2" t="s">
        <v>3</v>
      </c>
      <c r="C658" s="2">
        <v>1</v>
      </c>
      <c r="D658" s="2">
        <f t="shared" si="40"/>
        <v>2025</v>
      </c>
      <c r="E658" s="2" t="str">
        <f t="shared" si="41"/>
        <v>2025-16</v>
      </c>
      <c r="F658" s="2" t="str">
        <f t="shared" si="42"/>
        <v>Week 16</v>
      </c>
      <c r="G658" s="2" t="str">
        <f t="shared" si="43"/>
        <v>Week 16-2025</v>
      </c>
      <c r="O658"/>
      <c r="Q658"/>
    </row>
    <row r="659" spans="1:17" hidden="1" x14ac:dyDescent="0.2">
      <c r="A659" s="3">
        <v>45762</v>
      </c>
      <c r="B659" s="2" t="s">
        <v>3</v>
      </c>
      <c r="C659" s="2">
        <v>1</v>
      </c>
      <c r="D659" s="2">
        <f t="shared" si="40"/>
        <v>2025</v>
      </c>
      <c r="E659" s="2" t="str">
        <f t="shared" si="41"/>
        <v>2025-16</v>
      </c>
      <c r="F659" s="2" t="str">
        <f t="shared" si="42"/>
        <v>Week 16</v>
      </c>
      <c r="G659" s="2" t="str">
        <f t="shared" si="43"/>
        <v>Week 16-2025</v>
      </c>
      <c r="O659"/>
      <c r="Q659"/>
    </row>
    <row r="660" spans="1:17" hidden="1" x14ac:dyDescent="0.2">
      <c r="A660" s="3">
        <v>45769</v>
      </c>
      <c r="B660" s="2" t="s">
        <v>6</v>
      </c>
      <c r="C660" s="2">
        <v>40</v>
      </c>
      <c r="D660" s="2">
        <f t="shared" si="40"/>
        <v>2025</v>
      </c>
      <c r="E660" s="2" t="str">
        <f t="shared" si="41"/>
        <v>2025-17</v>
      </c>
      <c r="F660" s="2" t="str">
        <f t="shared" si="42"/>
        <v>Week 17</v>
      </c>
      <c r="G660" s="2" t="str">
        <f t="shared" si="43"/>
        <v>Week 17-2025</v>
      </c>
      <c r="O660"/>
      <c r="Q660"/>
    </row>
    <row r="661" spans="1:17" hidden="1" x14ac:dyDescent="0.2">
      <c r="A661" s="3">
        <v>45769</v>
      </c>
      <c r="B661" s="2" t="s">
        <v>4</v>
      </c>
      <c r="C661" s="2">
        <v>19</v>
      </c>
      <c r="D661" s="2">
        <f t="shared" si="40"/>
        <v>2025</v>
      </c>
      <c r="E661" s="2" t="str">
        <f t="shared" si="41"/>
        <v>2025-17</v>
      </c>
      <c r="F661" s="2" t="str">
        <f t="shared" si="42"/>
        <v>Week 17</v>
      </c>
      <c r="G661" s="2" t="str">
        <f t="shared" si="43"/>
        <v>Week 17-2025</v>
      </c>
      <c r="O661"/>
      <c r="Q661"/>
    </row>
    <row r="662" spans="1:17" hidden="1" x14ac:dyDescent="0.2">
      <c r="A662" s="3">
        <v>45769</v>
      </c>
      <c r="B662" s="2" t="s">
        <v>7</v>
      </c>
      <c r="C662" s="2">
        <v>16</v>
      </c>
      <c r="D662" s="2">
        <f t="shared" si="40"/>
        <v>2025</v>
      </c>
      <c r="E662" s="2" t="str">
        <f t="shared" si="41"/>
        <v>2025-17</v>
      </c>
      <c r="F662" s="2" t="str">
        <f t="shared" si="42"/>
        <v>Week 17</v>
      </c>
      <c r="G662" s="2" t="str">
        <f t="shared" si="43"/>
        <v>Week 17-2025</v>
      </c>
      <c r="O662"/>
      <c r="Q662"/>
    </row>
    <row r="663" spans="1:17" hidden="1" x14ac:dyDescent="0.2">
      <c r="A663" s="3">
        <v>45769</v>
      </c>
      <c r="B663" s="2" t="s">
        <v>9</v>
      </c>
      <c r="C663" s="2">
        <v>18</v>
      </c>
      <c r="D663" s="2">
        <f t="shared" si="40"/>
        <v>2025</v>
      </c>
      <c r="E663" s="2" t="str">
        <f t="shared" si="41"/>
        <v>2025-17</v>
      </c>
      <c r="F663" s="2" t="str">
        <f t="shared" si="42"/>
        <v>Week 17</v>
      </c>
      <c r="G663" s="2" t="str">
        <f t="shared" si="43"/>
        <v>Week 17-2025</v>
      </c>
      <c r="O663"/>
      <c r="Q663"/>
    </row>
    <row r="664" spans="1:17" hidden="1" x14ac:dyDescent="0.2">
      <c r="A664" s="3">
        <v>45769</v>
      </c>
      <c r="B664" s="2" t="s">
        <v>4</v>
      </c>
      <c r="C664" s="2">
        <v>13</v>
      </c>
      <c r="D664" s="2">
        <f t="shared" si="40"/>
        <v>2025</v>
      </c>
      <c r="E664" s="2" t="str">
        <f t="shared" si="41"/>
        <v>2025-17</v>
      </c>
      <c r="F664" s="2" t="str">
        <f t="shared" si="42"/>
        <v>Week 17</v>
      </c>
      <c r="G664" s="2" t="str">
        <f t="shared" si="43"/>
        <v>Week 17-2025</v>
      </c>
      <c r="O664"/>
      <c r="Q664"/>
    </row>
    <row r="665" spans="1:17" hidden="1" x14ac:dyDescent="0.2">
      <c r="A665" s="3">
        <v>45769</v>
      </c>
      <c r="B665" s="2" t="s">
        <v>5</v>
      </c>
      <c r="C665" s="2">
        <v>18</v>
      </c>
      <c r="D665" s="2">
        <f t="shared" si="40"/>
        <v>2025</v>
      </c>
      <c r="E665" s="2" t="str">
        <f t="shared" si="41"/>
        <v>2025-17</v>
      </c>
      <c r="F665" s="2" t="str">
        <f t="shared" si="42"/>
        <v>Week 17</v>
      </c>
      <c r="G665" s="2" t="str">
        <f t="shared" si="43"/>
        <v>Week 17-2025</v>
      </c>
      <c r="O665"/>
      <c r="Q665"/>
    </row>
    <row r="666" spans="1:17" hidden="1" x14ac:dyDescent="0.2">
      <c r="A666" s="3">
        <v>45769</v>
      </c>
      <c r="B666" s="2" t="s">
        <v>12</v>
      </c>
      <c r="C666" s="2">
        <v>6</v>
      </c>
      <c r="D666" s="2">
        <f t="shared" si="40"/>
        <v>2025</v>
      </c>
      <c r="E666" s="2" t="str">
        <f t="shared" si="41"/>
        <v>2025-17</v>
      </c>
      <c r="F666" s="2" t="str">
        <f t="shared" si="42"/>
        <v>Week 17</v>
      </c>
      <c r="G666" s="2" t="str">
        <f t="shared" si="43"/>
        <v>Week 17-2025</v>
      </c>
      <c r="O666"/>
      <c r="Q666"/>
    </row>
    <row r="667" spans="1:17" hidden="1" x14ac:dyDescent="0.2">
      <c r="A667" s="3">
        <v>45769</v>
      </c>
      <c r="B667" s="2" t="s">
        <v>9</v>
      </c>
      <c r="C667" s="2">
        <v>4</v>
      </c>
      <c r="D667" s="2">
        <f t="shared" si="40"/>
        <v>2025</v>
      </c>
      <c r="E667" s="2" t="str">
        <f t="shared" si="41"/>
        <v>2025-17</v>
      </c>
      <c r="F667" s="2" t="str">
        <f t="shared" si="42"/>
        <v>Week 17</v>
      </c>
      <c r="G667" s="2" t="str">
        <f t="shared" si="43"/>
        <v>Week 17-2025</v>
      </c>
      <c r="O667"/>
      <c r="Q667"/>
    </row>
    <row r="668" spans="1:17" hidden="1" x14ac:dyDescent="0.2">
      <c r="A668" s="3">
        <v>45769</v>
      </c>
      <c r="B668" s="2" t="s">
        <v>12</v>
      </c>
      <c r="C668" s="2">
        <v>2</v>
      </c>
      <c r="D668" s="2">
        <f t="shared" si="40"/>
        <v>2025</v>
      </c>
      <c r="E668" s="2" t="str">
        <f t="shared" si="41"/>
        <v>2025-17</v>
      </c>
      <c r="F668" s="2" t="str">
        <f t="shared" si="42"/>
        <v>Week 17</v>
      </c>
      <c r="G668" s="2" t="str">
        <f t="shared" si="43"/>
        <v>Week 17-2025</v>
      </c>
      <c r="O668"/>
      <c r="Q668"/>
    </row>
    <row r="669" spans="1:17" hidden="1" x14ac:dyDescent="0.2">
      <c r="A669" s="3">
        <v>45770</v>
      </c>
      <c r="B669" s="2" t="s">
        <v>18</v>
      </c>
      <c r="C669" s="2">
        <v>2</v>
      </c>
      <c r="D669" s="2">
        <f t="shared" si="40"/>
        <v>2025</v>
      </c>
      <c r="E669" s="2" t="str">
        <f t="shared" si="41"/>
        <v>2025-17</v>
      </c>
      <c r="F669" s="2" t="str">
        <f t="shared" si="42"/>
        <v>Week 17</v>
      </c>
      <c r="G669" s="2" t="str">
        <f t="shared" si="43"/>
        <v>Week 17-2025</v>
      </c>
      <c r="O669"/>
      <c r="Q669"/>
    </row>
    <row r="670" spans="1:17" hidden="1" x14ac:dyDescent="0.2">
      <c r="A670" s="3">
        <v>45770</v>
      </c>
      <c r="B670" s="2" t="s">
        <v>43</v>
      </c>
      <c r="C670" s="2">
        <v>2</v>
      </c>
      <c r="D670" s="2">
        <f t="shared" si="40"/>
        <v>2025</v>
      </c>
      <c r="E670" s="2" t="str">
        <f t="shared" si="41"/>
        <v>2025-17</v>
      </c>
      <c r="F670" s="2" t="str">
        <f t="shared" si="42"/>
        <v>Week 17</v>
      </c>
      <c r="G670" s="2" t="str">
        <f t="shared" si="43"/>
        <v>Week 17-2025</v>
      </c>
      <c r="O670"/>
      <c r="Q670"/>
    </row>
    <row r="671" spans="1:17" hidden="1" x14ac:dyDescent="0.2">
      <c r="A671" s="3">
        <v>45770</v>
      </c>
      <c r="B671" s="2" t="s">
        <v>48</v>
      </c>
      <c r="C671" s="2">
        <v>2</v>
      </c>
      <c r="D671" s="2">
        <f t="shared" si="40"/>
        <v>2025</v>
      </c>
      <c r="E671" s="2" t="str">
        <f t="shared" si="41"/>
        <v>2025-17</v>
      </c>
      <c r="F671" s="2" t="str">
        <f t="shared" si="42"/>
        <v>Week 17</v>
      </c>
      <c r="G671" s="2" t="str">
        <f t="shared" si="43"/>
        <v>Week 17-2025</v>
      </c>
      <c r="O671"/>
      <c r="Q671"/>
    </row>
    <row r="672" spans="1:17" hidden="1" x14ac:dyDescent="0.2">
      <c r="A672" s="3">
        <v>45771</v>
      </c>
      <c r="B672" s="2" t="s">
        <v>3</v>
      </c>
      <c r="C672" s="2">
        <v>8</v>
      </c>
      <c r="D672" s="2">
        <f t="shared" si="40"/>
        <v>2025</v>
      </c>
      <c r="E672" s="2" t="str">
        <f t="shared" si="41"/>
        <v>2025-17</v>
      </c>
      <c r="F672" s="2" t="str">
        <f t="shared" si="42"/>
        <v>Week 17</v>
      </c>
      <c r="G672" s="2" t="str">
        <f t="shared" si="43"/>
        <v>Week 17-2025</v>
      </c>
      <c r="O672"/>
      <c r="Q672"/>
    </row>
    <row r="673" spans="1:17" hidden="1" x14ac:dyDescent="0.2">
      <c r="A673" s="3">
        <v>45771</v>
      </c>
      <c r="B673" s="2" t="s">
        <v>13</v>
      </c>
      <c r="C673" s="2">
        <v>4</v>
      </c>
      <c r="D673" s="2">
        <f t="shared" si="40"/>
        <v>2025</v>
      </c>
      <c r="E673" s="2" t="str">
        <f t="shared" si="41"/>
        <v>2025-17</v>
      </c>
      <c r="F673" s="2" t="str">
        <f t="shared" si="42"/>
        <v>Week 17</v>
      </c>
      <c r="G673" s="2" t="str">
        <f t="shared" si="43"/>
        <v>Week 17-2025</v>
      </c>
      <c r="O673"/>
      <c r="Q673"/>
    </row>
    <row r="674" spans="1:17" hidden="1" x14ac:dyDescent="0.2">
      <c r="A674" s="3">
        <v>45771</v>
      </c>
      <c r="B674" s="2" t="s">
        <v>39</v>
      </c>
      <c r="C674" s="2">
        <v>4</v>
      </c>
      <c r="D674" s="2">
        <f t="shared" si="40"/>
        <v>2025</v>
      </c>
      <c r="E674" s="2" t="str">
        <f t="shared" si="41"/>
        <v>2025-17</v>
      </c>
      <c r="F674" s="2" t="str">
        <f t="shared" si="42"/>
        <v>Week 17</v>
      </c>
      <c r="G674" s="2" t="str">
        <f t="shared" si="43"/>
        <v>Week 17-2025</v>
      </c>
      <c r="O674"/>
      <c r="Q674"/>
    </row>
    <row r="675" spans="1:17" hidden="1" x14ac:dyDescent="0.2">
      <c r="A675" s="3">
        <v>45773</v>
      </c>
      <c r="B675" s="2" t="s">
        <v>6</v>
      </c>
      <c r="C675" s="2">
        <v>16</v>
      </c>
      <c r="D675" s="2">
        <f t="shared" si="40"/>
        <v>2025</v>
      </c>
      <c r="E675" s="2" t="str">
        <f t="shared" si="41"/>
        <v>2025-17</v>
      </c>
      <c r="F675" s="2" t="str">
        <f t="shared" si="42"/>
        <v>Week 17</v>
      </c>
      <c r="G675" s="2" t="str">
        <f t="shared" si="43"/>
        <v>Week 17-2025</v>
      </c>
      <c r="O675"/>
      <c r="Q675"/>
    </row>
    <row r="676" spans="1:17" hidden="1" x14ac:dyDescent="0.2">
      <c r="A676" s="3">
        <v>45773</v>
      </c>
      <c r="B676" s="2" t="s">
        <v>7</v>
      </c>
      <c r="C676" s="2">
        <v>15</v>
      </c>
      <c r="D676" s="2">
        <f t="shared" si="40"/>
        <v>2025</v>
      </c>
      <c r="E676" s="2" t="str">
        <f t="shared" si="41"/>
        <v>2025-17</v>
      </c>
      <c r="F676" s="2" t="str">
        <f t="shared" si="42"/>
        <v>Week 17</v>
      </c>
      <c r="G676" s="2" t="str">
        <f t="shared" si="43"/>
        <v>Week 17-2025</v>
      </c>
      <c r="O676"/>
      <c r="Q676"/>
    </row>
    <row r="677" spans="1:17" hidden="1" x14ac:dyDescent="0.2">
      <c r="A677" s="3">
        <v>45773</v>
      </c>
      <c r="B677" s="2" t="s">
        <v>7</v>
      </c>
      <c r="C677" s="2">
        <v>11</v>
      </c>
      <c r="D677" s="2">
        <f t="shared" si="40"/>
        <v>2025</v>
      </c>
      <c r="E677" s="2" t="str">
        <f t="shared" si="41"/>
        <v>2025-17</v>
      </c>
      <c r="F677" s="2" t="str">
        <f t="shared" si="42"/>
        <v>Week 17</v>
      </c>
      <c r="G677" s="2" t="str">
        <f t="shared" si="43"/>
        <v>Week 17-2025</v>
      </c>
      <c r="O677"/>
      <c r="Q677"/>
    </row>
    <row r="678" spans="1:17" hidden="1" x14ac:dyDescent="0.2">
      <c r="A678" s="3">
        <v>45773</v>
      </c>
      <c r="B678" s="2" t="s">
        <v>19</v>
      </c>
      <c r="C678" s="2">
        <v>10</v>
      </c>
      <c r="D678" s="2">
        <f t="shared" si="40"/>
        <v>2025</v>
      </c>
      <c r="E678" s="2" t="str">
        <f t="shared" si="41"/>
        <v>2025-17</v>
      </c>
      <c r="F678" s="2" t="str">
        <f t="shared" si="42"/>
        <v>Week 17</v>
      </c>
      <c r="G678" s="2" t="str">
        <f t="shared" si="43"/>
        <v>Week 17-2025</v>
      </c>
      <c r="O678"/>
      <c r="Q678"/>
    </row>
    <row r="679" spans="1:17" hidden="1" x14ac:dyDescent="0.2">
      <c r="A679" s="3">
        <v>45773</v>
      </c>
      <c r="B679" s="2" t="s">
        <v>9</v>
      </c>
      <c r="C679" s="2">
        <v>12</v>
      </c>
      <c r="D679" s="2">
        <f t="shared" si="40"/>
        <v>2025</v>
      </c>
      <c r="E679" s="2" t="str">
        <f t="shared" si="41"/>
        <v>2025-17</v>
      </c>
      <c r="F679" s="2" t="str">
        <f t="shared" si="42"/>
        <v>Week 17</v>
      </c>
      <c r="G679" s="2" t="str">
        <f t="shared" si="43"/>
        <v>Week 17-2025</v>
      </c>
      <c r="O679"/>
      <c r="Q679"/>
    </row>
    <row r="680" spans="1:17" hidden="1" x14ac:dyDescent="0.2">
      <c r="A680" s="3">
        <v>45773</v>
      </c>
      <c r="B680" s="2" t="s">
        <v>3</v>
      </c>
      <c r="C680" s="2">
        <v>12</v>
      </c>
      <c r="D680" s="2">
        <f t="shared" si="40"/>
        <v>2025</v>
      </c>
      <c r="E680" s="2" t="str">
        <f t="shared" si="41"/>
        <v>2025-17</v>
      </c>
      <c r="F680" s="2" t="str">
        <f t="shared" si="42"/>
        <v>Week 17</v>
      </c>
      <c r="G680" s="2" t="str">
        <f t="shared" si="43"/>
        <v>Week 17-2025</v>
      </c>
      <c r="O680"/>
      <c r="Q680"/>
    </row>
    <row r="681" spans="1:17" hidden="1" x14ac:dyDescent="0.2">
      <c r="A681" s="3">
        <v>45773</v>
      </c>
      <c r="B681" s="2" t="s">
        <v>3</v>
      </c>
      <c r="C681" s="2">
        <v>8</v>
      </c>
      <c r="D681" s="2">
        <f t="shared" si="40"/>
        <v>2025</v>
      </c>
      <c r="E681" s="2" t="str">
        <f t="shared" si="41"/>
        <v>2025-17</v>
      </c>
      <c r="F681" s="2" t="str">
        <f t="shared" si="42"/>
        <v>Week 17</v>
      </c>
      <c r="G681" s="2" t="str">
        <f t="shared" si="43"/>
        <v>Week 17-2025</v>
      </c>
      <c r="O681"/>
      <c r="Q681"/>
    </row>
    <row r="682" spans="1:17" hidden="1" x14ac:dyDescent="0.2">
      <c r="A682" s="3">
        <v>45773</v>
      </c>
      <c r="B682" s="2" t="s">
        <v>18</v>
      </c>
      <c r="C682" s="2">
        <v>5</v>
      </c>
      <c r="D682" s="2">
        <f t="shared" si="40"/>
        <v>2025</v>
      </c>
      <c r="E682" s="2" t="str">
        <f t="shared" si="41"/>
        <v>2025-17</v>
      </c>
      <c r="F682" s="2" t="str">
        <f t="shared" si="42"/>
        <v>Week 17</v>
      </c>
      <c r="G682" s="2" t="str">
        <f t="shared" si="43"/>
        <v>Week 17-2025</v>
      </c>
      <c r="O682"/>
      <c r="Q682"/>
    </row>
    <row r="683" spans="1:17" hidden="1" x14ac:dyDescent="0.2">
      <c r="A683" s="3">
        <v>45773</v>
      </c>
      <c r="B683" s="2" t="s">
        <v>4</v>
      </c>
      <c r="C683" s="2">
        <v>6</v>
      </c>
      <c r="D683" s="2">
        <f t="shared" si="40"/>
        <v>2025</v>
      </c>
      <c r="E683" s="2" t="str">
        <f t="shared" si="41"/>
        <v>2025-17</v>
      </c>
      <c r="F683" s="2" t="str">
        <f t="shared" si="42"/>
        <v>Week 17</v>
      </c>
      <c r="G683" s="2" t="str">
        <f t="shared" si="43"/>
        <v>Week 17-2025</v>
      </c>
      <c r="O683"/>
      <c r="Q683"/>
    </row>
    <row r="684" spans="1:17" hidden="1" x14ac:dyDescent="0.2">
      <c r="A684" s="3">
        <v>45773</v>
      </c>
      <c r="B684" s="2" t="s">
        <v>12</v>
      </c>
      <c r="C684" s="2">
        <v>4</v>
      </c>
      <c r="D684" s="2">
        <f t="shared" si="40"/>
        <v>2025</v>
      </c>
      <c r="E684" s="2" t="str">
        <f t="shared" si="41"/>
        <v>2025-17</v>
      </c>
      <c r="F684" s="2" t="str">
        <f t="shared" si="42"/>
        <v>Week 17</v>
      </c>
      <c r="G684" s="2" t="str">
        <f t="shared" si="43"/>
        <v>Week 17-2025</v>
      </c>
      <c r="O684"/>
      <c r="Q684"/>
    </row>
    <row r="685" spans="1:17" hidden="1" x14ac:dyDescent="0.2">
      <c r="A685" s="3">
        <v>45773</v>
      </c>
      <c r="B685" s="2" t="s">
        <v>23</v>
      </c>
      <c r="C685" s="2">
        <v>4</v>
      </c>
      <c r="D685" s="2">
        <f t="shared" si="40"/>
        <v>2025</v>
      </c>
      <c r="E685" s="2" t="str">
        <f t="shared" si="41"/>
        <v>2025-17</v>
      </c>
      <c r="F685" s="2" t="str">
        <f t="shared" si="42"/>
        <v>Week 17</v>
      </c>
      <c r="G685" s="2" t="str">
        <f t="shared" si="43"/>
        <v>Week 17-2025</v>
      </c>
      <c r="O685"/>
      <c r="Q685"/>
    </row>
    <row r="686" spans="1:17" hidden="1" x14ac:dyDescent="0.2">
      <c r="A686" s="3">
        <v>45773</v>
      </c>
      <c r="B686" s="2" t="s">
        <v>9</v>
      </c>
      <c r="C686" s="2">
        <v>5</v>
      </c>
      <c r="D686" s="2">
        <f t="shared" si="40"/>
        <v>2025</v>
      </c>
      <c r="E686" s="2" t="str">
        <f t="shared" si="41"/>
        <v>2025-17</v>
      </c>
      <c r="F686" s="2" t="str">
        <f t="shared" si="42"/>
        <v>Week 17</v>
      </c>
      <c r="G686" s="2" t="str">
        <f t="shared" si="43"/>
        <v>Week 17-2025</v>
      </c>
      <c r="O686"/>
      <c r="Q686"/>
    </row>
    <row r="687" spans="1:17" hidden="1" x14ac:dyDescent="0.2">
      <c r="A687" s="3">
        <v>45773</v>
      </c>
      <c r="B687" s="2" t="s">
        <v>7</v>
      </c>
      <c r="C687" s="2">
        <v>4</v>
      </c>
      <c r="D687" s="2">
        <f t="shared" si="40"/>
        <v>2025</v>
      </c>
      <c r="E687" s="2" t="str">
        <f t="shared" si="41"/>
        <v>2025-17</v>
      </c>
      <c r="F687" s="2" t="str">
        <f t="shared" si="42"/>
        <v>Week 17</v>
      </c>
      <c r="G687" s="2" t="str">
        <f t="shared" si="43"/>
        <v>Week 17-2025</v>
      </c>
      <c r="O687"/>
      <c r="Q687"/>
    </row>
    <row r="688" spans="1:17" hidden="1" x14ac:dyDescent="0.2">
      <c r="A688" s="3">
        <v>45773</v>
      </c>
      <c r="B688" s="2" t="s">
        <v>9</v>
      </c>
      <c r="C688" s="2">
        <v>4</v>
      </c>
      <c r="D688" s="2">
        <f t="shared" si="40"/>
        <v>2025</v>
      </c>
      <c r="E688" s="2" t="str">
        <f t="shared" si="41"/>
        <v>2025-17</v>
      </c>
      <c r="F688" s="2" t="str">
        <f t="shared" si="42"/>
        <v>Week 17</v>
      </c>
      <c r="G688" s="2" t="str">
        <f t="shared" si="43"/>
        <v>Week 17-2025</v>
      </c>
      <c r="O688"/>
      <c r="Q688"/>
    </row>
    <row r="689" spans="1:17" hidden="1" x14ac:dyDescent="0.2">
      <c r="A689" s="3">
        <v>45773</v>
      </c>
      <c r="B689" s="2" t="s">
        <v>14</v>
      </c>
      <c r="C689" s="2">
        <v>6</v>
      </c>
      <c r="D689" s="2">
        <f t="shared" si="40"/>
        <v>2025</v>
      </c>
      <c r="E689" s="2" t="str">
        <f t="shared" si="41"/>
        <v>2025-17</v>
      </c>
      <c r="F689" s="2" t="str">
        <f t="shared" si="42"/>
        <v>Week 17</v>
      </c>
      <c r="G689" s="2" t="str">
        <f t="shared" si="43"/>
        <v>Week 17-2025</v>
      </c>
      <c r="O689"/>
      <c r="Q689"/>
    </row>
    <row r="690" spans="1:17" hidden="1" x14ac:dyDescent="0.2">
      <c r="A690" s="3">
        <v>45773</v>
      </c>
      <c r="B690" s="2" t="s">
        <v>18</v>
      </c>
      <c r="C690" s="2">
        <v>2</v>
      </c>
      <c r="D690" s="2">
        <f t="shared" si="40"/>
        <v>2025</v>
      </c>
      <c r="E690" s="2" t="str">
        <f t="shared" si="41"/>
        <v>2025-17</v>
      </c>
      <c r="F690" s="2" t="str">
        <f t="shared" si="42"/>
        <v>Week 17</v>
      </c>
      <c r="G690" s="2" t="str">
        <f t="shared" si="43"/>
        <v>Week 17-2025</v>
      </c>
      <c r="O690"/>
      <c r="Q690"/>
    </row>
    <row r="691" spans="1:17" hidden="1" x14ac:dyDescent="0.2">
      <c r="A691" s="3">
        <v>45773</v>
      </c>
      <c r="B691" s="2" t="s">
        <v>9</v>
      </c>
      <c r="C691" s="2">
        <v>3</v>
      </c>
      <c r="D691" s="2">
        <f t="shared" si="40"/>
        <v>2025</v>
      </c>
      <c r="E691" s="2" t="str">
        <f t="shared" si="41"/>
        <v>2025-17</v>
      </c>
      <c r="F691" s="2" t="str">
        <f t="shared" si="42"/>
        <v>Week 17</v>
      </c>
      <c r="G691" s="2" t="str">
        <f t="shared" si="43"/>
        <v>Week 17-2025</v>
      </c>
      <c r="O691"/>
      <c r="Q691"/>
    </row>
    <row r="692" spans="1:17" hidden="1" x14ac:dyDescent="0.2">
      <c r="A692" s="3">
        <v>45773</v>
      </c>
      <c r="B692" s="2" t="s">
        <v>5</v>
      </c>
      <c r="C692" s="2">
        <v>4</v>
      </c>
      <c r="D692" s="2">
        <f t="shared" si="40"/>
        <v>2025</v>
      </c>
      <c r="E692" s="2" t="str">
        <f t="shared" si="41"/>
        <v>2025-17</v>
      </c>
      <c r="F692" s="2" t="str">
        <f t="shared" si="42"/>
        <v>Week 17</v>
      </c>
      <c r="G692" s="2" t="str">
        <f t="shared" si="43"/>
        <v>Week 17-2025</v>
      </c>
      <c r="O692"/>
      <c r="Q692"/>
    </row>
    <row r="693" spans="1:17" hidden="1" x14ac:dyDescent="0.2">
      <c r="A693" s="3">
        <v>45773</v>
      </c>
      <c r="B693" s="2" t="s">
        <v>9</v>
      </c>
      <c r="C693" s="2">
        <v>2</v>
      </c>
      <c r="D693" s="2">
        <f t="shared" si="40"/>
        <v>2025</v>
      </c>
      <c r="E693" s="2" t="str">
        <f t="shared" si="41"/>
        <v>2025-17</v>
      </c>
      <c r="F693" s="2" t="str">
        <f t="shared" si="42"/>
        <v>Week 17</v>
      </c>
      <c r="G693" s="2" t="str">
        <f t="shared" si="43"/>
        <v>Week 17-2025</v>
      </c>
      <c r="O693"/>
      <c r="Q693"/>
    </row>
    <row r="694" spans="1:17" hidden="1" x14ac:dyDescent="0.2">
      <c r="A694" s="3">
        <v>45773</v>
      </c>
      <c r="B694" s="2" t="s">
        <v>5</v>
      </c>
      <c r="C694" s="2">
        <v>2</v>
      </c>
      <c r="D694" s="2">
        <f t="shared" si="40"/>
        <v>2025</v>
      </c>
      <c r="E694" s="2" t="str">
        <f t="shared" si="41"/>
        <v>2025-17</v>
      </c>
      <c r="F694" s="2" t="str">
        <f t="shared" si="42"/>
        <v>Week 17</v>
      </c>
      <c r="G694" s="2" t="str">
        <f t="shared" si="43"/>
        <v>Week 17-2025</v>
      </c>
      <c r="O694"/>
      <c r="Q694"/>
    </row>
    <row r="695" spans="1:17" hidden="1" x14ac:dyDescent="0.2">
      <c r="A695" s="3">
        <v>45773</v>
      </c>
      <c r="B695" s="2" t="s">
        <v>18</v>
      </c>
      <c r="C695" s="2">
        <v>1</v>
      </c>
      <c r="D695" s="2">
        <f t="shared" si="40"/>
        <v>2025</v>
      </c>
      <c r="E695" s="2" t="str">
        <f t="shared" si="41"/>
        <v>2025-17</v>
      </c>
      <c r="F695" s="2" t="str">
        <f t="shared" si="42"/>
        <v>Week 17</v>
      </c>
      <c r="G695" s="2" t="str">
        <f t="shared" si="43"/>
        <v>Week 17-2025</v>
      </c>
      <c r="O695"/>
      <c r="Q695"/>
    </row>
    <row r="696" spans="1:17" hidden="1" x14ac:dyDescent="0.2">
      <c r="A696" s="3">
        <v>45773</v>
      </c>
      <c r="B696" s="2" t="s">
        <v>38</v>
      </c>
      <c r="C696" s="2">
        <v>2</v>
      </c>
      <c r="D696" s="2">
        <f t="shared" si="40"/>
        <v>2025</v>
      </c>
      <c r="E696" s="2" t="str">
        <f t="shared" si="41"/>
        <v>2025-17</v>
      </c>
      <c r="F696" s="2" t="str">
        <f t="shared" si="42"/>
        <v>Week 17</v>
      </c>
      <c r="G696" s="2" t="str">
        <f t="shared" si="43"/>
        <v>Week 17-2025</v>
      </c>
      <c r="O696"/>
      <c r="Q696"/>
    </row>
    <row r="697" spans="1:17" hidden="1" x14ac:dyDescent="0.2">
      <c r="A697" s="3">
        <v>45773</v>
      </c>
      <c r="B697" s="2" t="s">
        <v>5</v>
      </c>
      <c r="C697" s="2">
        <v>1</v>
      </c>
      <c r="D697" s="2">
        <f t="shared" si="40"/>
        <v>2025</v>
      </c>
      <c r="E697" s="2" t="str">
        <f t="shared" si="41"/>
        <v>2025-17</v>
      </c>
      <c r="F697" s="2" t="str">
        <f t="shared" si="42"/>
        <v>Week 17</v>
      </c>
      <c r="G697" s="2" t="str">
        <f t="shared" si="43"/>
        <v>Week 17-2025</v>
      </c>
      <c r="O697"/>
      <c r="Q697"/>
    </row>
    <row r="698" spans="1:17" hidden="1" x14ac:dyDescent="0.2">
      <c r="A698" s="3">
        <v>45774</v>
      </c>
      <c r="B698" s="2" t="s">
        <v>19</v>
      </c>
      <c r="C698" s="2">
        <v>4</v>
      </c>
      <c r="D698" s="2">
        <f t="shared" si="40"/>
        <v>2025</v>
      </c>
      <c r="E698" s="2" t="str">
        <f t="shared" si="41"/>
        <v>2025-17</v>
      </c>
      <c r="F698" s="2" t="str">
        <f t="shared" si="42"/>
        <v>Week 18</v>
      </c>
      <c r="G698" s="2" t="str">
        <f t="shared" si="43"/>
        <v>Week 18-2025</v>
      </c>
      <c r="O698"/>
      <c r="Q698"/>
    </row>
    <row r="699" spans="1:17" hidden="1" x14ac:dyDescent="0.2">
      <c r="A699" s="3">
        <v>45774</v>
      </c>
      <c r="B699" s="2" t="s">
        <v>27</v>
      </c>
      <c r="C699" s="2">
        <v>4</v>
      </c>
      <c r="D699" s="2">
        <f t="shared" si="40"/>
        <v>2025</v>
      </c>
      <c r="E699" s="2" t="str">
        <f t="shared" si="41"/>
        <v>2025-17</v>
      </c>
      <c r="F699" s="2" t="str">
        <f t="shared" si="42"/>
        <v>Week 18</v>
      </c>
      <c r="G699" s="2" t="str">
        <f t="shared" si="43"/>
        <v>Week 18-2025</v>
      </c>
      <c r="O699"/>
      <c r="Q699"/>
    </row>
    <row r="700" spans="1:17" hidden="1" x14ac:dyDescent="0.2">
      <c r="A700" s="3">
        <v>45776</v>
      </c>
      <c r="B700" s="2" t="s">
        <v>4</v>
      </c>
      <c r="C700" s="2">
        <v>6</v>
      </c>
      <c r="D700" s="2">
        <f t="shared" si="40"/>
        <v>2025</v>
      </c>
      <c r="E700" s="2" t="str">
        <f t="shared" si="41"/>
        <v>2025-18</v>
      </c>
      <c r="F700" s="2" t="str">
        <f t="shared" si="42"/>
        <v>Week 18</v>
      </c>
      <c r="G700" s="2" t="str">
        <f t="shared" si="43"/>
        <v>Week 18-2025</v>
      </c>
      <c r="O700"/>
      <c r="Q700"/>
    </row>
    <row r="701" spans="1:17" hidden="1" x14ac:dyDescent="0.2">
      <c r="A701" s="3">
        <v>45776</v>
      </c>
      <c r="B701" s="2" t="s">
        <v>10</v>
      </c>
      <c r="C701" s="2">
        <v>8</v>
      </c>
      <c r="D701" s="2">
        <f t="shared" si="40"/>
        <v>2025</v>
      </c>
      <c r="E701" s="2" t="str">
        <f t="shared" si="41"/>
        <v>2025-18</v>
      </c>
      <c r="F701" s="2" t="str">
        <f t="shared" si="42"/>
        <v>Week 18</v>
      </c>
      <c r="G701" s="2" t="str">
        <f t="shared" si="43"/>
        <v>Week 18-2025</v>
      </c>
      <c r="O701"/>
      <c r="Q701"/>
    </row>
    <row r="702" spans="1:17" hidden="1" x14ac:dyDescent="0.2">
      <c r="A702" s="3">
        <v>45776</v>
      </c>
      <c r="B702" s="2" t="s">
        <v>17</v>
      </c>
      <c r="C702" s="2">
        <v>6</v>
      </c>
      <c r="D702" s="2">
        <f t="shared" si="40"/>
        <v>2025</v>
      </c>
      <c r="E702" s="2" t="str">
        <f t="shared" si="41"/>
        <v>2025-18</v>
      </c>
      <c r="F702" s="2" t="str">
        <f t="shared" si="42"/>
        <v>Week 18</v>
      </c>
      <c r="G702" s="2" t="str">
        <f t="shared" si="43"/>
        <v>Week 18-2025</v>
      </c>
      <c r="O702"/>
      <c r="Q702"/>
    </row>
    <row r="703" spans="1:17" hidden="1" x14ac:dyDescent="0.2">
      <c r="A703" s="3">
        <v>45776</v>
      </c>
      <c r="B703" s="2" t="s">
        <v>14</v>
      </c>
      <c r="C703" s="2">
        <v>6</v>
      </c>
      <c r="D703" s="2">
        <f t="shared" si="40"/>
        <v>2025</v>
      </c>
      <c r="E703" s="2" t="str">
        <f t="shared" si="41"/>
        <v>2025-18</v>
      </c>
      <c r="F703" s="2" t="str">
        <f t="shared" si="42"/>
        <v>Week 18</v>
      </c>
      <c r="G703" s="2" t="str">
        <f t="shared" si="43"/>
        <v>Week 18-2025</v>
      </c>
      <c r="O703"/>
      <c r="Q703"/>
    </row>
    <row r="704" spans="1:17" hidden="1" x14ac:dyDescent="0.2">
      <c r="A704" s="3">
        <v>45776</v>
      </c>
      <c r="B704" s="2" t="s">
        <v>42</v>
      </c>
      <c r="C704" s="2">
        <v>8</v>
      </c>
      <c r="D704" s="2">
        <f t="shared" si="40"/>
        <v>2025</v>
      </c>
      <c r="E704" s="2" t="str">
        <f t="shared" si="41"/>
        <v>2025-18</v>
      </c>
      <c r="F704" s="2" t="str">
        <f t="shared" si="42"/>
        <v>Week 18</v>
      </c>
      <c r="G704" s="2" t="str">
        <f t="shared" si="43"/>
        <v>Week 18-2025</v>
      </c>
      <c r="O704"/>
      <c r="Q704"/>
    </row>
    <row r="705" spans="1:17" hidden="1" x14ac:dyDescent="0.2">
      <c r="A705" s="3">
        <v>45776</v>
      </c>
      <c r="B705" s="2" t="s">
        <v>27</v>
      </c>
      <c r="C705" s="2">
        <v>6</v>
      </c>
      <c r="D705" s="2">
        <f t="shared" si="40"/>
        <v>2025</v>
      </c>
      <c r="E705" s="2" t="str">
        <f t="shared" si="41"/>
        <v>2025-18</v>
      </c>
      <c r="F705" s="2" t="str">
        <f t="shared" si="42"/>
        <v>Week 18</v>
      </c>
      <c r="G705" s="2" t="str">
        <f t="shared" si="43"/>
        <v>Week 18-2025</v>
      </c>
      <c r="O705"/>
      <c r="Q705"/>
    </row>
    <row r="706" spans="1:17" hidden="1" x14ac:dyDescent="0.2">
      <c r="A706" s="3">
        <v>45776</v>
      </c>
      <c r="B706" s="2" t="s">
        <v>30</v>
      </c>
      <c r="C706" s="2">
        <v>4</v>
      </c>
      <c r="D706" s="2">
        <f t="shared" ref="D706:D769" si="44">YEAR(A706)</f>
        <v>2025</v>
      </c>
      <c r="E706" s="2" t="str">
        <f t="shared" ref="E706:E769" si="45">YEAR(A706)&amp;"-"&amp;_xlfn.ISOWEEKNUM(A706)</f>
        <v>2025-18</v>
      </c>
      <c r="F706" s="2" t="str">
        <f t="shared" ref="F706:F769" si="46">_xlfn.CONCAT("Week "&amp;WEEKNUM(A706))</f>
        <v>Week 18</v>
      </c>
      <c r="G706" s="2" t="str">
        <f t="shared" ref="G706:G769" si="47">_xlfn.CONCAT(F706,"-",D706)</f>
        <v>Week 18-2025</v>
      </c>
      <c r="O706"/>
      <c r="Q706"/>
    </row>
    <row r="707" spans="1:17" hidden="1" x14ac:dyDescent="0.2">
      <c r="A707" s="3">
        <v>45776</v>
      </c>
      <c r="B707" s="2" t="s">
        <v>14</v>
      </c>
      <c r="C707" s="2">
        <v>2</v>
      </c>
      <c r="D707" s="2">
        <f t="shared" si="44"/>
        <v>2025</v>
      </c>
      <c r="E707" s="2" t="str">
        <f t="shared" si="45"/>
        <v>2025-18</v>
      </c>
      <c r="F707" s="2" t="str">
        <f t="shared" si="46"/>
        <v>Week 18</v>
      </c>
      <c r="G707" s="2" t="str">
        <f t="shared" si="47"/>
        <v>Week 18-2025</v>
      </c>
      <c r="O707"/>
      <c r="Q707"/>
    </row>
    <row r="708" spans="1:17" hidden="1" x14ac:dyDescent="0.2">
      <c r="A708" s="3">
        <v>45779</v>
      </c>
      <c r="B708" s="2" t="s">
        <v>4</v>
      </c>
      <c r="C708" s="2">
        <v>15</v>
      </c>
      <c r="D708" s="2">
        <f t="shared" si="44"/>
        <v>2025</v>
      </c>
      <c r="E708" s="2" t="str">
        <f t="shared" si="45"/>
        <v>2025-18</v>
      </c>
      <c r="F708" s="2" t="str">
        <f t="shared" si="46"/>
        <v>Week 18</v>
      </c>
      <c r="G708" s="2" t="str">
        <f t="shared" si="47"/>
        <v>Week 18-2025</v>
      </c>
      <c r="O708"/>
      <c r="Q708"/>
    </row>
    <row r="709" spans="1:17" hidden="1" x14ac:dyDescent="0.2">
      <c r="A709" s="3">
        <v>45779</v>
      </c>
      <c r="B709" s="2" t="s">
        <v>3</v>
      </c>
      <c r="C709" s="2">
        <v>14</v>
      </c>
      <c r="D709" s="2">
        <f t="shared" si="44"/>
        <v>2025</v>
      </c>
      <c r="E709" s="2" t="str">
        <f t="shared" si="45"/>
        <v>2025-18</v>
      </c>
      <c r="F709" s="2" t="str">
        <f t="shared" si="46"/>
        <v>Week 18</v>
      </c>
      <c r="G709" s="2" t="str">
        <f t="shared" si="47"/>
        <v>Week 18-2025</v>
      </c>
      <c r="O709"/>
      <c r="Q709"/>
    </row>
    <row r="710" spans="1:17" hidden="1" x14ac:dyDescent="0.2">
      <c r="A710" s="3">
        <v>45779</v>
      </c>
      <c r="B710" s="2" t="s">
        <v>26</v>
      </c>
      <c r="C710" s="2">
        <v>8</v>
      </c>
      <c r="D710" s="2">
        <f t="shared" si="44"/>
        <v>2025</v>
      </c>
      <c r="E710" s="2" t="str">
        <f t="shared" si="45"/>
        <v>2025-18</v>
      </c>
      <c r="F710" s="2" t="str">
        <f t="shared" si="46"/>
        <v>Week 18</v>
      </c>
      <c r="G710" s="2" t="str">
        <f t="shared" si="47"/>
        <v>Week 18-2025</v>
      </c>
      <c r="O710"/>
      <c r="Q710"/>
    </row>
    <row r="711" spans="1:17" hidden="1" x14ac:dyDescent="0.2">
      <c r="A711" s="3">
        <v>45779</v>
      </c>
      <c r="B711" s="2" t="s">
        <v>31</v>
      </c>
      <c r="C711" s="2">
        <v>4</v>
      </c>
      <c r="D711" s="2">
        <f t="shared" si="44"/>
        <v>2025</v>
      </c>
      <c r="E711" s="2" t="str">
        <f t="shared" si="45"/>
        <v>2025-18</v>
      </c>
      <c r="F711" s="2" t="str">
        <f t="shared" si="46"/>
        <v>Week 18</v>
      </c>
      <c r="G711" s="2" t="str">
        <f t="shared" si="47"/>
        <v>Week 18-2025</v>
      </c>
      <c r="O711"/>
      <c r="Q711"/>
    </row>
    <row r="712" spans="1:17" hidden="1" x14ac:dyDescent="0.2">
      <c r="A712" s="3">
        <v>45779</v>
      </c>
      <c r="B712" s="2" t="s">
        <v>5</v>
      </c>
      <c r="C712" s="2">
        <v>2</v>
      </c>
      <c r="D712" s="2">
        <f t="shared" si="44"/>
        <v>2025</v>
      </c>
      <c r="E712" s="2" t="str">
        <f t="shared" si="45"/>
        <v>2025-18</v>
      </c>
      <c r="F712" s="2" t="str">
        <f t="shared" si="46"/>
        <v>Week 18</v>
      </c>
      <c r="G712" s="2" t="str">
        <f t="shared" si="47"/>
        <v>Week 18-2025</v>
      </c>
      <c r="O712"/>
      <c r="Q712"/>
    </row>
    <row r="713" spans="1:17" hidden="1" x14ac:dyDescent="0.2">
      <c r="A713" s="3">
        <v>45779</v>
      </c>
      <c r="B713" s="2" t="s">
        <v>17</v>
      </c>
      <c r="C713" s="2">
        <v>2</v>
      </c>
      <c r="D713" s="2">
        <f t="shared" si="44"/>
        <v>2025</v>
      </c>
      <c r="E713" s="2" t="str">
        <f t="shared" si="45"/>
        <v>2025-18</v>
      </c>
      <c r="F713" s="2" t="str">
        <f t="shared" si="46"/>
        <v>Week 18</v>
      </c>
      <c r="G713" s="2" t="str">
        <f t="shared" si="47"/>
        <v>Week 18-2025</v>
      </c>
      <c r="O713"/>
      <c r="Q713"/>
    </row>
    <row r="714" spans="1:17" hidden="1" x14ac:dyDescent="0.2">
      <c r="A714" s="3">
        <v>45779</v>
      </c>
      <c r="B714" s="2" t="s">
        <v>4</v>
      </c>
      <c r="C714" s="2">
        <v>1</v>
      </c>
      <c r="D714" s="2">
        <f t="shared" si="44"/>
        <v>2025</v>
      </c>
      <c r="E714" s="2" t="str">
        <f t="shared" si="45"/>
        <v>2025-18</v>
      </c>
      <c r="F714" s="2" t="str">
        <f t="shared" si="46"/>
        <v>Week 18</v>
      </c>
      <c r="G714" s="2" t="str">
        <f t="shared" si="47"/>
        <v>Week 18-2025</v>
      </c>
      <c r="O714"/>
      <c r="Q714"/>
    </row>
    <row r="715" spans="1:17" hidden="1" x14ac:dyDescent="0.2">
      <c r="A715" s="3">
        <v>45780</v>
      </c>
      <c r="B715" s="2" t="s">
        <v>15</v>
      </c>
      <c r="C715" s="2">
        <v>2</v>
      </c>
      <c r="D715" s="2">
        <f t="shared" si="44"/>
        <v>2025</v>
      </c>
      <c r="E715" s="2" t="str">
        <f t="shared" si="45"/>
        <v>2025-18</v>
      </c>
      <c r="F715" s="2" t="str">
        <f t="shared" si="46"/>
        <v>Week 18</v>
      </c>
      <c r="G715" s="2" t="str">
        <f t="shared" si="47"/>
        <v>Week 18-2025</v>
      </c>
      <c r="O715"/>
      <c r="Q715"/>
    </row>
    <row r="716" spans="1:17" hidden="1" x14ac:dyDescent="0.2">
      <c r="A716" s="3">
        <v>45781</v>
      </c>
      <c r="B716" s="2" t="s">
        <v>8</v>
      </c>
      <c r="C716" s="2">
        <v>16</v>
      </c>
      <c r="D716" s="2">
        <f t="shared" si="44"/>
        <v>2025</v>
      </c>
      <c r="E716" s="2" t="str">
        <f t="shared" si="45"/>
        <v>2025-18</v>
      </c>
      <c r="F716" s="2" t="str">
        <f t="shared" si="46"/>
        <v>Week 19</v>
      </c>
      <c r="G716" s="2" t="str">
        <f t="shared" si="47"/>
        <v>Week 19-2025</v>
      </c>
      <c r="O716"/>
      <c r="Q716"/>
    </row>
    <row r="717" spans="1:17" hidden="1" x14ac:dyDescent="0.2">
      <c r="A717" s="3">
        <v>45781</v>
      </c>
      <c r="B717" s="2" t="s">
        <v>9</v>
      </c>
      <c r="C717" s="2">
        <v>8</v>
      </c>
      <c r="D717" s="2">
        <f t="shared" si="44"/>
        <v>2025</v>
      </c>
      <c r="E717" s="2" t="str">
        <f t="shared" si="45"/>
        <v>2025-18</v>
      </c>
      <c r="F717" s="2" t="str">
        <f t="shared" si="46"/>
        <v>Week 19</v>
      </c>
      <c r="G717" s="2" t="str">
        <f t="shared" si="47"/>
        <v>Week 19-2025</v>
      </c>
      <c r="O717"/>
      <c r="Q717"/>
    </row>
    <row r="718" spans="1:17" hidden="1" x14ac:dyDescent="0.2">
      <c r="A718" s="3">
        <v>45781</v>
      </c>
      <c r="B718" s="2" t="s">
        <v>5</v>
      </c>
      <c r="C718" s="2">
        <v>7</v>
      </c>
      <c r="D718" s="2">
        <f t="shared" si="44"/>
        <v>2025</v>
      </c>
      <c r="E718" s="2" t="str">
        <f t="shared" si="45"/>
        <v>2025-18</v>
      </c>
      <c r="F718" s="2" t="str">
        <f t="shared" si="46"/>
        <v>Week 19</v>
      </c>
      <c r="G718" s="2" t="str">
        <f t="shared" si="47"/>
        <v>Week 19-2025</v>
      </c>
      <c r="O718"/>
      <c r="Q718"/>
    </row>
    <row r="719" spans="1:17" hidden="1" x14ac:dyDescent="0.2">
      <c r="A719" s="3">
        <v>45781</v>
      </c>
      <c r="B719" s="2" t="s">
        <v>30</v>
      </c>
      <c r="C719" s="2">
        <v>6</v>
      </c>
      <c r="D719" s="2">
        <f t="shared" si="44"/>
        <v>2025</v>
      </c>
      <c r="E719" s="2" t="str">
        <f t="shared" si="45"/>
        <v>2025-18</v>
      </c>
      <c r="F719" s="2" t="str">
        <f t="shared" si="46"/>
        <v>Week 19</v>
      </c>
      <c r="G719" s="2" t="str">
        <f t="shared" si="47"/>
        <v>Week 19-2025</v>
      </c>
      <c r="O719"/>
      <c r="Q719"/>
    </row>
    <row r="720" spans="1:17" hidden="1" x14ac:dyDescent="0.2">
      <c r="A720" s="3">
        <v>45781</v>
      </c>
      <c r="B720" s="2" t="s">
        <v>14</v>
      </c>
      <c r="C720" s="2">
        <v>2</v>
      </c>
      <c r="D720" s="2">
        <f t="shared" si="44"/>
        <v>2025</v>
      </c>
      <c r="E720" s="2" t="str">
        <f t="shared" si="45"/>
        <v>2025-18</v>
      </c>
      <c r="F720" s="2" t="str">
        <f t="shared" si="46"/>
        <v>Week 19</v>
      </c>
      <c r="G720" s="2" t="str">
        <f t="shared" si="47"/>
        <v>Week 19-2025</v>
      </c>
      <c r="O720"/>
      <c r="Q720"/>
    </row>
    <row r="721" spans="1:17" hidden="1" x14ac:dyDescent="0.2">
      <c r="A721" s="3">
        <v>45781</v>
      </c>
      <c r="B721" s="2" t="s">
        <v>15</v>
      </c>
      <c r="C721" s="2">
        <v>2</v>
      </c>
      <c r="D721" s="2">
        <f t="shared" si="44"/>
        <v>2025</v>
      </c>
      <c r="E721" s="2" t="str">
        <f t="shared" si="45"/>
        <v>2025-18</v>
      </c>
      <c r="F721" s="2" t="str">
        <f t="shared" si="46"/>
        <v>Week 19</v>
      </c>
      <c r="G721" s="2" t="str">
        <f t="shared" si="47"/>
        <v>Week 19-2025</v>
      </c>
      <c r="O721"/>
      <c r="Q721"/>
    </row>
    <row r="722" spans="1:17" hidden="1" x14ac:dyDescent="0.2">
      <c r="A722" s="3">
        <v>45782</v>
      </c>
      <c r="B722" s="2" t="s">
        <v>5</v>
      </c>
      <c r="C722" s="2">
        <v>50</v>
      </c>
      <c r="D722" s="2">
        <f t="shared" si="44"/>
        <v>2025</v>
      </c>
      <c r="E722" s="2" t="str">
        <f t="shared" si="45"/>
        <v>2025-19</v>
      </c>
      <c r="F722" s="2" t="str">
        <f t="shared" si="46"/>
        <v>Week 19</v>
      </c>
      <c r="G722" s="2" t="str">
        <f t="shared" si="47"/>
        <v>Week 19-2025</v>
      </c>
      <c r="O722"/>
      <c r="Q722"/>
    </row>
    <row r="723" spans="1:17" hidden="1" x14ac:dyDescent="0.2">
      <c r="A723" s="3">
        <v>45782</v>
      </c>
      <c r="B723" s="2" t="s">
        <v>4</v>
      </c>
      <c r="C723" s="2">
        <v>12</v>
      </c>
      <c r="D723" s="2">
        <f t="shared" si="44"/>
        <v>2025</v>
      </c>
      <c r="E723" s="2" t="str">
        <f t="shared" si="45"/>
        <v>2025-19</v>
      </c>
      <c r="F723" s="2" t="str">
        <f t="shared" si="46"/>
        <v>Week 19</v>
      </c>
      <c r="G723" s="2" t="str">
        <f t="shared" si="47"/>
        <v>Week 19-2025</v>
      </c>
      <c r="O723"/>
      <c r="Q723"/>
    </row>
    <row r="724" spans="1:17" hidden="1" x14ac:dyDescent="0.2">
      <c r="A724" s="3">
        <v>45782</v>
      </c>
      <c r="B724" s="2" t="s">
        <v>4</v>
      </c>
      <c r="C724" s="2">
        <v>12</v>
      </c>
      <c r="D724" s="2">
        <f t="shared" si="44"/>
        <v>2025</v>
      </c>
      <c r="E724" s="2" t="str">
        <f t="shared" si="45"/>
        <v>2025-19</v>
      </c>
      <c r="F724" s="2" t="str">
        <f t="shared" si="46"/>
        <v>Week 19</v>
      </c>
      <c r="G724" s="2" t="str">
        <f t="shared" si="47"/>
        <v>Week 19-2025</v>
      </c>
      <c r="O724"/>
      <c r="Q724"/>
    </row>
    <row r="725" spans="1:17" hidden="1" x14ac:dyDescent="0.2">
      <c r="A725" s="3">
        <v>45782</v>
      </c>
      <c r="B725" s="2" t="s">
        <v>30</v>
      </c>
      <c r="C725" s="2">
        <v>26</v>
      </c>
      <c r="D725" s="2">
        <f t="shared" si="44"/>
        <v>2025</v>
      </c>
      <c r="E725" s="2" t="str">
        <f t="shared" si="45"/>
        <v>2025-19</v>
      </c>
      <c r="F725" s="2" t="str">
        <f t="shared" si="46"/>
        <v>Week 19</v>
      </c>
      <c r="G725" s="2" t="str">
        <f t="shared" si="47"/>
        <v>Week 19-2025</v>
      </c>
      <c r="O725"/>
      <c r="Q725"/>
    </row>
    <row r="726" spans="1:17" hidden="1" x14ac:dyDescent="0.2">
      <c r="A726" s="3">
        <v>45782</v>
      </c>
      <c r="B726" s="2" t="s">
        <v>4</v>
      </c>
      <c r="C726" s="2">
        <v>6</v>
      </c>
      <c r="D726" s="2">
        <f t="shared" si="44"/>
        <v>2025</v>
      </c>
      <c r="E726" s="2" t="str">
        <f t="shared" si="45"/>
        <v>2025-19</v>
      </c>
      <c r="F726" s="2" t="str">
        <f t="shared" si="46"/>
        <v>Week 19</v>
      </c>
      <c r="G726" s="2" t="str">
        <f t="shared" si="47"/>
        <v>Week 19-2025</v>
      </c>
      <c r="O726"/>
      <c r="Q726"/>
    </row>
    <row r="727" spans="1:17" hidden="1" x14ac:dyDescent="0.2">
      <c r="A727" s="3">
        <v>45782</v>
      </c>
      <c r="B727" s="2" t="s">
        <v>4</v>
      </c>
      <c r="C727" s="2">
        <v>6</v>
      </c>
      <c r="D727" s="2">
        <f t="shared" si="44"/>
        <v>2025</v>
      </c>
      <c r="E727" s="2" t="str">
        <f t="shared" si="45"/>
        <v>2025-19</v>
      </c>
      <c r="F727" s="2" t="str">
        <f t="shared" si="46"/>
        <v>Week 19</v>
      </c>
      <c r="G727" s="2" t="str">
        <f t="shared" si="47"/>
        <v>Week 19-2025</v>
      </c>
      <c r="O727"/>
      <c r="Q727"/>
    </row>
    <row r="728" spans="1:17" hidden="1" x14ac:dyDescent="0.2">
      <c r="A728" s="3">
        <v>45782</v>
      </c>
      <c r="B728" s="2" t="s">
        <v>30</v>
      </c>
      <c r="C728" s="2">
        <v>4</v>
      </c>
      <c r="D728" s="2">
        <f t="shared" si="44"/>
        <v>2025</v>
      </c>
      <c r="E728" s="2" t="str">
        <f t="shared" si="45"/>
        <v>2025-19</v>
      </c>
      <c r="F728" s="2" t="str">
        <f t="shared" si="46"/>
        <v>Week 19</v>
      </c>
      <c r="G728" s="2" t="str">
        <f t="shared" si="47"/>
        <v>Week 19-2025</v>
      </c>
      <c r="O728"/>
      <c r="Q728"/>
    </row>
    <row r="729" spans="1:17" hidden="1" x14ac:dyDescent="0.2">
      <c r="A729" s="3">
        <v>45783</v>
      </c>
      <c r="B729" s="2" t="s">
        <v>19</v>
      </c>
      <c r="C729" s="2">
        <v>14</v>
      </c>
      <c r="D729" s="2">
        <f t="shared" si="44"/>
        <v>2025</v>
      </c>
      <c r="E729" s="2" t="str">
        <f t="shared" si="45"/>
        <v>2025-19</v>
      </c>
      <c r="F729" s="2" t="str">
        <f t="shared" si="46"/>
        <v>Week 19</v>
      </c>
      <c r="G729" s="2" t="str">
        <f t="shared" si="47"/>
        <v>Week 19-2025</v>
      </c>
      <c r="O729"/>
      <c r="Q729"/>
    </row>
    <row r="730" spans="1:17" hidden="1" x14ac:dyDescent="0.2">
      <c r="A730" s="3">
        <v>45783</v>
      </c>
      <c r="B730" s="2" t="s">
        <v>6</v>
      </c>
      <c r="C730" s="2">
        <v>11</v>
      </c>
      <c r="D730" s="2">
        <f t="shared" si="44"/>
        <v>2025</v>
      </c>
      <c r="E730" s="2" t="str">
        <f t="shared" si="45"/>
        <v>2025-19</v>
      </c>
      <c r="F730" s="2" t="str">
        <f t="shared" si="46"/>
        <v>Week 19</v>
      </c>
      <c r="G730" s="2" t="str">
        <f t="shared" si="47"/>
        <v>Week 19-2025</v>
      </c>
      <c r="O730"/>
      <c r="Q730"/>
    </row>
    <row r="731" spans="1:17" hidden="1" x14ac:dyDescent="0.2">
      <c r="A731" s="3">
        <v>45783</v>
      </c>
      <c r="B731" s="2" t="s">
        <v>9</v>
      </c>
      <c r="C731" s="2">
        <v>8</v>
      </c>
      <c r="D731" s="2">
        <f t="shared" si="44"/>
        <v>2025</v>
      </c>
      <c r="E731" s="2" t="str">
        <f t="shared" si="45"/>
        <v>2025-19</v>
      </c>
      <c r="F731" s="2" t="str">
        <f t="shared" si="46"/>
        <v>Week 19</v>
      </c>
      <c r="G731" s="2" t="str">
        <f t="shared" si="47"/>
        <v>Week 19-2025</v>
      </c>
      <c r="O731"/>
      <c r="Q731"/>
    </row>
    <row r="732" spans="1:17" hidden="1" x14ac:dyDescent="0.2">
      <c r="A732" s="3">
        <v>45783</v>
      </c>
      <c r="B732" s="2" t="s">
        <v>12</v>
      </c>
      <c r="C732" s="2">
        <v>5</v>
      </c>
      <c r="D732" s="2">
        <f t="shared" si="44"/>
        <v>2025</v>
      </c>
      <c r="E732" s="2" t="str">
        <f t="shared" si="45"/>
        <v>2025-19</v>
      </c>
      <c r="F732" s="2" t="str">
        <f t="shared" si="46"/>
        <v>Week 19</v>
      </c>
      <c r="G732" s="2" t="str">
        <f t="shared" si="47"/>
        <v>Week 19-2025</v>
      </c>
      <c r="O732"/>
      <c r="Q732"/>
    </row>
    <row r="733" spans="1:17" hidden="1" x14ac:dyDescent="0.2">
      <c r="A733" s="3">
        <v>45783</v>
      </c>
      <c r="B733" s="2" t="s">
        <v>34</v>
      </c>
      <c r="C733" s="2">
        <v>8</v>
      </c>
      <c r="D733" s="2">
        <f t="shared" si="44"/>
        <v>2025</v>
      </c>
      <c r="E733" s="2" t="str">
        <f t="shared" si="45"/>
        <v>2025-19</v>
      </c>
      <c r="F733" s="2" t="str">
        <f t="shared" si="46"/>
        <v>Week 19</v>
      </c>
      <c r="G733" s="2" t="str">
        <f t="shared" si="47"/>
        <v>Week 19-2025</v>
      </c>
      <c r="O733"/>
      <c r="Q733"/>
    </row>
    <row r="734" spans="1:17" hidden="1" x14ac:dyDescent="0.2">
      <c r="A734" s="3">
        <v>45783</v>
      </c>
      <c r="B734" s="2" t="s">
        <v>33</v>
      </c>
      <c r="C734" s="2">
        <v>2</v>
      </c>
      <c r="D734" s="2">
        <f t="shared" si="44"/>
        <v>2025</v>
      </c>
      <c r="E734" s="2" t="str">
        <f t="shared" si="45"/>
        <v>2025-19</v>
      </c>
      <c r="F734" s="2" t="str">
        <f t="shared" si="46"/>
        <v>Week 19</v>
      </c>
      <c r="G734" s="2" t="str">
        <f t="shared" si="47"/>
        <v>Week 19-2025</v>
      </c>
      <c r="O734"/>
      <c r="Q734"/>
    </row>
    <row r="735" spans="1:17" hidden="1" x14ac:dyDescent="0.2">
      <c r="A735" s="3">
        <v>45783</v>
      </c>
      <c r="B735" s="2" t="s">
        <v>17</v>
      </c>
      <c r="C735" s="2">
        <v>5</v>
      </c>
      <c r="D735" s="2">
        <f t="shared" si="44"/>
        <v>2025</v>
      </c>
      <c r="E735" s="2" t="str">
        <f t="shared" si="45"/>
        <v>2025-19</v>
      </c>
      <c r="F735" s="2" t="str">
        <f t="shared" si="46"/>
        <v>Week 19</v>
      </c>
      <c r="G735" s="2" t="str">
        <f t="shared" si="47"/>
        <v>Week 19-2025</v>
      </c>
      <c r="O735"/>
      <c r="Q735"/>
    </row>
    <row r="736" spans="1:17" hidden="1" x14ac:dyDescent="0.2">
      <c r="A736" s="3">
        <v>45783</v>
      </c>
      <c r="B736" s="2" t="s">
        <v>5</v>
      </c>
      <c r="C736" s="2">
        <v>4</v>
      </c>
      <c r="D736" s="2">
        <f t="shared" si="44"/>
        <v>2025</v>
      </c>
      <c r="E736" s="2" t="str">
        <f t="shared" si="45"/>
        <v>2025-19</v>
      </c>
      <c r="F736" s="2" t="str">
        <f t="shared" si="46"/>
        <v>Week 19</v>
      </c>
      <c r="G736" s="2" t="str">
        <f t="shared" si="47"/>
        <v>Week 19-2025</v>
      </c>
      <c r="O736"/>
      <c r="Q736"/>
    </row>
    <row r="737" spans="1:17" hidden="1" x14ac:dyDescent="0.2">
      <c r="A737" s="3">
        <v>45783</v>
      </c>
      <c r="B737" s="2" t="s">
        <v>13</v>
      </c>
      <c r="C737" s="2">
        <v>3</v>
      </c>
      <c r="D737" s="2">
        <f t="shared" si="44"/>
        <v>2025</v>
      </c>
      <c r="E737" s="2" t="str">
        <f t="shared" si="45"/>
        <v>2025-19</v>
      </c>
      <c r="F737" s="2" t="str">
        <f t="shared" si="46"/>
        <v>Week 19</v>
      </c>
      <c r="G737" s="2" t="str">
        <f t="shared" si="47"/>
        <v>Week 19-2025</v>
      </c>
      <c r="O737"/>
      <c r="Q737"/>
    </row>
    <row r="738" spans="1:17" hidden="1" x14ac:dyDescent="0.2">
      <c r="A738" s="3">
        <v>45783</v>
      </c>
      <c r="B738" s="2" t="s">
        <v>14</v>
      </c>
      <c r="C738" s="2">
        <v>4</v>
      </c>
      <c r="D738" s="2">
        <f t="shared" si="44"/>
        <v>2025</v>
      </c>
      <c r="E738" s="2" t="str">
        <f t="shared" si="45"/>
        <v>2025-19</v>
      </c>
      <c r="F738" s="2" t="str">
        <f t="shared" si="46"/>
        <v>Week 19</v>
      </c>
      <c r="G738" s="2" t="str">
        <f t="shared" si="47"/>
        <v>Week 19-2025</v>
      </c>
      <c r="O738"/>
      <c r="Q738"/>
    </row>
    <row r="739" spans="1:17" hidden="1" x14ac:dyDescent="0.2">
      <c r="A739" s="3">
        <v>45783</v>
      </c>
      <c r="B739" s="2" t="s">
        <v>18</v>
      </c>
      <c r="C739" s="2">
        <v>1</v>
      </c>
      <c r="D739" s="2">
        <f t="shared" si="44"/>
        <v>2025</v>
      </c>
      <c r="E739" s="2" t="str">
        <f t="shared" si="45"/>
        <v>2025-19</v>
      </c>
      <c r="F739" s="2" t="str">
        <f t="shared" si="46"/>
        <v>Week 19</v>
      </c>
      <c r="G739" s="2" t="str">
        <f t="shared" si="47"/>
        <v>Week 19-2025</v>
      </c>
      <c r="O739"/>
      <c r="Q739"/>
    </row>
    <row r="740" spans="1:17" hidden="1" x14ac:dyDescent="0.2">
      <c r="A740" s="3">
        <v>45784</v>
      </c>
      <c r="B740" s="2" t="s">
        <v>39</v>
      </c>
      <c r="C740" s="2">
        <v>4</v>
      </c>
      <c r="D740" s="2">
        <f t="shared" si="44"/>
        <v>2025</v>
      </c>
      <c r="E740" s="2" t="str">
        <f t="shared" si="45"/>
        <v>2025-19</v>
      </c>
      <c r="F740" s="2" t="str">
        <f t="shared" si="46"/>
        <v>Week 19</v>
      </c>
      <c r="G740" s="2" t="str">
        <f t="shared" si="47"/>
        <v>Week 19-2025</v>
      </c>
      <c r="O740"/>
      <c r="Q740"/>
    </row>
    <row r="741" spans="1:17" hidden="1" x14ac:dyDescent="0.2">
      <c r="A741" s="3">
        <v>45784</v>
      </c>
      <c r="B741" s="2" t="s">
        <v>19</v>
      </c>
      <c r="C741" s="2">
        <v>2</v>
      </c>
      <c r="D741" s="2">
        <f t="shared" si="44"/>
        <v>2025</v>
      </c>
      <c r="E741" s="2" t="str">
        <f t="shared" si="45"/>
        <v>2025-19</v>
      </c>
      <c r="F741" s="2" t="str">
        <f t="shared" si="46"/>
        <v>Week 19</v>
      </c>
      <c r="G741" s="2" t="str">
        <f t="shared" si="47"/>
        <v>Week 19-2025</v>
      </c>
      <c r="O741"/>
      <c r="Q741"/>
    </row>
    <row r="742" spans="1:17" hidden="1" x14ac:dyDescent="0.2">
      <c r="A742" s="3">
        <v>45785</v>
      </c>
      <c r="B742" s="2" t="s">
        <v>5</v>
      </c>
      <c r="C742" s="2">
        <v>18</v>
      </c>
      <c r="D742" s="2">
        <f t="shared" si="44"/>
        <v>2025</v>
      </c>
      <c r="E742" s="2" t="str">
        <f t="shared" si="45"/>
        <v>2025-19</v>
      </c>
      <c r="F742" s="2" t="str">
        <f t="shared" si="46"/>
        <v>Week 19</v>
      </c>
      <c r="G742" s="2" t="str">
        <f t="shared" si="47"/>
        <v>Week 19-2025</v>
      </c>
      <c r="O742"/>
      <c r="Q742"/>
    </row>
    <row r="743" spans="1:17" hidden="1" x14ac:dyDescent="0.2">
      <c r="A743" s="3">
        <v>45785</v>
      </c>
      <c r="B743" s="2" t="s">
        <v>9</v>
      </c>
      <c r="C743" s="2">
        <v>8</v>
      </c>
      <c r="D743" s="2">
        <f t="shared" si="44"/>
        <v>2025</v>
      </c>
      <c r="E743" s="2" t="str">
        <f t="shared" si="45"/>
        <v>2025-19</v>
      </c>
      <c r="F743" s="2" t="str">
        <f t="shared" si="46"/>
        <v>Week 19</v>
      </c>
      <c r="G743" s="2" t="str">
        <f t="shared" si="47"/>
        <v>Week 19-2025</v>
      </c>
      <c r="O743"/>
      <c r="Q743"/>
    </row>
    <row r="744" spans="1:17" hidden="1" x14ac:dyDescent="0.2">
      <c r="A744" s="3">
        <v>45785</v>
      </c>
      <c r="B744" s="2" t="s">
        <v>5</v>
      </c>
      <c r="C744" s="2">
        <v>11</v>
      </c>
      <c r="D744" s="2">
        <f t="shared" si="44"/>
        <v>2025</v>
      </c>
      <c r="E744" s="2" t="str">
        <f t="shared" si="45"/>
        <v>2025-19</v>
      </c>
      <c r="F744" s="2" t="str">
        <f t="shared" si="46"/>
        <v>Week 19</v>
      </c>
      <c r="G744" s="2" t="str">
        <f t="shared" si="47"/>
        <v>Week 19-2025</v>
      </c>
      <c r="O744"/>
      <c r="Q744"/>
    </row>
    <row r="745" spans="1:17" hidden="1" x14ac:dyDescent="0.2">
      <c r="A745" s="3">
        <v>45785</v>
      </c>
      <c r="B745" s="2" t="s">
        <v>6</v>
      </c>
      <c r="C745" s="2">
        <v>6</v>
      </c>
      <c r="D745" s="2">
        <f t="shared" si="44"/>
        <v>2025</v>
      </c>
      <c r="E745" s="2" t="str">
        <f t="shared" si="45"/>
        <v>2025-19</v>
      </c>
      <c r="F745" s="2" t="str">
        <f t="shared" si="46"/>
        <v>Week 19</v>
      </c>
      <c r="G745" s="2" t="str">
        <f t="shared" si="47"/>
        <v>Week 19-2025</v>
      </c>
      <c r="O745"/>
      <c r="Q745"/>
    </row>
    <row r="746" spans="1:17" hidden="1" x14ac:dyDescent="0.2">
      <c r="A746" s="3">
        <v>45785</v>
      </c>
      <c r="B746" s="2" t="s">
        <v>9</v>
      </c>
      <c r="C746" s="2">
        <v>6</v>
      </c>
      <c r="D746" s="2">
        <f t="shared" si="44"/>
        <v>2025</v>
      </c>
      <c r="E746" s="2" t="str">
        <f t="shared" si="45"/>
        <v>2025-19</v>
      </c>
      <c r="F746" s="2" t="str">
        <f t="shared" si="46"/>
        <v>Week 19</v>
      </c>
      <c r="G746" s="2" t="str">
        <f t="shared" si="47"/>
        <v>Week 19-2025</v>
      </c>
      <c r="O746"/>
      <c r="Q746"/>
    </row>
    <row r="747" spans="1:17" hidden="1" x14ac:dyDescent="0.2">
      <c r="A747" s="3">
        <v>45785</v>
      </c>
      <c r="B747" s="2" t="s">
        <v>17</v>
      </c>
      <c r="C747" s="2">
        <v>8</v>
      </c>
      <c r="D747" s="2">
        <f t="shared" si="44"/>
        <v>2025</v>
      </c>
      <c r="E747" s="2" t="str">
        <f t="shared" si="45"/>
        <v>2025-19</v>
      </c>
      <c r="F747" s="2" t="str">
        <f t="shared" si="46"/>
        <v>Week 19</v>
      </c>
      <c r="G747" s="2" t="str">
        <f t="shared" si="47"/>
        <v>Week 19-2025</v>
      </c>
      <c r="O747"/>
      <c r="Q747"/>
    </row>
    <row r="748" spans="1:17" hidden="1" x14ac:dyDescent="0.2">
      <c r="A748" s="3">
        <v>45785</v>
      </c>
      <c r="B748" s="2" t="s">
        <v>3</v>
      </c>
      <c r="C748" s="2">
        <v>4</v>
      </c>
      <c r="D748" s="2">
        <f t="shared" si="44"/>
        <v>2025</v>
      </c>
      <c r="E748" s="2" t="str">
        <f t="shared" si="45"/>
        <v>2025-19</v>
      </c>
      <c r="F748" s="2" t="str">
        <f t="shared" si="46"/>
        <v>Week 19</v>
      </c>
      <c r="G748" s="2" t="str">
        <f t="shared" si="47"/>
        <v>Week 19-2025</v>
      </c>
      <c r="O748"/>
      <c r="Q748"/>
    </row>
    <row r="749" spans="1:17" hidden="1" x14ac:dyDescent="0.2">
      <c r="A749" s="3">
        <v>45785</v>
      </c>
      <c r="B749" s="2" t="s">
        <v>7</v>
      </c>
      <c r="C749" s="2">
        <v>2</v>
      </c>
      <c r="D749" s="2">
        <f t="shared" si="44"/>
        <v>2025</v>
      </c>
      <c r="E749" s="2" t="str">
        <f t="shared" si="45"/>
        <v>2025-19</v>
      </c>
      <c r="F749" s="2" t="str">
        <f t="shared" si="46"/>
        <v>Week 19</v>
      </c>
      <c r="G749" s="2" t="str">
        <f t="shared" si="47"/>
        <v>Week 19-2025</v>
      </c>
      <c r="O749"/>
      <c r="Q749"/>
    </row>
    <row r="750" spans="1:17" hidden="1" x14ac:dyDescent="0.2">
      <c r="A750" s="3">
        <v>45785</v>
      </c>
      <c r="B750" s="2" t="s">
        <v>14</v>
      </c>
      <c r="C750" s="2">
        <v>4</v>
      </c>
      <c r="D750" s="2">
        <f t="shared" si="44"/>
        <v>2025</v>
      </c>
      <c r="E750" s="2" t="str">
        <f t="shared" si="45"/>
        <v>2025-19</v>
      </c>
      <c r="F750" s="2" t="str">
        <f t="shared" si="46"/>
        <v>Week 19</v>
      </c>
      <c r="G750" s="2" t="str">
        <f t="shared" si="47"/>
        <v>Week 19-2025</v>
      </c>
      <c r="O750"/>
      <c r="Q750"/>
    </row>
    <row r="751" spans="1:17" hidden="1" x14ac:dyDescent="0.2">
      <c r="A751" s="3">
        <v>45785</v>
      </c>
      <c r="B751" s="2" t="s">
        <v>17</v>
      </c>
      <c r="C751" s="2">
        <v>2</v>
      </c>
      <c r="D751" s="2">
        <f t="shared" si="44"/>
        <v>2025</v>
      </c>
      <c r="E751" s="2" t="str">
        <f t="shared" si="45"/>
        <v>2025-19</v>
      </c>
      <c r="F751" s="2" t="str">
        <f t="shared" si="46"/>
        <v>Week 19</v>
      </c>
      <c r="G751" s="2" t="str">
        <f t="shared" si="47"/>
        <v>Week 19-2025</v>
      </c>
      <c r="O751"/>
      <c r="Q751"/>
    </row>
    <row r="752" spans="1:17" hidden="1" x14ac:dyDescent="0.2">
      <c r="A752" s="3">
        <v>45787</v>
      </c>
      <c r="B752" s="2" t="s">
        <v>7</v>
      </c>
      <c r="C752" s="2">
        <v>12</v>
      </c>
      <c r="D752" s="2">
        <f t="shared" si="44"/>
        <v>2025</v>
      </c>
      <c r="E752" s="2" t="str">
        <f t="shared" si="45"/>
        <v>2025-19</v>
      </c>
      <c r="F752" s="2" t="str">
        <f t="shared" si="46"/>
        <v>Week 19</v>
      </c>
      <c r="G752" s="2" t="str">
        <f t="shared" si="47"/>
        <v>Week 19-2025</v>
      </c>
      <c r="O752"/>
      <c r="Q752"/>
    </row>
    <row r="753" spans="1:17" hidden="1" x14ac:dyDescent="0.2">
      <c r="A753" s="3">
        <v>45787</v>
      </c>
      <c r="B753" s="2" t="s">
        <v>5</v>
      </c>
      <c r="C753" s="2">
        <v>8</v>
      </c>
      <c r="D753" s="2">
        <f t="shared" si="44"/>
        <v>2025</v>
      </c>
      <c r="E753" s="2" t="str">
        <f t="shared" si="45"/>
        <v>2025-19</v>
      </c>
      <c r="F753" s="2" t="str">
        <f t="shared" si="46"/>
        <v>Week 19</v>
      </c>
      <c r="G753" s="2" t="str">
        <f t="shared" si="47"/>
        <v>Week 19-2025</v>
      </c>
      <c r="O753"/>
      <c r="Q753"/>
    </row>
    <row r="754" spans="1:17" hidden="1" x14ac:dyDescent="0.2">
      <c r="A754" s="3">
        <v>45787</v>
      </c>
      <c r="B754" s="2" t="s">
        <v>9</v>
      </c>
      <c r="C754" s="2">
        <v>6</v>
      </c>
      <c r="D754" s="2">
        <f t="shared" si="44"/>
        <v>2025</v>
      </c>
      <c r="E754" s="2" t="str">
        <f t="shared" si="45"/>
        <v>2025-19</v>
      </c>
      <c r="F754" s="2" t="str">
        <f t="shared" si="46"/>
        <v>Week 19</v>
      </c>
      <c r="G754" s="2" t="str">
        <f t="shared" si="47"/>
        <v>Week 19-2025</v>
      </c>
      <c r="O754"/>
      <c r="Q754"/>
    </row>
    <row r="755" spans="1:17" hidden="1" x14ac:dyDescent="0.2">
      <c r="A755" s="3">
        <v>45787</v>
      </c>
      <c r="B755" s="2" t="s">
        <v>3</v>
      </c>
      <c r="C755" s="2">
        <v>6</v>
      </c>
      <c r="D755" s="2">
        <f t="shared" si="44"/>
        <v>2025</v>
      </c>
      <c r="E755" s="2" t="str">
        <f t="shared" si="45"/>
        <v>2025-19</v>
      </c>
      <c r="F755" s="2" t="str">
        <f t="shared" si="46"/>
        <v>Week 19</v>
      </c>
      <c r="G755" s="2" t="str">
        <f t="shared" si="47"/>
        <v>Week 19-2025</v>
      </c>
      <c r="O755"/>
      <c r="Q755"/>
    </row>
    <row r="756" spans="1:17" hidden="1" x14ac:dyDescent="0.2">
      <c r="A756" s="3">
        <v>45787</v>
      </c>
      <c r="B756" s="2" t="s">
        <v>6</v>
      </c>
      <c r="C756" s="2">
        <v>4</v>
      </c>
      <c r="D756" s="2">
        <f t="shared" si="44"/>
        <v>2025</v>
      </c>
      <c r="E756" s="2" t="str">
        <f t="shared" si="45"/>
        <v>2025-19</v>
      </c>
      <c r="F756" s="2" t="str">
        <f t="shared" si="46"/>
        <v>Week 19</v>
      </c>
      <c r="G756" s="2" t="str">
        <f t="shared" si="47"/>
        <v>Week 19-2025</v>
      </c>
      <c r="O756"/>
      <c r="Q756"/>
    </row>
    <row r="757" spans="1:17" hidden="1" x14ac:dyDescent="0.2">
      <c r="A757" s="3">
        <v>45787</v>
      </c>
      <c r="B757" s="2" t="s">
        <v>19</v>
      </c>
      <c r="C757" s="2">
        <v>2</v>
      </c>
      <c r="D757" s="2">
        <f t="shared" si="44"/>
        <v>2025</v>
      </c>
      <c r="E757" s="2" t="str">
        <f t="shared" si="45"/>
        <v>2025-19</v>
      </c>
      <c r="F757" s="2" t="str">
        <f t="shared" si="46"/>
        <v>Week 19</v>
      </c>
      <c r="G757" s="2" t="str">
        <f t="shared" si="47"/>
        <v>Week 19-2025</v>
      </c>
      <c r="O757"/>
      <c r="Q757"/>
    </row>
    <row r="758" spans="1:17" hidden="1" x14ac:dyDescent="0.2">
      <c r="A758" s="3">
        <v>45788</v>
      </c>
      <c r="B758" s="2" t="s">
        <v>6</v>
      </c>
      <c r="C758" s="2">
        <v>12</v>
      </c>
      <c r="D758" s="2">
        <f t="shared" si="44"/>
        <v>2025</v>
      </c>
      <c r="E758" s="2" t="str">
        <f t="shared" si="45"/>
        <v>2025-19</v>
      </c>
      <c r="F758" s="2" t="str">
        <f t="shared" si="46"/>
        <v>Week 20</v>
      </c>
      <c r="G758" s="2" t="str">
        <f t="shared" si="47"/>
        <v>Week 20-2025</v>
      </c>
      <c r="O758"/>
      <c r="Q758"/>
    </row>
    <row r="759" spans="1:17" hidden="1" x14ac:dyDescent="0.2">
      <c r="A759" s="3">
        <v>45788</v>
      </c>
      <c r="B759" s="2" t="s">
        <v>6</v>
      </c>
      <c r="C759" s="2">
        <v>12</v>
      </c>
      <c r="D759" s="2">
        <f t="shared" si="44"/>
        <v>2025</v>
      </c>
      <c r="E759" s="2" t="str">
        <f t="shared" si="45"/>
        <v>2025-19</v>
      </c>
      <c r="F759" s="2" t="str">
        <f t="shared" si="46"/>
        <v>Week 20</v>
      </c>
      <c r="G759" s="2" t="str">
        <f t="shared" si="47"/>
        <v>Week 20-2025</v>
      </c>
      <c r="O759"/>
      <c r="Q759"/>
    </row>
    <row r="760" spans="1:17" hidden="1" x14ac:dyDescent="0.2">
      <c r="A760" s="3">
        <v>45788</v>
      </c>
      <c r="B760" s="2" t="s">
        <v>5</v>
      </c>
      <c r="C760" s="2">
        <v>18</v>
      </c>
      <c r="D760" s="2">
        <f t="shared" si="44"/>
        <v>2025</v>
      </c>
      <c r="E760" s="2" t="str">
        <f t="shared" si="45"/>
        <v>2025-19</v>
      </c>
      <c r="F760" s="2" t="str">
        <f t="shared" si="46"/>
        <v>Week 20</v>
      </c>
      <c r="G760" s="2" t="str">
        <f t="shared" si="47"/>
        <v>Week 20-2025</v>
      </c>
      <c r="O760"/>
      <c r="Q760"/>
    </row>
    <row r="761" spans="1:17" hidden="1" x14ac:dyDescent="0.2">
      <c r="A761" s="3">
        <v>45788</v>
      </c>
      <c r="B761" s="2" t="s">
        <v>9</v>
      </c>
      <c r="C761" s="2">
        <v>12</v>
      </c>
      <c r="D761" s="2">
        <f t="shared" si="44"/>
        <v>2025</v>
      </c>
      <c r="E761" s="2" t="str">
        <f t="shared" si="45"/>
        <v>2025-19</v>
      </c>
      <c r="F761" s="2" t="str">
        <f t="shared" si="46"/>
        <v>Week 20</v>
      </c>
      <c r="G761" s="2" t="str">
        <f t="shared" si="47"/>
        <v>Week 20-2025</v>
      </c>
      <c r="O761"/>
      <c r="Q761"/>
    </row>
    <row r="762" spans="1:17" hidden="1" x14ac:dyDescent="0.2">
      <c r="A762" s="3">
        <v>45788</v>
      </c>
      <c r="B762" s="2" t="s">
        <v>18</v>
      </c>
      <c r="C762" s="2">
        <v>8</v>
      </c>
      <c r="D762" s="2">
        <f t="shared" si="44"/>
        <v>2025</v>
      </c>
      <c r="E762" s="2" t="str">
        <f t="shared" si="45"/>
        <v>2025-19</v>
      </c>
      <c r="F762" s="2" t="str">
        <f t="shared" si="46"/>
        <v>Week 20</v>
      </c>
      <c r="G762" s="2" t="str">
        <f t="shared" si="47"/>
        <v>Week 20-2025</v>
      </c>
      <c r="O762"/>
      <c r="Q762"/>
    </row>
    <row r="763" spans="1:17" hidden="1" x14ac:dyDescent="0.2">
      <c r="A763" s="3">
        <v>45788</v>
      </c>
      <c r="B763" s="2" t="s">
        <v>9</v>
      </c>
      <c r="C763" s="2">
        <v>10</v>
      </c>
      <c r="D763" s="2">
        <f t="shared" si="44"/>
        <v>2025</v>
      </c>
      <c r="E763" s="2" t="str">
        <f t="shared" si="45"/>
        <v>2025-19</v>
      </c>
      <c r="F763" s="2" t="str">
        <f t="shared" si="46"/>
        <v>Week 20</v>
      </c>
      <c r="G763" s="2" t="str">
        <f t="shared" si="47"/>
        <v>Week 20-2025</v>
      </c>
      <c r="O763"/>
      <c r="Q763"/>
    </row>
    <row r="764" spans="1:17" hidden="1" x14ac:dyDescent="0.2">
      <c r="A764" s="3">
        <v>45788</v>
      </c>
      <c r="B764" s="2" t="s">
        <v>7</v>
      </c>
      <c r="C764" s="2">
        <v>8</v>
      </c>
      <c r="D764" s="2">
        <f t="shared" si="44"/>
        <v>2025</v>
      </c>
      <c r="E764" s="2" t="str">
        <f t="shared" si="45"/>
        <v>2025-19</v>
      </c>
      <c r="F764" s="2" t="str">
        <f t="shared" si="46"/>
        <v>Week 20</v>
      </c>
      <c r="G764" s="2" t="str">
        <f t="shared" si="47"/>
        <v>Week 20-2025</v>
      </c>
      <c r="O764"/>
      <c r="Q764"/>
    </row>
    <row r="765" spans="1:17" hidden="1" x14ac:dyDescent="0.2">
      <c r="A765" s="3">
        <v>45788</v>
      </c>
      <c r="B765" s="2" t="s">
        <v>12</v>
      </c>
      <c r="C765" s="2">
        <v>6</v>
      </c>
      <c r="D765" s="2">
        <f t="shared" si="44"/>
        <v>2025</v>
      </c>
      <c r="E765" s="2" t="str">
        <f t="shared" si="45"/>
        <v>2025-19</v>
      </c>
      <c r="F765" s="2" t="str">
        <f t="shared" si="46"/>
        <v>Week 20</v>
      </c>
      <c r="G765" s="2" t="str">
        <f t="shared" si="47"/>
        <v>Week 20-2025</v>
      </c>
      <c r="O765"/>
      <c r="Q765"/>
    </row>
    <row r="766" spans="1:17" hidden="1" x14ac:dyDescent="0.2">
      <c r="A766" s="3">
        <v>45788</v>
      </c>
      <c r="B766" s="2" t="s">
        <v>17</v>
      </c>
      <c r="C766" s="2">
        <v>11</v>
      </c>
      <c r="D766" s="2">
        <f t="shared" si="44"/>
        <v>2025</v>
      </c>
      <c r="E766" s="2" t="str">
        <f t="shared" si="45"/>
        <v>2025-19</v>
      </c>
      <c r="F766" s="2" t="str">
        <f t="shared" si="46"/>
        <v>Week 20</v>
      </c>
      <c r="G766" s="2" t="str">
        <f t="shared" si="47"/>
        <v>Week 20-2025</v>
      </c>
      <c r="O766"/>
      <c r="Q766"/>
    </row>
    <row r="767" spans="1:17" hidden="1" x14ac:dyDescent="0.2">
      <c r="A767" s="3">
        <v>45788</v>
      </c>
      <c r="B767" s="2" t="s">
        <v>14</v>
      </c>
      <c r="C767" s="2">
        <v>12</v>
      </c>
      <c r="D767" s="2">
        <f t="shared" si="44"/>
        <v>2025</v>
      </c>
      <c r="E767" s="2" t="str">
        <f t="shared" si="45"/>
        <v>2025-19</v>
      </c>
      <c r="F767" s="2" t="str">
        <f t="shared" si="46"/>
        <v>Week 20</v>
      </c>
      <c r="G767" s="2" t="str">
        <f t="shared" si="47"/>
        <v>Week 20-2025</v>
      </c>
      <c r="O767"/>
      <c r="Q767"/>
    </row>
    <row r="768" spans="1:17" hidden="1" x14ac:dyDescent="0.2">
      <c r="A768" s="3">
        <v>45788</v>
      </c>
      <c r="B768" s="2" t="s">
        <v>7</v>
      </c>
      <c r="C768" s="2">
        <v>5</v>
      </c>
      <c r="D768" s="2">
        <f t="shared" si="44"/>
        <v>2025</v>
      </c>
      <c r="E768" s="2" t="str">
        <f t="shared" si="45"/>
        <v>2025-19</v>
      </c>
      <c r="F768" s="2" t="str">
        <f t="shared" si="46"/>
        <v>Week 20</v>
      </c>
      <c r="G768" s="2" t="str">
        <f t="shared" si="47"/>
        <v>Week 20-2025</v>
      </c>
      <c r="O768"/>
      <c r="Q768"/>
    </row>
    <row r="769" spans="1:17" hidden="1" x14ac:dyDescent="0.2">
      <c r="A769" s="3">
        <v>45788</v>
      </c>
      <c r="B769" s="2" t="s">
        <v>18</v>
      </c>
      <c r="C769" s="2">
        <v>4</v>
      </c>
      <c r="D769" s="2">
        <f t="shared" si="44"/>
        <v>2025</v>
      </c>
      <c r="E769" s="2" t="str">
        <f t="shared" si="45"/>
        <v>2025-19</v>
      </c>
      <c r="F769" s="2" t="str">
        <f t="shared" si="46"/>
        <v>Week 20</v>
      </c>
      <c r="G769" s="2" t="str">
        <f t="shared" si="47"/>
        <v>Week 20-2025</v>
      </c>
      <c r="O769"/>
      <c r="Q769"/>
    </row>
    <row r="770" spans="1:17" hidden="1" x14ac:dyDescent="0.2">
      <c r="A770" s="3">
        <v>45788</v>
      </c>
      <c r="B770" s="2" t="s">
        <v>6</v>
      </c>
      <c r="C770" s="2">
        <v>4</v>
      </c>
      <c r="D770" s="2">
        <f t="shared" ref="D770:D833" si="48">YEAR(A770)</f>
        <v>2025</v>
      </c>
      <c r="E770" s="2" t="str">
        <f t="shared" ref="E770:E833" si="49">YEAR(A770)&amp;"-"&amp;_xlfn.ISOWEEKNUM(A770)</f>
        <v>2025-19</v>
      </c>
      <c r="F770" s="2" t="str">
        <f t="shared" ref="F770:F833" si="50">_xlfn.CONCAT("Week "&amp;WEEKNUM(A770))</f>
        <v>Week 20</v>
      </c>
      <c r="G770" s="2" t="str">
        <f t="shared" ref="G770:G833" si="51">_xlfn.CONCAT(F770,"-",D770)</f>
        <v>Week 20-2025</v>
      </c>
      <c r="O770"/>
      <c r="Q770"/>
    </row>
    <row r="771" spans="1:17" hidden="1" x14ac:dyDescent="0.2">
      <c r="A771" s="3">
        <v>45788</v>
      </c>
      <c r="B771" s="2" t="s">
        <v>7</v>
      </c>
      <c r="C771" s="2">
        <v>4</v>
      </c>
      <c r="D771" s="2">
        <f t="shared" si="48"/>
        <v>2025</v>
      </c>
      <c r="E771" s="2" t="str">
        <f t="shared" si="49"/>
        <v>2025-19</v>
      </c>
      <c r="F771" s="2" t="str">
        <f t="shared" si="50"/>
        <v>Week 20</v>
      </c>
      <c r="G771" s="2" t="str">
        <f t="shared" si="51"/>
        <v>Week 20-2025</v>
      </c>
      <c r="O771"/>
      <c r="Q771"/>
    </row>
    <row r="772" spans="1:17" hidden="1" x14ac:dyDescent="0.2">
      <c r="A772" s="3">
        <v>45788</v>
      </c>
      <c r="B772" s="2" t="s">
        <v>7</v>
      </c>
      <c r="C772" s="2">
        <v>4</v>
      </c>
      <c r="D772" s="2">
        <f t="shared" si="48"/>
        <v>2025</v>
      </c>
      <c r="E772" s="2" t="str">
        <f t="shared" si="49"/>
        <v>2025-19</v>
      </c>
      <c r="F772" s="2" t="str">
        <f t="shared" si="50"/>
        <v>Week 20</v>
      </c>
      <c r="G772" s="2" t="str">
        <f t="shared" si="51"/>
        <v>Week 20-2025</v>
      </c>
      <c r="O772"/>
      <c r="Q772"/>
    </row>
    <row r="773" spans="1:17" hidden="1" x14ac:dyDescent="0.2">
      <c r="A773" s="3">
        <v>45788</v>
      </c>
      <c r="B773" s="2" t="s">
        <v>7</v>
      </c>
      <c r="C773" s="2">
        <v>4</v>
      </c>
      <c r="D773" s="2">
        <f t="shared" si="48"/>
        <v>2025</v>
      </c>
      <c r="E773" s="2" t="str">
        <f t="shared" si="49"/>
        <v>2025-19</v>
      </c>
      <c r="F773" s="2" t="str">
        <f t="shared" si="50"/>
        <v>Week 20</v>
      </c>
      <c r="G773" s="2" t="str">
        <f t="shared" si="51"/>
        <v>Week 20-2025</v>
      </c>
      <c r="O773"/>
      <c r="Q773"/>
    </row>
    <row r="774" spans="1:17" hidden="1" x14ac:dyDescent="0.2">
      <c r="A774" s="3">
        <v>45788</v>
      </c>
      <c r="B774" s="2" t="s">
        <v>3</v>
      </c>
      <c r="C774" s="2">
        <v>5</v>
      </c>
      <c r="D774" s="2">
        <f t="shared" si="48"/>
        <v>2025</v>
      </c>
      <c r="E774" s="2" t="str">
        <f t="shared" si="49"/>
        <v>2025-19</v>
      </c>
      <c r="F774" s="2" t="str">
        <f t="shared" si="50"/>
        <v>Week 20</v>
      </c>
      <c r="G774" s="2" t="str">
        <f t="shared" si="51"/>
        <v>Week 20-2025</v>
      </c>
      <c r="O774"/>
      <c r="Q774"/>
    </row>
    <row r="775" spans="1:17" hidden="1" x14ac:dyDescent="0.2">
      <c r="A775" s="3">
        <v>45788</v>
      </c>
      <c r="B775" s="2" t="s">
        <v>9</v>
      </c>
      <c r="C775" s="2">
        <v>4</v>
      </c>
      <c r="D775" s="2">
        <f t="shared" si="48"/>
        <v>2025</v>
      </c>
      <c r="E775" s="2" t="str">
        <f t="shared" si="49"/>
        <v>2025-19</v>
      </c>
      <c r="F775" s="2" t="str">
        <f t="shared" si="50"/>
        <v>Week 20</v>
      </c>
      <c r="G775" s="2" t="str">
        <f t="shared" si="51"/>
        <v>Week 20-2025</v>
      </c>
      <c r="O775"/>
      <c r="Q775"/>
    </row>
    <row r="776" spans="1:17" hidden="1" x14ac:dyDescent="0.2">
      <c r="A776" s="3">
        <v>45788</v>
      </c>
      <c r="B776" s="2" t="s">
        <v>9</v>
      </c>
      <c r="C776" s="2">
        <v>4</v>
      </c>
      <c r="D776" s="2">
        <f t="shared" si="48"/>
        <v>2025</v>
      </c>
      <c r="E776" s="2" t="str">
        <f t="shared" si="49"/>
        <v>2025-19</v>
      </c>
      <c r="F776" s="2" t="str">
        <f t="shared" si="50"/>
        <v>Week 20</v>
      </c>
      <c r="G776" s="2" t="str">
        <f t="shared" si="51"/>
        <v>Week 20-2025</v>
      </c>
      <c r="O776"/>
      <c r="Q776"/>
    </row>
    <row r="777" spans="1:17" hidden="1" x14ac:dyDescent="0.2">
      <c r="A777" s="3">
        <v>45788</v>
      </c>
      <c r="B777" s="2" t="s">
        <v>12</v>
      </c>
      <c r="C777" s="2">
        <v>2</v>
      </c>
      <c r="D777" s="2">
        <f t="shared" si="48"/>
        <v>2025</v>
      </c>
      <c r="E777" s="2" t="str">
        <f t="shared" si="49"/>
        <v>2025-19</v>
      </c>
      <c r="F777" s="2" t="str">
        <f t="shared" si="50"/>
        <v>Week 20</v>
      </c>
      <c r="G777" s="2" t="str">
        <f t="shared" si="51"/>
        <v>Week 20-2025</v>
      </c>
      <c r="O777"/>
      <c r="Q777"/>
    </row>
    <row r="778" spans="1:17" hidden="1" x14ac:dyDescent="0.2">
      <c r="A778" s="3">
        <v>45788</v>
      </c>
      <c r="B778" s="2" t="s">
        <v>12</v>
      </c>
      <c r="C778" s="2">
        <v>2</v>
      </c>
      <c r="D778" s="2">
        <f t="shared" si="48"/>
        <v>2025</v>
      </c>
      <c r="E778" s="2" t="str">
        <f t="shared" si="49"/>
        <v>2025-19</v>
      </c>
      <c r="F778" s="2" t="str">
        <f t="shared" si="50"/>
        <v>Week 20</v>
      </c>
      <c r="G778" s="2" t="str">
        <f t="shared" si="51"/>
        <v>Week 20-2025</v>
      </c>
      <c r="O778"/>
      <c r="Q778"/>
    </row>
    <row r="779" spans="1:17" hidden="1" x14ac:dyDescent="0.2">
      <c r="A779" s="3">
        <v>45788</v>
      </c>
      <c r="B779" s="2" t="s">
        <v>18</v>
      </c>
      <c r="C779" s="2">
        <v>2</v>
      </c>
      <c r="D779" s="2">
        <f t="shared" si="48"/>
        <v>2025</v>
      </c>
      <c r="E779" s="2" t="str">
        <f t="shared" si="49"/>
        <v>2025-19</v>
      </c>
      <c r="F779" s="2" t="str">
        <f t="shared" si="50"/>
        <v>Week 20</v>
      </c>
      <c r="G779" s="2" t="str">
        <f t="shared" si="51"/>
        <v>Week 20-2025</v>
      </c>
      <c r="O779"/>
      <c r="Q779"/>
    </row>
    <row r="780" spans="1:17" hidden="1" x14ac:dyDescent="0.2">
      <c r="A780" s="3">
        <v>45788</v>
      </c>
      <c r="B780" s="2" t="s">
        <v>18</v>
      </c>
      <c r="C780" s="2">
        <v>2</v>
      </c>
      <c r="D780" s="2">
        <f t="shared" si="48"/>
        <v>2025</v>
      </c>
      <c r="E780" s="2" t="str">
        <f t="shared" si="49"/>
        <v>2025-19</v>
      </c>
      <c r="F780" s="2" t="str">
        <f t="shared" si="50"/>
        <v>Week 20</v>
      </c>
      <c r="G780" s="2" t="str">
        <f t="shared" si="51"/>
        <v>Week 20-2025</v>
      </c>
      <c r="O780"/>
      <c r="Q780"/>
    </row>
    <row r="781" spans="1:17" hidden="1" x14ac:dyDescent="0.2">
      <c r="A781" s="3">
        <v>45788</v>
      </c>
      <c r="B781" s="2" t="s">
        <v>5</v>
      </c>
      <c r="C781" s="2">
        <v>3</v>
      </c>
      <c r="D781" s="2">
        <f t="shared" si="48"/>
        <v>2025</v>
      </c>
      <c r="E781" s="2" t="str">
        <f t="shared" si="49"/>
        <v>2025-19</v>
      </c>
      <c r="F781" s="2" t="str">
        <f t="shared" si="50"/>
        <v>Week 20</v>
      </c>
      <c r="G781" s="2" t="str">
        <f t="shared" si="51"/>
        <v>Week 20-2025</v>
      </c>
      <c r="O781"/>
      <c r="Q781"/>
    </row>
    <row r="782" spans="1:17" hidden="1" x14ac:dyDescent="0.2">
      <c r="A782" s="3">
        <v>45789</v>
      </c>
      <c r="B782" s="2" t="s">
        <v>4</v>
      </c>
      <c r="C782" s="2">
        <v>8</v>
      </c>
      <c r="D782" s="2">
        <f t="shared" si="48"/>
        <v>2025</v>
      </c>
      <c r="E782" s="2" t="str">
        <f t="shared" si="49"/>
        <v>2025-20</v>
      </c>
      <c r="F782" s="2" t="str">
        <f t="shared" si="50"/>
        <v>Week 20</v>
      </c>
      <c r="G782" s="2" t="str">
        <f t="shared" si="51"/>
        <v>Week 20-2025</v>
      </c>
      <c r="O782"/>
      <c r="Q782"/>
    </row>
    <row r="783" spans="1:17" hidden="1" x14ac:dyDescent="0.2">
      <c r="A783" s="3">
        <v>45789</v>
      </c>
      <c r="B783" s="2" t="s">
        <v>6</v>
      </c>
      <c r="C783" s="2">
        <v>4</v>
      </c>
      <c r="D783" s="2">
        <f t="shared" si="48"/>
        <v>2025</v>
      </c>
      <c r="E783" s="2" t="str">
        <f t="shared" si="49"/>
        <v>2025-20</v>
      </c>
      <c r="F783" s="2" t="str">
        <f t="shared" si="50"/>
        <v>Week 20</v>
      </c>
      <c r="G783" s="2" t="str">
        <f t="shared" si="51"/>
        <v>Week 20-2025</v>
      </c>
      <c r="O783"/>
      <c r="Q783"/>
    </row>
    <row r="784" spans="1:17" hidden="1" x14ac:dyDescent="0.2">
      <c r="A784" s="3">
        <v>45789</v>
      </c>
      <c r="B784" s="2" t="s">
        <v>6</v>
      </c>
      <c r="C784" s="2">
        <v>4</v>
      </c>
      <c r="D784" s="2">
        <f t="shared" si="48"/>
        <v>2025</v>
      </c>
      <c r="E784" s="2" t="str">
        <f t="shared" si="49"/>
        <v>2025-20</v>
      </c>
      <c r="F784" s="2" t="str">
        <f t="shared" si="50"/>
        <v>Week 20</v>
      </c>
      <c r="G784" s="2" t="str">
        <f t="shared" si="51"/>
        <v>Week 20-2025</v>
      </c>
      <c r="O784"/>
      <c r="Q784"/>
    </row>
    <row r="785" spans="1:17" hidden="1" x14ac:dyDescent="0.2">
      <c r="A785" s="3">
        <v>45789</v>
      </c>
      <c r="B785" s="2" t="s">
        <v>3</v>
      </c>
      <c r="C785" s="2">
        <v>5</v>
      </c>
      <c r="D785" s="2">
        <f t="shared" si="48"/>
        <v>2025</v>
      </c>
      <c r="E785" s="2" t="str">
        <f t="shared" si="49"/>
        <v>2025-20</v>
      </c>
      <c r="F785" s="2" t="str">
        <f t="shared" si="50"/>
        <v>Week 20</v>
      </c>
      <c r="G785" s="2" t="str">
        <f t="shared" si="51"/>
        <v>Week 20-2025</v>
      </c>
      <c r="O785"/>
      <c r="Q785"/>
    </row>
    <row r="786" spans="1:17" hidden="1" x14ac:dyDescent="0.2">
      <c r="A786" s="3">
        <v>45789</v>
      </c>
      <c r="B786" s="2" t="s">
        <v>9</v>
      </c>
      <c r="C786" s="2">
        <v>4</v>
      </c>
      <c r="D786" s="2">
        <f t="shared" si="48"/>
        <v>2025</v>
      </c>
      <c r="E786" s="2" t="str">
        <f t="shared" si="49"/>
        <v>2025-20</v>
      </c>
      <c r="F786" s="2" t="str">
        <f t="shared" si="50"/>
        <v>Week 20</v>
      </c>
      <c r="G786" s="2" t="str">
        <f t="shared" si="51"/>
        <v>Week 20-2025</v>
      </c>
      <c r="O786"/>
      <c r="Q786"/>
    </row>
    <row r="787" spans="1:17" hidden="1" x14ac:dyDescent="0.2">
      <c r="A787" s="3">
        <v>45789</v>
      </c>
      <c r="B787" s="2" t="s">
        <v>5</v>
      </c>
      <c r="C787" s="2">
        <v>3</v>
      </c>
      <c r="D787" s="2">
        <f t="shared" si="48"/>
        <v>2025</v>
      </c>
      <c r="E787" s="2" t="str">
        <f t="shared" si="49"/>
        <v>2025-20</v>
      </c>
      <c r="F787" s="2" t="str">
        <f t="shared" si="50"/>
        <v>Week 20</v>
      </c>
      <c r="G787" s="2" t="str">
        <f t="shared" si="51"/>
        <v>Week 20-2025</v>
      </c>
      <c r="O787"/>
      <c r="Q787"/>
    </row>
    <row r="788" spans="1:17" hidden="1" x14ac:dyDescent="0.2">
      <c r="A788" s="3">
        <v>45790</v>
      </c>
      <c r="B788" s="2" t="s">
        <v>3</v>
      </c>
      <c r="C788" s="2">
        <v>52</v>
      </c>
      <c r="D788" s="2">
        <f t="shared" si="48"/>
        <v>2025</v>
      </c>
      <c r="E788" s="2" t="str">
        <f t="shared" si="49"/>
        <v>2025-20</v>
      </c>
      <c r="F788" s="2" t="str">
        <f t="shared" si="50"/>
        <v>Week 20</v>
      </c>
      <c r="G788" s="2" t="str">
        <f t="shared" si="51"/>
        <v>Week 20-2025</v>
      </c>
      <c r="O788"/>
      <c r="Q788"/>
    </row>
    <row r="789" spans="1:17" hidden="1" x14ac:dyDescent="0.2">
      <c r="A789" s="3">
        <v>45790</v>
      </c>
      <c r="B789" s="2" t="s">
        <v>4</v>
      </c>
      <c r="C789" s="2">
        <v>20</v>
      </c>
      <c r="D789" s="2">
        <f t="shared" si="48"/>
        <v>2025</v>
      </c>
      <c r="E789" s="2" t="str">
        <f t="shared" si="49"/>
        <v>2025-20</v>
      </c>
      <c r="F789" s="2" t="str">
        <f t="shared" si="50"/>
        <v>Week 20</v>
      </c>
      <c r="G789" s="2" t="str">
        <f t="shared" si="51"/>
        <v>Week 20-2025</v>
      </c>
      <c r="O789"/>
      <c r="Q789"/>
    </row>
    <row r="790" spans="1:17" hidden="1" x14ac:dyDescent="0.2">
      <c r="A790" s="3">
        <v>45790</v>
      </c>
      <c r="B790" s="2" t="s">
        <v>5</v>
      </c>
      <c r="C790" s="2">
        <v>28</v>
      </c>
      <c r="D790" s="2">
        <f t="shared" si="48"/>
        <v>2025</v>
      </c>
      <c r="E790" s="2" t="str">
        <f t="shared" si="49"/>
        <v>2025-20</v>
      </c>
      <c r="F790" s="2" t="str">
        <f t="shared" si="50"/>
        <v>Week 20</v>
      </c>
      <c r="G790" s="2" t="str">
        <f t="shared" si="51"/>
        <v>Week 20-2025</v>
      </c>
      <c r="O790"/>
      <c r="Q790"/>
    </row>
    <row r="791" spans="1:17" hidden="1" x14ac:dyDescent="0.2">
      <c r="A791" s="3">
        <v>45790</v>
      </c>
      <c r="B791" s="2" t="s">
        <v>5</v>
      </c>
      <c r="C791" s="2">
        <v>27</v>
      </c>
      <c r="D791" s="2">
        <f t="shared" si="48"/>
        <v>2025</v>
      </c>
      <c r="E791" s="2" t="str">
        <f t="shared" si="49"/>
        <v>2025-20</v>
      </c>
      <c r="F791" s="2" t="str">
        <f t="shared" si="50"/>
        <v>Week 20</v>
      </c>
      <c r="G791" s="2" t="str">
        <f t="shared" si="51"/>
        <v>Week 20-2025</v>
      </c>
      <c r="O791"/>
      <c r="Q791"/>
    </row>
    <row r="792" spans="1:17" hidden="1" x14ac:dyDescent="0.2">
      <c r="A792" s="3">
        <v>45790</v>
      </c>
      <c r="B792" s="2" t="s">
        <v>3</v>
      </c>
      <c r="C792" s="2">
        <v>16</v>
      </c>
      <c r="D792" s="2">
        <f t="shared" si="48"/>
        <v>2025</v>
      </c>
      <c r="E792" s="2" t="str">
        <f t="shared" si="49"/>
        <v>2025-20</v>
      </c>
      <c r="F792" s="2" t="str">
        <f t="shared" si="50"/>
        <v>Week 20</v>
      </c>
      <c r="G792" s="2" t="str">
        <f t="shared" si="51"/>
        <v>Week 20-2025</v>
      </c>
      <c r="O792"/>
      <c r="Q792"/>
    </row>
    <row r="793" spans="1:17" hidden="1" x14ac:dyDescent="0.2">
      <c r="A793" s="3">
        <v>45790</v>
      </c>
      <c r="B793" s="2" t="s">
        <v>5</v>
      </c>
      <c r="C793" s="2">
        <v>16</v>
      </c>
      <c r="D793" s="2">
        <f t="shared" si="48"/>
        <v>2025</v>
      </c>
      <c r="E793" s="2" t="str">
        <f t="shared" si="49"/>
        <v>2025-20</v>
      </c>
      <c r="F793" s="2" t="str">
        <f t="shared" si="50"/>
        <v>Week 20</v>
      </c>
      <c r="G793" s="2" t="str">
        <f t="shared" si="51"/>
        <v>Week 20-2025</v>
      </c>
      <c r="O793"/>
      <c r="Q793"/>
    </row>
    <row r="794" spans="1:17" hidden="1" x14ac:dyDescent="0.2">
      <c r="A794" s="3">
        <v>45790</v>
      </c>
      <c r="B794" s="2" t="s">
        <v>14</v>
      </c>
      <c r="C794" s="2">
        <v>16</v>
      </c>
      <c r="D794" s="2">
        <f t="shared" si="48"/>
        <v>2025</v>
      </c>
      <c r="E794" s="2" t="str">
        <f t="shared" si="49"/>
        <v>2025-20</v>
      </c>
      <c r="F794" s="2" t="str">
        <f t="shared" si="50"/>
        <v>Week 20</v>
      </c>
      <c r="G794" s="2" t="str">
        <f t="shared" si="51"/>
        <v>Week 20-2025</v>
      </c>
      <c r="O794"/>
      <c r="Q794"/>
    </row>
    <row r="795" spans="1:17" hidden="1" x14ac:dyDescent="0.2">
      <c r="A795" s="3">
        <v>45790</v>
      </c>
      <c r="B795" s="2" t="s">
        <v>9</v>
      </c>
      <c r="C795" s="2">
        <v>8</v>
      </c>
      <c r="D795" s="2">
        <f t="shared" si="48"/>
        <v>2025</v>
      </c>
      <c r="E795" s="2" t="str">
        <f t="shared" si="49"/>
        <v>2025-20</v>
      </c>
      <c r="F795" s="2" t="str">
        <f t="shared" si="50"/>
        <v>Week 20</v>
      </c>
      <c r="G795" s="2" t="str">
        <f t="shared" si="51"/>
        <v>Week 20-2025</v>
      </c>
      <c r="O795"/>
      <c r="Q795"/>
    </row>
    <row r="796" spans="1:17" hidden="1" x14ac:dyDescent="0.2">
      <c r="A796" s="3">
        <v>45790</v>
      </c>
      <c r="B796" s="2" t="s">
        <v>9</v>
      </c>
      <c r="C796" s="2">
        <v>8</v>
      </c>
      <c r="D796" s="2">
        <f t="shared" si="48"/>
        <v>2025</v>
      </c>
      <c r="E796" s="2" t="str">
        <f t="shared" si="49"/>
        <v>2025-20</v>
      </c>
      <c r="F796" s="2" t="str">
        <f t="shared" si="50"/>
        <v>Week 20</v>
      </c>
      <c r="G796" s="2" t="str">
        <f t="shared" si="51"/>
        <v>Week 20-2025</v>
      </c>
      <c r="O796"/>
      <c r="Q796"/>
    </row>
    <row r="797" spans="1:17" hidden="1" x14ac:dyDescent="0.2">
      <c r="A797" s="3">
        <v>45790</v>
      </c>
      <c r="B797" s="2" t="s">
        <v>10</v>
      </c>
      <c r="C797" s="2">
        <v>12</v>
      </c>
      <c r="D797" s="2">
        <f t="shared" si="48"/>
        <v>2025</v>
      </c>
      <c r="E797" s="2" t="str">
        <f t="shared" si="49"/>
        <v>2025-20</v>
      </c>
      <c r="F797" s="2" t="str">
        <f t="shared" si="50"/>
        <v>Week 20</v>
      </c>
      <c r="G797" s="2" t="str">
        <f t="shared" si="51"/>
        <v>Week 20-2025</v>
      </c>
      <c r="O797"/>
      <c r="Q797"/>
    </row>
    <row r="798" spans="1:17" hidden="1" x14ac:dyDescent="0.2">
      <c r="A798" s="3">
        <v>45790</v>
      </c>
      <c r="B798" s="2" t="s">
        <v>14</v>
      </c>
      <c r="C798" s="2">
        <v>10</v>
      </c>
      <c r="D798" s="2">
        <f t="shared" si="48"/>
        <v>2025</v>
      </c>
      <c r="E798" s="2" t="str">
        <f t="shared" si="49"/>
        <v>2025-20</v>
      </c>
      <c r="F798" s="2" t="str">
        <f t="shared" si="50"/>
        <v>Week 20</v>
      </c>
      <c r="G798" s="2" t="str">
        <f t="shared" si="51"/>
        <v>Week 20-2025</v>
      </c>
      <c r="O798"/>
      <c r="Q798"/>
    </row>
    <row r="799" spans="1:17" hidden="1" x14ac:dyDescent="0.2">
      <c r="A799" s="3">
        <v>45790</v>
      </c>
      <c r="B799" s="2" t="s">
        <v>8</v>
      </c>
      <c r="C799" s="2">
        <v>9</v>
      </c>
      <c r="D799" s="2">
        <f t="shared" si="48"/>
        <v>2025</v>
      </c>
      <c r="E799" s="2" t="str">
        <f t="shared" si="49"/>
        <v>2025-20</v>
      </c>
      <c r="F799" s="2" t="str">
        <f t="shared" si="50"/>
        <v>Week 20</v>
      </c>
      <c r="G799" s="2" t="str">
        <f t="shared" si="51"/>
        <v>Week 20-2025</v>
      </c>
      <c r="O799"/>
      <c r="Q799"/>
    </row>
    <row r="800" spans="1:17" hidden="1" x14ac:dyDescent="0.2">
      <c r="A800" s="3">
        <v>45790</v>
      </c>
      <c r="B800" s="2" t="s">
        <v>31</v>
      </c>
      <c r="C800" s="2">
        <v>8</v>
      </c>
      <c r="D800" s="2">
        <f t="shared" si="48"/>
        <v>2025</v>
      </c>
      <c r="E800" s="2" t="str">
        <f t="shared" si="49"/>
        <v>2025-20</v>
      </c>
      <c r="F800" s="2" t="str">
        <f t="shared" si="50"/>
        <v>Week 20</v>
      </c>
      <c r="G800" s="2" t="str">
        <f t="shared" si="51"/>
        <v>Week 20-2025</v>
      </c>
      <c r="O800"/>
      <c r="Q800"/>
    </row>
    <row r="801" spans="1:17" hidden="1" x14ac:dyDescent="0.2">
      <c r="A801" s="3">
        <v>45790</v>
      </c>
      <c r="B801" s="2" t="s">
        <v>7</v>
      </c>
      <c r="C801" s="2">
        <v>4</v>
      </c>
      <c r="D801" s="2">
        <f t="shared" si="48"/>
        <v>2025</v>
      </c>
      <c r="E801" s="2" t="str">
        <f t="shared" si="49"/>
        <v>2025-20</v>
      </c>
      <c r="F801" s="2" t="str">
        <f t="shared" si="50"/>
        <v>Week 20</v>
      </c>
      <c r="G801" s="2" t="str">
        <f t="shared" si="51"/>
        <v>Week 20-2025</v>
      </c>
      <c r="O801"/>
      <c r="Q801"/>
    </row>
    <row r="802" spans="1:17" hidden="1" x14ac:dyDescent="0.2">
      <c r="A802" s="3">
        <v>45790</v>
      </c>
      <c r="B802" s="2" t="s">
        <v>14</v>
      </c>
      <c r="C802" s="2">
        <v>8</v>
      </c>
      <c r="D802" s="2">
        <f t="shared" si="48"/>
        <v>2025</v>
      </c>
      <c r="E802" s="2" t="str">
        <f t="shared" si="49"/>
        <v>2025-20</v>
      </c>
      <c r="F802" s="2" t="str">
        <f t="shared" si="50"/>
        <v>Week 20</v>
      </c>
      <c r="G802" s="2" t="str">
        <f t="shared" si="51"/>
        <v>Week 20-2025</v>
      </c>
      <c r="O802"/>
      <c r="Q802"/>
    </row>
    <row r="803" spans="1:17" hidden="1" x14ac:dyDescent="0.2">
      <c r="A803" s="3">
        <v>45790</v>
      </c>
      <c r="B803" s="2" t="s">
        <v>8</v>
      </c>
      <c r="C803" s="2">
        <v>8</v>
      </c>
      <c r="D803" s="2">
        <f t="shared" si="48"/>
        <v>2025</v>
      </c>
      <c r="E803" s="2" t="str">
        <f t="shared" si="49"/>
        <v>2025-20</v>
      </c>
      <c r="F803" s="2" t="str">
        <f t="shared" si="50"/>
        <v>Week 20</v>
      </c>
      <c r="G803" s="2" t="str">
        <f t="shared" si="51"/>
        <v>Week 20-2025</v>
      </c>
      <c r="O803"/>
      <c r="Q803"/>
    </row>
    <row r="804" spans="1:17" hidden="1" x14ac:dyDescent="0.2">
      <c r="A804" s="3">
        <v>45790</v>
      </c>
      <c r="B804" s="2" t="s">
        <v>3</v>
      </c>
      <c r="C804" s="2">
        <v>4</v>
      </c>
      <c r="D804" s="2">
        <f t="shared" si="48"/>
        <v>2025</v>
      </c>
      <c r="E804" s="2" t="str">
        <f t="shared" si="49"/>
        <v>2025-20</v>
      </c>
      <c r="F804" s="2" t="str">
        <f t="shared" si="50"/>
        <v>Week 20</v>
      </c>
      <c r="G804" s="2" t="str">
        <f t="shared" si="51"/>
        <v>Week 20-2025</v>
      </c>
      <c r="O804"/>
      <c r="Q804"/>
    </row>
    <row r="805" spans="1:17" hidden="1" x14ac:dyDescent="0.2">
      <c r="A805" s="3">
        <v>45790</v>
      </c>
      <c r="B805" s="2" t="s">
        <v>5</v>
      </c>
      <c r="C805" s="2">
        <v>4</v>
      </c>
      <c r="D805" s="2">
        <f t="shared" si="48"/>
        <v>2025</v>
      </c>
      <c r="E805" s="2" t="str">
        <f t="shared" si="49"/>
        <v>2025-20</v>
      </c>
      <c r="F805" s="2" t="str">
        <f t="shared" si="50"/>
        <v>Week 20</v>
      </c>
      <c r="G805" s="2" t="str">
        <f t="shared" si="51"/>
        <v>Week 20-2025</v>
      </c>
      <c r="O805"/>
      <c r="Q805"/>
    </row>
    <row r="806" spans="1:17" hidden="1" x14ac:dyDescent="0.2">
      <c r="A806" s="3">
        <v>45790</v>
      </c>
      <c r="B806" s="2" t="s">
        <v>5</v>
      </c>
      <c r="C806" s="2">
        <v>4</v>
      </c>
      <c r="D806" s="2">
        <f t="shared" si="48"/>
        <v>2025</v>
      </c>
      <c r="E806" s="2" t="str">
        <f t="shared" si="49"/>
        <v>2025-20</v>
      </c>
      <c r="F806" s="2" t="str">
        <f t="shared" si="50"/>
        <v>Week 20</v>
      </c>
      <c r="G806" s="2" t="str">
        <f t="shared" si="51"/>
        <v>Week 20-2025</v>
      </c>
      <c r="O806"/>
      <c r="Q806"/>
    </row>
    <row r="807" spans="1:17" hidden="1" x14ac:dyDescent="0.2">
      <c r="A807" s="3">
        <v>45790</v>
      </c>
      <c r="B807" s="2" t="s">
        <v>17</v>
      </c>
      <c r="C807" s="2">
        <v>4</v>
      </c>
      <c r="D807" s="2">
        <f t="shared" si="48"/>
        <v>2025</v>
      </c>
      <c r="E807" s="2" t="str">
        <f t="shared" si="49"/>
        <v>2025-20</v>
      </c>
      <c r="F807" s="2" t="str">
        <f t="shared" si="50"/>
        <v>Week 20</v>
      </c>
      <c r="G807" s="2" t="str">
        <f t="shared" si="51"/>
        <v>Week 20-2025</v>
      </c>
      <c r="O807"/>
      <c r="Q807"/>
    </row>
    <row r="808" spans="1:17" hidden="1" x14ac:dyDescent="0.2">
      <c r="A808" s="3">
        <v>45790</v>
      </c>
      <c r="B808" s="2" t="s">
        <v>30</v>
      </c>
      <c r="C808" s="2">
        <v>4</v>
      </c>
      <c r="D808" s="2">
        <f t="shared" si="48"/>
        <v>2025</v>
      </c>
      <c r="E808" s="2" t="str">
        <f t="shared" si="49"/>
        <v>2025-20</v>
      </c>
      <c r="F808" s="2" t="str">
        <f t="shared" si="50"/>
        <v>Week 20</v>
      </c>
      <c r="G808" s="2" t="str">
        <f t="shared" si="51"/>
        <v>Week 20-2025</v>
      </c>
      <c r="O808"/>
      <c r="Q808"/>
    </row>
    <row r="809" spans="1:17" hidden="1" x14ac:dyDescent="0.2">
      <c r="A809" s="3">
        <v>45790</v>
      </c>
      <c r="B809" s="2" t="s">
        <v>5</v>
      </c>
      <c r="C809" s="2">
        <v>1</v>
      </c>
      <c r="D809" s="2">
        <f t="shared" si="48"/>
        <v>2025</v>
      </c>
      <c r="E809" s="2" t="str">
        <f t="shared" si="49"/>
        <v>2025-20</v>
      </c>
      <c r="F809" s="2" t="str">
        <f t="shared" si="50"/>
        <v>Week 20</v>
      </c>
      <c r="G809" s="2" t="str">
        <f t="shared" si="51"/>
        <v>Week 20-2025</v>
      </c>
      <c r="O809"/>
      <c r="Q809"/>
    </row>
    <row r="810" spans="1:17" hidden="1" x14ac:dyDescent="0.2">
      <c r="A810" s="3">
        <v>45790</v>
      </c>
      <c r="B810" s="2" t="s">
        <v>8</v>
      </c>
      <c r="C810" s="2">
        <v>1</v>
      </c>
      <c r="D810" s="2">
        <f t="shared" si="48"/>
        <v>2025</v>
      </c>
      <c r="E810" s="2" t="str">
        <f t="shared" si="49"/>
        <v>2025-20</v>
      </c>
      <c r="F810" s="2" t="str">
        <f t="shared" si="50"/>
        <v>Week 20</v>
      </c>
      <c r="G810" s="2" t="str">
        <f t="shared" si="51"/>
        <v>Week 20-2025</v>
      </c>
      <c r="O810"/>
      <c r="Q810"/>
    </row>
    <row r="811" spans="1:17" hidden="1" x14ac:dyDescent="0.2">
      <c r="A811" s="3">
        <v>45791</v>
      </c>
      <c r="B811" s="2" t="s">
        <v>6</v>
      </c>
      <c r="C811" s="2">
        <v>8</v>
      </c>
      <c r="D811" s="2">
        <f t="shared" si="48"/>
        <v>2025</v>
      </c>
      <c r="E811" s="2" t="str">
        <f t="shared" si="49"/>
        <v>2025-20</v>
      </c>
      <c r="F811" s="2" t="str">
        <f t="shared" si="50"/>
        <v>Week 20</v>
      </c>
      <c r="G811" s="2" t="str">
        <f t="shared" si="51"/>
        <v>Week 20-2025</v>
      </c>
      <c r="O811"/>
      <c r="Q811"/>
    </row>
    <row r="812" spans="1:17" hidden="1" x14ac:dyDescent="0.2">
      <c r="A812" s="3">
        <v>45791</v>
      </c>
      <c r="B812" s="2" t="s">
        <v>6</v>
      </c>
      <c r="C812" s="2">
        <v>8</v>
      </c>
      <c r="D812" s="2">
        <f t="shared" si="48"/>
        <v>2025</v>
      </c>
      <c r="E812" s="2" t="str">
        <f t="shared" si="49"/>
        <v>2025-20</v>
      </c>
      <c r="F812" s="2" t="str">
        <f t="shared" si="50"/>
        <v>Week 20</v>
      </c>
      <c r="G812" s="2" t="str">
        <f t="shared" si="51"/>
        <v>Week 20-2025</v>
      </c>
      <c r="O812"/>
      <c r="Q812"/>
    </row>
    <row r="813" spans="1:17" hidden="1" x14ac:dyDescent="0.2">
      <c r="A813" s="3">
        <v>45791</v>
      </c>
      <c r="B813" s="2" t="s">
        <v>9</v>
      </c>
      <c r="C813" s="2">
        <v>8</v>
      </c>
      <c r="D813" s="2">
        <f t="shared" si="48"/>
        <v>2025</v>
      </c>
      <c r="E813" s="2" t="str">
        <f t="shared" si="49"/>
        <v>2025-20</v>
      </c>
      <c r="F813" s="2" t="str">
        <f t="shared" si="50"/>
        <v>Week 20</v>
      </c>
      <c r="G813" s="2" t="str">
        <f t="shared" si="51"/>
        <v>Week 20-2025</v>
      </c>
      <c r="O813"/>
      <c r="Q813"/>
    </row>
    <row r="814" spans="1:17" hidden="1" x14ac:dyDescent="0.2">
      <c r="A814" s="3">
        <v>45791</v>
      </c>
      <c r="B814" s="2" t="s">
        <v>5</v>
      </c>
      <c r="C814" s="2">
        <v>8</v>
      </c>
      <c r="D814" s="2">
        <f t="shared" si="48"/>
        <v>2025</v>
      </c>
      <c r="E814" s="2" t="str">
        <f t="shared" si="49"/>
        <v>2025-20</v>
      </c>
      <c r="F814" s="2" t="str">
        <f t="shared" si="50"/>
        <v>Week 20</v>
      </c>
      <c r="G814" s="2" t="str">
        <f t="shared" si="51"/>
        <v>Week 20-2025</v>
      </c>
      <c r="O814"/>
      <c r="Q814"/>
    </row>
    <row r="815" spans="1:17" hidden="1" x14ac:dyDescent="0.2">
      <c r="A815" s="3">
        <v>45791</v>
      </c>
      <c r="B815" s="2" t="s">
        <v>5</v>
      </c>
      <c r="C815" s="2">
        <v>8</v>
      </c>
      <c r="D815" s="2">
        <f t="shared" si="48"/>
        <v>2025</v>
      </c>
      <c r="E815" s="2" t="str">
        <f t="shared" si="49"/>
        <v>2025-20</v>
      </c>
      <c r="F815" s="2" t="str">
        <f t="shared" si="50"/>
        <v>Week 20</v>
      </c>
      <c r="G815" s="2" t="str">
        <f t="shared" si="51"/>
        <v>Week 20-2025</v>
      </c>
      <c r="O815"/>
      <c r="Q815"/>
    </row>
    <row r="816" spans="1:17" hidden="1" x14ac:dyDescent="0.2">
      <c r="A816" s="3">
        <v>45791</v>
      </c>
      <c r="B816" s="2" t="s">
        <v>19</v>
      </c>
      <c r="C816" s="2">
        <v>4</v>
      </c>
      <c r="D816" s="2">
        <f t="shared" si="48"/>
        <v>2025</v>
      </c>
      <c r="E816" s="2" t="str">
        <f t="shared" si="49"/>
        <v>2025-20</v>
      </c>
      <c r="F816" s="2" t="str">
        <f t="shared" si="50"/>
        <v>Week 20</v>
      </c>
      <c r="G816" s="2" t="str">
        <f t="shared" si="51"/>
        <v>Week 20-2025</v>
      </c>
      <c r="O816"/>
      <c r="Q816"/>
    </row>
    <row r="817" spans="1:17" hidden="1" x14ac:dyDescent="0.2">
      <c r="A817" s="3">
        <v>45791</v>
      </c>
      <c r="B817" s="2" t="s">
        <v>7</v>
      </c>
      <c r="C817" s="2">
        <v>4</v>
      </c>
      <c r="D817" s="2">
        <f t="shared" si="48"/>
        <v>2025</v>
      </c>
      <c r="E817" s="2" t="str">
        <f t="shared" si="49"/>
        <v>2025-20</v>
      </c>
      <c r="F817" s="2" t="str">
        <f t="shared" si="50"/>
        <v>Week 20</v>
      </c>
      <c r="G817" s="2" t="str">
        <f t="shared" si="51"/>
        <v>Week 20-2025</v>
      </c>
      <c r="O817"/>
      <c r="Q817"/>
    </row>
    <row r="818" spans="1:17" hidden="1" x14ac:dyDescent="0.2">
      <c r="A818" s="3">
        <v>45791</v>
      </c>
      <c r="B818" s="2" t="s">
        <v>3</v>
      </c>
      <c r="C818" s="2">
        <v>5</v>
      </c>
      <c r="D818" s="2">
        <f t="shared" si="48"/>
        <v>2025</v>
      </c>
      <c r="E818" s="2" t="str">
        <f t="shared" si="49"/>
        <v>2025-20</v>
      </c>
      <c r="F818" s="2" t="str">
        <f t="shared" si="50"/>
        <v>Week 20</v>
      </c>
      <c r="G818" s="2" t="str">
        <f t="shared" si="51"/>
        <v>Week 20-2025</v>
      </c>
      <c r="O818"/>
      <c r="Q818"/>
    </row>
    <row r="819" spans="1:17" hidden="1" x14ac:dyDescent="0.2">
      <c r="A819" s="3">
        <v>45791</v>
      </c>
      <c r="B819" s="2" t="s">
        <v>17</v>
      </c>
      <c r="C819" s="2">
        <v>6</v>
      </c>
      <c r="D819" s="2">
        <f t="shared" si="48"/>
        <v>2025</v>
      </c>
      <c r="E819" s="2" t="str">
        <f t="shared" si="49"/>
        <v>2025-20</v>
      </c>
      <c r="F819" s="2" t="str">
        <f t="shared" si="50"/>
        <v>Week 20</v>
      </c>
      <c r="G819" s="2" t="str">
        <f t="shared" si="51"/>
        <v>Week 20-2025</v>
      </c>
      <c r="O819"/>
      <c r="Q819"/>
    </row>
    <row r="820" spans="1:17" hidden="1" x14ac:dyDescent="0.2">
      <c r="A820" s="3">
        <v>45791</v>
      </c>
      <c r="B820" s="2" t="s">
        <v>4</v>
      </c>
      <c r="C820" s="2">
        <v>4</v>
      </c>
      <c r="D820" s="2">
        <f t="shared" si="48"/>
        <v>2025</v>
      </c>
      <c r="E820" s="2" t="str">
        <f t="shared" si="49"/>
        <v>2025-20</v>
      </c>
      <c r="F820" s="2" t="str">
        <f t="shared" si="50"/>
        <v>Week 20</v>
      </c>
      <c r="G820" s="2" t="str">
        <f t="shared" si="51"/>
        <v>Week 20-2025</v>
      </c>
      <c r="O820"/>
      <c r="Q820"/>
    </row>
    <row r="821" spans="1:17" hidden="1" x14ac:dyDescent="0.2">
      <c r="A821" s="3">
        <v>45791</v>
      </c>
      <c r="B821" s="2" t="s">
        <v>3</v>
      </c>
      <c r="C821" s="2">
        <v>4</v>
      </c>
      <c r="D821" s="2">
        <f t="shared" si="48"/>
        <v>2025</v>
      </c>
      <c r="E821" s="2" t="str">
        <f t="shared" si="49"/>
        <v>2025-20</v>
      </c>
      <c r="F821" s="2" t="str">
        <f t="shared" si="50"/>
        <v>Week 20</v>
      </c>
      <c r="G821" s="2" t="str">
        <f t="shared" si="51"/>
        <v>Week 20-2025</v>
      </c>
      <c r="O821"/>
      <c r="Q821"/>
    </row>
    <row r="822" spans="1:17" hidden="1" x14ac:dyDescent="0.2">
      <c r="A822" s="3">
        <v>45791</v>
      </c>
      <c r="B822" s="2" t="s">
        <v>14</v>
      </c>
      <c r="C822" s="2">
        <v>6</v>
      </c>
      <c r="D822" s="2">
        <f t="shared" si="48"/>
        <v>2025</v>
      </c>
      <c r="E822" s="2" t="str">
        <f t="shared" si="49"/>
        <v>2025-20</v>
      </c>
      <c r="F822" s="2" t="str">
        <f t="shared" si="50"/>
        <v>Week 20</v>
      </c>
      <c r="G822" s="2" t="str">
        <f t="shared" si="51"/>
        <v>Week 20-2025</v>
      </c>
      <c r="O822"/>
      <c r="Q822"/>
    </row>
    <row r="823" spans="1:17" hidden="1" x14ac:dyDescent="0.2">
      <c r="A823" s="3">
        <v>45791</v>
      </c>
      <c r="B823" s="2" t="s">
        <v>14</v>
      </c>
      <c r="C823" s="2">
        <v>4</v>
      </c>
      <c r="D823" s="2">
        <f t="shared" si="48"/>
        <v>2025</v>
      </c>
      <c r="E823" s="2" t="str">
        <f t="shared" si="49"/>
        <v>2025-20</v>
      </c>
      <c r="F823" s="2" t="str">
        <f t="shared" si="50"/>
        <v>Week 20</v>
      </c>
      <c r="G823" s="2" t="str">
        <f t="shared" si="51"/>
        <v>Week 20-2025</v>
      </c>
      <c r="O823"/>
      <c r="Q823"/>
    </row>
    <row r="824" spans="1:17" hidden="1" x14ac:dyDescent="0.2">
      <c r="A824" s="3">
        <v>45791</v>
      </c>
      <c r="B824" s="2" t="s">
        <v>4</v>
      </c>
      <c r="C824" s="2">
        <v>2</v>
      </c>
      <c r="D824" s="2">
        <f t="shared" si="48"/>
        <v>2025</v>
      </c>
      <c r="E824" s="2" t="str">
        <f t="shared" si="49"/>
        <v>2025-20</v>
      </c>
      <c r="F824" s="2" t="str">
        <f t="shared" si="50"/>
        <v>Week 20</v>
      </c>
      <c r="G824" s="2" t="str">
        <f t="shared" si="51"/>
        <v>Week 20-2025</v>
      </c>
      <c r="O824"/>
      <c r="Q824"/>
    </row>
    <row r="825" spans="1:17" hidden="1" x14ac:dyDescent="0.2">
      <c r="A825" s="3">
        <v>45791</v>
      </c>
      <c r="B825" s="2" t="s">
        <v>8</v>
      </c>
      <c r="C825" s="2">
        <v>4</v>
      </c>
      <c r="D825" s="2">
        <f t="shared" si="48"/>
        <v>2025</v>
      </c>
      <c r="E825" s="2" t="str">
        <f t="shared" si="49"/>
        <v>2025-20</v>
      </c>
      <c r="F825" s="2" t="str">
        <f t="shared" si="50"/>
        <v>Week 20</v>
      </c>
      <c r="G825" s="2" t="str">
        <f t="shared" si="51"/>
        <v>Week 20-2025</v>
      </c>
      <c r="O825"/>
      <c r="Q825"/>
    </row>
    <row r="826" spans="1:17" hidden="1" x14ac:dyDescent="0.2">
      <c r="A826" s="3">
        <v>45791</v>
      </c>
      <c r="B826" s="2" t="s">
        <v>30</v>
      </c>
      <c r="C826" s="2">
        <v>4</v>
      </c>
      <c r="D826" s="2">
        <f t="shared" si="48"/>
        <v>2025</v>
      </c>
      <c r="E826" s="2" t="str">
        <f t="shared" si="49"/>
        <v>2025-20</v>
      </c>
      <c r="F826" s="2" t="str">
        <f t="shared" si="50"/>
        <v>Week 20</v>
      </c>
      <c r="G826" s="2" t="str">
        <f t="shared" si="51"/>
        <v>Week 20-2025</v>
      </c>
      <c r="O826"/>
      <c r="Q826"/>
    </row>
    <row r="827" spans="1:17" hidden="1" x14ac:dyDescent="0.2">
      <c r="A827" s="3">
        <v>45791</v>
      </c>
      <c r="B827" s="2" t="s">
        <v>14</v>
      </c>
      <c r="C827" s="2">
        <v>2</v>
      </c>
      <c r="D827" s="2">
        <f t="shared" si="48"/>
        <v>2025</v>
      </c>
      <c r="E827" s="2" t="str">
        <f t="shared" si="49"/>
        <v>2025-20</v>
      </c>
      <c r="F827" s="2" t="str">
        <f t="shared" si="50"/>
        <v>Week 20</v>
      </c>
      <c r="G827" s="2" t="str">
        <f t="shared" si="51"/>
        <v>Week 20-2025</v>
      </c>
      <c r="O827"/>
      <c r="Q827"/>
    </row>
    <row r="828" spans="1:17" hidden="1" x14ac:dyDescent="0.2">
      <c r="A828" s="3">
        <v>45791</v>
      </c>
      <c r="B828" s="2" t="s">
        <v>34</v>
      </c>
      <c r="C828" s="2">
        <v>2</v>
      </c>
      <c r="D828" s="2">
        <f t="shared" si="48"/>
        <v>2025</v>
      </c>
      <c r="E828" s="2" t="str">
        <f t="shared" si="49"/>
        <v>2025-20</v>
      </c>
      <c r="F828" s="2" t="str">
        <f t="shared" si="50"/>
        <v>Week 20</v>
      </c>
      <c r="G828" s="2" t="str">
        <f t="shared" si="51"/>
        <v>Week 20-2025</v>
      </c>
      <c r="O828"/>
      <c r="Q828"/>
    </row>
    <row r="829" spans="1:17" hidden="1" x14ac:dyDescent="0.2">
      <c r="A829" s="3">
        <v>45792</v>
      </c>
      <c r="B829" s="2" t="s">
        <v>3</v>
      </c>
      <c r="C829" s="2">
        <v>16</v>
      </c>
      <c r="D829" s="2">
        <f t="shared" si="48"/>
        <v>2025</v>
      </c>
      <c r="E829" s="2" t="str">
        <f t="shared" si="49"/>
        <v>2025-20</v>
      </c>
      <c r="F829" s="2" t="str">
        <f t="shared" si="50"/>
        <v>Week 20</v>
      </c>
      <c r="G829" s="2" t="str">
        <f t="shared" si="51"/>
        <v>Week 20-2025</v>
      </c>
      <c r="O829"/>
      <c r="Q829"/>
    </row>
    <row r="830" spans="1:17" hidden="1" x14ac:dyDescent="0.2">
      <c r="A830" s="3">
        <v>45792</v>
      </c>
      <c r="B830" s="2" t="s">
        <v>4</v>
      </c>
      <c r="C830" s="2">
        <v>8</v>
      </c>
      <c r="D830" s="2">
        <f t="shared" si="48"/>
        <v>2025</v>
      </c>
      <c r="E830" s="2" t="str">
        <f t="shared" si="49"/>
        <v>2025-20</v>
      </c>
      <c r="F830" s="2" t="str">
        <f t="shared" si="50"/>
        <v>Week 20</v>
      </c>
      <c r="G830" s="2" t="str">
        <f t="shared" si="51"/>
        <v>Week 20-2025</v>
      </c>
      <c r="O830"/>
      <c r="Q830"/>
    </row>
    <row r="831" spans="1:17" hidden="1" x14ac:dyDescent="0.2">
      <c r="A831" s="3">
        <v>45792</v>
      </c>
      <c r="B831" s="2" t="s">
        <v>5</v>
      </c>
      <c r="C831" s="2">
        <v>11</v>
      </c>
      <c r="D831" s="2">
        <f t="shared" si="48"/>
        <v>2025</v>
      </c>
      <c r="E831" s="2" t="str">
        <f t="shared" si="49"/>
        <v>2025-20</v>
      </c>
      <c r="F831" s="2" t="str">
        <f t="shared" si="50"/>
        <v>Week 20</v>
      </c>
      <c r="G831" s="2" t="str">
        <f t="shared" si="51"/>
        <v>Week 20-2025</v>
      </c>
      <c r="O831"/>
      <c r="Q831"/>
    </row>
    <row r="832" spans="1:17" hidden="1" x14ac:dyDescent="0.2">
      <c r="A832" s="3">
        <v>45792</v>
      </c>
      <c r="B832" s="2" t="s">
        <v>4</v>
      </c>
      <c r="C832" s="2">
        <v>6</v>
      </c>
      <c r="D832" s="2">
        <f t="shared" si="48"/>
        <v>2025</v>
      </c>
      <c r="E832" s="2" t="str">
        <f t="shared" si="49"/>
        <v>2025-20</v>
      </c>
      <c r="F832" s="2" t="str">
        <f t="shared" si="50"/>
        <v>Week 20</v>
      </c>
      <c r="G832" s="2" t="str">
        <f t="shared" si="51"/>
        <v>Week 20-2025</v>
      </c>
      <c r="O832"/>
      <c r="Q832"/>
    </row>
    <row r="833" spans="1:17" hidden="1" x14ac:dyDescent="0.2">
      <c r="A833" s="3">
        <v>45792</v>
      </c>
      <c r="B833" s="2" t="s">
        <v>29</v>
      </c>
      <c r="C833" s="2">
        <v>8</v>
      </c>
      <c r="D833" s="2">
        <f t="shared" si="48"/>
        <v>2025</v>
      </c>
      <c r="E833" s="2" t="str">
        <f t="shared" si="49"/>
        <v>2025-20</v>
      </c>
      <c r="F833" s="2" t="str">
        <f t="shared" si="50"/>
        <v>Week 20</v>
      </c>
      <c r="G833" s="2" t="str">
        <f t="shared" si="51"/>
        <v>Week 20-2025</v>
      </c>
      <c r="O833"/>
      <c r="Q833"/>
    </row>
    <row r="834" spans="1:17" hidden="1" x14ac:dyDescent="0.2">
      <c r="A834" s="3">
        <v>45792</v>
      </c>
      <c r="B834" s="2" t="s">
        <v>5</v>
      </c>
      <c r="C834" s="2">
        <v>8</v>
      </c>
      <c r="D834" s="2">
        <f t="shared" ref="D834:D897" si="52">YEAR(A834)</f>
        <v>2025</v>
      </c>
      <c r="E834" s="2" t="str">
        <f t="shared" ref="E834:E897" si="53">YEAR(A834)&amp;"-"&amp;_xlfn.ISOWEEKNUM(A834)</f>
        <v>2025-20</v>
      </c>
      <c r="F834" s="2" t="str">
        <f t="shared" ref="F834:F897" si="54">_xlfn.CONCAT("Week "&amp;WEEKNUM(A834))</f>
        <v>Week 20</v>
      </c>
      <c r="G834" s="2" t="str">
        <f t="shared" ref="G834:G897" si="55">_xlfn.CONCAT(F834,"-",D834)</f>
        <v>Week 20-2025</v>
      </c>
      <c r="O834"/>
      <c r="Q834"/>
    </row>
    <row r="835" spans="1:17" hidden="1" x14ac:dyDescent="0.2">
      <c r="A835" s="3">
        <v>45792</v>
      </c>
      <c r="B835" s="2" t="s">
        <v>9</v>
      </c>
      <c r="C835" s="2">
        <v>6</v>
      </c>
      <c r="D835" s="2">
        <f t="shared" si="52"/>
        <v>2025</v>
      </c>
      <c r="E835" s="2" t="str">
        <f t="shared" si="53"/>
        <v>2025-20</v>
      </c>
      <c r="F835" s="2" t="str">
        <f t="shared" si="54"/>
        <v>Week 20</v>
      </c>
      <c r="G835" s="2" t="str">
        <f t="shared" si="55"/>
        <v>Week 20-2025</v>
      </c>
      <c r="O835"/>
      <c r="Q835"/>
    </row>
    <row r="836" spans="1:17" hidden="1" x14ac:dyDescent="0.2">
      <c r="A836" s="3">
        <v>45792</v>
      </c>
      <c r="B836" s="2" t="s">
        <v>3</v>
      </c>
      <c r="C836" s="2">
        <v>6</v>
      </c>
      <c r="D836" s="2">
        <f t="shared" si="52"/>
        <v>2025</v>
      </c>
      <c r="E836" s="2" t="str">
        <f t="shared" si="53"/>
        <v>2025-20</v>
      </c>
      <c r="F836" s="2" t="str">
        <f t="shared" si="54"/>
        <v>Week 20</v>
      </c>
      <c r="G836" s="2" t="str">
        <f t="shared" si="55"/>
        <v>Week 20-2025</v>
      </c>
      <c r="O836"/>
      <c r="Q836"/>
    </row>
    <row r="837" spans="1:17" hidden="1" x14ac:dyDescent="0.2">
      <c r="A837" s="3">
        <v>45792</v>
      </c>
      <c r="B837" s="2" t="s">
        <v>9</v>
      </c>
      <c r="C837" s="2">
        <v>4</v>
      </c>
      <c r="D837" s="2">
        <f t="shared" si="52"/>
        <v>2025</v>
      </c>
      <c r="E837" s="2" t="str">
        <f t="shared" si="53"/>
        <v>2025-20</v>
      </c>
      <c r="F837" s="2" t="str">
        <f t="shared" si="54"/>
        <v>Week 20</v>
      </c>
      <c r="G837" s="2" t="str">
        <f t="shared" si="55"/>
        <v>Week 20-2025</v>
      </c>
      <c r="O837"/>
      <c r="Q837"/>
    </row>
    <row r="838" spans="1:17" hidden="1" x14ac:dyDescent="0.2">
      <c r="A838" s="3">
        <v>45792</v>
      </c>
      <c r="B838" s="2" t="s">
        <v>28</v>
      </c>
      <c r="C838" s="2">
        <v>8</v>
      </c>
      <c r="D838" s="2">
        <f t="shared" si="52"/>
        <v>2025</v>
      </c>
      <c r="E838" s="2" t="str">
        <f t="shared" si="53"/>
        <v>2025-20</v>
      </c>
      <c r="F838" s="2" t="str">
        <f t="shared" si="54"/>
        <v>Week 20</v>
      </c>
      <c r="G838" s="2" t="str">
        <f t="shared" si="55"/>
        <v>Week 20-2025</v>
      </c>
      <c r="O838"/>
      <c r="Q838"/>
    </row>
    <row r="839" spans="1:17" hidden="1" x14ac:dyDescent="0.2">
      <c r="A839" s="3">
        <v>45792</v>
      </c>
      <c r="B839" s="2" t="s">
        <v>5</v>
      </c>
      <c r="C839" s="2">
        <v>3</v>
      </c>
      <c r="D839" s="2">
        <f t="shared" si="52"/>
        <v>2025</v>
      </c>
      <c r="E839" s="2" t="str">
        <f t="shared" si="53"/>
        <v>2025-20</v>
      </c>
      <c r="F839" s="2" t="str">
        <f t="shared" si="54"/>
        <v>Week 20</v>
      </c>
      <c r="G839" s="2" t="str">
        <f t="shared" si="55"/>
        <v>Week 20-2025</v>
      </c>
      <c r="O839"/>
      <c r="Q839"/>
    </row>
    <row r="840" spans="1:17" hidden="1" x14ac:dyDescent="0.2">
      <c r="A840" s="3">
        <v>45793</v>
      </c>
      <c r="B840" s="2" t="s">
        <v>5</v>
      </c>
      <c r="C840" s="2">
        <v>26</v>
      </c>
      <c r="D840" s="2">
        <f t="shared" si="52"/>
        <v>2025</v>
      </c>
      <c r="E840" s="2" t="str">
        <f t="shared" si="53"/>
        <v>2025-20</v>
      </c>
      <c r="F840" s="2" t="str">
        <f t="shared" si="54"/>
        <v>Week 20</v>
      </c>
      <c r="G840" s="2" t="str">
        <f t="shared" si="55"/>
        <v>Week 20-2025</v>
      </c>
      <c r="O840"/>
      <c r="Q840"/>
    </row>
    <row r="841" spans="1:17" hidden="1" x14ac:dyDescent="0.2">
      <c r="A841" s="3">
        <v>45793</v>
      </c>
      <c r="B841" s="2" t="s">
        <v>3</v>
      </c>
      <c r="C841" s="2">
        <v>19</v>
      </c>
      <c r="D841" s="2">
        <f t="shared" si="52"/>
        <v>2025</v>
      </c>
      <c r="E841" s="2" t="str">
        <f t="shared" si="53"/>
        <v>2025-20</v>
      </c>
      <c r="F841" s="2" t="str">
        <f t="shared" si="54"/>
        <v>Week 20</v>
      </c>
      <c r="G841" s="2" t="str">
        <f t="shared" si="55"/>
        <v>Week 20-2025</v>
      </c>
      <c r="O841"/>
      <c r="Q841"/>
    </row>
    <row r="842" spans="1:17" hidden="1" x14ac:dyDescent="0.2">
      <c r="A842" s="3">
        <v>45793</v>
      </c>
      <c r="B842" s="2" t="s">
        <v>3</v>
      </c>
      <c r="C842" s="2">
        <v>3</v>
      </c>
      <c r="D842" s="2">
        <f t="shared" si="52"/>
        <v>2025</v>
      </c>
      <c r="E842" s="2" t="str">
        <f t="shared" si="53"/>
        <v>2025-20</v>
      </c>
      <c r="F842" s="2" t="str">
        <f t="shared" si="54"/>
        <v>Week 20</v>
      </c>
      <c r="G842" s="2" t="str">
        <f t="shared" si="55"/>
        <v>Week 20-2025</v>
      </c>
      <c r="O842"/>
      <c r="Q842"/>
    </row>
    <row r="843" spans="1:17" hidden="1" x14ac:dyDescent="0.2">
      <c r="A843" s="3">
        <v>45795</v>
      </c>
      <c r="B843" s="2" t="s">
        <v>4</v>
      </c>
      <c r="C843" s="2">
        <v>8</v>
      </c>
      <c r="D843" s="2">
        <f t="shared" si="52"/>
        <v>2025</v>
      </c>
      <c r="E843" s="2" t="str">
        <f t="shared" si="53"/>
        <v>2025-20</v>
      </c>
      <c r="F843" s="2" t="str">
        <f t="shared" si="54"/>
        <v>Week 21</v>
      </c>
      <c r="G843" s="2" t="str">
        <f t="shared" si="55"/>
        <v>Week 21-2025</v>
      </c>
      <c r="O843"/>
      <c r="Q843"/>
    </row>
    <row r="844" spans="1:17" hidden="1" x14ac:dyDescent="0.2">
      <c r="A844" s="3">
        <v>45795</v>
      </c>
      <c r="B844" s="2" t="s">
        <v>9</v>
      </c>
      <c r="C844" s="2">
        <v>6</v>
      </c>
      <c r="D844" s="2">
        <f t="shared" si="52"/>
        <v>2025</v>
      </c>
      <c r="E844" s="2" t="str">
        <f t="shared" si="53"/>
        <v>2025-20</v>
      </c>
      <c r="F844" s="2" t="str">
        <f t="shared" si="54"/>
        <v>Week 21</v>
      </c>
      <c r="G844" s="2" t="str">
        <f t="shared" si="55"/>
        <v>Week 21-2025</v>
      </c>
      <c r="O844"/>
      <c r="Q844"/>
    </row>
    <row r="845" spans="1:17" hidden="1" x14ac:dyDescent="0.2">
      <c r="A845" s="3">
        <v>45795</v>
      </c>
      <c r="B845" s="2" t="s">
        <v>6</v>
      </c>
      <c r="C845" s="2">
        <v>4</v>
      </c>
      <c r="D845" s="2">
        <f t="shared" si="52"/>
        <v>2025</v>
      </c>
      <c r="E845" s="2" t="str">
        <f t="shared" si="53"/>
        <v>2025-20</v>
      </c>
      <c r="F845" s="2" t="str">
        <f t="shared" si="54"/>
        <v>Week 21</v>
      </c>
      <c r="G845" s="2" t="str">
        <f t="shared" si="55"/>
        <v>Week 21-2025</v>
      </c>
      <c r="O845"/>
      <c r="Q845"/>
    </row>
    <row r="846" spans="1:17" hidden="1" x14ac:dyDescent="0.2">
      <c r="A846" s="3">
        <v>45795</v>
      </c>
      <c r="B846" s="2" t="s">
        <v>19</v>
      </c>
      <c r="C846" s="2">
        <v>4</v>
      </c>
      <c r="D846" s="2">
        <f t="shared" si="52"/>
        <v>2025</v>
      </c>
      <c r="E846" s="2" t="str">
        <f t="shared" si="53"/>
        <v>2025-20</v>
      </c>
      <c r="F846" s="2" t="str">
        <f t="shared" si="54"/>
        <v>Week 21</v>
      </c>
      <c r="G846" s="2" t="str">
        <f t="shared" si="55"/>
        <v>Week 21-2025</v>
      </c>
      <c r="O846"/>
      <c r="Q846"/>
    </row>
    <row r="847" spans="1:17" hidden="1" x14ac:dyDescent="0.2">
      <c r="A847" s="3">
        <v>45795</v>
      </c>
      <c r="B847" s="2" t="s">
        <v>5</v>
      </c>
      <c r="C847" s="2">
        <v>6</v>
      </c>
      <c r="D847" s="2">
        <f t="shared" si="52"/>
        <v>2025</v>
      </c>
      <c r="E847" s="2" t="str">
        <f t="shared" si="53"/>
        <v>2025-20</v>
      </c>
      <c r="F847" s="2" t="str">
        <f t="shared" si="54"/>
        <v>Week 21</v>
      </c>
      <c r="G847" s="2" t="str">
        <f t="shared" si="55"/>
        <v>Week 21-2025</v>
      </c>
      <c r="O847"/>
      <c r="Q847"/>
    </row>
    <row r="848" spans="1:17" hidden="1" x14ac:dyDescent="0.2">
      <c r="A848" s="3">
        <v>45795</v>
      </c>
      <c r="B848" s="2" t="s">
        <v>9</v>
      </c>
      <c r="C848" s="2">
        <v>4</v>
      </c>
      <c r="D848" s="2">
        <f t="shared" si="52"/>
        <v>2025</v>
      </c>
      <c r="E848" s="2" t="str">
        <f t="shared" si="53"/>
        <v>2025-20</v>
      </c>
      <c r="F848" s="2" t="str">
        <f t="shared" si="54"/>
        <v>Week 21</v>
      </c>
      <c r="G848" s="2" t="str">
        <f t="shared" si="55"/>
        <v>Week 21-2025</v>
      </c>
      <c r="O848"/>
      <c r="Q848"/>
    </row>
    <row r="849" spans="1:17" hidden="1" x14ac:dyDescent="0.2">
      <c r="A849" s="3">
        <v>45795</v>
      </c>
      <c r="B849" s="2" t="s">
        <v>38</v>
      </c>
      <c r="C849" s="2">
        <v>4</v>
      </c>
      <c r="D849" s="2">
        <f t="shared" si="52"/>
        <v>2025</v>
      </c>
      <c r="E849" s="2" t="str">
        <f t="shared" si="53"/>
        <v>2025-20</v>
      </c>
      <c r="F849" s="2" t="str">
        <f t="shared" si="54"/>
        <v>Week 21</v>
      </c>
      <c r="G849" s="2" t="str">
        <f t="shared" si="55"/>
        <v>Week 21-2025</v>
      </c>
      <c r="O849"/>
      <c r="Q849"/>
    </row>
    <row r="850" spans="1:17" hidden="1" x14ac:dyDescent="0.2">
      <c r="A850" s="3">
        <v>45795</v>
      </c>
      <c r="B850" s="2" t="s">
        <v>10</v>
      </c>
      <c r="C850" s="2">
        <v>2</v>
      </c>
      <c r="D850" s="2">
        <f t="shared" si="52"/>
        <v>2025</v>
      </c>
      <c r="E850" s="2" t="str">
        <f t="shared" si="53"/>
        <v>2025-20</v>
      </c>
      <c r="F850" s="2" t="str">
        <f t="shared" si="54"/>
        <v>Week 21</v>
      </c>
      <c r="G850" s="2" t="str">
        <f t="shared" si="55"/>
        <v>Week 21-2025</v>
      </c>
      <c r="O850"/>
      <c r="Q850"/>
    </row>
    <row r="851" spans="1:17" hidden="1" x14ac:dyDescent="0.2">
      <c r="A851" s="3">
        <v>45796</v>
      </c>
      <c r="B851" s="2" t="s">
        <v>4</v>
      </c>
      <c r="C851" s="2">
        <v>6</v>
      </c>
      <c r="D851" s="2">
        <f t="shared" si="52"/>
        <v>2025</v>
      </c>
      <c r="E851" s="2" t="str">
        <f t="shared" si="53"/>
        <v>2025-21</v>
      </c>
      <c r="F851" s="2" t="str">
        <f t="shared" si="54"/>
        <v>Week 21</v>
      </c>
      <c r="G851" s="2" t="str">
        <f t="shared" si="55"/>
        <v>Week 21-2025</v>
      </c>
      <c r="O851"/>
      <c r="Q851"/>
    </row>
    <row r="852" spans="1:17" hidden="1" x14ac:dyDescent="0.2">
      <c r="A852" s="3">
        <v>45796</v>
      </c>
      <c r="B852" s="2" t="s">
        <v>19</v>
      </c>
      <c r="C852" s="2">
        <v>4</v>
      </c>
      <c r="D852" s="2">
        <f t="shared" si="52"/>
        <v>2025</v>
      </c>
      <c r="E852" s="2" t="str">
        <f t="shared" si="53"/>
        <v>2025-21</v>
      </c>
      <c r="F852" s="2" t="str">
        <f t="shared" si="54"/>
        <v>Week 21</v>
      </c>
      <c r="G852" s="2" t="str">
        <f t="shared" si="55"/>
        <v>Week 21-2025</v>
      </c>
      <c r="O852"/>
      <c r="Q852"/>
    </row>
    <row r="853" spans="1:17" hidden="1" x14ac:dyDescent="0.2">
      <c r="A853" s="3">
        <v>45796</v>
      </c>
      <c r="B853" s="2" t="s">
        <v>6</v>
      </c>
      <c r="C853" s="2">
        <v>4</v>
      </c>
      <c r="D853" s="2">
        <f t="shared" si="52"/>
        <v>2025</v>
      </c>
      <c r="E853" s="2" t="str">
        <f t="shared" si="53"/>
        <v>2025-21</v>
      </c>
      <c r="F853" s="2" t="str">
        <f t="shared" si="54"/>
        <v>Week 21</v>
      </c>
      <c r="G853" s="2" t="str">
        <f t="shared" si="55"/>
        <v>Week 21-2025</v>
      </c>
      <c r="O853"/>
      <c r="Q853"/>
    </row>
    <row r="854" spans="1:17" hidden="1" x14ac:dyDescent="0.2">
      <c r="A854" s="3">
        <v>45796</v>
      </c>
      <c r="B854" s="2" t="s">
        <v>6</v>
      </c>
      <c r="C854" s="2">
        <v>4</v>
      </c>
      <c r="D854" s="2">
        <f t="shared" si="52"/>
        <v>2025</v>
      </c>
      <c r="E854" s="2" t="str">
        <f t="shared" si="53"/>
        <v>2025-21</v>
      </c>
      <c r="F854" s="2" t="str">
        <f t="shared" si="54"/>
        <v>Week 21</v>
      </c>
      <c r="G854" s="2" t="str">
        <f t="shared" si="55"/>
        <v>Week 21-2025</v>
      </c>
      <c r="O854"/>
      <c r="Q854"/>
    </row>
    <row r="855" spans="1:17" hidden="1" x14ac:dyDescent="0.2">
      <c r="A855" s="3">
        <v>45796</v>
      </c>
      <c r="B855" s="2" t="s">
        <v>10</v>
      </c>
      <c r="C855" s="2">
        <v>6</v>
      </c>
      <c r="D855" s="2">
        <f t="shared" si="52"/>
        <v>2025</v>
      </c>
      <c r="E855" s="2" t="str">
        <f t="shared" si="53"/>
        <v>2025-21</v>
      </c>
      <c r="F855" s="2" t="str">
        <f t="shared" si="54"/>
        <v>Week 21</v>
      </c>
      <c r="G855" s="2" t="str">
        <f t="shared" si="55"/>
        <v>Week 21-2025</v>
      </c>
      <c r="O855"/>
      <c r="Q855"/>
    </row>
    <row r="856" spans="1:17" hidden="1" x14ac:dyDescent="0.2">
      <c r="A856" s="3">
        <v>45796</v>
      </c>
      <c r="B856" s="2" t="s">
        <v>3</v>
      </c>
      <c r="C856" s="2">
        <v>2</v>
      </c>
      <c r="D856" s="2">
        <f t="shared" si="52"/>
        <v>2025</v>
      </c>
      <c r="E856" s="2" t="str">
        <f t="shared" si="53"/>
        <v>2025-21</v>
      </c>
      <c r="F856" s="2" t="str">
        <f t="shared" si="54"/>
        <v>Week 21</v>
      </c>
      <c r="G856" s="2" t="str">
        <f t="shared" si="55"/>
        <v>Week 21-2025</v>
      </c>
      <c r="O856"/>
      <c r="Q856"/>
    </row>
    <row r="857" spans="1:17" hidden="1" x14ac:dyDescent="0.2">
      <c r="A857" s="3">
        <v>45797</v>
      </c>
      <c r="B857" s="2" t="s">
        <v>12</v>
      </c>
      <c r="C857" s="2">
        <v>5</v>
      </c>
      <c r="D857" s="2">
        <f t="shared" si="52"/>
        <v>2025</v>
      </c>
      <c r="E857" s="2" t="str">
        <f t="shared" si="53"/>
        <v>2025-21</v>
      </c>
      <c r="F857" s="2" t="str">
        <f t="shared" si="54"/>
        <v>Week 21</v>
      </c>
      <c r="G857" s="2" t="str">
        <f t="shared" si="55"/>
        <v>Week 21-2025</v>
      </c>
      <c r="O857"/>
      <c r="Q857"/>
    </row>
    <row r="858" spans="1:17" hidden="1" x14ac:dyDescent="0.2">
      <c r="A858" s="3">
        <v>45797</v>
      </c>
      <c r="B858" s="2" t="s">
        <v>29</v>
      </c>
      <c r="C858" s="2">
        <v>6</v>
      </c>
      <c r="D858" s="2">
        <f t="shared" si="52"/>
        <v>2025</v>
      </c>
      <c r="E858" s="2" t="str">
        <f t="shared" si="53"/>
        <v>2025-21</v>
      </c>
      <c r="F858" s="2" t="str">
        <f t="shared" si="54"/>
        <v>Week 21</v>
      </c>
      <c r="G858" s="2" t="str">
        <f t="shared" si="55"/>
        <v>Week 21-2025</v>
      </c>
      <c r="O858"/>
      <c r="Q858"/>
    </row>
    <row r="859" spans="1:17" hidden="1" x14ac:dyDescent="0.2">
      <c r="A859" s="3">
        <v>45797</v>
      </c>
      <c r="B859" s="2" t="s">
        <v>12</v>
      </c>
      <c r="C859" s="2">
        <v>2</v>
      </c>
      <c r="D859" s="2">
        <f t="shared" si="52"/>
        <v>2025</v>
      </c>
      <c r="E859" s="2" t="str">
        <f t="shared" si="53"/>
        <v>2025-21</v>
      </c>
      <c r="F859" s="2" t="str">
        <f t="shared" si="54"/>
        <v>Week 21</v>
      </c>
      <c r="G859" s="2" t="str">
        <f t="shared" si="55"/>
        <v>Week 21-2025</v>
      </c>
      <c r="O859"/>
      <c r="Q859"/>
    </row>
    <row r="860" spans="1:17" hidden="1" x14ac:dyDescent="0.2">
      <c r="A860" s="3">
        <v>45797</v>
      </c>
      <c r="B860" s="2" t="s">
        <v>9</v>
      </c>
      <c r="C860" s="2">
        <v>3</v>
      </c>
      <c r="D860" s="2">
        <f t="shared" si="52"/>
        <v>2025</v>
      </c>
      <c r="E860" s="2" t="str">
        <f t="shared" si="53"/>
        <v>2025-21</v>
      </c>
      <c r="F860" s="2" t="str">
        <f t="shared" si="54"/>
        <v>Week 21</v>
      </c>
      <c r="G860" s="2" t="str">
        <f t="shared" si="55"/>
        <v>Week 21-2025</v>
      </c>
      <c r="O860"/>
      <c r="Q860"/>
    </row>
    <row r="861" spans="1:17" hidden="1" x14ac:dyDescent="0.2">
      <c r="A861" s="3">
        <v>45797</v>
      </c>
      <c r="B861" s="2" t="s">
        <v>4</v>
      </c>
      <c r="C861" s="2">
        <v>2</v>
      </c>
      <c r="D861" s="2">
        <f t="shared" si="52"/>
        <v>2025</v>
      </c>
      <c r="E861" s="2" t="str">
        <f t="shared" si="53"/>
        <v>2025-21</v>
      </c>
      <c r="F861" s="2" t="str">
        <f t="shared" si="54"/>
        <v>Week 21</v>
      </c>
      <c r="G861" s="2" t="str">
        <f t="shared" si="55"/>
        <v>Week 21-2025</v>
      </c>
      <c r="O861"/>
      <c r="Q861"/>
    </row>
    <row r="862" spans="1:17" hidden="1" x14ac:dyDescent="0.2">
      <c r="A862" s="3">
        <v>45797</v>
      </c>
      <c r="B862" s="2" t="s">
        <v>17</v>
      </c>
      <c r="C862" s="2">
        <v>2</v>
      </c>
      <c r="D862" s="2">
        <f t="shared" si="52"/>
        <v>2025</v>
      </c>
      <c r="E862" s="2" t="str">
        <f t="shared" si="53"/>
        <v>2025-21</v>
      </c>
      <c r="F862" s="2" t="str">
        <f t="shared" si="54"/>
        <v>Week 21</v>
      </c>
      <c r="G862" s="2" t="str">
        <f t="shared" si="55"/>
        <v>Week 21-2025</v>
      </c>
      <c r="O862"/>
      <c r="Q862"/>
    </row>
    <row r="863" spans="1:17" hidden="1" x14ac:dyDescent="0.2">
      <c r="A863" s="3">
        <v>45797</v>
      </c>
      <c r="B863" s="2" t="s">
        <v>19</v>
      </c>
      <c r="C863" s="2">
        <v>1</v>
      </c>
      <c r="D863" s="2">
        <f t="shared" si="52"/>
        <v>2025</v>
      </c>
      <c r="E863" s="2" t="str">
        <f t="shared" si="53"/>
        <v>2025-21</v>
      </c>
      <c r="F863" s="2" t="str">
        <f t="shared" si="54"/>
        <v>Week 21</v>
      </c>
      <c r="G863" s="2" t="str">
        <f t="shared" si="55"/>
        <v>Week 21-2025</v>
      </c>
      <c r="O863"/>
      <c r="Q863"/>
    </row>
    <row r="864" spans="1:17" hidden="1" x14ac:dyDescent="0.2">
      <c r="A864" s="3">
        <v>45797</v>
      </c>
      <c r="B864" s="2" t="s">
        <v>10</v>
      </c>
      <c r="C864" s="2">
        <v>1</v>
      </c>
      <c r="D864" s="2">
        <f t="shared" si="52"/>
        <v>2025</v>
      </c>
      <c r="E864" s="2" t="str">
        <f t="shared" si="53"/>
        <v>2025-21</v>
      </c>
      <c r="F864" s="2" t="str">
        <f t="shared" si="54"/>
        <v>Week 21</v>
      </c>
      <c r="G864" s="2" t="str">
        <f t="shared" si="55"/>
        <v>Week 21-2025</v>
      </c>
      <c r="O864"/>
      <c r="Q864"/>
    </row>
    <row r="865" spans="1:17" hidden="1" x14ac:dyDescent="0.2">
      <c r="A865" s="3">
        <v>45797</v>
      </c>
      <c r="B865" s="2" t="s">
        <v>10</v>
      </c>
      <c r="C865" s="2">
        <v>1</v>
      </c>
      <c r="D865" s="2">
        <f t="shared" si="52"/>
        <v>2025</v>
      </c>
      <c r="E865" s="2" t="str">
        <f t="shared" si="53"/>
        <v>2025-21</v>
      </c>
      <c r="F865" s="2" t="str">
        <f t="shared" si="54"/>
        <v>Week 21</v>
      </c>
      <c r="G865" s="2" t="str">
        <f t="shared" si="55"/>
        <v>Week 21-2025</v>
      </c>
      <c r="O865"/>
      <c r="Q865"/>
    </row>
    <row r="866" spans="1:17" hidden="1" x14ac:dyDescent="0.2">
      <c r="A866" s="3">
        <v>45798</v>
      </c>
      <c r="B866" s="2" t="s">
        <v>3</v>
      </c>
      <c r="C866" s="2">
        <v>12</v>
      </c>
      <c r="D866" s="2">
        <f t="shared" si="52"/>
        <v>2025</v>
      </c>
      <c r="E866" s="2" t="str">
        <f t="shared" si="53"/>
        <v>2025-21</v>
      </c>
      <c r="F866" s="2" t="str">
        <f t="shared" si="54"/>
        <v>Week 21</v>
      </c>
      <c r="G866" s="2" t="str">
        <f t="shared" si="55"/>
        <v>Week 21-2025</v>
      </c>
      <c r="O866"/>
      <c r="Q866"/>
    </row>
    <row r="867" spans="1:17" hidden="1" x14ac:dyDescent="0.2">
      <c r="A867" s="3">
        <v>45798</v>
      </c>
      <c r="B867" s="2" t="s">
        <v>30</v>
      </c>
      <c r="C867" s="2">
        <v>2</v>
      </c>
      <c r="D867" s="2">
        <f t="shared" si="52"/>
        <v>2025</v>
      </c>
      <c r="E867" s="2" t="str">
        <f t="shared" si="53"/>
        <v>2025-21</v>
      </c>
      <c r="F867" s="2" t="str">
        <f t="shared" si="54"/>
        <v>Week 21</v>
      </c>
      <c r="G867" s="2" t="str">
        <f t="shared" si="55"/>
        <v>Week 21-2025</v>
      </c>
      <c r="O867"/>
      <c r="Q867"/>
    </row>
    <row r="868" spans="1:17" hidden="1" x14ac:dyDescent="0.2">
      <c r="A868" s="3">
        <v>45799</v>
      </c>
      <c r="B868" s="2" t="s">
        <v>6</v>
      </c>
      <c r="C868" s="2">
        <v>14</v>
      </c>
      <c r="D868" s="2">
        <f t="shared" si="52"/>
        <v>2025</v>
      </c>
      <c r="E868" s="2" t="str">
        <f t="shared" si="53"/>
        <v>2025-21</v>
      </c>
      <c r="F868" s="2" t="str">
        <f t="shared" si="54"/>
        <v>Week 21</v>
      </c>
      <c r="G868" s="2" t="str">
        <f t="shared" si="55"/>
        <v>Week 21-2025</v>
      </c>
      <c r="O868"/>
      <c r="Q868"/>
    </row>
    <row r="869" spans="1:17" hidden="1" x14ac:dyDescent="0.2">
      <c r="A869" s="3">
        <v>45799</v>
      </c>
      <c r="B869" s="2" t="s">
        <v>19</v>
      </c>
      <c r="C869" s="2">
        <v>12</v>
      </c>
      <c r="D869" s="2">
        <f t="shared" si="52"/>
        <v>2025</v>
      </c>
      <c r="E869" s="2" t="str">
        <f t="shared" si="53"/>
        <v>2025-21</v>
      </c>
      <c r="F869" s="2" t="str">
        <f t="shared" si="54"/>
        <v>Week 21</v>
      </c>
      <c r="G869" s="2" t="str">
        <f t="shared" si="55"/>
        <v>Week 21-2025</v>
      </c>
      <c r="O869"/>
      <c r="Q869"/>
    </row>
    <row r="870" spans="1:17" hidden="1" x14ac:dyDescent="0.2">
      <c r="A870" s="3">
        <v>45799</v>
      </c>
      <c r="B870" s="2" t="s">
        <v>12</v>
      </c>
      <c r="C870" s="2">
        <v>9</v>
      </c>
      <c r="D870" s="2">
        <f t="shared" si="52"/>
        <v>2025</v>
      </c>
      <c r="E870" s="2" t="str">
        <f t="shared" si="53"/>
        <v>2025-21</v>
      </c>
      <c r="F870" s="2" t="str">
        <f t="shared" si="54"/>
        <v>Week 21</v>
      </c>
      <c r="G870" s="2" t="str">
        <f t="shared" si="55"/>
        <v>Week 21-2025</v>
      </c>
      <c r="O870"/>
      <c r="Q870"/>
    </row>
    <row r="871" spans="1:17" hidden="1" x14ac:dyDescent="0.2">
      <c r="A871" s="3">
        <v>45799</v>
      </c>
      <c r="B871" s="2" t="s">
        <v>6</v>
      </c>
      <c r="C871" s="2">
        <v>10</v>
      </c>
      <c r="D871" s="2">
        <f t="shared" si="52"/>
        <v>2025</v>
      </c>
      <c r="E871" s="2" t="str">
        <f t="shared" si="53"/>
        <v>2025-21</v>
      </c>
      <c r="F871" s="2" t="str">
        <f t="shared" si="54"/>
        <v>Week 21</v>
      </c>
      <c r="G871" s="2" t="str">
        <f t="shared" si="55"/>
        <v>Week 21-2025</v>
      </c>
      <c r="O871"/>
      <c r="Q871"/>
    </row>
    <row r="872" spans="1:17" hidden="1" x14ac:dyDescent="0.2">
      <c r="A872" s="3">
        <v>45799</v>
      </c>
      <c r="B872" s="2" t="s">
        <v>9</v>
      </c>
      <c r="C872" s="2">
        <v>12</v>
      </c>
      <c r="D872" s="2">
        <f t="shared" si="52"/>
        <v>2025</v>
      </c>
      <c r="E872" s="2" t="str">
        <f t="shared" si="53"/>
        <v>2025-21</v>
      </c>
      <c r="F872" s="2" t="str">
        <f t="shared" si="54"/>
        <v>Week 21</v>
      </c>
      <c r="G872" s="2" t="str">
        <f t="shared" si="55"/>
        <v>Week 21-2025</v>
      </c>
      <c r="O872"/>
      <c r="Q872"/>
    </row>
    <row r="873" spans="1:17" hidden="1" x14ac:dyDescent="0.2">
      <c r="A873" s="3">
        <v>45799</v>
      </c>
      <c r="B873" s="2" t="s">
        <v>18</v>
      </c>
      <c r="C873" s="2">
        <v>8</v>
      </c>
      <c r="D873" s="2">
        <f t="shared" si="52"/>
        <v>2025</v>
      </c>
      <c r="E873" s="2" t="str">
        <f t="shared" si="53"/>
        <v>2025-21</v>
      </c>
      <c r="F873" s="2" t="str">
        <f t="shared" si="54"/>
        <v>Week 21</v>
      </c>
      <c r="G873" s="2" t="str">
        <f t="shared" si="55"/>
        <v>Week 21-2025</v>
      </c>
      <c r="O873"/>
      <c r="Q873"/>
    </row>
    <row r="874" spans="1:17" hidden="1" x14ac:dyDescent="0.2">
      <c r="A874" s="3">
        <v>45799</v>
      </c>
      <c r="B874" s="2" t="s">
        <v>6</v>
      </c>
      <c r="C874" s="2">
        <v>8</v>
      </c>
      <c r="D874" s="2">
        <f t="shared" si="52"/>
        <v>2025</v>
      </c>
      <c r="E874" s="2" t="str">
        <f t="shared" si="53"/>
        <v>2025-21</v>
      </c>
      <c r="F874" s="2" t="str">
        <f t="shared" si="54"/>
        <v>Week 21</v>
      </c>
      <c r="G874" s="2" t="str">
        <f t="shared" si="55"/>
        <v>Week 21-2025</v>
      </c>
      <c r="O874"/>
      <c r="Q874"/>
    </row>
    <row r="875" spans="1:17" hidden="1" x14ac:dyDescent="0.2">
      <c r="A875" s="3">
        <v>45799</v>
      </c>
      <c r="B875" s="2" t="s">
        <v>7</v>
      </c>
      <c r="C875" s="2">
        <v>8</v>
      </c>
      <c r="D875" s="2">
        <f t="shared" si="52"/>
        <v>2025</v>
      </c>
      <c r="E875" s="2" t="str">
        <f t="shared" si="53"/>
        <v>2025-21</v>
      </c>
      <c r="F875" s="2" t="str">
        <f t="shared" si="54"/>
        <v>Week 21</v>
      </c>
      <c r="G875" s="2" t="str">
        <f t="shared" si="55"/>
        <v>Week 21-2025</v>
      </c>
      <c r="O875"/>
      <c r="Q875"/>
    </row>
    <row r="876" spans="1:17" hidden="1" x14ac:dyDescent="0.2">
      <c r="A876" s="3">
        <v>45799</v>
      </c>
      <c r="B876" s="2" t="s">
        <v>4</v>
      </c>
      <c r="C876" s="2">
        <v>8</v>
      </c>
      <c r="D876" s="2">
        <f t="shared" si="52"/>
        <v>2025</v>
      </c>
      <c r="E876" s="2" t="str">
        <f t="shared" si="53"/>
        <v>2025-21</v>
      </c>
      <c r="F876" s="2" t="str">
        <f t="shared" si="54"/>
        <v>Week 21</v>
      </c>
      <c r="G876" s="2" t="str">
        <f t="shared" si="55"/>
        <v>Week 21-2025</v>
      </c>
      <c r="O876"/>
      <c r="Q876"/>
    </row>
    <row r="877" spans="1:17" hidden="1" x14ac:dyDescent="0.2">
      <c r="A877" s="3">
        <v>45799</v>
      </c>
      <c r="B877" s="2" t="s">
        <v>9</v>
      </c>
      <c r="C877" s="2">
        <v>8</v>
      </c>
      <c r="D877" s="2">
        <f t="shared" si="52"/>
        <v>2025</v>
      </c>
      <c r="E877" s="2" t="str">
        <f t="shared" si="53"/>
        <v>2025-21</v>
      </c>
      <c r="F877" s="2" t="str">
        <f t="shared" si="54"/>
        <v>Week 21</v>
      </c>
      <c r="G877" s="2" t="str">
        <f t="shared" si="55"/>
        <v>Week 21-2025</v>
      </c>
      <c r="O877"/>
      <c r="Q877"/>
    </row>
    <row r="878" spans="1:17" hidden="1" x14ac:dyDescent="0.2">
      <c r="A878" s="3">
        <v>45799</v>
      </c>
      <c r="B878" s="2" t="s">
        <v>10</v>
      </c>
      <c r="C878" s="2">
        <v>12</v>
      </c>
      <c r="D878" s="2">
        <f t="shared" si="52"/>
        <v>2025</v>
      </c>
      <c r="E878" s="2" t="str">
        <f t="shared" si="53"/>
        <v>2025-21</v>
      </c>
      <c r="F878" s="2" t="str">
        <f t="shared" si="54"/>
        <v>Week 21</v>
      </c>
      <c r="G878" s="2" t="str">
        <f t="shared" si="55"/>
        <v>Week 21-2025</v>
      </c>
      <c r="O878"/>
      <c r="Q878"/>
    </row>
    <row r="879" spans="1:17" hidden="1" x14ac:dyDescent="0.2">
      <c r="A879" s="3">
        <v>45799</v>
      </c>
      <c r="B879" s="2" t="s">
        <v>19</v>
      </c>
      <c r="C879" s="2">
        <v>6</v>
      </c>
      <c r="D879" s="2">
        <f t="shared" si="52"/>
        <v>2025</v>
      </c>
      <c r="E879" s="2" t="str">
        <f t="shared" si="53"/>
        <v>2025-21</v>
      </c>
      <c r="F879" s="2" t="str">
        <f t="shared" si="54"/>
        <v>Week 21</v>
      </c>
      <c r="G879" s="2" t="str">
        <f t="shared" si="55"/>
        <v>Week 21-2025</v>
      </c>
      <c r="O879"/>
      <c r="Q879"/>
    </row>
    <row r="880" spans="1:17" hidden="1" x14ac:dyDescent="0.2">
      <c r="A880" s="3">
        <v>45799</v>
      </c>
      <c r="B880" s="2" t="s">
        <v>9</v>
      </c>
      <c r="C880" s="2">
        <v>7</v>
      </c>
      <c r="D880" s="2">
        <f t="shared" si="52"/>
        <v>2025</v>
      </c>
      <c r="E880" s="2" t="str">
        <f t="shared" si="53"/>
        <v>2025-21</v>
      </c>
      <c r="F880" s="2" t="str">
        <f t="shared" si="54"/>
        <v>Week 21</v>
      </c>
      <c r="G880" s="2" t="str">
        <f t="shared" si="55"/>
        <v>Week 21-2025</v>
      </c>
      <c r="O880"/>
      <c r="Q880"/>
    </row>
    <row r="881" spans="1:17" hidden="1" x14ac:dyDescent="0.2">
      <c r="A881" s="3">
        <v>45799</v>
      </c>
      <c r="B881" s="2" t="s">
        <v>23</v>
      </c>
      <c r="C881" s="2">
        <v>4</v>
      </c>
      <c r="D881" s="2">
        <f t="shared" si="52"/>
        <v>2025</v>
      </c>
      <c r="E881" s="2" t="str">
        <f t="shared" si="53"/>
        <v>2025-21</v>
      </c>
      <c r="F881" s="2" t="str">
        <f t="shared" si="54"/>
        <v>Week 21</v>
      </c>
      <c r="G881" s="2" t="str">
        <f t="shared" si="55"/>
        <v>Week 21-2025</v>
      </c>
      <c r="O881"/>
      <c r="Q881"/>
    </row>
    <row r="882" spans="1:17" hidden="1" x14ac:dyDescent="0.2">
      <c r="A882" s="3">
        <v>45799</v>
      </c>
      <c r="B882" s="2" t="s">
        <v>23</v>
      </c>
      <c r="C882" s="2">
        <v>4</v>
      </c>
      <c r="D882" s="2">
        <f t="shared" si="52"/>
        <v>2025</v>
      </c>
      <c r="E882" s="2" t="str">
        <f t="shared" si="53"/>
        <v>2025-21</v>
      </c>
      <c r="F882" s="2" t="str">
        <f t="shared" si="54"/>
        <v>Week 21</v>
      </c>
      <c r="G882" s="2" t="str">
        <f t="shared" si="55"/>
        <v>Week 21-2025</v>
      </c>
      <c r="O882"/>
      <c r="Q882"/>
    </row>
    <row r="883" spans="1:17" hidden="1" x14ac:dyDescent="0.2">
      <c r="A883" s="3">
        <v>45799</v>
      </c>
      <c r="B883" s="2" t="s">
        <v>18</v>
      </c>
      <c r="C883" s="2">
        <v>4</v>
      </c>
      <c r="D883" s="2">
        <f t="shared" si="52"/>
        <v>2025</v>
      </c>
      <c r="E883" s="2" t="str">
        <f t="shared" si="53"/>
        <v>2025-21</v>
      </c>
      <c r="F883" s="2" t="str">
        <f t="shared" si="54"/>
        <v>Week 21</v>
      </c>
      <c r="G883" s="2" t="str">
        <f t="shared" si="55"/>
        <v>Week 21-2025</v>
      </c>
      <c r="O883"/>
      <c r="Q883"/>
    </row>
    <row r="884" spans="1:17" hidden="1" x14ac:dyDescent="0.2">
      <c r="A884" s="3">
        <v>45799</v>
      </c>
      <c r="B884" s="2" t="s">
        <v>7</v>
      </c>
      <c r="C884" s="2">
        <v>4</v>
      </c>
      <c r="D884" s="2">
        <f t="shared" si="52"/>
        <v>2025</v>
      </c>
      <c r="E884" s="2" t="str">
        <f t="shared" si="53"/>
        <v>2025-21</v>
      </c>
      <c r="F884" s="2" t="str">
        <f t="shared" si="54"/>
        <v>Week 21</v>
      </c>
      <c r="G884" s="2" t="str">
        <f t="shared" si="55"/>
        <v>Week 21-2025</v>
      </c>
      <c r="O884"/>
      <c r="Q884"/>
    </row>
    <row r="885" spans="1:17" hidden="1" x14ac:dyDescent="0.2">
      <c r="A885" s="3">
        <v>45799</v>
      </c>
      <c r="B885" s="2" t="s">
        <v>38</v>
      </c>
      <c r="C885" s="2">
        <v>6</v>
      </c>
      <c r="D885" s="2">
        <f t="shared" si="52"/>
        <v>2025</v>
      </c>
      <c r="E885" s="2" t="str">
        <f t="shared" si="53"/>
        <v>2025-21</v>
      </c>
      <c r="F885" s="2" t="str">
        <f t="shared" si="54"/>
        <v>Week 21</v>
      </c>
      <c r="G885" s="2" t="str">
        <f t="shared" si="55"/>
        <v>Week 21-2025</v>
      </c>
      <c r="O885"/>
      <c r="Q885"/>
    </row>
    <row r="886" spans="1:17" hidden="1" x14ac:dyDescent="0.2">
      <c r="A886" s="3">
        <v>45799</v>
      </c>
      <c r="B886" s="2" t="s">
        <v>5</v>
      </c>
      <c r="C886" s="2">
        <v>4</v>
      </c>
      <c r="D886" s="2">
        <f t="shared" si="52"/>
        <v>2025</v>
      </c>
      <c r="E886" s="2" t="str">
        <f t="shared" si="53"/>
        <v>2025-21</v>
      </c>
      <c r="F886" s="2" t="str">
        <f t="shared" si="54"/>
        <v>Week 21</v>
      </c>
      <c r="G886" s="2" t="str">
        <f t="shared" si="55"/>
        <v>Week 21-2025</v>
      </c>
      <c r="O886"/>
      <c r="Q886"/>
    </row>
    <row r="887" spans="1:17" hidden="1" x14ac:dyDescent="0.2">
      <c r="A887" s="3">
        <v>45799</v>
      </c>
      <c r="B887" s="2" t="s">
        <v>5</v>
      </c>
      <c r="C887" s="2">
        <v>4</v>
      </c>
      <c r="D887" s="2">
        <f t="shared" si="52"/>
        <v>2025</v>
      </c>
      <c r="E887" s="2" t="str">
        <f t="shared" si="53"/>
        <v>2025-21</v>
      </c>
      <c r="F887" s="2" t="str">
        <f t="shared" si="54"/>
        <v>Week 21</v>
      </c>
      <c r="G887" s="2" t="str">
        <f t="shared" si="55"/>
        <v>Week 21-2025</v>
      </c>
      <c r="O887"/>
      <c r="Q887"/>
    </row>
    <row r="888" spans="1:17" hidden="1" x14ac:dyDescent="0.2">
      <c r="A888" s="3">
        <v>45799</v>
      </c>
      <c r="B888" s="2" t="s">
        <v>17</v>
      </c>
      <c r="C888" s="2">
        <v>4</v>
      </c>
      <c r="D888" s="2">
        <f t="shared" si="52"/>
        <v>2025</v>
      </c>
      <c r="E888" s="2" t="str">
        <f t="shared" si="53"/>
        <v>2025-21</v>
      </c>
      <c r="F888" s="2" t="str">
        <f t="shared" si="54"/>
        <v>Week 21</v>
      </c>
      <c r="G888" s="2" t="str">
        <f t="shared" si="55"/>
        <v>Week 21-2025</v>
      </c>
      <c r="O888"/>
      <c r="Q888"/>
    </row>
    <row r="889" spans="1:17" hidden="1" x14ac:dyDescent="0.2">
      <c r="A889" s="3">
        <v>45799</v>
      </c>
      <c r="B889" s="2" t="s">
        <v>7</v>
      </c>
      <c r="C889" s="2">
        <v>2</v>
      </c>
      <c r="D889" s="2">
        <f t="shared" si="52"/>
        <v>2025</v>
      </c>
      <c r="E889" s="2" t="str">
        <f t="shared" si="53"/>
        <v>2025-21</v>
      </c>
      <c r="F889" s="2" t="str">
        <f t="shared" si="54"/>
        <v>Week 21</v>
      </c>
      <c r="G889" s="2" t="str">
        <f t="shared" si="55"/>
        <v>Week 21-2025</v>
      </c>
      <c r="O889"/>
      <c r="Q889"/>
    </row>
    <row r="890" spans="1:17" hidden="1" x14ac:dyDescent="0.2">
      <c r="A890" s="3">
        <v>45799</v>
      </c>
      <c r="B890" s="2" t="s">
        <v>38</v>
      </c>
      <c r="C890" s="2">
        <v>4</v>
      </c>
      <c r="D890" s="2">
        <f t="shared" si="52"/>
        <v>2025</v>
      </c>
      <c r="E890" s="2" t="str">
        <f t="shared" si="53"/>
        <v>2025-21</v>
      </c>
      <c r="F890" s="2" t="str">
        <f t="shared" si="54"/>
        <v>Week 21</v>
      </c>
      <c r="G890" s="2" t="str">
        <f t="shared" si="55"/>
        <v>Week 21-2025</v>
      </c>
      <c r="O890"/>
      <c r="Q890"/>
    </row>
    <row r="891" spans="1:17" hidden="1" x14ac:dyDescent="0.2">
      <c r="A891" s="3">
        <v>45799</v>
      </c>
      <c r="B891" s="2" t="s">
        <v>9</v>
      </c>
      <c r="C891" s="2">
        <v>2</v>
      </c>
      <c r="D891" s="2">
        <f t="shared" si="52"/>
        <v>2025</v>
      </c>
      <c r="E891" s="2" t="str">
        <f t="shared" si="53"/>
        <v>2025-21</v>
      </c>
      <c r="F891" s="2" t="str">
        <f t="shared" si="54"/>
        <v>Week 21</v>
      </c>
      <c r="G891" s="2" t="str">
        <f t="shared" si="55"/>
        <v>Week 21-2025</v>
      </c>
      <c r="O891"/>
      <c r="Q891"/>
    </row>
    <row r="892" spans="1:17" hidden="1" x14ac:dyDescent="0.2">
      <c r="A892" s="3">
        <v>45799</v>
      </c>
      <c r="B892" s="2" t="s">
        <v>3</v>
      </c>
      <c r="C892" s="2">
        <v>2</v>
      </c>
      <c r="D892" s="2">
        <f t="shared" si="52"/>
        <v>2025</v>
      </c>
      <c r="E892" s="2" t="str">
        <f t="shared" si="53"/>
        <v>2025-21</v>
      </c>
      <c r="F892" s="2" t="str">
        <f t="shared" si="54"/>
        <v>Week 21</v>
      </c>
      <c r="G892" s="2" t="str">
        <f t="shared" si="55"/>
        <v>Week 21-2025</v>
      </c>
      <c r="O892"/>
      <c r="Q892"/>
    </row>
    <row r="893" spans="1:17" hidden="1" x14ac:dyDescent="0.2">
      <c r="A893" s="3">
        <v>45799</v>
      </c>
      <c r="B893" s="2" t="s">
        <v>29</v>
      </c>
      <c r="C893" s="2">
        <v>2</v>
      </c>
      <c r="D893" s="2">
        <f t="shared" si="52"/>
        <v>2025</v>
      </c>
      <c r="E893" s="2" t="str">
        <f t="shared" si="53"/>
        <v>2025-21</v>
      </c>
      <c r="F893" s="2" t="str">
        <f t="shared" si="54"/>
        <v>Week 21</v>
      </c>
      <c r="G893" s="2" t="str">
        <f t="shared" si="55"/>
        <v>Week 21-2025</v>
      </c>
      <c r="O893"/>
      <c r="Q893"/>
    </row>
    <row r="894" spans="1:17" hidden="1" x14ac:dyDescent="0.2">
      <c r="A894" s="3">
        <v>45799</v>
      </c>
      <c r="B894" s="2" t="s">
        <v>17</v>
      </c>
      <c r="C894" s="2">
        <v>2</v>
      </c>
      <c r="D894" s="2">
        <f t="shared" si="52"/>
        <v>2025</v>
      </c>
      <c r="E894" s="2" t="str">
        <f t="shared" si="53"/>
        <v>2025-21</v>
      </c>
      <c r="F894" s="2" t="str">
        <f t="shared" si="54"/>
        <v>Week 21</v>
      </c>
      <c r="G894" s="2" t="str">
        <f t="shared" si="55"/>
        <v>Week 21-2025</v>
      </c>
      <c r="O894"/>
      <c r="Q894"/>
    </row>
    <row r="895" spans="1:17" hidden="1" x14ac:dyDescent="0.2">
      <c r="A895" s="3">
        <v>45799</v>
      </c>
      <c r="B895" s="2" t="s">
        <v>7</v>
      </c>
      <c r="C895" s="2">
        <v>1</v>
      </c>
      <c r="D895" s="2">
        <f t="shared" si="52"/>
        <v>2025</v>
      </c>
      <c r="E895" s="2" t="str">
        <f t="shared" si="53"/>
        <v>2025-21</v>
      </c>
      <c r="F895" s="2" t="str">
        <f t="shared" si="54"/>
        <v>Week 21</v>
      </c>
      <c r="G895" s="2" t="str">
        <f t="shared" si="55"/>
        <v>Week 21-2025</v>
      </c>
      <c r="O895"/>
      <c r="Q895"/>
    </row>
    <row r="896" spans="1:17" hidden="1" x14ac:dyDescent="0.2">
      <c r="A896" s="3">
        <v>45799</v>
      </c>
      <c r="B896" s="2" t="s">
        <v>14</v>
      </c>
      <c r="C896" s="2">
        <v>2</v>
      </c>
      <c r="D896" s="2">
        <f t="shared" si="52"/>
        <v>2025</v>
      </c>
      <c r="E896" s="2" t="str">
        <f t="shared" si="53"/>
        <v>2025-21</v>
      </c>
      <c r="F896" s="2" t="str">
        <f t="shared" si="54"/>
        <v>Week 21</v>
      </c>
      <c r="G896" s="2" t="str">
        <f t="shared" si="55"/>
        <v>Week 21-2025</v>
      </c>
      <c r="O896"/>
      <c r="Q896"/>
    </row>
    <row r="897" spans="1:17" hidden="1" x14ac:dyDescent="0.2">
      <c r="A897" s="3">
        <v>45800</v>
      </c>
      <c r="B897" s="2" t="s">
        <v>14</v>
      </c>
      <c r="C897" s="2">
        <v>38</v>
      </c>
      <c r="D897" s="2">
        <f t="shared" si="52"/>
        <v>2025</v>
      </c>
      <c r="E897" s="2" t="str">
        <f t="shared" si="53"/>
        <v>2025-21</v>
      </c>
      <c r="F897" s="2" t="str">
        <f t="shared" si="54"/>
        <v>Week 21</v>
      </c>
      <c r="G897" s="2" t="str">
        <f t="shared" si="55"/>
        <v>Week 21-2025</v>
      </c>
      <c r="O897"/>
      <c r="Q897"/>
    </row>
    <row r="898" spans="1:17" hidden="1" x14ac:dyDescent="0.2">
      <c r="A898" s="3">
        <v>45800</v>
      </c>
      <c r="B898" s="2" t="s">
        <v>5</v>
      </c>
      <c r="C898" s="2">
        <v>21</v>
      </c>
      <c r="D898" s="2">
        <f t="shared" ref="D898:D961" si="56">YEAR(A898)</f>
        <v>2025</v>
      </c>
      <c r="E898" s="2" t="str">
        <f t="shared" ref="E898:E961" si="57">YEAR(A898)&amp;"-"&amp;_xlfn.ISOWEEKNUM(A898)</f>
        <v>2025-21</v>
      </c>
      <c r="F898" s="2" t="str">
        <f t="shared" ref="F898:F961" si="58">_xlfn.CONCAT("Week "&amp;WEEKNUM(A898))</f>
        <v>Week 21</v>
      </c>
      <c r="G898" s="2" t="str">
        <f t="shared" ref="G898:G961" si="59">_xlfn.CONCAT(F898,"-",D898)</f>
        <v>Week 21-2025</v>
      </c>
      <c r="O898"/>
      <c r="Q898"/>
    </row>
    <row r="899" spans="1:17" hidden="1" x14ac:dyDescent="0.2">
      <c r="A899" s="3">
        <v>45800</v>
      </c>
      <c r="B899" s="2" t="s">
        <v>5</v>
      </c>
      <c r="C899" s="2">
        <v>10</v>
      </c>
      <c r="D899" s="2">
        <f t="shared" si="56"/>
        <v>2025</v>
      </c>
      <c r="E899" s="2" t="str">
        <f t="shared" si="57"/>
        <v>2025-21</v>
      </c>
      <c r="F899" s="2" t="str">
        <f t="shared" si="58"/>
        <v>Week 21</v>
      </c>
      <c r="G899" s="2" t="str">
        <f t="shared" si="59"/>
        <v>Week 21-2025</v>
      </c>
      <c r="O899"/>
      <c r="Q899"/>
    </row>
    <row r="900" spans="1:17" hidden="1" x14ac:dyDescent="0.2">
      <c r="A900" s="3">
        <v>45800</v>
      </c>
      <c r="B900" s="2" t="s">
        <v>4</v>
      </c>
      <c r="C900" s="2">
        <v>8</v>
      </c>
      <c r="D900" s="2">
        <f t="shared" si="56"/>
        <v>2025</v>
      </c>
      <c r="E900" s="2" t="str">
        <f t="shared" si="57"/>
        <v>2025-21</v>
      </c>
      <c r="F900" s="2" t="str">
        <f t="shared" si="58"/>
        <v>Week 21</v>
      </c>
      <c r="G900" s="2" t="str">
        <f t="shared" si="59"/>
        <v>Week 21-2025</v>
      </c>
      <c r="O900"/>
      <c r="Q900"/>
    </row>
    <row r="901" spans="1:17" hidden="1" x14ac:dyDescent="0.2">
      <c r="A901" s="3">
        <v>45800</v>
      </c>
      <c r="B901" s="2" t="s">
        <v>5</v>
      </c>
      <c r="C901" s="2">
        <v>11</v>
      </c>
      <c r="D901" s="2">
        <f t="shared" si="56"/>
        <v>2025</v>
      </c>
      <c r="E901" s="2" t="str">
        <f t="shared" si="57"/>
        <v>2025-21</v>
      </c>
      <c r="F901" s="2" t="str">
        <f t="shared" si="58"/>
        <v>Week 21</v>
      </c>
      <c r="G901" s="2" t="str">
        <f t="shared" si="59"/>
        <v>Week 21-2025</v>
      </c>
      <c r="O901"/>
      <c r="Q901"/>
    </row>
    <row r="902" spans="1:17" hidden="1" x14ac:dyDescent="0.2">
      <c r="A902" s="3">
        <v>45800</v>
      </c>
      <c r="B902" s="2" t="s">
        <v>3</v>
      </c>
      <c r="C902" s="2">
        <v>9</v>
      </c>
      <c r="D902" s="2">
        <f t="shared" si="56"/>
        <v>2025</v>
      </c>
      <c r="E902" s="2" t="str">
        <f t="shared" si="57"/>
        <v>2025-21</v>
      </c>
      <c r="F902" s="2" t="str">
        <f t="shared" si="58"/>
        <v>Week 21</v>
      </c>
      <c r="G902" s="2" t="str">
        <f t="shared" si="59"/>
        <v>Week 21-2025</v>
      </c>
      <c r="O902"/>
      <c r="Q902"/>
    </row>
    <row r="903" spans="1:17" hidden="1" x14ac:dyDescent="0.2">
      <c r="A903" s="3">
        <v>45800</v>
      </c>
      <c r="B903" s="2" t="s">
        <v>3</v>
      </c>
      <c r="C903" s="2">
        <v>9</v>
      </c>
      <c r="D903" s="2">
        <f t="shared" si="56"/>
        <v>2025</v>
      </c>
      <c r="E903" s="2" t="str">
        <f t="shared" si="57"/>
        <v>2025-21</v>
      </c>
      <c r="F903" s="2" t="str">
        <f t="shared" si="58"/>
        <v>Week 21</v>
      </c>
      <c r="G903" s="2" t="str">
        <f t="shared" si="59"/>
        <v>Week 21-2025</v>
      </c>
      <c r="O903"/>
      <c r="Q903"/>
    </row>
    <row r="904" spans="1:17" hidden="1" x14ac:dyDescent="0.2">
      <c r="A904" s="3">
        <v>45800</v>
      </c>
      <c r="B904" s="2" t="s">
        <v>10</v>
      </c>
      <c r="C904" s="2">
        <v>6</v>
      </c>
      <c r="D904" s="2">
        <f t="shared" si="56"/>
        <v>2025</v>
      </c>
      <c r="E904" s="2" t="str">
        <f t="shared" si="57"/>
        <v>2025-21</v>
      </c>
      <c r="F904" s="2" t="str">
        <f t="shared" si="58"/>
        <v>Week 21</v>
      </c>
      <c r="G904" s="2" t="str">
        <f t="shared" si="59"/>
        <v>Week 21-2025</v>
      </c>
      <c r="O904"/>
      <c r="Q904"/>
    </row>
    <row r="905" spans="1:17" hidden="1" x14ac:dyDescent="0.2">
      <c r="A905" s="3">
        <v>45800</v>
      </c>
      <c r="B905" s="2" t="s">
        <v>7</v>
      </c>
      <c r="C905" s="2">
        <v>4</v>
      </c>
      <c r="D905" s="2">
        <f t="shared" si="56"/>
        <v>2025</v>
      </c>
      <c r="E905" s="2" t="str">
        <f t="shared" si="57"/>
        <v>2025-21</v>
      </c>
      <c r="F905" s="2" t="str">
        <f t="shared" si="58"/>
        <v>Week 21</v>
      </c>
      <c r="G905" s="2" t="str">
        <f t="shared" si="59"/>
        <v>Week 21-2025</v>
      </c>
      <c r="O905"/>
      <c r="Q905"/>
    </row>
    <row r="906" spans="1:17" hidden="1" x14ac:dyDescent="0.2">
      <c r="A906" s="3">
        <v>45800</v>
      </c>
      <c r="B906" s="2" t="s">
        <v>7</v>
      </c>
      <c r="C906" s="2">
        <v>3</v>
      </c>
      <c r="D906" s="2">
        <f t="shared" si="56"/>
        <v>2025</v>
      </c>
      <c r="E906" s="2" t="str">
        <f t="shared" si="57"/>
        <v>2025-21</v>
      </c>
      <c r="F906" s="2" t="str">
        <f t="shared" si="58"/>
        <v>Week 21</v>
      </c>
      <c r="G906" s="2" t="str">
        <f t="shared" si="59"/>
        <v>Week 21-2025</v>
      </c>
      <c r="O906"/>
      <c r="Q906"/>
    </row>
    <row r="907" spans="1:17" hidden="1" x14ac:dyDescent="0.2">
      <c r="A907" s="3">
        <v>45800</v>
      </c>
      <c r="B907" s="2" t="s">
        <v>5</v>
      </c>
      <c r="C907" s="2">
        <v>4</v>
      </c>
      <c r="D907" s="2">
        <f t="shared" si="56"/>
        <v>2025</v>
      </c>
      <c r="E907" s="2" t="str">
        <f t="shared" si="57"/>
        <v>2025-21</v>
      </c>
      <c r="F907" s="2" t="str">
        <f t="shared" si="58"/>
        <v>Week 21</v>
      </c>
      <c r="G907" s="2" t="str">
        <f t="shared" si="59"/>
        <v>Week 21-2025</v>
      </c>
      <c r="O907"/>
      <c r="Q907"/>
    </row>
    <row r="908" spans="1:17" hidden="1" x14ac:dyDescent="0.2">
      <c r="A908" s="3">
        <v>45800</v>
      </c>
      <c r="B908" s="2" t="s">
        <v>31</v>
      </c>
      <c r="C908" s="2">
        <v>4</v>
      </c>
      <c r="D908" s="2">
        <f t="shared" si="56"/>
        <v>2025</v>
      </c>
      <c r="E908" s="2" t="str">
        <f t="shared" si="57"/>
        <v>2025-21</v>
      </c>
      <c r="F908" s="2" t="str">
        <f t="shared" si="58"/>
        <v>Week 21</v>
      </c>
      <c r="G908" s="2" t="str">
        <f t="shared" si="59"/>
        <v>Week 21-2025</v>
      </c>
      <c r="O908"/>
      <c r="Q908"/>
    </row>
    <row r="909" spans="1:17" hidden="1" x14ac:dyDescent="0.2">
      <c r="A909" s="3">
        <v>45800</v>
      </c>
      <c r="B909" s="2" t="s">
        <v>4</v>
      </c>
      <c r="C909" s="2">
        <v>2</v>
      </c>
      <c r="D909" s="2">
        <f t="shared" si="56"/>
        <v>2025</v>
      </c>
      <c r="E909" s="2" t="str">
        <f t="shared" si="57"/>
        <v>2025-21</v>
      </c>
      <c r="F909" s="2" t="str">
        <f t="shared" si="58"/>
        <v>Week 21</v>
      </c>
      <c r="G909" s="2" t="str">
        <f t="shared" si="59"/>
        <v>Week 21-2025</v>
      </c>
      <c r="O909"/>
      <c r="Q909"/>
    </row>
    <row r="910" spans="1:17" hidden="1" x14ac:dyDescent="0.2">
      <c r="A910" s="3">
        <v>45800</v>
      </c>
      <c r="B910" s="2" t="s">
        <v>9</v>
      </c>
      <c r="C910" s="2">
        <v>2</v>
      </c>
      <c r="D910" s="2">
        <f t="shared" si="56"/>
        <v>2025</v>
      </c>
      <c r="E910" s="2" t="str">
        <f t="shared" si="57"/>
        <v>2025-21</v>
      </c>
      <c r="F910" s="2" t="str">
        <f t="shared" si="58"/>
        <v>Week 21</v>
      </c>
      <c r="G910" s="2" t="str">
        <f t="shared" si="59"/>
        <v>Week 21-2025</v>
      </c>
      <c r="O910"/>
      <c r="Q910"/>
    </row>
    <row r="911" spans="1:17" hidden="1" x14ac:dyDescent="0.2">
      <c r="A911" s="3">
        <v>45800</v>
      </c>
      <c r="B911" s="2" t="s">
        <v>7</v>
      </c>
      <c r="C911" s="2">
        <v>1</v>
      </c>
      <c r="D911" s="2">
        <f t="shared" si="56"/>
        <v>2025</v>
      </c>
      <c r="E911" s="2" t="str">
        <f t="shared" si="57"/>
        <v>2025-21</v>
      </c>
      <c r="F911" s="2" t="str">
        <f t="shared" si="58"/>
        <v>Week 21</v>
      </c>
      <c r="G911" s="2" t="str">
        <f t="shared" si="59"/>
        <v>Week 21-2025</v>
      </c>
      <c r="O911"/>
      <c r="Q911"/>
    </row>
    <row r="912" spans="1:17" hidden="1" x14ac:dyDescent="0.2">
      <c r="A912" s="3">
        <v>45800</v>
      </c>
      <c r="B912" s="2" t="s">
        <v>10</v>
      </c>
      <c r="C912" s="2">
        <v>2</v>
      </c>
      <c r="D912" s="2">
        <f t="shared" si="56"/>
        <v>2025</v>
      </c>
      <c r="E912" s="2" t="str">
        <f t="shared" si="57"/>
        <v>2025-21</v>
      </c>
      <c r="F912" s="2" t="str">
        <f t="shared" si="58"/>
        <v>Week 21</v>
      </c>
      <c r="G912" s="2" t="str">
        <f t="shared" si="59"/>
        <v>Week 21-2025</v>
      </c>
      <c r="O912"/>
      <c r="Q912"/>
    </row>
    <row r="913" spans="1:17" hidden="1" x14ac:dyDescent="0.2">
      <c r="A913" s="3">
        <v>45801</v>
      </c>
      <c r="B913" s="2" t="s">
        <v>12</v>
      </c>
      <c r="C913" s="2">
        <v>8</v>
      </c>
      <c r="D913" s="2">
        <f t="shared" si="56"/>
        <v>2025</v>
      </c>
      <c r="E913" s="2" t="str">
        <f t="shared" si="57"/>
        <v>2025-21</v>
      </c>
      <c r="F913" s="2" t="str">
        <f t="shared" si="58"/>
        <v>Week 21</v>
      </c>
      <c r="G913" s="2" t="str">
        <f t="shared" si="59"/>
        <v>Week 21-2025</v>
      </c>
      <c r="O913"/>
      <c r="Q913"/>
    </row>
    <row r="914" spans="1:17" hidden="1" x14ac:dyDescent="0.2">
      <c r="A914" s="3">
        <v>45801</v>
      </c>
      <c r="B914" s="2" t="s">
        <v>11</v>
      </c>
      <c r="C914" s="2">
        <v>2</v>
      </c>
      <c r="D914" s="2">
        <f t="shared" si="56"/>
        <v>2025</v>
      </c>
      <c r="E914" s="2" t="str">
        <f t="shared" si="57"/>
        <v>2025-21</v>
      </c>
      <c r="F914" s="2" t="str">
        <f t="shared" si="58"/>
        <v>Week 21</v>
      </c>
      <c r="G914" s="2" t="str">
        <f t="shared" si="59"/>
        <v>Week 21-2025</v>
      </c>
      <c r="O914"/>
      <c r="Q914"/>
    </row>
    <row r="915" spans="1:17" hidden="1" x14ac:dyDescent="0.2">
      <c r="A915" s="3">
        <v>45801</v>
      </c>
      <c r="B915" s="2" t="s">
        <v>21</v>
      </c>
      <c r="C915" s="2">
        <v>2</v>
      </c>
      <c r="D915" s="2">
        <f t="shared" si="56"/>
        <v>2025</v>
      </c>
      <c r="E915" s="2" t="str">
        <f t="shared" si="57"/>
        <v>2025-21</v>
      </c>
      <c r="F915" s="2" t="str">
        <f t="shared" si="58"/>
        <v>Week 21</v>
      </c>
      <c r="G915" s="2" t="str">
        <f t="shared" si="59"/>
        <v>Week 21-2025</v>
      </c>
      <c r="O915"/>
      <c r="Q915"/>
    </row>
    <row r="916" spans="1:17" hidden="1" x14ac:dyDescent="0.2">
      <c r="A916" s="3">
        <v>45801</v>
      </c>
      <c r="B916" s="2" t="s">
        <v>34</v>
      </c>
      <c r="C916" s="2">
        <v>4</v>
      </c>
      <c r="D916" s="2">
        <f t="shared" si="56"/>
        <v>2025</v>
      </c>
      <c r="E916" s="2" t="str">
        <f t="shared" si="57"/>
        <v>2025-21</v>
      </c>
      <c r="F916" s="2" t="str">
        <f t="shared" si="58"/>
        <v>Week 21</v>
      </c>
      <c r="G916" s="2" t="str">
        <f t="shared" si="59"/>
        <v>Week 21-2025</v>
      </c>
      <c r="O916"/>
      <c r="Q916"/>
    </row>
    <row r="917" spans="1:17" hidden="1" x14ac:dyDescent="0.2">
      <c r="A917" s="3">
        <v>45801</v>
      </c>
      <c r="B917" s="2" t="s">
        <v>34</v>
      </c>
      <c r="C917" s="2">
        <v>2</v>
      </c>
      <c r="D917" s="2">
        <f t="shared" si="56"/>
        <v>2025</v>
      </c>
      <c r="E917" s="2" t="str">
        <f t="shared" si="57"/>
        <v>2025-21</v>
      </c>
      <c r="F917" s="2" t="str">
        <f t="shared" si="58"/>
        <v>Week 21</v>
      </c>
      <c r="G917" s="2" t="str">
        <f t="shared" si="59"/>
        <v>Week 21-2025</v>
      </c>
      <c r="O917"/>
      <c r="Q917"/>
    </row>
    <row r="918" spans="1:17" hidden="1" x14ac:dyDescent="0.2">
      <c r="A918" s="3">
        <v>45804</v>
      </c>
      <c r="B918" s="2" t="s">
        <v>4</v>
      </c>
      <c r="C918" s="2">
        <v>15</v>
      </c>
      <c r="D918" s="2">
        <f t="shared" si="56"/>
        <v>2025</v>
      </c>
      <c r="E918" s="2" t="str">
        <f t="shared" si="57"/>
        <v>2025-22</v>
      </c>
      <c r="F918" s="2" t="str">
        <f t="shared" si="58"/>
        <v>Week 22</v>
      </c>
      <c r="G918" s="2" t="str">
        <f t="shared" si="59"/>
        <v>Week 22-2025</v>
      </c>
      <c r="O918"/>
      <c r="Q918"/>
    </row>
    <row r="919" spans="1:17" hidden="1" x14ac:dyDescent="0.2">
      <c r="A919" s="3">
        <v>45804</v>
      </c>
      <c r="B919" s="2" t="s">
        <v>3</v>
      </c>
      <c r="C919" s="2">
        <v>18</v>
      </c>
      <c r="D919" s="2">
        <f t="shared" si="56"/>
        <v>2025</v>
      </c>
      <c r="E919" s="2" t="str">
        <f t="shared" si="57"/>
        <v>2025-22</v>
      </c>
      <c r="F919" s="2" t="str">
        <f t="shared" si="58"/>
        <v>Week 22</v>
      </c>
      <c r="G919" s="2" t="str">
        <f t="shared" si="59"/>
        <v>Week 22-2025</v>
      </c>
      <c r="O919"/>
      <c r="Q919"/>
    </row>
    <row r="920" spans="1:17" hidden="1" x14ac:dyDescent="0.2">
      <c r="A920" s="3">
        <v>45804</v>
      </c>
      <c r="B920" s="2" t="s">
        <v>5</v>
      </c>
      <c r="C920" s="2">
        <v>16</v>
      </c>
      <c r="D920" s="2">
        <f t="shared" si="56"/>
        <v>2025</v>
      </c>
      <c r="E920" s="2" t="str">
        <f t="shared" si="57"/>
        <v>2025-22</v>
      </c>
      <c r="F920" s="2" t="str">
        <f t="shared" si="58"/>
        <v>Week 22</v>
      </c>
      <c r="G920" s="2" t="str">
        <f t="shared" si="59"/>
        <v>Week 22-2025</v>
      </c>
      <c r="O920"/>
      <c r="Q920"/>
    </row>
    <row r="921" spans="1:17" hidden="1" x14ac:dyDescent="0.2">
      <c r="A921" s="3">
        <v>45804</v>
      </c>
      <c r="B921" s="2" t="s">
        <v>12</v>
      </c>
      <c r="C921" s="2">
        <v>7</v>
      </c>
      <c r="D921" s="2">
        <f t="shared" si="56"/>
        <v>2025</v>
      </c>
      <c r="E921" s="2" t="str">
        <f t="shared" si="57"/>
        <v>2025-22</v>
      </c>
      <c r="F921" s="2" t="str">
        <f t="shared" si="58"/>
        <v>Week 22</v>
      </c>
      <c r="G921" s="2" t="str">
        <f t="shared" si="59"/>
        <v>Week 22-2025</v>
      </c>
      <c r="O921"/>
      <c r="Q921"/>
    </row>
    <row r="922" spans="1:17" hidden="1" x14ac:dyDescent="0.2">
      <c r="A922" s="3">
        <v>45804</v>
      </c>
      <c r="B922" s="2" t="s">
        <v>12</v>
      </c>
      <c r="C922" s="2">
        <v>7</v>
      </c>
      <c r="D922" s="2">
        <f t="shared" si="56"/>
        <v>2025</v>
      </c>
      <c r="E922" s="2" t="str">
        <f t="shared" si="57"/>
        <v>2025-22</v>
      </c>
      <c r="F922" s="2" t="str">
        <f t="shared" si="58"/>
        <v>Week 22</v>
      </c>
      <c r="G922" s="2" t="str">
        <f t="shared" si="59"/>
        <v>Week 22-2025</v>
      </c>
      <c r="O922"/>
      <c r="Q922"/>
    </row>
    <row r="923" spans="1:17" hidden="1" x14ac:dyDescent="0.2">
      <c r="A923" s="3">
        <v>45804</v>
      </c>
      <c r="B923" s="2" t="s">
        <v>7</v>
      </c>
      <c r="C923" s="2">
        <v>8</v>
      </c>
      <c r="D923" s="2">
        <f t="shared" si="56"/>
        <v>2025</v>
      </c>
      <c r="E923" s="2" t="str">
        <f t="shared" si="57"/>
        <v>2025-22</v>
      </c>
      <c r="F923" s="2" t="str">
        <f t="shared" si="58"/>
        <v>Week 22</v>
      </c>
      <c r="G923" s="2" t="str">
        <f t="shared" si="59"/>
        <v>Week 22-2025</v>
      </c>
      <c r="O923"/>
      <c r="Q923"/>
    </row>
    <row r="924" spans="1:17" hidden="1" x14ac:dyDescent="0.2">
      <c r="A924" s="3">
        <v>45804</v>
      </c>
      <c r="B924" s="2" t="s">
        <v>9</v>
      </c>
      <c r="C924" s="2">
        <v>6</v>
      </c>
      <c r="D924" s="2">
        <f t="shared" si="56"/>
        <v>2025</v>
      </c>
      <c r="E924" s="2" t="str">
        <f t="shared" si="57"/>
        <v>2025-22</v>
      </c>
      <c r="F924" s="2" t="str">
        <f t="shared" si="58"/>
        <v>Week 22</v>
      </c>
      <c r="G924" s="2" t="str">
        <f t="shared" si="59"/>
        <v>Week 22-2025</v>
      </c>
      <c r="O924"/>
      <c r="Q924"/>
    </row>
    <row r="925" spans="1:17" hidden="1" x14ac:dyDescent="0.2">
      <c r="A925" s="3">
        <v>45804</v>
      </c>
      <c r="B925" s="2" t="s">
        <v>6</v>
      </c>
      <c r="C925" s="2">
        <v>4</v>
      </c>
      <c r="D925" s="2">
        <f t="shared" si="56"/>
        <v>2025</v>
      </c>
      <c r="E925" s="2" t="str">
        <f t="shared" si="57"/>
        <v>2025-22</v>
      </c>
      <c r="F925" s="2" t="str">
        <f t="shared" si="58"/>
        <v>Week 22</v>
      </c>
      <c r="G925" s="2" t="str">
        <f t="shared" si="59"/>
        <v>Week 22-2025</v>
      </c>
      <c r="O925"/>
      <c r="Q925"/>
    </row>
    <row r="926" spans="1:17" hidden="1" x14ac:dyDescent="0.2">
      <c r="A926" s="3">
        <v>45804</v>
      </c>
      <c r="B926" s="2" t="s">
        <v>4</v>
      </c>
      <c r="C926" s="2">
        <v>5</v>
      </c>
      <c r="D926" s="2">
        <f t="shared" si="56"/>
        <v>2025</v>
      </c>
      <c r="E926" s="2" t="str">
        <f t="shared" si="57"/>
        <v>2025-22</v>
      </c>
      <c r="F926" s="2" t="str">
        <f t="shared" si="58"/>
        <v>Week 22</v>
      </c>
      <c r="G926" s="2" t="str">
        <f t="shared" si="59"/>
        <v>Week 22-2025</v>
      </c>
      <c r="O926"/>
      <c r="Q926"/>
    </row>
    <row r="927" spans="1:17" hidden="1" x14ac:dyDescent="0.2">
      <c r="A927" s="3">
        <v>45804</v>
      </c>
      <c r="B927" s="2" t="s">
        <v>9</v>
      </c>
      <c r="C927" s="2">
        <v>4</v>
      </c>
      <c r="D927" s="2">
        <f t="shared" si="56"/>
        <v>2025</v>
      </c>
      <c r="E927" s="2" t="str">
        <f t="shared" si="57"/>
        <v>2025-22</v>
      </c>
      <c r="F927" s="2" t="str">
        <f t="shared" si="58"/>
        <v>Week 22</v>
      </c>
      <c r="G927" s="2" t="str">
        <f t="shared" si="59"/>
        <v>Week 22-2025</v>
      </c>
      <c r="O927"/>
      <c r="Q927"/>
    </row>
    <row r="928" spans="1:17" hidden="1" x14ac:dyDescent="0.2">
      <c r="A928" s="3">
        <v>45804</v>
      </c>
      <c r="B928" s="2" t="s">
        <v>8</v>
      </c>
      <c r="C928" s="2">
        <v>8</v>
      </c>
      <c r="D928" s="2">
        <f t="shared" si="56"/>
        <v>2025</v>
      </c>
      <c r="E928" s="2" t="str">
        <f t="shared" si="57"/>
        <v>2025-22</v>
      </c>
      <c r="F928" s="2" t="str">
        <f t="shared" si="58"/>
        <v>Week 22</v>
      </c>
      <c r="G928" s="2" t="str">
        <f t="shared" si="59"/>
        <v>Week 22-2025</v>
      </c>
      <c r="O928"/>
      <c r="Q928"/>
    </row>
    <row r="929" spans="1:17" hidden="1" x14ac:dyDescent="0.2">
      <c r="A929" s="3">
        <v>45804</v>
      </c>
      <c r="B929" s="2" t="s">
        <v>29</v>
      </c>
      <c r="C929" s="2">
        <v>4</v>
      </c>
      <c r="D929" s="2">
        <f t="shared" si="56"/>
        <v>2025</v>
      </c>
      <c r="E929" s="2" t="str">
        <f t="shared" si="57"/>
        <v>2025-22</v>
      </c>
      <c r="F929" s="2" t="str">
        <f t="shared" si="58"/>
        <v>Week 22</v>
      </c>
      <c r="G929" s="2" t="str">
        <f t="shared" si="59"/>
        <v>Week 22-2025</v>
      </c>
      <c r="O929"/>
      <c r="Q929"/>
    </row>
    <row r="930" spans="1:17" hidden="1" x14ac:dyDescent="0.2">
      <c r="A930" s="3">
        <v>45804</v>
      </c>
      <c r="B930" s="2" t="s">
        <v>31</v>
      </c>
      <c r="C930" s="2">
        <v>4</v>
      </c>
      <c r="D930" s="2">
        <f t="shared" si="56"/>
        <v>2025</v>
      </c>
      <c r="E930" s="2" t="str">
        <f t="shared" si="57"/>
        <v>2025-22</v>
      </c>
      <c r="F930" s="2" t="str">
        <f t="shared" si="58"/>
        <v>Week 22</v>
      </c>
      <c r="G930" s="2" t="str">
        <f t="shared" si="59"/>
        <v>Week 22-2025</v>
      </c>
      <c r="O930"/>
      <c r="Q930"/>
    </row>
    <row r="931" spans="1:17" hidden="1" x14ac:dyDescent="0.2">
      <c r="A931" s="3">
        <v>45804</v>
      </c>
      <c r="B931" s="2" t="s">
        <v>38</v>
      </c>
      <c r="C931" s="2">
        <v>4</v>
      </c>
      <c r="D931" s="2">
        <f t="shared" si="56"/>
        <v>2025</v>
      </c>
      <c r="E931" s="2" t="str">
        <f t="shared" si="57"/>
        <v>2025-22</v>
      </c>
      <c r="F931" s="2" t="str">
        <f t="shared" si="58"/>
        <v>Week 22</v>
      </c>
      <c r="G931" s="2" t="str">
        <f t="shared" si="59"/>
        <v>Week 22-2025</v>
      </c>
      <c r="O931"/>
      <c r="Q931"/>
    </row>
    <row r="932" spans="1:17" hidden="1" x14ac:dyDescent="0.2">
      <c r="A932" s="3">
        <v>45804</v>
      </c>
      <c r="B932" s="2" t="s">
        <v>31</v>
      </c>
      <c r="C932" s="2">
        <v>3</v>
      </c>
      <c r="D932" s="2">
        <f t="shared" si="56"/>
        <v>2025</v>
      </c>
      <c r="E932" s="2" t="str">
        <f t="shared" si="57"/>
        <v>2025-22</v>
      </c>
      <c r="F932" s="2" t="str">
        <f t="shared" si="58"/>
        <v>Week 22</v>
      </c>
      <c r="G932" s="2" t="str">
        <f t="shared" si="59"/>
        <v>Week 22-2025</v>
      </c>
      <c r="O932"/>
      <c r="Q932"/>
    </row>
    <row r="933" spans="1:17" hidden="1" x14ac:dyDescent="0.2">
      <c r="A933" s="3">
        <v>45804</v>
      </c>
      <c r="B933" s="2" t="s">
        <v>28</v>
      </c>
      <c r="C933" s="2">
        <v>3</v>
      </c>
      <c r="D933" s="2">
        <f t="shared" si="56"/>
        <v>2025</v>
      </c>
      <c r="E933" s="2" t="str">
        <f t="shared" si="57"/>
        <v>2025-22</v>
      </c>
      <c r="F933" s="2" t="str">
        <f t="shared" si="58"/>
        <v>Week 22</v>
      </c>
      <c r="G933" s="2" t="str">
        <f t="shared" si="59"/>
        <v>Week 22-2025</v>
      </c>
      <c r="O933"/>
      <c r="Q933"/>
    </row>
    <row r="934" spans="1:17" hidden="1" x14ac:dyDescent="0.2">
      <c r="A934" s="3">
        <v>45804</v>
      </c>
      <c r="B934" s="2" t="s">
        <v>5</v>
      </c>
      <c r="C934" s="2">
        <v>1</v>
      </c>
      <c r="D934" s="2">
        <f t="shared" si="56"/>
        <v>2025</v>
      </c>
      <c r="E934" s="2" t="str">
        <f t="shared" si="57"/>
        <v>2025-22</v>
      </c>
      <c r="F934" s="2" t="str">
        <f t="shared" si="58"/>
        <v>Week 22</v>
      </c>
      <c r="G934" s="2" t="str">
        <f t="shared" si="59"/>
        <v>Week 22-2025</v>
      </c>
      <c r="O934"/>
      <c r="Q934"/>
    </row>
    <row r="935" spans="1:17" hidden="1" x14ac:dyDescent="0.2">
      <c r="A935" s="3">
        <v>45804</v>
      </c>
      <c r="B935" s="2" t="s">
        <v>31</v>
      </c>
      <c r="C935" s="2">
        <v>1</v>
      </c>
      <c r="D935" s="2">
        <f t="shared" si="56"/>
        <v>2025</v>
      </c>
      <c r="E935" s="2" t="str">
        <f t="shared" si="57"/>
        <v>2025-22</v>
      </c>
      <c r="F935" s="2" t="str">
        <f t="shared" si="58"/>
        <v>Week 22</v>
      </c>
      <c r="G935" s="2" t="str">
        <f t="shared" si="59"/>
        <v>Week 22-2025</v>
      </c>
      <c r="O935"/>
      <c r="Q935"/>
    </row>
    <row r="936" spans="1:17" hidden="1" x14ac:dyDescent="0.2">
      <c r="A936" s="3">
        <v>45805</v>
      </c>
      <c r="B936" s="2" t="s">
        <v>7</v>
      </c>
      <c r="C936" s="2">
        <v>16</v>
      </c>
      <c r="D936" s="2">
        <f t="shared" si="56"/>
        <v>2025</v>
      </c>
      <c r="E936" s="2" t="str">
        <f t="shared" si="57"/>
        <v>2025-22</v>
      </c>
      <c r="F936" s="2" t="str">
        <f t="shared" si="58"/>
        <v>Week 22</v>
      </c>
      <c r="G936" s="2" t="str">
        <f t="shared" si="59"/>
        <v>Week 22-2025</v>
      </c>
      <c r="O936"/>
      <c r="Q936"/>
    </row>
    <row r="937" spans="1:17" hidden="1" x14ac:dyDescent="0.2">
      <c r="A937" s="3">
        <v>45805</v>
      </c>
      <c r="B937" s="2" t="s">
        <v>7</v>
      </c>
      <c r="C937" s="2">
        <v>16</v>
      </c>
      <c r="D937" s="2">
        <f t="shared" si="56"/>
        <v>2025</v>
      </c>
      <c r="E937" s="2" t="str">
        <f t="shared" si="57"/>
        <v>2025-22</v>
      </c>
      <c r="F937" s="2" t="str">
        <f t="shared" si="58"/>
        <v>Week 22</v>
      </c>
      <c r="G937" s="2" t="str">
        <f t="shared" si="59"/>
        <v>Week 22-2025</v>
      </c>
      <c r="O937"/>
      <c r="Q937"/>
    </row>
    <row r="938" spans="1:17" hidden="1" x14ac:dyDescent="0.2">
      <c r="A938" s="3">
        <v>45805</v>
      </c>
      <c r="B938" s="2" t="s">
        <v>7</v>
      </c>
      <c r="C938" s="2">
        <v>12</v>
      </c>
      <c r="D938" s="2">
        <f t="shared" si="56"/>
        <v>2025</v>
      </c>
      <c r="E938" s="2" t="str">
        <f t="shared" si="57"/>
        <v>2025-22</v>
      </c>
      <c r="F938" s="2" t="str">
        <f t="shared" si="58"/>
        <v>Week 22</v>
      </c>
      <c r="G938" s="2" t="str">
        <f t="shared" si="59"/>
        <v>Week 22-2025</v>
      </c>
      <c r="O938"/>
      <c r="Q938"/>
    </row>
    <row r="939" spans="1:17" hidden="1" x14ac:dyDescent="0.2">
      <c r="A939" s="3">
        <v>45805</v>
      </c>
      <c r="B939" s="2" t="s">
        <v>7</v>
      </c>
      <c r="C939" s="2">
        <v>12</v>
      </c>
      <c r="D939" s="2">
        <f t="shared" si="56"/>
        <v>2025</v>
      </c>
      <c r="E939" s="2" t="str">
        <f t="shared" si="57"/>
        <v>2025-22</v>
      </c>
      <c r="F939" s="2" t="str">
        <f t="shared" si="58"/>
        <v>Week 22</v>
      </c>
      <c r="G939" s="2" t="str">
        <f t="shared" si="59"/>
        <v>Week 22-2025</v>
      </c>
      <c r="O939"/>
      <c r="Q939"/>
    </row>
    <row r="940" spans="1:17" hidden="1" x14ac:dyDescent="0.2">
      <c r="A940" s="3">
        <v>45805</v>
      </c>
      <c r="B940" s="2" t="s">
        <v>7</v>
      </c>
      <c r="C940" s="2">
        <v>8</v>
      </c>
      <c r="D940" s="2">
        <f t="shared" si="56"/>
        <v>2025</v>
      </c>
      <c r="E940" s="2" t="str">
        <f t="shared" si="57"/>
        <v>2025-22</v>
      </c>
      <c r="F940" s="2" t="str">
        <f t="shared" si="58"/>
        <v>Week 22</v>
      </c>
      <c r="G940" s="2" t="str">
        <f t="shared" si="59"/>
        <v>Week 22-2025</v>
      </c>
      <c r="O940"/>
      <c r="Q940"/>
    </row>
    <row r="941" spans="1:17" hidden="1" x14ac:dyDescent="0.2">
      <c r="A941" s="3">
        <v>45805</v>
      </c>
      <c r="B941" s="2" t="s">
        <v>12</v>
      </c>
      <c r="C941" s="2">
        <v>5</v>
      </c>
      <c r="D941" s="2">
        <f t="shared" si="56"/>
        <v>2025</v>
      </c>
      <c r="E941" s="2" t="str">
        <f t="shared" si="57"/>
        <v>2025-22</v>
      </c>
      <c r="F941" s="2" t="str">
        <f t="shared" si="58"/>
        <v>Week 22</v>
      </c>
      <c r="G941" s="2" t="str">
        <f t="shared" si="59"/>
        <v>Week 22-2025</v>
      </c>
      <c r="O941"/>
      <c r="Q941"/>
    </row>
    <row r="942" spans="1:17" hidden="1" x14ac:dyDescent="0.2">
      <c r="A942" s="3">
        <v>45805</v>
      </c>
      <c r="B942" s="2" t="s">
        <v>12</v>
      </c>
      <c r="C942" s="2">
        <v>4</v>
      </c>
      <c r="D942" s="2">
        <f t="shared" si="56"/>
        <v>2025</v>
      </c>
      <c r="E942" s="2" t="str">
        <f t="shared" si="57"/>
        <v>2025-22</v>
      </c>
      <c r="F942" s="2" t="str">
        <f t="shared" si="58"/>
        <v>Week 22</v>
      </c>
      <c r="G942" s="2" t="str">
        <f t="shared" si="59"/>
        <v>Week 22-2025</v>
      </c>
      <c r="O942"/>
      <c r="Q942"/>
    </row>
    <row r="943" spans="1:17" hidden="1" x14ac:dyDescent="0.2">
      <c r="A943" s="3">
        <v>45805</v>
      </c>
      <c r="B943" s="2" t="s">
        <v>7</v>
      </c>
      <c r="C943" s="2">
        <v>4</v>
      </c>
      <c r="D943" s="2">
        <f t="shared" si="56"/>
        <v>2025</v>
      </c>
      <c r="E943" s="2" t="str">
        <f t="shared" si="57"/>
        <v>2025-22</v>
      </c>
      <c r="F943" s="2" t="str">
        <f t="shared" si="58"/>
        <v>Week 22</v>
      </c>
      <c r="G943" s="2" t="str">
        <f t="shared" si="59"/>
        <v>Week 22-2025</v>
      </c>
      <c r="O943"/>
      <c r="Q943"/>
    </row>
    <row r="944" spans="1:17" hidden="1" x14ac:dyDescent="0.2">
      <c r="A944" s="3">
        <v>45805</v>
      </c>
      <c r="B944" s="2" t="s">
        <v>3</v>
      </c>
      <c r="C944" s="2">
        <v>4</v>
      </c>
      <c r="D944" s="2">
        <f t="shared" si="56"/>
        <v>2025</v>
      </c>
      <c r="E944" s="2" t="str">
        <f t="shared" si="57"/>
        <v>2025-22</v>
      </c>
      <c r="F944" s="2" t="str">
        <f t="shared" si="58"/>
        <v>Week 22</v>
      </c>
      <c r="G944" s="2" t="str">
        <f t="shared" si="59"/>
        <v>Week 22-2025</v>
      </c>
      <c r="O944"/>
      <c r="Q944"/>
    </row>
    <row r="945" spans="1:17" hidden="1" x14ac:dyDescent="0.2">
      <c r="A945" s="3">
        <v>45805</v>
      </c>
      <c r="B945" s="2" t="s">
        <v>7</v>
      </c>
      <c r="C945" s="2">
        <v>3</v>
      </c>
      <c r="D945" s="2">
        <f t="shared" si="56"/>
        <v>2025</v>
      </c>
      <c r="E945" s="2" t="str">
        <f t="shared" si="57"/>
        <v>2025-22</v>
      </c>
      <c r="F945" s="2" t="str">
        <f t="shared" si="58"/>
        <v>Week 22</v>
      </c>
      <c r="G945" s="2" t="str">
        <f t="shared" si="59"/>
        <v>Week 22-2025</v>
      </c>
      <c r="O945"/>
      <c r="Q945"/>
    </row>
    <row r="946" spans="1:17" hidden="1" x14ac:dyDescent="0.2">
      <c r="A946" s="3">
        <v>45805</v>
      </c>
      <c r="B946" s="2" t="s">
        <v>7</v>
      </c>
      <c r="C946" s="2">
        <v>1</v>
      </c>
      <c r="D946" s="2">
        <f t="shared" si="56"/>
        <v>2025</v>
      </c>
      <c r="E946" s="2" t="str">
        <f t="shared" si="57"/>
        <v>2025-22</v>
      </c>
      <c r="F946" s="2" t="str">
        <f t="shared" si="58"/>
        <v>Week 22</v>
      </c>
      <c r="G946" s="2" t="str">
        <f t="shared" si="59"/>
        <v>Week 22-2025</v>
      </c>
      <c r="O946"/>
      <c r="Q946"/>
    </row>
    <row r="947" spans="1:17" hidden="1" x14ac:dyDescent="0.2">
      <c r="A947" s="3">
        <v>45806</v>
      </c>
      <c r="B947" s="2" t="s">
        <v>5</v>
      </c>
      <c r="C947" s="2">
        <v>12</v>
      </c>
      <c r="D947" s="2">
        <f t="shared" si="56"/>
        <v>2025</v>
      </c>
      <c r="E947" s="2" t="str">
        <f t="shared" si="57"/>
        <v>2025-22</v>
      </c>
      <c r="F947" s="2" t="str">
        <f t="shared" si="58"/>
        <v>Week 22</v>
      </c>
      <c r="G947" s="2" t="str">
        <f t="shared" si="59"/>
        <v>Week 22-2025</v>
      </c>
      <c r="O947"/>
      <c r="Q947"/>
    </row>
    <row r="948" spans="1:17" hidden="1" x14ac:dyDescent="0.2">
      <c r="A948" s="3">
        <v>45806</v>
      </c>
      <c r="B948" s="2" t="s">
        <v>3</v>
      </c>
      <c r="C948" s="2">
        <v>9</v>
      </c>
      <c r="D948" s="2">
        <f t="shared" si="56"/>
        <v>2025</v>
      </c>
      <c r="E948" s="2" t="str">
        <f t="shared" si="57"/>
        <v>2025-22</v>
      </c>
      <c r="F948" s="2" t="str">
        <f t="shared" si="58"/>
        <v>Week 22</v>
      </c>
      <c r="G948" s="2" t="str">
        <f t="shared" si="59"/>
        <v>Week 22-2025</v>
      </c>
      <c r="O948"/>
      <c r="Q948"/>
    </row>
    <row r="949" spans="1:17" hidden="1" x14ac:dyDescent="0.2">
      <c r="A949" s="3">
        <v>45806</v>
      </c>
      <c r="B949" s="2" t="s">
        <v>8</v>
      </c>
      <c r="C949" s="2">
        <v>8</v>
      </c>
      <c r="D949" s="2">
        <f t="shared" si="56"/>
        <v>2025</v>
      </c>
      <c r="E949" s="2" t="str">
        <f t="shared" si="57"/>
        <v>2025-22</v>
      </c>
      <c r="F949" s="2" t="str">
        <f t="shared" si="58"/>
        <v>Week 22</v>
      </c>
      <c r="G949" s="2" t="str">
        <f t="shared" si="59"/>
        <v>Week 22-2025</v>
      </c>
      <c r="O949"/>
      <c r="Q949"/>
    </row>
    <row r="950" spans="1:17" hidden="1" x14ac:dyDescent="0.2">
      <c r="A950" s="3">
        <v>45806</v>
      </c>
      <c r="B950" s="2" t="s">
        <v>9</v>
      </c>
      <c r="C950" s="2">
        <v>4</v>
      </c>
      <c r="D950" s="2">
        <f t="shared" si="56"/>
        <v>2025</v>
      </c>
      <c r="E950" s="2" t="str">
        <f t="shared" si="57"/>
        <v>2025-22</v>
      </c>
      <c r="F950" s="2" t="str">
        <f t="shared" si="58"/>
        <v>Week 22</v>
      </c>
      <c r="G950" s="2" t="str">
        <f t="shared" si="59"/>
        <v>Week 22-2025</v>
      </c>
      <c r="O950"/>
      <c r="Q950"/>
    </row>
    <row r="951" spans="1:17" hidden="1" x14ac:dyDescent="0.2">
      <c r="A951" s="3">
        <v>45806</v>
      </c>
      <c r="B951" s="2" t="s">
        <v>14</v>
      </c>
      <c r="C951" s="2">
        <v>6</v>
      </c>
      <c r="D951" s="2">
        <f t="shared" si="56"/>
        <v>2025</v>
      </c>
      <c r="E951" s="2" t="str">
        <f t="shared" si="57"/>
        <v>2025-22</v>
      </c>
      <c r="F951" s="2" t="str">
        <f t="shared" si="58"/>
        <v>Week 22</v>
      </c>
      <c r="G951" s="2" t="str">
        <f t="shared" si="59"/>
        <v>Week 22-2025</v>
      </c>
      <c r="O951"/>
      <c r="Q951"/>
    </row>
    <row r="952" spans="1:17" hidden="1" x14ac:dyDescent="0.2">
      <c r="A952" s="3">
        <v>45806</v>
      </c>
      <c r="B952" s="2" t="s">
        <v>5</v>
      </c>
      <c r="C952" s="2">
        <v>4</v>
      </c>
      <c r="D952" s="2">
        <f t="shared" si="56"/>
        <v>2025</v>
      </c>
      <c r="E952" s="2" t="str">
        <f t="shared" si="57"/>
        <v>2025-22</v>
      </c>
      <c r="F952" s="2" t="str">
        <f t="shared" si="58"/>
        <v>Week 22</v>
      </c>
      <c r="G952" s="2" t="str">
        <f t="shared" si="59"/>
        <v>Week 22-2025</v>
      </c>
      <c r="O952"/>
      <c r="Q952"/>
    </row>
    <row r="953" spans="1:17" hidden="1" x14ac:dyDescent="0.2">
      <c r="A953" s="3">
        <v>45806</v>
      </c>
      <c r="B953" s="2" t="s">
        <v>3</v>
      </c>
      <c r="C953" s="2">
        <v>2</v>
      </c>
      <c r="D953" s="2">
        <f t="shared" si="56"/>
        <v>2025</v>
      </c>
      <c r="E953" s="2" t="str">
        <f t="shared" si="57"/>
        <v>2025-22</v>
      </c>
      <c r="F953" s="2" t="str">
        <f t="shared" si="58"/>
        <v>Week 22</v>
      </c>
      <c r="G953" s="2" t="str">
        <f t="shared" si="59"/>
        <v>Week 22-2025</v>
      </c>
      <c r="O953"/>
      <c r="Q953"/>
    </row>
    <row r="954" spans="1:17" hidden="1" x14ac:dyDescent="0.2">
      <c r="A954" s="3">
        <v>45806</v>
      </c>
      <c r="B954" s="2" t="s">
        <v>34</v>
      </c>
      <c r="C954" s="2">
        <v>2</v>
      </c>
      <c r="D954" s="2">
        <f t="shared" si="56"/>
        <v>2025</v>
      </c>
      <c r="E954" s="2" t="str">
        <f t="shared" si="57"/>
        <v>2025-22</v>
      </c>
      <c r="F954" s="2" t="str">
        <f t="shared" si="58"/>
        <v>Week 22</v>
      </c>
      <c r="G954" s="2" t="str">
        <f t="shared" si="59"/>
        <v>Week 22-2025</v>
      </c>
      <c r="O954"/>
      <c r="Q954"/>
    </row>
    <row r="955" spans="1:17" hidden="1" x14ac:dyDescent="0.2">
      <c r="A955" s="3">
        <v>45807</v>
      </c>
      <c r="B955" s="2" t="s">
        <v>9</v>
      </c>
      <c r="C955" s="2">
        <v>25</v>
      </c>
      <c r="D955" s="2">
        <f t="shared" si="56"/>
        <v>2025</v>
      </c>
      <c r="E955" s="2" t="str">
        <f t="shared" si="57"/>
        <v>2025-22</v>
      </c>
      <c r="F955" s="2" t="str">
        <f t="shared" si="58"/>
        <v>Week 22</v>
      </c>
      <c r="G955" s="2" t="str">
        <f t="shared" si="59"/>
        <v>Week 22-2025</v>
      </c>
      <c r="O955"/>
      <c r="Q955"/>
    </row>
    <row r="956" spans="1:17" hidden="1" x14ac:dyDescent="0.2">
      <c r="A956" s="3">
        <v>45807</v>
      </c>
      <c r="B956" s="2" t="s">
        <v>5</v>
      </c>
      <c r="C956" s="2">
        <v>25</v>
      </c>
      <c r="D956" s="2">
        <f t="shared" si="56"/>
        <v>2025</v>
      </c>
      <c r="E956" s="2" t="str">
        <f t="shared" si="57"/>
        <v>2025-22</v>
      </c>
      <c r="F956" s="2" t="str">
        <f t="shared" si="58"/>
        <v>Week 22</v>
      </c>
      <c r="G956" s="2" t="str">
        <f t="shared" si="59"/>
        <v>Week 22-2025</v>
      </c>
      <c r="O956"/>
      <c r="Q956"/>
    </row>
    <row r="957" spans="1:17" hidden="1" x14ac:dyDescent="0.2">
      <c r="A957" s="3">
        <v>45807</v>
      </c>
      <c r="B957" s="2" t="s">
        <v>3</v>
      </c>
      <c r="C957" s="2">
        <v>6</v>
      </c>
      <c r="D957" s="2">
        <f t="shared" si="56"/>
        <v>2025</v>
      </c>
      <c r="E957" s="2" t="str">
        <f t="shared" si="57"/>
        <v>2025-22</v>
      </c>
      <c r="F957" s="2" t="str">
        <f t="shared" si="58"/>
        <v>Week 22</v>
      </c>
      <c r="G957" s="2" t="str">
        <f t="shared" si="59"/>
        <v>Week 22-2025</v>
      </c>
      <c r="O957"/>
      <c r="Q957"/>
    </row>
    <row r="958" spans="1:17" hidden="1" x14ac:dyDescent="0.2">
      <c r="A958" s="3">
        <v>45807</v>
      </c>
      <c r="B958" s="2" t="s">
        <v>5</v>
      </c>
      <c r="C958" s="2">
        <v>6</v>
      </c>
      <c r="D958" s="2">
        <f t="shared" si="56"/>
        <v>2025</v>
      </c>
      <c r="E958" s="2" t="str">
        <f t="shared" si="57"/>
        <v>2025-22</v>
      </c>
      <c r="F958" s="2" t="str">
        <f t="shared" si="58"/>
        <v>Week 22</v>
      </c>
      <c r="G958" s="2" t="str">
        <f t="shared" si="59"/>
        <v>Week 22-2025</v>
      </c>
      <c r="O958"/>
      <c r="Q958"/>
    </row>
    <row r="959" spans="1:17" hidden="1" x14ac:dyDescent="0.2">
      <c r="A959" s="3">
        <v>45807</v>
      </c>
      <c r="B959" s="2" t="s">
        <v>4</v>
      </c>
      <c r="C959" s="2">
        <v>4</v>
      </c>
      <c r="D959" s="2">
        <f t="shared" si="56"/>
        <v>2025</v>
      </c>
      <c r="E959" s="2" t="str">
        <f t="shared" si="57"/>
        <v>2025-22</v>
      </c>
      <c r="F959" s="2" t="str">
        <f t="shared" si="58"/>
        <v>Week 22</v>
      </c>
      <c r="G959" s="2" t="str">
        <f t="shared" si="59"/>
        <v>Week 22-2025</v>
      </c>
      <c r="O959"/>
      <c r="Q959"/>
    </row>
    <row r="960" spans="1:17" hidden="1" x14ac:dyDescent="0.2">
      <c r="A960" s="3">
        <v>45807</v>
      </c>
      <c r="B960" s="2" t="s">
        <v>34</v>
      </c>
      <c r="C960" s="2">
        <v>4</v>
      </c>
      <c r="D960" s="2">
        <f t="shared" si="56"/>
        <v>2025</v>
      </c>
      <c r="E960" s="2" t="str">
        <f t="shared" si="57"/>
        <v>2025-22</v>
      </c>
      <c r="F960" s="2" t="str">
        <f t="shared" si="58"/>
        <v>Week 22</v>
      </c>
      <c r="G960" s="2" t="str">
        <f t="shared" si="59"/>
        <v>Week 22-2025</v>
      </c>
      <c r="O960"/>
      <c r="Q960"/>
    </row>
    <row r="961" spans="1:17" hidden="1" x14ac:dyDescent="0.2">
      <c r="A961" s="3">
        <v>45807</v>
      </c>
      <c r="B961" s="2" t="s">
        <v>34</v>
      </c>
      <c r="C961" s="2">
        <v>3</v>
      </c>
      <c r="D961" s="2">
        <f t="shared" si="56"/>
        <v>2025</v>
      </c>
      <c r="E961" s="2" t="str">
        <f t="shared" si="57"/>
        <v>2025-22</v>
      </c>
      <c r="F961" s="2" t="str">
        <f t="shared" si="58"/>
        <v>Week 22</v>
      </c>
      <c r="G961" s="2" t="str">
        <f t="shared" si="59"/>
        <v>Week 22-2025</v>
      </c>
      <c r="O961"/>
      <c r="Q961"/>
    </row>
    <row r="962" spans="1:17" hidden="1" x14ac:dyDescent="0.2">
      <c r="A962" s="3">
        <v>45807</v>
      </c>
      <c r="B962" s="2" t="s">
        <v>8</v>
      </c>
      <c r="C962" s="2">
        <v>2</v>
      </c>
      <c r="D962" s="2">
        <f t="shared" ref="D962:D1025" si="60">YEAR(A962)</f>
        <v>2025</v>
      </c>
      <c r="E962" s="2" t="str">
        <f t="shared" ref="E962:E1025" si="61">YEAR(A962)&amp;"-"&amp;_xlfn.ISOWEEKNUM(A962)</f>
        <v>2025-22</v>
      </c>
      <c r="F962" s="2" t="str">
        <f t="shared" ref="F962:F1025" si="62">_xlfn.CONCAT("Week "&amp;WEEKNUM(A962))</f>
        <v>Week 22</v>
      </c>
      <c r="G962" s="2" t="str">
        <f t="shared" ref="G962:G1025" si="63">_xlfn.CONCAT(F962,"-",D962)</f>
        <v>Week 22-2025</v>
      </c>
      <c r="O962"/>
      <c r="Q962"/>
    </row>
    <row r="963" spans="1:17" hidden="1" x14ac:dyDescent="0.2">
      <c r="A963" s="3">
        <v>45807</v>
      </c>
      <c r="B963" s="2" t="s">
        <v>9</v>
      </c>
      <c r="C963" s="2">
        <v>1</v>
      </c>
      <c r="D963" s="2">
        <f t="shared" si="60"/>
        <v>2025</v>
      </c>
      <c r="E963" s="2" t="str">
        <f t="shared" si="61"/>
        <v>2025-22</v>
      </c>
      <c r="F963" s="2" t="str">
        <f t="shared" si="62"/>
        <v>Week 22</v>
      </c>
      <c r="G963" s="2" t="str">
        <f t="shared" si="63"/>
        <v>Week 22-2025</v>
      </c>
      <c r="O963"/>
      <c r="Q963"/>
    </row>
    <row r="964" spans="1:17" hidden="1" x14ac:dyDescent="0.2">
      <c r="A964" s="3">
        <v>45808</v>
      </c>
      <c r="B964" s="2" t="s">
        <v>18</v>
      </c>
      <c r="C964" s="2">
        <v>8</v>
      </c>
      <c r="D964" s="2">
        <f t="shared" si="60"/>
        <v>2025</v>
      </c>
      <c r="E964" s="2" t="str">
        <f t="shared" si="61"/>
        <v>2025-22</v>
      </c>
      <c r="F964" s="2" t="str">
        <f t="shared" si="62"/>
        <v>Week 22</v>
      </c>
      <c r="G964" s="2" t="str">
        <f t="shared" si="63"/>
        <v>Week 22-2025</v>
      </c>
      <c r="O964"/>
      <c r="Q964"/>
    </row>
    <row r="965" spans="1:17" hidden="1" x14ac:dyDescent="0.2">
      <c r="A965" s="3">
        <v>45808</v>
      </c>
      <c r="B965" s="2" t="s">
        <v>3</v>
      </c>
      <c r="C965" s="2">
        <v>12</v>
      </c>
      <c r="D965" s="2">
        <f t="shared" si="60"/>
        <v>2025</v>
      </c>
      <c r="E965" s="2" t="str">
        <f t="shared" si="61"/>
        <v>2025-22</v>
      </c>
      <c r="F965" s="2" t="str">
        <f t="shared" si="62"/>
        <v>Week 22</v>
      </c>
      <c r="G965" s="2" t="str">
        <f t="shared" si="63"/>
        <v>Week 22-2025</v>
      </c>
      <c r="O965"/>
      <c r="Q965"/>
    </row>
    <row r="966" spans="1:17" hidden="1" x14ac:dyDescent="0.2">
      <c r="A966" s="3">
        <v>45808</v>
      </c>
      <c r="B966" s="2" t="s">
        <v>17</v>
      </c>
      <c r="C966" s="2">
        <v>8</v>
      </c>
      <c r="D966" s="2">
        <f t="shared" si="60"/>
        <v>2025</v>
      </c>
      <c r="E966" s="2" t="str">
        <f t="shared" si="61"/>
        <v>2025-22</v>
      </c>
      <c r="F966" s="2" t="str">
        <f t="shared" si="62"/>
        <v>Week 22</v>
      </c>
      <c r="G966" s="2" t="str">
        <f t="shared" si="63"/>
        <v>Week 22-2025</v>
      </c>
      <c r="O966"/>
      <c r="Q966"/>
    </row>
    <row r="967" spans="1:17" hidden="1" x14ac:dyDescent="0.2">
      <c r="A967" s="3">
        <v>45808</v>
      </c>
      <c r="B967" s="2" t="s">
        <v>7</v>
      </c>
      <c r="C967" s="2">
        <v>4</v>
      </c>
      <c r="D967" s="2">
        <f t="shared" si="60"/>
        <v>2025</v>
      </c>
      <c r="E967" s="2" t="str">
        <f t="shared" si="61"/>
        <v>2025-22</v>
      </c>
      <c r="F967" s="2" t="str">
        <f t="shared" si="62"/>
        <v>Week 22</v>
      </c>
      <c r="G967" s="2" t="str">
        <f t="shared" si="63"/>
        <v>Week 22-2025</v>
      </c>
      <c r="O967"/>
      <c r="Q967"/>
    </row>
    <row r="968" spans="1:17" hidden="1" x14ac:dyDescent="0.2">
      <c r="A968" s="3">
        <v>45808</v>
      </c>
      <c r="B968" s="2" t="s">
        <v>10</v>
      </c>
      <c r="C968" s="2">
        <v>9</v>
      </c>
      <c r="D968" s="2">
        <f t="shared" si="60"/>
        <v>2025</v>
      </c>
      <c r="E968" s="2" t="str">
        <f t="shared" si="61"/>
        <v>2025-22</v>
      </c>
      <c r="F968" s="2" t="str">
        <f t="shared" si="62"/>
        <v>Week 22</v>
      </c>
      <c r="G968" s="2" t="str">
        <f t="shared" si="63"/>
        <v>Week 22-2025</v>
      </c>
      <c r="O968"/>
      <c r="Q968"/>
    </row>
    <row r="969" spans="1:17" hidden="1" x14ac:dyDescent="0.2">
      <c r="A969" s="3">
        <v>45808</v>
      </c>
      <c r="B969" s="2" t="s">
        <v>4</v>
      </c>
      <c r="C969" s="2">
        <v>4</v>
      </c>
      <c r="D969" s="2">
        <f t="shared" si="60"/>
        <v>2025</v>
      </c>
      <c r="E969" s="2" t="str">
        <f t="shared" si="61"/>
        <v>2025-22</v>
      </c>
      <c r="F969" s="2" t="str">
        <f t="shared" si="62"/>
        <v>Week 22</v>
      </c>
      <c r="G969" s="2" t="str">
        <f t="shared" si="63"/>
        <v>Week 22-2025</v>
      </c>
      <c r="O969"/>
      <c r="Q969"/>
    </row>
    <row r="970" spans="1:17" hidden="1" x14ac:dyDescent="0.2">
      <c r="A970" s="3">
        <v>45808</v>
      </c>
      <c r="B970" s="2" t="s">
        <v>6</v>
      </c>
      <c r="C970" s="2">
        <v>4</v>
      </c>
      <c r="D970" s="2">
        <f t="shared" si="60"/>
        <v>2025</v>
      </c>
      <c r="E970" s="2" t="str">
        <f t="shared" si="61"/>
        <v>2025-22</v>
      </c>
      <c r="F970" s="2" t="str">
        <f t="shared" si="62"/>
        <v>Week 22</v>
      </c>
      <c r="G970" s="2" t="str">
        <f t="shared" si="63"/>
        <v>Week 22-2025</v>
      </c>
      <c r="O970"/>
      <c r="Q970"/>
    </row>
    <row r="971" spans="1:17" hidden="1" x14ac:dyDescent="0.2">
      <c r="A971" s="3">
        <v>45808</v>
      </c>
      <c r="B971" s="2" t="s">
        <v>7</v>
      </c>
      <c r="C971" s="2">
        <v>4</v>
      </c>
      <c r="D971" s="2">
        <f t="shared" si="60"/>
        <v>2025</v>
      </c>
      <c r="E971" s="2" t="str">
        <f t="shared" si="61"/>
        <v>2025-22</v>
      </c>
      <c r="F971" s="2" t="str">
        <f t="shared" si="62"/>
        <v>Week 22</v>
      </c>
      <c r="G971" s="2" t="str">
        <f t="shared" si="63"/>
        <v>Week 22-2025</v>
      </c>
      <c r="O971"/>
      <c r="Q971"/>
    </row>
    <row r="972" spans="1:17" hidden="1" x14ac:dyDescent="0.2">
      <c r="A972" s="3">
        <v>45808</v>
      </c>
      <c r="B972" s="2" t="s">
        <v>3</v>
      </c>
      <c r="C972" s="2">
        <v>4</v>
      </c>
      <c r="D972" s="2">
        <f t="shared" si="60"/>
        <v>2025</v>
      </c>
      <c r="E972" s="2" t="str">
        <f t="shared" si="61"/>
        <v>2025-22</v>
      </c>
      <c r="F972" s="2" t="str">
        <f t="shared" si="62"/>
        <v>Week 22</v>
      </c>
      <c r="G972" s="2" t="str">
        <f t="shared" si="63"/>
        <v>Week 22-2025</v>
      </c>
      <c r="O972"/>
      <c r="Q972"/>
    </row>
    <row r="973" spans="1:17" hidden="1" x14ac:dyDescent="0.2">
      <c r="A973" s="3">
        <v>45808</v>
      </c>
      <c r="B973" s="2" t="s">
        <v>14</v>
      </c>
      <c r="C973" s="2">
        <v>5</v>
      </c>
      <c r="D973" s="2">
        <f t="shared" si="60"/>
        <v>2025</v>
      </c>
      <c r="E973" s="2" t="str">
        <f t="shared" si="61"/>
        <v>2025-22</v>
      </c>
      <c r="F973" s="2" t="str">
        <f t="shared" si="62"/>
        <v>Week 22</v>
      </c>
      <c r="G973" s="2" t="str">
        <f t="shared" si="63"/>
        <v>Week 22-2025</v>
      </c>
      <c r="O973"/>
      <c r="Q973"/>
    </row>
    <row r="974" spans="1:17" hidden="1" x14ac:dyDescent="0.2">
      <c r="A974" s="3">
        <v>45808</v>
      </c>
      <c r="B974" s="2" t="s">
        <v>10</v>
      </c>
      <c r="C974" s="2">
        <v>4</v>
      </c>
      <c r="D974" s="2">
        <f t="shared" si="60"/>
        <v>2025</v>
      </c>
      <c r="E974" s="2" t="str">
        <f t="shared" si="61"/>
        <v>2025-22</v>
      </c>
      <c r="F974" s="2" t="str">
        <f t="shared" si="62"/>
        <v>Week 22</v>
      </c>
      <c r="G974" s="2" t="str">
        <f t="shared" si="63"/>
        <v>Week 22-2025</v>
      </c>
      <c r="O974"/>
      <c r="Q974"/>
    </row>
    <row r="975" spans="1:17" hidden="1" x14ac:dyDescent="0.2">
      <c r="A975" s="3">
        <v>45808</v>
      </c>
      <c r="B975" s="2" t="s">
        <v>14</v>
      </c>
      <c r="C975" s="2">
        <v>4</v>
      </c>
      <c r="D975" s="2">
        <f t="shared" si="60"/>
        <v>2025</v>
      </c>
      <c r="E975" s="2" t="str">
        <f t="shared" si="61"/>
        <v>2025-22</v>
      </c>
      <c r="F975" s="2" t="str">
        <f t="shared" si="62"/>
        <v>Week 22</v>
      </c>
      <c r="G975" s="2" t="str">
        <f t="shared" si="63"/>
        <v>Week 22-2025</v>
      </c>
      <c r="O975"/>
      <c r="Q975"/>
    </row>
    <row r="976" spans="1:17" hidden="1" x14ac:dyDescent="0.2">
      <c r="A976" s="3">
        <v>45808</v>
      </c>
      <c r="B976" s="2" t="s">
        <v>14</v>
      </c>
      <c r="C976" s="2">
        <v>3</v>
      </c>
      <c r="D976" s="2">
        <f t="shared" si="60"/>
        <v>2025</v>
      </c>
      <c r="E976" s="2" t="str">
        <f t="shared" si="61"/>
        <v>2025-22</v>
      </c>
      <c r="F976" s="2" t="str">
        <f t="shared" si="62"/>
        <v>Week 22</v>
      </c>
      <c r="G976" s="2" t="str">
        <f t="shared" si="63"/>
        <v>Week 22-2025</v>
      </c>
      <c r="O976"/>
      <c r="Q976"/>
    </row>
    <row r="977" spans="1:17" hidden="1" x14ac:dyDescent="0.2">
      <c r="A977" s="3">
        <v>45808</v>
      </c>
      <c r="B977" s="2" t="s">
        <v>34</v>
      </c>
      <c r="C977" s="2">
        <v>2</v>
      </c>
      <c r="D977" s="2">
        <f t="shared" si="60"/>
        <v>2025</v>
      </c>
      <c r="E977" s="2" t="str">
        <f t="shared" si="61"/>
        <v>2025-22</v>
      </c>
      <c r="F977" s="2" t="str">
        <f t="shared" si="62"/>
        <v>Week 22</v>
      </c>
      <c r="G977" s="2" t="str">
        <f t="shared" si="63"/>
        <v>Week 22-2025</v>
      </c>
      <c r="O977"/>
      <c r="Q977"/>
    </row>
    <row r="978" spans="1:17" hidden="1" x14ac:dyDescent="0.2">
      <c r="A978" s="3">
        <v>45810</v>
      </c>
      <c r="B978" s="2" t="s">
        <v>9</v>
      </c>
      <c r="C978" s="2">
        <v>9</v>
      </c>
      <c r="D978" s="2">
        <f t="shared" si="60"/>
        <v>2025</v>
      </c>
      <c r="E978" s="2" t="str">
        <f t="shared" si="61"/>
        <v>2025-23</v>
      </c>
      <c r="F978" s="2" t="str">
        <f t="shared" si="62"/>
        <v>Week 23</v>
      </c>
      <c r="G978" s="2" t="str">
        <f t="shared" si="63"/>
        <v>Week 23-2025</v>
      </c>
      <c r="O978"/>
      <c r="Q978"/>
    </row>
    <row r="979" spans="1:17" hidden="1" x14ac:dyDescent="0.2">
      <c r="A979" s="3">
        <v>45810</v>
      </c>
      <c r="B979" s="2" t="s">
        <v>3</v>
      </c>
      <c r="C979" s="2">
        <v>10</v>
      </c>
      <c r="D979" s="2">
        <f t="shared" si="60"/>
        <v>2025</v>
      </c>
      <c r="E979" s="2" t="str">
        <f t="shared" si="61"/>
        <v>2025-23</v>
      </c>
      <c r="F979" s="2" t="str">
        <f t="shared" si="62"/>
        <v>Week 23</v>
      </c>
      <c r="G979" s="2" t="str">
        <f t="shared" si="63"/>
        <v>Week 23-2025</v>
      </c>
      <c r="O979"/>
      <c r="Q979"/>
    </row>
    <row r="980" spans="1:17" hidden="1" x14ac:dyDescent="0.2">
      <c r="A980" s="3">
        <v>45810</v>
      </c>
      <c r="B980" s="2" t="s">
        <v>3</v>
      </c>
      <c r="C980" s="2">
        <v>10</v>
      </c>
      <c r="D980" s="2">
        <f t="shared" si="60"/>
        <v>2025</v>
      </c>
      <c r="E980" s="2" t="str">
        <f t="shared" si="61"/>
        <v>2025-23</v>
      </c>
      <c r="F980" s="2" t="str">
        <f t="shared" si="62"/>
        <v>Week 23</v>
      </c>
      <c r="G980" s="2" t="str">
        <f t="shared" si="63"/>
        <v>Week 23-2025</v>
      </c>
      <c r="O980"/>
      <c r="Q980"/>
    </row>
    <row r="981" spans="1:17" hidden="1" x14ac:dyDescent="0.2">
      <c r="A981" s="3">
        <v>45810</v>
      </c>
      <c r="B981" s="2" t="s">
        <v>9</v>
      </c>
      <c r="C981" s="2">
        <v>6</v>
      </c>
      <c r="D981" s="2">
        <f t="shared" si="60"/>
        <v>2025</v>
      </c>
      <c r="E981" s="2" t="str">
        <f t="shared" si="61"/>
        <v>2025-23</v>
      </c>
      <c r="F981" s="2" t="str">
        <f t="shared" si="62"/>
        <v>Week 23</v>
      </c>
      <c r="G981" s="2" t="str">
        <f t="shared" si="63"/>
        <v>Week 23-2025</v>
      </c>
      <c r="O981"/>
      <c r="Q981"/>
    </row>
    <row r="982" spans="1:17" hidden="1" x14ac:dyDescent="0.2">
      <c r="A982" s="3">
        <v>45810</v>
      </c>
      <c r="B982" s="2" t="s">
        <v>27</v>
      </c>
      <c r="C982" s="2">
        <v>12</v>
      </c>
      <c r="D982" s="2">
        <f t="shared" si="60"/>
        <v>2025</v>
      </c>
      <c r="E982" s="2" t="str">
        <f t="shared" si="61"/>
        <v>2025-23</v>
      </c>
      <c r="F982" s="2" t="str">
        <f t="shared" si="62"/>
        <v>Week 23</v>
      </c>
      <c r="G982" s="2" t="str">
        <f t="shared" si="63"/>
        <v>Week 23-2025</v>
      </c>
      <c r="O982"/>
      <c r="Q982"/>
    </row>
    <row r="983" spans="1:17" hidden="1" x14ac:dyDescent="0.2">
      <c r="A983" s="3">
        <v>45810</v>
      </c>
      <c r="B983" s="2" t="s">
        <v>5</v>
      </c>
      <c r="C983" s="2">
        <v>6</v>
      </c>
      <c r="D983" s="2">
        <f t="shared" si="60"/>
        <v>2025</v>
      </c>
      <c r="E983" s="2" t="str">
        <f t="shared" si="61"/>
        <v>2025-23</v>
      </c>
      <c r="F983" s="2" t="str">
        <f t="shared" si="62"/>
        <v>Week 23</v>
      </c>
      <c r="G983" s="2" t="str">
        <f t="shared" si="63"/>
        <v>Week 23-2025</v>
      </c>
      <c r="O983"/>
      <c r="Q983"/>
    </row>
    <row r="984" spans="1:17" hidden="1" x14ac:dyDescent="0.2">
      <c r="A984" s="3">
        <v>45810</v>
      </c>
      <c r="B984" s="2" t="s">
        <v>5</v>
      </c>
      <c r="C984" s="2">
        <v>6</v>
      </c>
      <c r="D984" s="2">
        <f t="shared" si="60"/>
        <v>2025</v>
      </c>
      <c r="E984" s="2" t="str">
        <f t="shared" si="61"/>
        <v>2025-23</v>
      </c>
      <c r="F984" s="2" t="str">
        <f t="shared" si="62"/>
        <v>Week 23</v>
      </c>
      <c r="G984" s="2" t="str">
        <f t="shared" si="63"/>
        <v>Week 23-2025</v>
      </c>
      <c r="O984"/>
      <c r="Q984"/>
    </row>
    <row r="985" spans="1:17" hidden="1" x14ac:dyDescent="0.2">
      <c r="A985" s="3">
        <v>45810</v>
      </c>
      <c r="B985" s="2" t="s">
        <v>27</v>
      </c>
      <c r="C985" s="2">
        <v>10</v>
      </c>
      <c r="D985" s="2">
        <f t="shared" si="60"/>
        <v>2025</v>
      </c>
      <c r="E985" s="2" t="str">
        <f t="shared" si="61"/>
        <v>2025-23</v>
      </c>
      <c r="F985" s="2" t="str">
        <f t="shared" si="62"/>
        <v>Week 23</v>
      </c>
      <c r="G985" s="2" t="str">
        <f t="shared" si="63"/>
        <v>Week 23-2025</v>
      </c>
      <c r="O985"/>
      <c r="Q985"/>
    </row>
    <row r="986" spans="1:17" hidden="1" x14ac:dyDescent="0.2">
      <c r="A986" s="3">
        <v>45810</v>
      </c>
      <c r="B986" s="2" t="s">
        <v>9</v>
      </c>
      <c r="C986" s="2">
        <v>3</v>
      </c>
      <c r="D986" s="2">
        <f t="shared" si="60"/>
        <v>2025</v>
      </c>
      <c r="E986" s="2" t="str">
        <f t="shared" si="61"/>
        <v>2025-23</v>
      </c>
      <c r="F986" s="2" t="str">
        <f t="shared" si="62"/>
        <v>Week 23</v>
      </c>
      <c r="G986" s="2" t="str">
        <f t="shared" si="63"/>
        <v>Week 23-2025</v>
      </c>
      <c r="O986"/>
      <c r="Q986"/>
    </row>
    <row r="987" spans="1:17" hidden="1" x14ac:dyDescent="0.2">
      <c r="A987" s="3">
        <v>45810</v>
      </c>
      <c r="B987" s="2" t="s">
        <v>10</v>
      </c>
      <c r="C987" s="2">
        <v>4</v>
      </c>
      <c r="D987" s="2">
        <f t="shared" si="60"/>
        <v>2025</v>
      </c>
      <c r="E987" s="2" t="str">
        <f t="shared" si="61"/>
        <v>2025-23</v>
      </c>
      <c r="F987" s="2" t="str">
        <f t="shared" si="62"/>
        <v>Week 23</v>
      </c>
      <c r="G987" s="2" t="str">
        <f t="shared" si="63"/>
        <v>Week 23-2025</v>
      </c>
      <c r="O987"/>
      <c r="Q987"/>
    </row>
    <row r="988" spans="1:17" hidden="1" x14ac:dyDescent="0.2">
      <c r="A988" s="3">
        <v>45810</v>
      </c>
      <c r="B988" s="2" t="s">
        <v>10</v>
      </c>
      <c r="C988" s="2">
        <v>4</v>
      </c>
      <c r="D988" s="2">
        <f t="shared" si="60"/>
        <v>2025</v>
      </c>
      <c r="E988" s="2" t="str">
        <f t="shared" si="61"/>
        <v>2025-23</v>
      </c>
      <c r="F988" s="2" t="str">
        <f t="shared" si="62"/>
        <v>Week 23</v>
      </c>
      <c r="G988" s="2" t="str">
        <f t="shared" si="63"/>
        <v>Week 23-2025</v>
      </c>
      <c r="O988"/>
      <c r="Q988"/>
    </row>
    <row r="989" spans="1:17" hidden="1" x14ac:dyDescent="0.2">
      <c r="A989" s="3">
        <v>45810</v>
      </c>
      <c r="B989" s="2" t="s">
        <v>19</v>
      </c>
      <c r="C989" s="2">
        <v>2</v>
      </c>
      <c r="D989" s="2">
        <f t="shared" si="60"/>
        <v>2025</v>
      </c>
      <c r="E989" s="2" t="str">
        <f t="shared" si="61"/>
        <v>2025-23</v>
      </c>
      <c r="F989" s="2" t="str">
        <f t="shared" si="62"/>
        <v>Week 23</v>
      </c>
      <c r="G989" s="2" t="str">
        <f t="shared" si="63"/>
        <v>Week 23-2025</v>
      </c>
      <c r="O989"/>
      <c r="Q989"/>
    </row>
    <row r="990" spans="1:17" hidden="1" x14ac:dyDescent="0.2">
      <c r="A990" s="3">
        <v>45810</v>
      </c>
      <c r="B990" s="2" t="s">
        <v>14</v>
      </c>
      <c r="C990" s="2">
        <v>3</v>
      </c>
      <c r="D990" s="2">
        <f t="shared" si="60"/>
        <v>2025</v>
      </c>
      <c r="E990" s="2" t="str">
        <f t="shared" si="61"/>
        <v>2025-23</v>
      </c>
      <c r="F990" s="2" t="str">
        <f t="shared" si="62"/>
        <v>Week 23</v>
      </c>
      <c r="G990" s="2" t="str">
        <f t="shared" si="63"/>
        <v>Week 23-2025</v>
      </c>
      <c r="O990"/>
      <c r="Q990"/>
    </row>
    <row r="991" spans="1:17" hidden="1" x14ac:dyDescent="0.2">
      <c r="A991" s="3">
        <v>45810</v>
      </c>
      <c r="B991" s="2" t="s">
        <v>14</v>
      </c>
      <c r="C991" s="2">
        <v>3</v>
      </c>
      <c r="D991" s="2">
        <f t="shared" si="60"/>
        <v>2025</v>
      </c>
      <c r="E991" s="2" t="str">
        <f t="shared" si="61"/>
        <v>2025-23</v>
      </c>
      <c r="F991" s="2" t="str">
        <f t="shared" si="62"/>
        <v>Week 23</v>
      </c>
      <c r="G991" s="2" t="str">
        <f t="shared" si="63"/>
        <v>Week 23-2025</v>
      </c>
      <c r="O991"/>
      <c r="Q991"/>
    </row>
    <row r="992" spans="1:17" hidden="1" x14ac:dyDescent="0.2">
      <c r="A992" s="3">
        <v>45810</v>
      </c>
      <c r="B992" s="2" t="s">
        <v>19</v>
      </c>
      <c r="C992" s="2">
        <v>1</v>
      </c>
      <c r="D992" s="2">
        <f t="shared" si="60"/>
        <v>2025</v>
      </c>
      <c r="E992" s="2" t="str">
        <f t="shared" si="61"/>
        <v>2025-23</v>
      </c>
      <c r="F992" s="2" t="str">
        <f t="shared" si="62"/>
        <v>Week 23</v>
      </c>
      <c r="G992" s="2" t="str">
        <f t="shared" si="63"/>
        <v>Week 23-2025</v>
      </c>
      <c r="O992"/>
      <c r="Q992"/>
    </row>
    <row r="993" spans="1:17" hidden="1" x14ac:dyDescent="0.2">
      <c r="A993" s="3">
        <v>45810</v>
      </c>
      <c r="B993" s="2" t="s">
        <v>19</v>
      </c>
      <c r="C993" s="2">
        <v>1</v>
      </c>
      <c r="D993" s="2">
        <f t="shared" si="60"/>
        <v>2025</v>
      </c>
      <c r="E993" s="2" t="str">
        <f t="shared" si="61"/>
        <v>2025-23</v>
      </c>
      <c r="F993" s="2" t="str">
        <f t="shared" si="62"/>
        <v>Week 23</v>
      </c>
      <c r="G993" s="2" t="str">
        <f t="shared" si="63"/>
        <v>Week 23-2025</v>
      </c>
      <c r="O993"/>
      <c r="Q993"/>
    </row>
    <row r="994" spans="1:17" hidden="1" x14ac:dyDescent="0.2">
      <c r="A994" s="3">
        <v>45810</v>
      </c>
      <c r="B994" s="2" t="s">
        <v>7</v>
      </c>
      <c r="C994" s="2">
        <v>1</v>
      </c>
      <c r="D994" s="2">
        <f t="shared" si="60"/>
        <v>2025</v>
      </c>
      <c r="E994" s="2" t="str">
        <f t="shared" si="61"/>
        <v>2025-23</v>
      </c>
      <c r="F994" s="2" t="str">
        <f t="shared" si="62"/>
        <v>Week 23</v>
      </c>
      <c r="G994" s="2" t="str">
        <f t="shared" si="63"/>
        <v>Week 23-2025</v>
      </c>
      <c r="O994"/>
      <c r="Q994"/>
    </row>
    <row r="995" spans="1:17" hidden="1" x14ac:dyDescent="0.2">
      <c r="A995" s="3">
        <v>45810</v>
      </c>
      <c r="B995" s="2" t="s">
        <v>7</v>
      </c>
      <c r="C995" s="2">
        <v>1</v>
      </c>
      <c r="D995" s="2">
        <f t="shared" si="60"/>
        <v>2025</v>
      </c>
      <c r="E995" s="2" t="str">
        <f t="shared" si="61"/>
        <v>2025-23</v>
      </c>
      <c r="F995" s="2" t="str">
        <f t="shared" si="62"/>
        <v>Week 23</v>
      </c>
      <c r="G995" s="2" t="str">
        <f t="shared" si="63"/>
        <v>Week 23-2025</v>
      </c>
      <c r="O995"/>
      <c r="Q995"/>
    </row>
    <row r="996" spans="1:17" hidden="1" x14ac:dyDescent="0.2">
      <c r="A996" s="3">
        <v>45810</v>
      </c>
      <c r="B996" s="2" t="s">
        <v>27</v>
      </c>
      <c r="C996" s="2">
        <v>2</v>
      </c>
      <c r="D996" s="2">
        <f t="shared" si="60"/>
        <v>2025</v>
      </c>
      <c r="E996" s="2" t="str">
        <f t="shared" si="61"/>
        <v>2025-23</v>
      </c>
      <c r="F996" s="2" t="str">
        <f t="shared" si="62"/>
        <v>Week 23</v>
      </c>
      <c r="G996" s="2" t="str">
        <f t="shared" si="63"/>
        <v>Week 23-2025</v>
      </c>
      <c r="O996"/>
      <c r="Q996"/>
    </row>
    <row r="997" spans="1:17" hidden="1" x14ac:dyDescent="0.2">
      <c r="A997" s="3">
        <v>45811</v>
      </c>
      <c r="B997" s="2" t="s">
        <v>19</v>
      </c>
      <c r="C997" s="2">
        <v>12</v>
      </c>
      <c r="D997" s="2">
        <f t="shared" si="60"/>
        <v>2025</v>
      </c>
      <c r="E997" s="2" t="str">
        <f t="shared" si="61"/>
        <v>2025-23</v>
      </c>
      <c r="F997" s="2" t="str">
        <f t="shared" si="62"/>
        <v>Week 23</v>
      </c>
      <c r="G997" s="2" t="str">
        <f t="shared" si="63"/>
        <v>Week 23-2025</v>
      </c>
      <c r="O997"/>
      <c r="Q997"/>
    </row>
    <row r="998" spans="1:17" hidden="1" x14ac:dyDescent="0.2">
      <c r="A998" s="3">
        <v>45811</v>
      </c>
      <c r="B998" s="2" t="s">
        <v>9</v>
      </c>
      <c r="C998" s="2">
        <v>14</v>
      </c>
      <c r="D998" s="2">
        <f t="shared" si="60"/>
        <v>2025</v>
      </c>
      <c r="E998" s="2" t="str">
        <f t="shared" si="61"/>
        <v>2025-23</v>
      </c>
      <c r="F998" s="2" t="str">
        <f t="shared" si="62"/>
        <v>Week 23</v>
      </c>
      <c r="G998" s="2" t="str">
        <f t="shared" si="63"/>
        <v>Week 23-2025</v>
      </c>
      <c r="O998"/>
      <c r="Q998"/>
    </row>
    <row r="999" spans="1:17" hidden="1" x14ac:dyDescent="0.2">
      <c r="A999" s="3">
        <v>45811</v>
      </c>
      <c r="B999" s="2" t="s">
        <v>18</v>
      </c>
      <c r="C999" s="2">
        <v>8</v>
      </c>
      <c r="D999" s="2">
        <f t="shared" si="60"/>
        <v>2025</v>
      </c>
      <c r="E999" s="2" t="str">
        <f t="shared" si="61"/>
        <v>2025-23</v>
      </c>
      <c r="F999" s="2" t="str">
        <f t="shared" si="62"/>
        <v>Week 23</v>
      </c>
      <c r="G999" s="2" t="str">
        <f t="shared" si="63"/>
        <v>Week 23-2025</v>
      </c>
      <c r="O999"/>
      <c r="Q999"/>
    </row>
    <row r="1000" spans="1:17" hidden="1" x14ac:dyDescent="0.2">
      <c r="A1000" s="3">
        <v>45811</v>
      </c>
      <c r="B1000" s="2" t="s">
        <v>3</v>
      </c>
      <c r="C1000" s="2">
        <v>12</v>
      </c>
      <c r="D1000" s="2">
        <f t="shared" si="60"/>
        <v>2025</v>
      </c>
      <c r="E1000" s="2" t="str">
        <f t="shared" si="61"/>
        <v>2025-23</v>
      </c>
      <c r="F1000" s="2" t="str">
        <f t="shared" si="62"/>
        <v>Week 23</v>
      </c>
      <c r="G1000" s="2" t="str">
        <f t="shared" si="63"/>
        <v>Week 23-2025</v>
      </c>
      <c r="O1000"/>
      <c r="Q1000"/>
    </row>
    <row r="1001" spans="1:17" hidden="1" x14ac:dyDescent="0.2">
      <c r="A1001" s="3">
        <v>45811</v>
      </c>
      <c r="B1001" s="2" t="s">
        <v>6</v>
      </c>
      <c r="C1001" s="2">
        <v>8</v>
      </c>
      <c r="D1001" s="2">
        <f t="shared" si="60"/>
        <v>2025</v>
      </c>
      <c r="E1001" s="2" t="str">
        <f t="shared" si="61"/>
        <v>2025-23</v>
      </c>
      <c r="F1001" s="2" t="str">
        <f t="shared" si="62"/>
        <v>Week 23</v>
      </c>
      <c r="G1001" s="2" t="str">
        <f t="shared" si="63"/>
        <v>Week 23-2025</v>
      </c>
      <c r="O1001"/>
      <c r="Q1001"/>
    </row>
    <row r="1002" spans="1:17" hidden="1" x14ac:dyDescent="0.2">
      <c r="A1002" s="3">
        <v>45811</v>
      </c>
      <c r="B1002" s="2" t="s">
        <v>18</v>
      </c>
      <c r="C1002" s="2">
        <v>7</v>
      </c>
      <c r="D1002" s="2">
        <f t="shared" si="60"/>
        <v>2025</v>
      </c>
      <c r="E1002" s="2" t="str">
        <f t="shared" si="61"/>
        <v>2025-23</v>
      </c>
      <c r="F1002" s="2" t="str">
        <f t="shared" si="62"/>
        <v>Week 23</v>
      </c>
      <c r="G1002" s="2" t="str">
        <f t="shared" si="63"/>
        <v>Week 23-2025</v>
      </c>
      <c r="O1002"/>
      <c r="Q1002"/>
    </row>
    <row r="1003" spans="1:17" hidden="1" x14ac:dyDescent="0.2">
      <c r="A1003" s="3">
        <v>45811</v>
      </c>
      <c r="B1003" s="2" t="s">
        <v>3</v>
      </c>
      <c r="C1003" s="2">
        <v>9</v>
      </c>
      <c r="D1003" s="2">
        <f t="shared" si="60"/>
        <v>2025</v>
      </c>
      <c r="E1003" s="2" t="str">
        <f t="shared" si="61"/>
        <v>2025-23</v>
      </c>
      <c r="F1003" s="2" t="str">
        <f t="shared" si="62"/>
        <v>Week 23</v>
      </c>
      <c r="G1003" s="2" t="str">
        <f t="shared" si="63"/>
        <v>Week 23-2025</v>
      </c>
      <c r="O1003"/>
      <c r="Q1003"/>
    </row>
    <row r="1004" spans="1:17" hidden="1" x14ac:dyDescent="0.2">
      <c r="A1004" s="3">
        <v>45811</v>
      </c>
      <c r="B1004" s="2" t="s">
        <v>9</v>
      </c>
      <c r="C1004" s="2">
        <v>8</v>
      </c>
      <c r="D1004" s="2">
        <f t="shared" si="60"/>
        <v>2025</v>
      </c>
      <c r="E1004" s="2" t="str">
        <f t="shared" si="61"/>
        <v>2025-23</v>
      </c>
      <c r="F1004" s="2" t="str">
        <f t="shared" si="62"/>
        <v>Week 23</v>
      </c>
      <c r="G1004" s="2" t="str">
        <f t="shared" si="63"/>
        <v>Week 23-2025</v>
      </c>
      <c r="O1004"/>
      <c r="Q1004"/>
    </row>
    <row r="1005" spans="1:17" hidden="1" x14ac:dyDescent="0.2">
      <c r="A1005" s="3">
        <v>45811</v>
      </c>
      <c r="B1005" s="2" t="s">
        <v>3</v>
      </c>
      <c r="C1005" s="2">
        <v>8</v>
      </c>
      <c r="D1005" s="2">
        <f t="shared" si="60"/>
        <v>2025</v>
      </c>
      <c r="E1005" s="2" t="str">
        <f t="shared" si="61"/>
        <v>2025-23</v>
      </c>
      <c r="F1005" s="2" t="str">
        <f t="shared" si="62"/>
        <v>Week 23</v>
      </c>
      <c r="G1005" s="2" t="str">
        <f t="shared" si="63"/>
        <v>Week 23-2025</v>
      </c>
      <c r="O1005"/>
      <c r="Q1005"/>
    </row>
    <row r="1006" spans="1:17" hidden="1" x14ac:dyDescent="0.2">
      <c r="A1006" s="3">
        <v>45811</v>
      </c>
      <c r="B1006" s="2" t="s">
        <v>7</v>
      </c>
      <c r="C1006" s="2">
        <v>6</v>
      </c>
      <c r="D1006" s="2">
        <f t="shared" si="60"/>
        <v>2025</v>
      </c>
      <c r="E1006" s="2" t="str">
        <f t="shared" si="61"/>
        <v>2025-23</v>
      </c>
      <c r="F1006" s="2" t="str">
        <f t="shared" si="62"/>
        <v>Week 23</v>
      </c>
      <c r="G1006" s="2" t="str">
        <f t="shared" si="63"/>
        <v>Week 23-2025</v>
      </c>
      <c r="O1006"/>
      <c r="Q1006"/>
    </row>
    <row r="1007" spans="1:17" hidden="1" x14ac:dyDescent="0.2">
      <c r="A1007" s="3">
        <v>45811</v>
      </c>
      <c r="B1007" s="2" t="s">
        <v>7</v>
      </c>
      <c r="C1007" s="2">
        <v>6</v>
      </c>
      <c r="D1007" s="2">
        <f t="shared" si="60"/>
        <v>2025</v>
      </c>
      <c r="E1007" s="2" t="str">
        <f t="shared" si="61"/>
        <v>2025-23</v>
      </c>
      <c r="F1007" s="2" t="str">
        <f t="shared" si="62"/>
        <v>Week 23</v>
      </c>
      <c r="G1007" s="2" t="str">
        <f t="shared" si="63"/>
        <v>Week 23-2025</v>
      </c>
      <c r="O1007"/>
      <c r="Q1007"/>
    </row>
    <row r="1008" spans="1:17" hidden="1" x14ac:dyDescent="0.2">
      <c r="A1008" s="3">
        <v>45811</v>
      </c>
      <c r="B1008" s="2" t="s">
        <v>7</v>
      </c>
      <c r="C1008" s="2">
        <v>6</v>
      </c>
      <c r="D1008" s="2">
        <f t="shared" si="60"/>
        <v>2025</v>
      </c>
      <c r="E1008" s="2" t="str">
        <f t="shared" si="61"/>
        <v>2025-23</v>
      </c>
      <c r="F1008" s="2" t="str">
        <f t="shared" si="62"/>
        <v>Week 23</v>
      </c>
      <c r="G1008" s="2" t="str">
        <f t="shared" si="63"/>
        <v>Week 23-2025</v>
      </c>
      <c r="O1008"/>
      <c r="Q1008"/>
    </row>
    <row r="1009" spans="1:17" hidden="1" x14ac:dyDescent="0.2">
      <c r="A1009" s="3">
        <v>45811</v>
      </c>
      <c r="B1009" s="2" t="s">
        <v>10</v>
      </c>
      <c r="C1009" s="2">
        <v>8</v>
      </c>
      <c r="D1009" s="2">
        <f t="shared" si="60"/>
        <v>2025</v>
      </c>
      <c r="E1009" s="2" t="str">
        <f t="shared" si="61"/>
        <v>2025-23</v>
      </c>
      <c r="F1009" s="2" t="str">
        <f t="shared" si="62"/>
        <v>Week 23</v>
      </c>
      <c r="G1009" s="2" t="str">
        <f t="shared" si="63"/>
        <v>Week 23-2025</v>
      </c>
      <c r="O1009"/>
      <c r="Q1009"/>
    </row>
    <row r="1010" spans="1:17" hidden="1" x14ac:dyDescent="0.2">
      <c r="A1010" s="3">
        <v>45811</v>
      </c>
      <c r="B1010" s="2" t="s">
        <v>5</v>
      </c>
      <c r="C1010" s="2">
        <v>6</v>
      </c>
      <c r="D1010" s="2">
        <f t="shared" si="60"/>
        <v>2025</v>
      </c>
      <c r="E1010" s="2" t="str">
        <f t="shared" si="61"/>
        <v>2025-23</v>
      </c>
      <c r="F1010" s="2" t="str">
        <f t="shared" si="62"/>
        <v>Week 23</v>
      </c>
      <c r="G1010" s="2" t="str">
        <f t="shared" si="63"/>
        <v>Week 23-2025</v>
      </c>
      <c r="O1010"/>
      <c r="Q1010"/>
    </row>
    <row r="1011" spans="1:17" hidden="1" x14ac:dyDescent="0.2">
      <c r="A1011" s="3">
        <v>45811</v>
      </c>
      <c r="B1011" s="2" t="s">
        <v>3</v>
      </c>
      <c r="C1011" s="2">
        <v>3</v>
      </c>
      <c r="D1011" s="2">
        <f t="shared" si="60"/>
        <v>2025</v>
      </c>
      <c r="E1011" s="2" t="str">
        <f t="shared" si="61"/>
        <v>2025-23</v>
      </c>
      <c r="F1011" s="2" t="str">
        <f t="shared" si="62"/>
        <v>Week 23</v>
      </c>
      <c r="G1011" s="2" t="str">
        <f t="shared" si="63"/>
        <v>Week 23-2025</v>
      </c>
      <c r="O1011"/>
      <c r="Q1011"/>
    </row>
    <row r="1012" spans="1:17" hidden="1" x14ac:dyDescent="0.2">
      <c r="A1012" s="3">
        <v>45811</v>
      </c>
      <c r="B1012" s="2" t="s">
        <v>19</v>
      </c>
      <c r="C1012" s="2">
        <v>2</v>
      </c>
      <c r="D1012" s="2">
        <f t="shared" si="60"/>
        <v>2025</v>
      </c>
      <c r="E1012" s="2" t="str">
        <f t="shared" si="61"/>
        <v>2025-23</v>
      </c>
      <c r="F1012" s="2" t="str">
        <f t="shared" si="62"/>
        <v>Week 23</v>
      </c>
      <c r="G1012" s="2" t="str">
        <f t="shared" si="63"/>
        <v>Week 23-2025</v>
      </c>
      <c r="O1012"/>
      <c r="Q1012"/>
    </row>
    <row r="1013" spans="1:17" hidden="1" x14ac:dyDescent="0.2">
      <c r="A1013" s="3">
        <v>45811</v>
      </c>
      <c r="B1013" s="2" t="s">
        <v>14</v>
      </c>
      <c r="C1013" s="2">
        <v>4</v>
      </c>
      <c r="D1013" s="2">
        <f t="shared" si="60"/>
        <v>2025</v>
      </c>
      <c r="E1013" s="2" t="str">
        <f t="shared" si="61"/>
        <v>2025-23</v>
      </c>
      <c r="F1013" s="2" t="str">
        <f t="shared" si="62"/>
        <v>Week 23</v>
      </c>
      <c r="G1013" s="2" t="str">
        <f t="shared" si="63"/>
        <v>Week 23-2025</v>
      </c>
      <c r="O1013"/>
      <c r="Q1013"/>
    </row>
    <row r="1014" spans="1:17" hidden="1" x14ac:dyDescent="0.2">
      <c r="A1014" s="3">
        <v>45811</v>
      </c>
      <c r="B1014" s="2" t="s">
        <v>36</v>
      </c>
      <c r="C1014" s="2">
        <v>6</v>
      </c>
      <c r="D1014" s="2">
        <f t="shared" si="60"/>
        <v>2025</v>
      </c>
      <c r="E1014" s="2" t="str">
        <f t="shared" si="61"/>
        <v>2025-23</v>
      </c>
      <c r="F1014" s="2" t="str">
        <f t="shared" si="62"/>
        <v>Week 23</v>
      </c>
      <c r="G1014" s="2" t="str">
        <f t="shared" si="63"/>
        <v>Week 23-2025</v>
      </c>
      <c r="O1014"/>
      <c r="Q1014"/>
    </row>
    <row r="1015" spans="1:17" hidden="1" x14ac:dyDescent="0.2">
      <c r="A1015" s="3">
        <v>45811</v>
      </c>
      <c r="B1015" s="2" t="s">
        <v>30</v>
      </c>
      <c r="C1015" s="2">
        <v>4</v>
      </c>
      <c r="D1015" s="2">
        <f t="shared" si="60"/>
        <v>2025</v>
      </c>
      <c r="E1015" s="2" t="str">
        <f t="shared" si="61"/>
        <v>2025-23</v>
      </c>
      <c r="F1015" s="2" t="str">
        <f t="shared" si="62"/>
        <v>Week 23</v>
      </c>
      <c r="G1015" s="2" t="str">
        <f t="shared" si="63"/>
        <v>Week 23-2025</v>
      </c>
      <c r="O1015"/>
      <c r="Q1015"/>
    </row>
    <row r="1016" spans="1:17" hidden="1" x14ac:dyDescent="0.2">
      <c r="A1016" s="3">
        <v>45811</v>
      </c>
      <c r="B1016" s="2" t="s">
        <v>3</v>
      </c>
      <c r="C1016" s="2">
        <v>2</v>
      </c>
      <c r="D1016" s="2">
        <f t="shared" si="60"/>
        <v>2025</v>
      </c>
      <c r="E1016" s="2" t="str">
        <f t="shared" si="61"/>
        <v>2025-23</v>
      </c>
      <c r="F1016" s="2" t="str">
        <f t="shared" si="62"/>
        <v>Week 23</v>
      </c>
      <c r="G1016" s="2" t="str">
        <f t="shared" si="63"/>
        <v>Week 23-2025</v>
      </c>
      <c r="O1016"/>
      <c r="Q1016"/>
    </row>
    <row r="1017" spans="1:17" hidden="1" x14ac:dyDescent="0.2">
      <c r="A1017" s="3">
        <v>45811</v>
      </c>
      <c r="B1017" s="2" t="s">
        <v>18</v>
      </c>
      <c r="C1017" s="2">
        <v>1</v>
      </c>
      <c r="D1017" s="2">
        <f t="shared" si="60"/>
        <v>2025</v>
      </c>
      <c r="E1017" s="2" t="str">
        <f t="shared" si="61"/>
        <v>2025-23</v>
      </c>
      <c r="F1017" s="2" t="str">
        <f t="shared" si="62"/>
        <v>Week 23</v>
      </c>
      <c r="G1017" s="2" t="str">
        <f t="shared" si="63"/>
        <v>Week 23-2025</v>
      </c>
      <c r="O1017"/>
      <c r="Q1017"/>
    </row>
    <row r="1018" spans="1:17" hidden="1" x14ac:dyDescent="0.2">
      <c r="A1018" s="3">
        <v>45811</v>
      </c>
      <c r="B1018" s="2" t="s">
        <v>5</v>
      </c>
      <c r="C1018" s="2">
        <v>1</v>
      </c>
      <c r="D1018" s="2">
        <f t="shared" si="60"/>
        <v>2025</v>
      </c>
      <c r="E1018" s="2" t="str">
        <f t="shared" si="61"/>
        <v>2025-23</v>
      </c>
      <c r="F1018" s="2" t="str">
        <f t="shared" si="62"/>
        <v>Week 23</v>
      </c>
      <c r="G1018" s="2" t="str">
        <f t="shared" si="63"/>
        <v>Week 23-2025</v>
      </c>
      <c r="O1018"/>
      <c r="Q1018"/>
    </row>
    <row r="1019" spans="1:17" x14ac:dyDescent="0.2">
      <c r="A1019" s="3">
        <v>45811</v>
      </c>
      <c r="B1019" s="2" t="s">
        <v>24</v>
      </c>
      <c r="C1019" s="2">
        <v>2</v>
      </c>
      <c r="D1019" s="2">
        <f t="shared" si="60"/>
        <v>2025</v>
      </c>
      <c r="E1019" s="2" t="str">
        <f t="shared" si="61"/>
        <v>2025-23</v>
      </c>
      <c r="F1019" s="2" t="str">
        <f t="shared" si="62"/>
        <v>Week 23</v>
      </c>
      <c r="G1019" s="2" t="str">
        <f t="shared" si="63"/>
        <v>Week 23-2025</v>
      </c>
      <c r="O1019"/>
      <c r="Q1019"/>
    </row>
    <row r="1020" spans="1:17" hidden="1" x14ac:dyDescent="0.2">
      <c r="A1020" s="3">
        <v>45812</v>
      </c>
      <c r="B1020" s="2" t="s">
        <v>22</v>
      </c>
      <c r="C1020" s="2">
        <v>20</v>
      </c>
      <c r="D1020" s="2">
        <f t="shared" si="60"/>
        <v>2025</v>
      </c>
      <c r="E1020" s="2" t="str">
        <f t="shared" si="61"/>
        <v>2025-23</v>
      </c>
      <c r="F1020" s="2" t="str">
        <f t="shared" si="62"/>
        <v>Week 23</v>
      </c>
      <c r="G1020" s="2" t="str">
        <f t="shared" si="63"/>
        <v>Week 23-2025</v>
      </c>
      <c r="O1020"/>
      <c r="Q1020"/>
    </row>
    <row r="1021" spans="1:17" hidden="1" x14ac:dyDescent="0.2">
      <c r="A1021" s="3">
        <v>45812</v>
      </c>
      <c r="B1021" s="2" t="s">
        <v>3</v>
      </c>
      <c r="C1021" s="2">
        <v>4</v>
      </c>
      <c r="D1021" s="2">
        <f t="shared" si="60"/>
        <v>2025</v>
      </c>
      <c r="E1021" s="2" t="str">
        <f t="shared" si="61"/>
        <v>2025-23</v>
      </c>
      <c r="F1021" s="2" t="str">
        <f t="shared" si="62"/>
        <v>Week 23</v>
      </c>
      <c r="G1021" s="2" t="str">
        <f t="shared" si="63"/>
        <v>Week 23-2025</v>
      </c>
      <c r="O1021"/>
      <c r="Q1021"/>
    </row>
    <row r="1022" spans="1:17" hidden="1" x14ac:dyDescent="0.2">
      <c r="A1022" s="3">
        <v>45812</v>
      </c>
      <c r="B1022" s="2" t="s">
        <v>19</v>
      </c>
      <c r="C1022" s="2">
        <v>2</v>
      </c>
      <c r="D1022" s="2">
        <f t="shared" si="60"/>
        <v>2025</v>
      </c>
      <c r="E1022" s="2" t="str">
        <f t="shared" si="61"/>
        <v>2025-23</v>
      </c>
      <c r="F1022" s="2" t="str">
        <f t="shared" si="62"/>
        <v>Week 23</v>
      </c>
      <c r="G1022" s="2" t="str">
        <f t="shared" si="63"/>
        <v>Week 23-2025</v>
      </c>
      <c r="O1022"/>
      <c r="Q1022"/>
    </row>
    <row r="1023" spans="1:17" hidden="1" x14ac:dyDescent="0.2">
      <c r="A1023" s="3">
        <v>45813</v>
      </c>
      <c r="B1023" s="2" t="s">
        <v>12</v>
      </c>
      <c r="C1023" s="2">
        <v>7</v>
      </c>
      <c r="D1023" s="2">
        <f t="shared" si="60"/>
        <v>2025</v>
      </c>
      <c r="E1023" s="2" t="str">
        <f t="shared" si="61"/>
        <v>2025-23</v>
      </c>
      <c r="F1023" s="2" t="str">
        <f t="shared" si="62"/>
        <v>Week 23</v>
      </c>
      <c r="G1023" s="2" t="str">
        <f t="shared" si="63"/>
        <v>Week 23-2025</v>
      </c>
      <c r="O1023"/>
      <c r="Q1023"/>
    </row>
    <row r="1024" spans="1:17" hidden="1" x14ac:dyDescent="0.2">
      <c r="A1024" s="3">
        <v>45813</v>
      </c>
      <c r="B1024" s="2" t="s">
        <v>3</v>
      </c>
      <c r="C1024" s="2">
        <v>6</v>
      </c>
      <c r="D1024" s="2">
        <f t="shared" si="60"/>
        <v>2025</v>
      </c>
      <c r="E1024" s="2" t="str">
        <f t="shared" si="61"/>
        <v>2025-23</v>
      </c>
      <c r="F1024" s="2" t="str">
        <f t="shared" si="62"/>
        <v>Week 23</v>
      </c>
      <c r="G1024" s="2" t="str">
        <f t="shared" si="63"/>
        <v>Week 23-2025</v>
      </c>
      <c r="O1024"/>
      <c r="Q1024"/>
    </row>
    <row r="1025" spans="1:17" hidden="1" x14ac:dyDescent="0.2">
      <c r="A1025" s="3">
        <v>45813</v>
      </c>
      <c r="B1025" s="2" t="s">
        <v>29</v>
      </c>
      <c r="C1025" s="2">
        <v>6</v>
      </c>
      <c r="D1025" s="2">
        <f t="shared" si="60"/>
        <v>2025</v>
      </c>
      <c r="E1025" s="2" t="str">
        <f t="shared" si="61"/>
        <v>2025-23</v>
      </c>
      <c r="F1025" s="2" t="str">
        <f t="shared" si="62"/>
        <v>Week 23</v>
      </c>
      <c r="G1025" s="2" t="str">
        <f t="shared" si="63"/>
        <v>Week 23-2025</v>
      </c>
      <c r="O1025"/>
      <c r="Q1025"/>
    </row>
    <row r="1026" spans="1:17" hidden="1" x14ac:dyDescent="0.2">
      <c r="A1026" s="3">
        <v>45813</v>
      </c>
      <c r="B1026" s="2" t="s">
        <v>8</v>
      </c>
      <c r="C1026" s="2">
        <v>8</v>
      </c>
      <c r="D1026" s="2">
        <f t="shared" ref="D1026:D1089" si="64">YEAR(A1026)</f>
        <v>2025</v>
      </c>
      <c r="E1026" s="2" t="str">
        <f t="shared" ref="E1026:E1089" si="65">YEAR(A1026)&amp;"-"&amp;_xlfn.ISOWEEKNUM(A1026)</f>
        <v>2025-23</v>
      </c>
      <c r="F1026" s="2" t="str">
        <f t="shared" ref="F1026:F1089" si="66">_xlfn.CONCAT("Week "&amp;WEEKNUM(A1026))</f>
        <v>Week 23</v>
      </c>
      <c r="G1026" s="2" t="str">
        <f t="shared" ref="G1026:G1089" si="67">_xlfn.CONCAT(F1026,"-",D1026)</f>
        <v>Week 23-2025</v>
      </c>
      <c r="O1026"/>
      <c r="Q1026"/>
    </row>
    <row r="1027" spans="1:17" hidden="1" x14ac:dyDescent="0.2">
      <c r="A1027" s="3">
        <v>45813</v>
      </c>
      <c r="B1027" s="2" t="s">
        <v>14</v>
      </c>
      <c r="C1027" s="2">
        <v>6</v>
      </c>
      <c r="D1027" s="2">
        <f t="shared" si="64"/>
        <v>2025</v>
      </c>
      <c r="E1027" s="2" t="str">
        <f t="shared" si="65"/>
        <v>2025-23</v>
      </c>
      <c r="F1027" s="2" t="str">
        <f t="shared" si="66"/>
        <v>Week 23</v>
      </c>
      <c r="G1027" s="2" t="str">
        <f t="shared" si="67"/>
        <v>Week 23-2025</v>
      </c>
      <c r="O1027"/>
      <c r="Q1027"/>
    </row>
    <row r="1028" spans="1:17" hidden="1" x14ac:dyDescent="0.2">
      <c r="A1028" s="3">
        <v>45813</v>
      </c>
      <c r="B1028" s="2" t="s">
        <v>17</v>
      </c>
      <c r="C1028" s="2">
        <v>4</v>
      </c>
      <c r="D1028" s="2">
        <f t="shared" si="64"/>
        <v>2025</v>
      </c>
      <c r="E1028" s="2" t="str">
        <f t="shared" si="65"/>
        <v>2025-23</v>
      </c>
      <c r="F1028" s="2" t="str">
        <f t="shared" si="66"/>
        <v>Week 23</v>
      </c>
      <c r="G1028" s="2" t="str">
        <f t="shared" si="67"/>
        <v>Week 23-2025</v>
      </c>
      <c r="O1028"/>
      <c r="Q1028"/>
    </row>
    <row r="1029" spans="1:17" hidden="1" x14ac:dyDescent="0.2">
      <c r="A1029" s="3">
        <v>45813</v>
      </c>
      <c r="B1029" s="2" t="s">
        <v>28</v>
      </c>
      <c r="C1029" s="2">
        <v>4</v>
      </c>
      <c r="D1029" s="2">
        <f t="shared" si="64"/>
        <v>2025</v>
      </c>
      <c r="E1029" s="2" t="str">
        <f t="shared" si="65"/>
        <v>2025-23</v>
      </c>
      <c r="F1029" s="2" t="str">
        <f t="shared" si="66"/>
        <v>Week 23</v>
      </c>
      <c r="G1029" s="2" t="str">
        <f t="shared" si="67"/>
        <v>Week 23-2025</v>
      </c>
      <c r="O1029"/>
      <c r="Q1029"/>
    </row>
    <row r="1030" spans="1:17" hidden="1" x14ac:dyDescent="0.2">
      <c r="A1030" s="3">
        <v>45813</v>
      </c>
      <c r="B1030" s="2" t="s">
        <v>5</v>
      </c>
      <c r="C1030" s="2">
        <v>2</v>
      </c>
      <c r="D1030" s="2">
        <f t="shared" si="64"/>
        <v>2025</v>
      </c>
      <c r="E1030" s="2" t="str">
        <f t="shared" si="65"/>
        <v>2025-23</v>
      </c>
      <c r="F1030" s="2" t="str">
        <f t="shared" si="66"/>
        <v>Week 23</v>
      </c>
      <c r="G1030" s="2" t="str">
        <f t="shared" si="67"/>
        <v>Week 23-2025</v>
      </c>
      <c r="O1030"/>
      <c r="Q1030"/>
    </row>
    <row r="1031" spans="1:17" hidden="1" x14ac:dyDescent="0.2">
      <c r="A1031" s="3">
        <v>45813</v>
      </c>
      <c r="B1031" s="2" t="s">
        <v>5</v>
      </c>
      <c r="C1031" s="2">
        <v>2</v>
      </c>
      <c r="D1031" s="2">
        <f t="shared" si="64"/>
        <v>2025</v>
      </c>
      <c r="E1031" s="2" t="str">
        <f t="shared" si="65"/>
        <v>2025-23</v>
      </c>
      <c r="F1031" s="2" t="str">
        <f t="shared" si="66"/>
        <v>Week 23</v>
      </c>
      <c r="G1031" s="2" t="str">
        <f t="shared" si="67"/>
        <v>Week 23-2025</v>
      </c>
      <c r="O1031"/>
      <c r="Q1031"/>
    </row>
    <row r="1032" spans="1:17" hidden="1" x14ac:dyDescent="0.2">
      <c r="A1032" s="3">
        <v>45813</v>
      </c>
      <c r="B1032" s="2" t="s">
        <v>34</v>
      </c>
      <c r="C1032" s="2">
        <v>2</v>
      </c>
      <c r="D1032" s="2">
        <f t="shared" si="64"/>
        <v>2025</v>
      </c>
      <c r="E1032" s="2" t="str">
        <f t="shared" si="65"/>
        <v>2025-23</v>
      </c>
      <c r="F1032" s="2" t="str">
        <f t="shared" si="66"/>
        <v>Week 23</v>
      </c>
      <c r="G1032" s="2" t="str">
        <f t="shared" si="67"/>
        <v>Week 23-2025</v>
      </c>
      <c r="O1032"/>
      <c r="Q1032"/>
    </row>
    <row r="1033" spans="1:17" hidden="1" x14ac:dyDescent="0.2">
      <c r="A1033" s="3">
        <v>45813</v>
      </c>
      <c r="B1033" s="2" t="s">
        <v>35</v>
      </c>
      <c r="C1033" s="2">
        <v>2</v>
      </c>
      <c r="D1033" s="2">
        <f t="shared" si="64"/>
        <v>2025</v>
      </c>
      <c r="E1033" s="2" t="str">
        <f t="shared" si="65"/>
        <v>2025-23</v>
      </c>
      <c r="F1033" s="2" t="str">
        <f t="shared" si="66"/>
        <v>Week 23</v>
      </c>
      <c r="G1033" s="2" t="str">
        <f t="shared" si="67"/>
        <v>Week 23-2025</v>
      </c>
      <c r="O1033"/>
      <c r="Q1033"/>
    </row>
    <row r="1034" spans="1:17" hidden="1" x14ac:dyDescent="0.2">
      <c r="A1034" s="3">
        <v>45814</v>
      </c>
      <c r="B1034" s="2" t="s">
        <v>5</v>
      </c>
      <c r="C1034" s="2">
        <v>25</v>
      </c>
      <c r="D1034" s="2">
        <f t="shared" si="64"/>
        <v>2025</v>
      </c>
      <c r="E1034" s="2" t="str">
        <f t="shared" si="65"/>
        <v>2025-23</v>
      </c>
      <c r="F1034" s="2" t="str">
        <f t="shared" si="66"/>
        <v>Week 23</v>
      </c>
      <c r="G1034" s="2" t="str">
        <f t="shared" si="67"/>
        <v>Week 23-2025</v>
      </c>
      <c r="O1034"/>
      <c r="Q1034"/>
    </row>
    <row r="1035" spans="1:17" hidden="1" x14ac:dyDescent="0.2">
      <c r="A1035" s="3">
        <v>45814</v>
      </c>
      <c r="B1035" s="2" t="s">
        <v>5</v>
      </c>
      <c r="C1035" s="2">
        <v>14</v>
      </c>
      <c r="D1035" s="2">
        <f t="shared" si="64"/>
        <v>2025</v>
      </c>
      <c r="E1035" s="2" t="str">
        <f t="shared" si="65"/>
        <v>2025-23</v>
      </c>
      <c r="F1035" s="2" t="str">
        <f t="shared" si="66"/>
        <v>Week 23</v>
      </c>
      <c r="G1035" s="2" t="str">
        <f t="shared" si="67"/>
        <v>Week 23-2025</v>
      </c>
      <c r="O1035"/>
      <c r="Q1035"/>
    </row>
    <row r="1036" spans="1:17" hidden="1" x14ac:dyDescent="0.2">
      <c r="A1036" s="3">
        <v>45814</v>
      </c>
      <c r="B1036" s="2" t="s">
        <v>10</v>
      </c>
      <c r="C1036" s="2">
        <v>15</v>
      </c>
      <c r="D1036" s="2">
        <f t="shared" si="64"/>
        <v>2025</v>
      </c>
      <c r="E1036" s="2" t="str">
        <f t="shared" si="65"/>
        <v>2025-23</v>
      </c>
      <c r="F1036" s="2" t="str">
        <f t="shared" si="66"/>
        <v>Week 23</v>
      </c>
      <c r="G1036" s="2" t="str">
        <f t="shared" si="67"/>
        <v>Week 23-2025</v>
      </c>
      <c r="O1036"/>
      <c r="Q1036"/>
    </row>
    <row r="1037" spans="1:17" hidden="1" x14ac:dyDescent="0.2">
      <c r="A1037" s="3">
        <v>45814</v>
      </c>
      <c r="B1037" s="2" t="s">
        <v>5</v>
      </c>
      <c r="C1037" s="2">
        <v>11</v>
      </c>
      <c r="D1037" s="2">
        <f t="shared" si="64"/>
        <v>2025</v>
      </c>
      <c r="E1037" s="2" t="str">
        <f t="shared" si="65"/>
        <v>2025-23</v>
      </c>
      <c r="F1037" s="2" t="str">
        <f t="shared" si="66"/>
        <v>Week 23</v>
      </c>
      <c r="G1037" s="2" t="str">
        <f t="shared" si="67"/>
        <v>Week 23-2025</v>
      </c>
      <c r="O1037"/>
      <c r="Q1037"/>
    </row>
    <row r="1038" spans="1:17" hidden="1" x14ac:dyDescent="0.2">
      <c r="A1038" s="3">
        <v>45814</v>
      </c>
      <c r="B1038" s="2" t="s">
        <v>10</v>
      </c>
      <c r="C1038" s="2">
        <v>5</v>
      </c>
      <c r="D1038" s="2">
        <f t="shared" si="64"/>
        <v>2025</v>
      </c>
      <c r="E1038" s="2" t="str">
        <f t="shared" si="65"/>
        <v>2025-23</v>
      </c>
      <c r="F1038" s="2" t="str">
        <f t="shared" si="66"/>
        <v>Week 23</v>
      </c>
      <c r="G1038" s="2" t="str">
        <f t="shared" si="67"/>
        <v>Week 23-2025</v>
      </c>
      <c r="O1038"/>
      <c r="Q1038"/>
    </row>
    <row r="1039" spans="1:17" hidden="1" x14ac:dyDescent="0.2">
      <c r="A1039" s="3">
        <v>45815</v>
      </c>
      <c r="B1039" s="2" t="s">
        <v>5</v>
      </c>
      <c r="C1039" s="2">
        <v>24</v>
      </c>
      <c r="D1039" s="2">
        <f t="shared" si="64"/>
        <v>2025</v>
      </c>
      <c r="E1039" s="2" t="str">
        <f t="shared" si="65"/>
        <v>2025-23</v>
      </c>
      <c r="F1039" s="2" t="str">
        <f t="shared" si="66"/>
        <v>Week 23</v>
      </c>
      <c r="G1039" s="2" t="str">
        <f t="shared" si="67"/>
        <v>Week 23-2025</v>
      </c>
      <c r="O1039"/>
      <c r="Q1039"/>
    </row>
    <row r="1040" spans="1:17" hidden="1" x14ac:dyDescent="0.2">
      <c r="A1040" s="3">
        <v>45815</v>
      </c>
      <c r="B1040" s="2" t="s">
        <v>12</v>
      </c>
      <c r="C1040" s="2">
        <v>8</v>
      </c>
      <c r="D1040" s="2">
        <f t="shared" si="64"/>
        <v>2025</v>
      </c>
      <c r="E1040" s="2" t="str">
        <f t="shared" si="65"/>
        <v>2025-23</v>
      </c>
      <c r="F1040" s="2" t="str">
        <f t="shared" si="66"/>
        <v>Week 23</v>
      </c>
      <c r="G1040" s="2" t="str">
        <f t="shared" si="67"/>
        <v>Week 23-2025</v>
      </c>
      <c r="O1040"/>
      <c r="Q1040"/>
    </row>
    <row r="1041" spans="1:17" hidden="1" x14ac:dyDescent="0.2">
      <c r="A1041" s="3">
        <v>45815</v>
      </c>
      <c r="B1041" s="2" t="s">
        <v>3</v>
      </c>
      <c r="C1041" s="2">
        <v>16</v>
      </c>
      <c r="D1041" s="2">
        <f t="shared" si="64"/>
        <v>2025</v>
      </c>
      <c r="E1041" s="2" t="str">
        <f t="shared" si="65"/>
        <v>2025-23</v>
      </c>
      <c r="F1041" s="2" t="str">
        <f t="shared" si="66"/>
        <v>Week 23</v>
      </c>
      <c r="G1041" s="2" t="str">
        <f t="shared" si="67"/>
        <v>Week 23-2025</v>
      </c>
      <c r="O1041"/>
      <c r="Q1041"/>
    </row>
    <row r="1042" spans="1:17" hidden="1" x14ac:dyDescent="0.2">
      <c r="A1042" s="3">
        <v>45815</v>
      </c>
      <c r="B1042" s="2" t="s">
        <v>9</v>
      </c>
      <c r="C1042" s="2">
        <v>10</v>
      </c>
      <c r="D1042" s="2">
        <f t="shared" si="64"/>
        <v>2025</v>
      </c>
      <c r="E1042" s="2" t="str">
        <f t="shared" si="65"/>
        <v>2025-23</v>
      </c>
      <c r="F1042" s="2" t="str">
        <f t="shared" si="66"/>
        <v>Week 23</v>
      </c>
      <c r="G1042" s="2" t="str">
        <f t="shared" si="67"/>
        <v>Week 23-2025</v>
      </c>
      <c r="O1042"/>
      <c r="Q1042"/>
    </row>
    <row r="1043" spans="1:17" hidden="1" x14ac:dyDescent="0.2">
      <c r="A1043" s="3">
        <v>45815</v>
      </c>
      <c r="B1043" s="2" t="s">
        <v>30</v>
      </c>
      <c r="C1043" s="2">
        <v>20</v>
      </c>
      <c r="D1043" s="2">
        <f t="shared" si="64"/>
        <v>2025</v>
      </c>
      <c r="E1043" s="2" t="str">
        <f t="shared" si="65"/>
        <v>2025-23</v>
      </c>
      <c r="F1043" s="2" t="str">
        <f t="shared" si="66"/>
        <v>Week 23</v>
      </c>
      <c r="G1043" s="2" t="str">
        <f t="shared" si="67"/>
        <v>Week 23-2025</v>
      </c>
      <c r="O1043"/>
      <c r="Q1043"/>
    </row>
    <row r="1044" spans="1:17" hidden="1" x14ac:dyDescent="0.2">
      <c r="A1044" s="3">
        <v>45815</v>
      </c>
      <c r="B1044" s="2" t="s">
        <v>7</v>
      </c>
      <c r="C1044" s="2">
        <v>6</v>
      </c>
      <c r="D1044" s="2">
        <f t="shared" si="64"/>
        <v>2025</v>
      </c>
      <c r="E1044" s="2" t="str">
        <f t="shared" si="65"/>
        <v>2025-23</v>
      </c>
      <c r="F1044" s="2" t="str">
        <f t="shared" si="66"/>
        <v>Week 23</v>
      </c>
      <c r="G1044" s="2" t="str">
        <f t="shared" si="67"/>
        <v>Week 23-2025</v>
      </c>
      <c r="O1044"/>
      <c r="Q1044"/>
    </row>
    <row r="1045" spans="1:17" hidden="1" x14ac:dyDescent="0.2">
      <c r="A1045" s="3">
        <v>45815</v>
      </c>
      <c r="B1045" s="2" t="s">
        <v>9</v>
      </c>
      <c r="C1045" s="2">
        <v>6</v>
      </c>
      <c r="D1045" s="2">
        <f t="shared" si="64"/>
        <v>2025</v>
      </c>
      <c r="E1045" s="2" t="str">
        <f t="shared" si="65"/>
        <v>2025-23</v>
      </c>
      <c r="F1045" s="2" t="str">
        <f t="shared" si="66"/>
        <v>Week 23</v>
      </c>
      <c r="G1045" s="2" t="str">
        <f t="shared" si="67"/>
        <v>Week 23-2025</v>
      </c>
      <c r="O1045"/>
      <c r="Q1045"/>
    </row>
    <row r="1046" spans="1:17" hidden="1" x14ac:dyDescent="0.2">
      <c r="A1046" s="3">
        <v>45815</v>
      </c>
      <c r="B1046" s="2" t="s">
        <v>19</v>
      </c>
      <c r="C1046" s="2">
        <v>4</v>
      </c>
      <c r="D1046" s="2">
        <f t="shared" si="64"/>
        <v>2025</v>
      </c>
      <c r="E1046" s="2" t="str">
        <f t="shared" si="65"/>
        <v>2025-23</v>
      </c>
      <c r="F1046" s="2" t="str">
        <f t="shared" si="66"/>
        <v>Week 23</v>
      </c>
      <c r="G1046" s="2" t="str">
        <f t="shared" si="67"/>
        <v>Week 23-2025</v>
      </c>
      <c r="O1046"/>
      <c r="Q1046"/>
    </row>
    <row r="1047" spans="1:17" hidden="1" x14ac:dyDescent="0.2">
      <c r="A1047" s="3">
        <v>45815</v>
      </c>
      <c r="B1047" s="2" t="s">
        <v>18</v>
      </c>
      <c r="C1047" s="2">
        <v>3</v>
      </c>
      <c r="D1047" s="2">
        <f t="shared" si="64"/>
        <v>2025</v>
      </c>
      <c r="E1047" s="2" t="str">
        <f t="shared" si="65"/>
        <v>2025-23</v>
      </c>
      <c r="F1047" s="2" t="str">
        <f t="shared" si="66"/>
        <v>Week 23</v>
      </c>
      <c r="G1047" s="2" t="str">
        <f t="shared" si="67"/>
        <v>Week 23-2025</v>
      </c>
      <c r="O1047"/>
      <c r="Q1047"/>
    </row>
    <row r="1048" spans="1:17" hidden="1" x14ac:dyDescent="0.2">
      <c r="A1048" s="3">
        <v>45815</v>
      </c>
      <c r="B1048" s="2" t="s">
        <v>21</v>
      </c>
      <c r="C1048" s="2">
        <v>2</v>
      </c>
      <c r="D1048" s="2">
        <f t="shared" si="64"/>
        <v>2025</v>
      </c>
      <c r="E1048" s="2" t="str">
        <f t="shared" si="65"/>
        <v>2025-23</v>
      </c>
      <c r="F1048" s="2" t="str">
        <f t="shared" si="66"/>
        <v>Week 23</v>
      </c>
      <c r="G1048" s="2" t="str">
        <f t="shared" si="67"/>
        <v>Week 23-2025</v>
      </c>
      <c r="O1048"/>
      <c r="Q1048"/>
    </row>
    <row r="1049" spans="1:17" hidden="1" x14ac:dyDescent="0.2">
      <c r="A1049" s="3">
        <v>45815</v>
      </c>
      <c r="B1049" s="2" t="s">
        <v>9</v>
      </c>
      <c r="C1049" s="2">
        <v>4</v>
      </c>
      <c r="D1049" s="2">
        <f t="shared" si="64"/>
        <v>2025</v>
      </c>
      <c r="E1049" s="2" t="str">
        <f t="shared" si="65"/>
        <v>2025-23</v>
      </c>
      <c r="F1049" s="2" t="str">
        <f t="shared" si="66"/>
        <v>Week 23</v>
      </c>
      <c r="G1049" s="2" t="str">
        <f t="shared" si="67"/>
        <v>Week 23-2025</v>
      </c>
      <c r="O1049"/>
      <c r="Q1049"/>
    </row>
    <row r="1050" spans="1:17" hidden="1" x14ac:dyDescent="0.2">
      <c r="A1050" s="3">
        <v>45815</v>
      </c>
      <c r="B1050" s="2" t="s">
        <v>27</v>
      </c>
      <c r="C1050" s="2">
        <v>6</v>
      </c>
      <c r="D1050" s="2">
        <f t="shared" si="64"/>
        <v>2025</v>
      </c>
      <c r="E1050" s="2" t="str">
        <f t="shared" si="65"/>
        <v>2025-23</v>
      </c>
      <c r="F1050" s="2" t="str">
        <f t="shared" si="66"/>
        <v>Week 23</v>
      </c>
      <c r="G1050" s="2" t="str">
        <f t="shared" si="67"/>
        <v>Week 23-2025</v>
      </c>
      <c r="O1050"/>
      <c r="Q1050"/>
    </row>
    <row r="1051" spans="1:17" hidden="1" x14ac:dyDescent="0.2">
      <c r="A1051" s="3">
        <v>45815</v>
      </c>
      <c r="B1051" s="2" t="s">
        <v>7</v>
      </c>
      <c r="C1051" s="2">
        <v>2</v>
      </c>
      <c r="D1051" s="2">
        <f t="shared" si="64"/>
        <v>2025</v>
      </c>
      <c r="E1051" s="2" t="str">
        <f t="shared" si="65"/>
        <v>2025-23</v>
      </c>
      <c r="F1051" s="2" t="str">
        <f t="shared" si="66"/>
        <v>Week 23</v>
      </c>
      <c r="G1051" s="2" t="str">
        <f t="shared" si="67"/>
        <v>Week 23-2025</v>
      </c>
      <c r="O1051"/>
      <c r="Q1051"/>
    </row>
    <row r="1052" spans="1:17" hidden="1" x14ac:dyDescent="0.2">
      <c r="A1052" s="3">
        <v>45815</v>
      </c>
      <c r="B1052" s="2" t="s">
        <v>38</v>
      </c>
      <c r="C1052" s="2">
        <v>4</v>
      </c>
      <c r="D1052" s="2">
        <f t="shared" si="64"/>
        <v>2025</v>
      </c>
      <c r="E1052" s="2" t="str">
        <f t="shared" si="65"/>
        <v>2025-23</v>
      </c>
      <c r="F1052" s="2" t="str">
        <f t="shared" si="66"/>
        <v>Week 23</v>
      </c>
      <c r="G1052" s="2" t="str">
        <f t="shared" si="67"/>
        <v>Week 23-2025</v>
      </c>
      <c r="O1052"/>
      <c r="Q1052"/>
    </row>
    <row r="1053" spans="1:17" hidden="1" x14ac:dyDescent="0.2">
      <c r="A1053" s="3">
        <v>45815</v>
      </c>
      <c r="B1053" s="2" t="s">
        <v>15</v>
      </c>
      <c r="C1053" s="2">
        <v>6</v>
      </c>
      <c r="D1053" s="2">
        <f t="shared" si="64"/>
        <v>2025</v>
      </c>
      <c r="E1053" s="2" t="str">
        <f t="shared" si="65"/>
        <v>2025-23</v>
      </c>
      <c r="F1053" s="2" t="str">
        <f t="shared" si="66"/>
        <v>Week 23</v>
      </c>
      <c r="G1053" s="2" t="str">
        <f t="shared" si="67"/>
        <v>Week 23-2025</v>
      </c>
      <c r="O1053"/>
      <c r="Q1053"/>
    </row>
    <row r="1054" spans="1:17" hidden="1" x14ac:dyDescent="0.2">
      <c r="A1054" s="3">
        <v>45815</v>
      </c>
      <c r="B1054" s="2" t="s">
        <v>28</v>
      </c>
      <c r="C1054" s="2">
        <v>4</v>
      </c>
      <c r="D1054" s="2">
        <f t="shared" si="64"/>
        <v>2025</v>
      </c>
      <c r="E1054" s="2" t="str">
        <f t="shared" si="65"/>
        <v>2025-23</v>
      </c>
      <c r="F1054" s="2" t="str">
        <f t="shared" si="66"/>
        <v>Week 23</v>
      </c>
      <c r="G1054" s="2" t="str">
        <f t="shared" si="67"/>
        <v>Week 23-2025</v>
      </c>
      <c r="O1054"/>
      <c r="Q1054"/>
    </row>
    <row r="1055" spans="1:17" hidden="1" x14ac:dyDescent="0.2">
      <c r="A1055" s="3">
        <v>45815</v>
      </c>
      <c r="B1055" s="2" t="s">
        <v>29</v>
      </c>
      <c r="C1055" s="2">
        <v>2</v>
      </c>
      <c r="D1055" s="2">
        <f t="shared" si="64"/>
        <v>2025</v>
      </c>
      <c r="E1055" s="2" t="str">
        <f t="shared" si="65"/>
        <v>2025-23</v>
      </c>
      <c r="F1055" s="2" t="str">
        <f t="shared" si="66"/>
        <v>Week 23</v>
      </c>
      <c r="G1055" s="2" t="str">
        <f t="shared" si="67"/>
        <v>Week 23-2025</v>
      </c>
      <c r="O1055"/>
      <c r="Q1055"/>
    </row>
    <row r="1056" spans="1:17" hidden="1" x14ac:dyDescent="0.2">
      <c r="A1056" s="3">
        <v>45815</v>
      </c>
      <c r="B1056" s="2" t="s">
        <v>5</v>
      </c>
      <c r="C1056" s="2">
        <v>2</v>
      </c>
      <c r="D1056" s="2">
        <f t="shared" si="64"/>
        <v>2025</v>
      </c>
      <c r="E1056" s="2" t="str">
        <f t="shared" si="65"/>
        <v>2025-23</v>
      </c>
      <c r="F1056" s="2" t="str">
        <f t="shared" si="66"/>
        <v>Week 23</v>
      </c>
      <c r="G1056" s="2" t="str">
        <f t="shared" si="67"/>
        <v>Week 23-2025</v>
      </c>
      <c r="O1056"/>
      <c r="Q1056"/>
    </row>
    <row r="1057" spans="1:17" hidden="1" x14ac:dyDescent="0.2">
      <c r="A1057" s="3">
        <v>45815</v>
      </c>
      <c r="B1057" s="2" t="s">
        <v>14</v>
      </c>
      <c r="C1057" s="2">
        <v>3</v>
      </c>
      <c r="D1057" s="2">
        <f t="shared" si="64"/>
        <v>2025</v>
      </c>
      <c r="E1057" s="2" t="str">
        <f t="shared" si="65"/>
        <v>2025-23</v>
      </c>
      <c r="F1057" s="2" t="str">
        <f t="shared" si="66"/>
        <v>Week 23</v>
      </c>
      <c r="G1057" s="2" t="str">
        <f t="shared" si="67"/>
        <v>Week 23-2025</v>
      </c>
      <c r="O1057"/>
      <c r="Q1057"/>
    </row>
    <row r="1058" spans="1:17" hidden="1" x14ac:dyDescent="0.2">
      <c r="A1058" s="3">
        <v>45815</v>
      </c>
      <c r="B1058" s="2" t="s">
        <v>18</v>
      </c>
      <c r="C1058" s="2">
        <v>1</v>
      </c>
      <c r="D1058" s="2">
        <f t="shared" si="64"/>
        <v>2025</v>
      </c>
      <c r="E1058" s="2" t="str">
        <f t="shared" si="65"/>
        <v>2025-23</v>
      </c>
      <c r="F1058" s="2" t="str">
        <f t="shared" si="66"/>
        <v>Week 23</v>
      </c>
      <c r="G1058" s="2" t="str">
        <f t="shared" si="67"/>
        <v>Week 23-2025</v>
      </c>
      <c r="O1058"/>
      <c r="Q1058"/>
    </row>
    <row r="1059" spans="1:17" hidden="1" x14ac:dyDescent="0.2">
      <c r="A1059" s="3">
        <v>45815</v>
      </c>
      <c r="B1059" s="2" t="s">
        <v>34</v>
      </c>
      <c r="C1059" s="2">
        <v>2</v>
      </c>
      <c r="D1059" s="2">
        <f t="shared" si="64"/>
        <v>2025</v>
      </c>
      <c r="E1059" s="2" t="str">
        <f t="shared" si="65"/>
        <v>2025-23</v>
      </c>
      <c r="F1059" s="2" t="str">
        <f t="shared" si="66"/>
        <v>Week 23</v>
      </c>
      <c r="G1059" s="2" t="str">
        <f t="shared" si="67"/>
        <v>Week 23-2025</v>
      </c>
      <c r="O1059"/>
      <c r="Q1059"/>
    </row>
    <row r="1060" spans="1:17" hidden="1" x14ac:dyDescent="0.2">
      <c r="A1060" s="3">
        <v>45815</v>
      </c>
      <c r="B1060" s="2" t="s">
        <v>35</v>
      </c>
      <c r="C1060" s="2">
        <v>2</v>
      </c>
      <c r="D1060" s="2">
        <f t="shared" si="64"/>
        <v>2025</v>
      </c>
      <c r="E1060" s="2" t="str">
        <f t="shared" si="65"/>
        <v>2025-23</v>
      </c>
      <c r="F1060" s="2" t="str">
        <f t="shared" si="66"/>
        <v>Week 23</v>
      </c>
      <c r="G1060" s="2" t="str">
        <f t="shared" si="67"/>
        <v>Week 23-2025</v>
      </c>
      <c r="O1060"/>
      <c r="Q1060"/>
    </row>
    <row r="1061" spans="1:17" hidden="1" x14ac:dyDescent="0.2">
      <c r="A1061" s="3">
        <v>45815</v>
      </c>
      <c r="B1061" s="2" t="s">
        <v>14</v>
      </c>
      <c r="C1061" s="2">
        <v>1</v>
      </c>
      <c r="D1061" s="2">
        <f t="shared" si="64"/>
        <v>2025</v>
      </c>
      <c r="E1061" s="2" t="str">
        <f t="shared" si="65"/>
        <v>2025-23</v>
      </c>
      <c r="F1061" s="2" t="str">
        <f t="shared" si="66"/>
        <v>Week 23</v>
      </c>
      <c r="G1061" s="2" t="str">
        <f t="shared" si="67"/>
        <v>Week 23-2025</v>
      </c>
      <c r="O1061"/>
      <c r="Q1061"/>
    </row>
    <row r="1062" spans="1:17" hidden="1" x14ac:dyDescent="0.2">
      <c r="A1062" s="3">
        <v>45816</v>
      </c>
      <c r="B1062" s="2" t="s">
        <v>6</v>
      </c>
      <c r="C1062" s="2">
        <v>8</v>
      </c>
      <c r="D1062" s="2">
        <f t="shared" si="64"/>
        <v>2025</v>
      </c>
      <c r="E1062" s="2" t="str">
        <f t="shared" si="65"/>
        <v>2025-23</v>
      </c>
      <c r="F1062" s="2" t="str">
        <f t="shared" si="66"/>
        <v>Week 24</v>
      </c>
      <c r="G1062" s="2" t="str">
        <f t="shared" si="67"/>
        <v>Week 24-2025</v>
      </c>
      <c r="O1062"/>
      <c r="Q1062"/>
    </row>
    <row r="1063" spans="1:17" hidden="1" x14ac:dyDescent="0.2">
      <c r="A1063" s="3">
        <v>45816</v>
      </c>
      <c r="B1063" s="2" t="s">
        <v>6</v>
      </c>
      <c r="C1063" s="2">
        <v>8</v>
      </c>
      <c r="D1063" s="2">
        <f t="shared" si="64"/>
        <v>2025</v>
      </c>
      <c r="E1063" s="2" t="str">
        <f t="shared" si="65"/>
        <v>2025-23</v>
      </c>
      <c r="F1063" s="2" t="str">
        <f t="shared" si="66"/>
        <v>Week 24</v>
      </c>
      <c r="G1063" s="2" t="str">
        <f t="shared" si="67"/>
        <v>Week 24-2025</v>
      </c>
      <c r="O1063"/>
      <c r="Q1063"/>
    </row>
    <row r="1064" spans="1:17" hidden="1" x14ac:dyDescent="0.2">
      <c r="A1064" s="3">
        <v>45816</v>
      </c>
      <c r="B1064" s="2" t="s">
        <v>5</v>
      </c>
      <c r="C1064" s="2">
        <v>7</v>
      </c>
      <c r="D1064" s="2">
        <f t="shared" si="64"/>
        <v>2025</v>
      </c>
      <c r="E1064" s="2" t="str">
        <f t="shared" si="65"/>
        <v>2025-23</v>
      </c>
      <c r="F1064" s="2" t="str">
        <f t="shared" si="66"/>
        <v>Week 24</v>
      </c>
      <c r="G1064" s="2" t="str">
        <f t="shared" si="67"/>
        <v>Week 24-2025</v>
      </c>
      <c r="O1064"/>
      <c r="Q1064"/>
    </row>
    <row r="1065" spans="1:17" hidden="1" x14ac:dyDescent="0.2">
      <c r="A1065" s="3">
        <v>45816</v>
      </c>
      <c r="B1065" s="2" t="s">
        <v>5</v>
      </c>
      <c r="C1065" s="2">
        <v>5</v>
      </c>
      <c r="D1065" s="2">
        <f t="shared" si="64"/>
        <v>2025</v>
      </c>
      <c r="E1065" s="2" t="str">
        <f t="shared" si="65"/>
        <v>2025-23</v>
      </c>
      <c r="F1065" s="2" t="str">
        <f t="shared" si="66"/>
        <v>Week 24</v>
      </c>
      <c r="G1065" s="2" t="str">
        <f t="shared" si="67"/>
        <v>Week 24-2025</v>
      </c>
      <c r="O1065"/>
      <c r="Q1065"/>
    </row>
    <row r="1066" spans="1:17" hidden="1" x14ac:dyDescent="0.2">
      <c r="A1066" s="3">
        <v>45816</v>
      </c>
      <c r="B1066" s="2" t="s">
        <v>5</v>
      </c>
      <c r="C1066" s="2">
        <v>2</v>
      </c>
      <c r="D1066" s="2">
        <f t="shared" si="64"/>
        <v>2025</v>
      </c>
      <c r="E1066" s="2" t="str">
        <f t="shared" si="65"/>
        <v>2025-23</v>
      </c>
      <c r="F1066" s="2" t="str">
        <f t="shared" si="66"/>
        <v>Week 24</v>
      </c>
      <c r="G1066" s="2" t="str">
        <f t="shared" si="67"/>
        <v>Week 24-2025</v>
      </c>
      <c r="O1066"/>
      <c r="Q1066"/>
    </row>
    <row r="1067" spans="1:17" hidden="1" x14ac:dyDescent="0.2">
      <c r="A1067" s="3">
        <v>45816</v>
      </c>
      <c r="B1067" s="2" t="s">
        <v>14</v>
      </c>
      <c r="C1067" s="2">
        <v>1</v>
      </c>
      <c r="D1067" s="2">
        <f t="shared" si="64"/>
        <v>2025</v>
      </c>
      <c r="E1067" s="2" t="str">
        <f t="shared" si="65"/>
        <v>2025-23</v>
      </c>
      <c r="F1067" s="2" t="str">
        <f t="shared" si="66"/>
        <v>Week 24</v>
      </c>
      <c r="G1067" s="2" t="str">
        <f t="shared" si="67"/>
        <v>Week 24-2025</v>
      </c>
      <c r="O1067"/>
      <c r="Q1067"/>
    </row>
    <row r="1068" spans="1:17" hidden="1" x14ac:dyDescent="0.2">
      <c r="A1068" s="3">
        <v>45816</v>
      </c>
      <c r="B1068" s="2" t="s">
        <v>14</v>
      </c>
      <c r="C1068" s="2">
        <v>1</v>
      </c>
      <c r="D1068" s="2">
        <f t="shared" si="64"/>
        <v>2025</v>
      </c>
      <c r="E1068" s="2" t="str">
        <f t="shared" si="65"/>
        <v>2025-23</v>
      </c>
      <c r="F1068" s="2" t="str">
        <f t="shared" si="66"/>
        <v>Week 24</v>
      </c>
      <c r="G1068" s="2" t="str">
        <f t="shared" si="67"/>
        <v>Week 24-2025</v>
      </c>
      <c r="O1068"/>
      <c r="Q1068"/>
    </row>
    <row r="1069" spans="1:17" hidden="1" x14ac:dyDescent="0.2">
      <c r="A1069" s="3">
        <v>45818</v>
      </c>
      <c r="B1069" s="2" t="s">
        <v>7</v>
      </c>
      <c r="C1069" s="2">
        <v>10</v>
      </c>
      <c r="D1069" s="2">
        <f t="shared" si="64"/>
        <v>2025</v>
      </c>
      <c r="E1069" s="2" t="str">
        <f t="shared" si="65"/>
        <v>2025-24</v>
      </c>
      <c r="F1069" s="2" t="str">
        <f t="shared" si="66"/>
        <v>Week 24</v>
      </c>
      <c r="G1069" s="2" t="str">
        <f t="shared" si="67"/>
        <v>Week 24-2025</v>
      </c>
      <c r="O1069"/>
      <c r="Q1069"/>
    </row>
    <row r="1070" spans="1:17" hidden="1" x14ac:dyDescent="0.2">
      <c r="A1070" s="3">
        <v>45818</v>
      </c>
      <c r="B1070" s="2" t="s">
        <v>7</v>
      </c>
      <c r="C1070" s="2">
        <v>8</v>
      </c>
      <c r="D1070" s="2">
        <f t="shared" si="64"/>
        <v>2025</v>
      </c>
      <c r="E1070" s="2" t="str">
        <f t="shared" si="65"/>
        <v>2025-24</v>
      </c>
      <c r="F1070" s="2" t="str">
        <f t="shared" si="66"/>
        <v>Week 24</v>
      </c>
      <c r="G1070" s="2" t="str">
        <f t="shared" si="67"/>
        <v>Week 24-2025</v>
      </c>
      <c r="O1070"/>
      <c r="Q1070"/>
    </row>
    <row r="1071" spans="1:17" hidden="1" x14ac:dyDescent="0.2">
      <c r="A1071" s="3">
        <v>45818</v>
      </c>
      <c r="B1071" s="2" t="s">
        <v>3</v>
      </c>
      <c r="C1071" s="2">
        <v>8</v>
      </c>
      <c r="D1071" s="2">
        <f t="shared" si="64"/>
        <v>2025</v>
      </c>
      <c r="E1071" s="2" t="str">
        <f t="shared" si="65"/>
        <v>2025-24</v>
      </c>
      <c r="F1071" s="2" t="str">
        <f t="shared" si="66"/>
        <v>Week 24</v>
      </c>
      <c r="G1071" s="2" t="str">
        <f t="shared" si="67"/>
        <v>Week 24-2025</v>
      </c>
      <c r="O1071"/>
      <c r="Q1071"/>
    </row>
    <row r="1072" spans="1:17" hidden="1" x14ac:dyDescent="0.2">
      <c r="A1072" s="3">
        <v>45818</v>
      </c>
      <c r="B1072" s="2" t="s">
        <v>6</v>
      </c>
      <c r="C1072" s="2">
        <v>4</v>
      </c>
      <c r="D1072" s="2">
        <f t="shared" si="64"/>
        <v>2025</v>
      </c>
      <c r="E1072" s="2" t="str">
        <f t="shared" si="65"/>
        <v>2025-24</v>
      </c>
      <c r="F1072" s="2" t="str">
        <f t="shared" si="66"/>
        <v>Week 24</v>
      </c>
      <c r="G1072" s="2" t="str">
        <f t="shared" si="67"/>
        <v>Week 24-2025</v>
      </c>
      <c r="O1072"/>
      <c r="Q1072"/>
    </row>
    <row r="1073" spans="1:17" hidden="1" x14ac:dyDescent="0.2">
      <c r="A1073" s="3">
        <v>45818</v>
      </c>
      <c r="B1073" s="2" t="s">
        <v>9</v>
      </c>
      <c r="C1073" s="2">
        <v>2</v>
      </c>
      <c r="D1073" s="2">
        <f t="shared" si="64"/>
        <v>2025</v>
      </c>
      <c r="E1073" s="2" t="str">
        <f t="shared" si="65"/>
        <v>2025-24</v>
      </c>
      <c r="F1073" s="2" t="str">
        <f t="shared" si="66"/>
        <v>Week 24</v>
      </c>
      <c r="G1073" s="2" t="str">
        <f t="shared" si="67"/>
        <v>Week 24-2025</v>
      </c>
      <c r="O1073"/>
      <c r="Q1073"/>
    </row>
    <row r="1074" spans="1:17" hidden="1" x14ac:dyDescent="0.2">
      <c r="A1074" s="3">
        <v>45819</v>
      </c>
      <c r="B1074" s="2" t="s">
        <v>7</v>
      </c>
      <c r="C1074" s="2">
        <v>16</v>
      </c>
      <c r="D1074" s="2">
        <f t="shared" si="64"/>
        <v>2025</v>
      </c>
      <c r="E1074" s="2" t="str">
        <f t="shared" si="65"/>
        <v>2025-24</v>
      </c>
      <c r="F1074" s="2" t="str">
        <f t="shared" si="66"/>
        <v>Week 24</v>
      </c>
      <c r="G1074" s="2" t="str">
        <f t="shared" si="67"/>
        <v>Week 24-2025</v>
      </c>
      <c r="O1074"/>
      <c r="Q1074"/>
    </row>
    <row r="1075" spans="1:17" hidden="1" x14ac:dyDescent="0.2">
      <c r="A1075" s="3">
        <v>45819</v>
      </c>
      <c r="B1075" s="2" t="s">
        <v>7</v>
      </c>
      <c r="C1075" s="2">
        <v>12</v>
      </c>
      <c r="D1075" s="2">
        <f t="shared" si="64"/>
        <v>2025</v>
      </c>
      <c r="E1075" s="2" t="str">
        <f t="shared" si="65"/>
        <v>2025-24</v>
      </c>
      <c r="F1075" s="2" t="str">
        <f t="shared" si="66"/>
        <v>Week 24</v>
      </c>
      <c r="G1075" s="2" t="str">
        <f t="shared" si="67"/>
        <v>Week 24-2025</v>
      </c>
      <c r="O1075"/>
      <c r="Q1075"/>
    </row>
    <row r="1076" spans="1:17" hidden="1" x14ac:dyDescent="0.2">
      <c r="A1076" s="3">
        <v>45819</v>
      </c>
      <c r="B1076" s="2" t="s">
        <v>10</v>
      </c>
      <c r="C1076" s="2">
        <v>24</v>
      </c>
      <c r="D1076" s="2">
        <f t="shared" si="64"/>
        <v>2025</v>
      </c>
      <c r="E1076" s="2" t="str">
        <f t="shared" si="65"/>
        <v>2025-24</v>
      </c>
      <c r="F1076" s="2" t="str">
        <f t="shared" si="66"/>
        <v>Week 24</v>
      </c>
      <c r="G1076" s="2" t="str">
        <f t="shared" si="67"/>
        <v>Week 24-2025</v>
      </c>
      <c r="O1076"/>
      <c r="Q1076"/>
    </row>
    <row r="1077" spans="1:17" hidden="1" x14ac:dyDescent="0.2">
      <c r="A1077" s="3">
        <v>45819</v>
      </c>
      <c r="B1077" s="2" t="s">
        <v>5</v>
      </c>
      <c r="C1077" s="2">
        <v>21</v>
      </c>
      <c r="D1077" s="2">
        <f t="shared" si="64"/>
        <v>2025</v>
      </c>
      <c r="E1077" s="2" t="str">
        <f t="shared" si="65"/>
        <v>2025-24</v>
      </c>
      <c r="F1077" s="2" t="str">
        <f t="shared" si="66"/>
        <v>Week 24</v>
      </c>
      <c r="G1077" s="2" t="str">
        <f t="shared" si="67"/>
        <v>Week 24-2025</v>
      </c>
      <c r="O1077"/>
      <c r="Q1077"/>
    </row>
    <row r="1078" spans="1:17" hidden="1" x14ac:dyDescent="0.2">
      <c r="A1078" s="3">
        <v>45819</v>
      </c>
      <c r="B1078" s="2" t="s">
        <v>5</v>
      </c>
      <c r="C1078" s="2">
        <v>14</v>
      </c>
      <c r="D1078" s="2">
        <f t="shared" si="64"/>
        <v>2025</v>
      </c>
      <c r="E1078" s="2" t="str">
        <f t="shared" si="65"/>
        <v>2025-24</v>
      </c>
      <c r="F1078" s="2" t="str">
        <f t="shared" si="66"/>
        <v>Week 24</v>
      </c>
      <c r="G1078" s="2" t="str">
        <f t="shared" si="67"/>
        <v>Week 24-2025</v>
      </c>
      <c r="O1078"/>
      <c r="Q1078"/>
    </row>
    <row r="1079" spans="1:17" hidden="1" x14ac:dyDescent="0.2">
      <c r="A1079" s="3">
        <v>45819</v>
      </c>
      <c r="B1079" s="2" t="s">
        <v>3</v>
      </c>
      <c r="C1079" s="2">
        <v>12</v>
      </c>
      <c r="D1079" s="2">
        <f t="shared" si="64"/>
        <v>2025</v>
      </c>
      <c r="E1079" s="2" t="str">
        <f t="shared" si="65"/>
        <v>2025-24</v>
      </c>
      <c r="F1079" s="2" t="str">
        <f t="shared" si="66"/>
        <v>Week 24</v>
      </c>
      <c r="G1079" s="2" t="str">
        <f t="shared" si="67"/>
        <v>Week 24-2025</v>
      </c>
      <c r="O1079"/>
      <c r="Q1079"/>
    </row>
    <row r="1080" spans="1:17" hidden="1" x14ac:dyDescent="0.2">
      <c r="A1080" s="3">
        <v>45819</v>
      </c>
      <c r="B1080" s="2" t="s">
        <v>26</v>
      </c>
      <c r="C1080" s="2">
        <v>8</v>
      </c>
      <c r="D1080" s="2">
        <f t="shared" si="64"/>
        <v>2025</v>
      </c>
      <c r="E1080" s="2" t="str">
        <f t="shared" si="65"/>
        <v>2025-24</v>
      </c>
      <c r="F1080" s="2" t="str">
        <f t="shared" si="66"/>
        <v>Week 24</v>
      </c>
      <c r="G1080" s="2" t="str">
        <f t="shared" si="67"/>
        <v>Week 24-2025</v>
      </c>
      <c r="O1080"/>
      <c r="Q1080"/>
    </row>
    <row r="1081" spans="1:17" hidden="1" x14ac:dyDescent="0.2">
      <c r="A1081" s="3">
        <v>45819</v>
      </c>
      <c r="B1081" s="2" t="s">
        <v>3</v>
      </c>
      <c r="C1081" s="2">
        <v>10</v>
      </c>
      <c r="D1081" s="2">
        <f t="shared" si="64"/>
        <v>2025</v>
      </c>
      <c r="E1081" s="2" t="str">
        <f t="shared" si="65"/>
        <v>2025-24</v>
      </c>
      <c r="F1081" s="2" t="str">
        <f t="shared" si="66"/>
        <v>Week 24</v>
      </c>
      <c r="G1081" s="2" t="str">
        <f t="shared" si="67"/>
        <v>Week 24-2025</v>
      </c>
      <c r="O1081"/>
      <c r="Q1081"/>
    </row>
    <row r="1082" spans="1:17" hidden="1" x14ac:dyDescent="0.2">
      <c r="A1082" s="3">
        <v>45819</v>
      </c>
      <c r="B1082" s="2" t="s">
        <v>5</v>
      </c>
      <c r="C1082" s="2">
        <v>12</v>
      </c>
      <c r="D1082" s="2">
        <f t="shared" si="64"/>
        <v>2025</v>
      </c>
      <c r="E1082" s="2" t="str">
        <f t="shared" si="65"/>
        <v>2025-24</v>
      </c>
      <c r="F1082" s="2" t="str">
        <f t="shared" si="66"/>
        <v>Week 24</v>
      </c>
      <c r="G1082" s="2" t="str">
        <f t="shared" si="67"/>
        <v>Week 24-2025</v>
      </c>
      <c r="O1082"/>
      <c r="Q1082"/>
    </row>
    <row r="1083" spans="1:17" hidden="1" x14ac:dyDescent="0.2">
      <c r="A1083" s="3">
        <v>45819</v>
      </c>
      <c r="B1083" s="2" t="s">
        <v>3</v>
      </c>
      <c r="C1083" s="2">
        <v>10</v>
      </c>
      <c r="D1083" s="2">
        <f t="shared" si="64"/>
        <v>2025</v>
      </c>
      <c r="E1083" s="2" t="str">
        <f t="shared" si="65"/>
        <v>2025-24</v>
      </c>
      <c r="F1083" s="2" t="str">
        <f t="shared" si="66"/>
        <v>Week 24</v>
      </c>
      <c r="G1083" s="2" t="str">
        <f t="shared" si="67"/>
        <v>Week 24-2025</v>
      </c>
      <c r="O1083"/>
      <c r="Q1083"/>
    </row>
    <row r="1084" spans="1:17" hidden="1" x14ac:dyDescent="0.2">
      <c r="A1084" s="3">
        <v>45819</v>
      </c>
      <c r="B1084" s="2" t="s">
        <v>4</v>
      </c>
      <c r="C1084" s="2">
        <v>8</v>
      </c>
      <c r="D1084" s="2">
        <f t="shared" si="64"/>
        <v>2025</v>
      </c>
      <c r="E1084" s="2" t="str">
        <f t="shared" si="65"/>
        <v>2025-24</v>
      </c>
      <c r="F1084" s="2" t="str">
        <f t="shared" si="66"/>
        <v>Week 24</v>
      </c>
      <c r="G1084" s="2" t="str">
        <f t="shared" si="67"/>
        <v>Week 24-2025</v>
      </c>
      <c r="O1084"/>
      <c r="Q1084"/>
    </row>
    <row r="1085" spans="1:17" hidden="1" x14ac:dyDescent="0.2">
      <c r="A1085" s="3">
        <v>45819</v>
      </c>
      <c r="B1085" s="2" t="s">
        <v>4</v>
      </c>
      <c r="C1085" s="2">
        <v>6</v>
      </c>
      <c r="D1085" s="2">
        <f t="shared" si="64"/>
        <v>2025</v>
      </c>
      <c r="E1085" s="2" t="str">
        <f t="shared" si="65"/>
        <v>2025-24</v>
      </c>
      <c r="F1085" s="2" t="str">
        <f t="shared" si="66"/>
        <v>Week 24</v>
      </c>
      <c r="G1085" s="2" t="str">
        <f t="shared" si="67"/>
        <v>Week 24-2025</v>
      </c>
      <c r="O1085"/>
      <c r="Q1085"/>
    </row>
    <row r="1086" spans="1:17" hidden="1" x14ac:dyDescent="0.2">
      <c r="A1086" s="3">
        <v>45819</v>
      </c>
      <c r="B1086" s="2" t="s">
        <v>9</v>
      </c>
      <c r="C1086" s="2">
        <v>8</v>
      </c>
      <c r="D1086" s="2">
        <f t="shared" si="64"/>
        <v>2025</v>
      </c>
      <c r="E1086" s="2" t="str">
        <f t="shared" si="65"/>
        <v>2025-24</v>
      </c>
      <c r="F1086" s="2" t="str">
        <f t="shared" si="66"/>
        <v>Week 24</v>
      </c>
      <c r="G1086" s="2" t="str">
        <f t="shared" si="67"/>
        <v>Week 24-2025</v>
      </c>
      <c r="O1086"/>
      <c r="Q1086"/>
    </row>
    <row r="1087" spans="1:17" hidden="1" x14ac:dyDescent="0.2">
      <c r="A1087" s="3">
        <v>45819</v>
      </c>
      <c r="B1087" s="2" t="s">
        <v>9</v>
      </c>
      <c r="C1087" s="2">
        <v>6</v>
      </c>
      <c r="D1087" s="2">
        <f t="shared" si="64"/>
        <v>2025</v>
      </c>
      <c r="E1087" s="2" t="str">
        <f t="shared" si="65"/>
        <v>2025-24</v>
      </c>
      <c r="F1087" s="2" t="str">
        <f t="shared" si="66"/>
        <v>Week 24</v>
      </c>
      <c r="G1087" s="2" t="str">
        <f t="shared" si="67"/>
        <v>Week 24-2025</v>
      </c>
      <c r="O1087"/>
      <c r="Q1087"/>
    </row>
    <row r="1088" spans="1:17" hidden="1" x14ac:dyDescent="0.2">
      <c r="A1088" s="3">
        <v>45819</v>
      </c>
      <c r="B1088" s="2" t="s">
        <v>18</v>
      </c>
      <c r="C1088" s="2">
        <v>4</v>
      </c>
      <c r="D1088" s="2">
        <f t="shared" si="64"/>
        <v>2025</v>
      </c>
      <c r="E1088" s="2" t="str">
        <f t="shared" si="65"/>
        <v>2025-24</v>
      </c>
      <c r="F1088" s="2" t="str">
        <f t="shared" si="66"/>
        <v>Week 24</v>
      </c>
      <c r="G1088" s="2" t="str">
        <f t="shared" si="67"/>
        <v>Week 24-2025</v>
      </c>
      <c r="O1088"/>
      <c r="Q1088"/>
    </row>
    <row r="1089" spans="1:17" hidden="1" x14ac:dyDescent="0.2">
      <c r="A1089" s="3">
        <v>45819</v>
      </c>
      <c r="B1089" s="2" t="s">
        <v>6</v>
      </c>
      <c r="C1089" s="2">
        <v>4</v>
      </c>
      <c r="D1089" s="2">
        <f t="shared" si="64"/>
        <v>2025</v>
      </c>
      <c r="E1089" s="2" t="str">
        <f t="shared" si="65"/>
        <v>2025-24</v>
      </c>
      <c r="F1089" s="2" t="str">
        <f t="shared" si="66"/>
        <v>Week 24</v>
      </c>
      <c r="G1089" s="2" t="str">
        <f t="shared" si="67"/>
        <v>Week 24-2025</v>
      </c>
      <c r="O1089"/>
      <c r="Q1089"/>
    </row>
    <row r="1090" spans="1:17" hidden="1" x14ac:dyDescent="0.2">
      <c r="A1090" s="3">
        <v>45819</v>
      </c>
      <c r="B1090" s="2" t="s">
        <v>10</v>
      </c>
      <c r="C1090" s="2">
        <v>9</v>
      </c>
      <c r="D1090" s="2">
        <f t="shared" ref="D1090:D1153" si="68">YEAR(A1090)</f>
        <v>2025</v>
      </c>
      <c r="E1090" s="2" t="str">
        <f t="shared" ref="E1090:E1153" si="69">YEAR(A1090)&amp;"-"&amp;_xlfn.ISOWEEKNUM(A1090)</f>
        <v>2025-24</v>
      </c>
      <c r="F1090" s="2" t="str">
        <f t="shared" ref="F1090:F1153" si="70">_xlfn.CONCAT("Week "&amp;WEEKNUM(A1090))</f>
        <v>Week 24</v>
      </c>
      <c r="G1090" s="2" t="str">
        <f t="shared" ref="G1090:G1153" si="71">_xlfn.CONCAT(F1090,"-",D1090)</f>
        <v>Week 24-2025</v>
      </c>
      <c r="O1090"/>
      <c r="Q1090"/>
    </row>
    <row r="1091" spans="1:17" hidden="1" x14ac:dyDescent="0.2">
      <c r="A1091" s="3">
        <v>45819</v>
      </c>
      <c r="B1091" s="2" t="s">
        <v>6</v>
      </c>
      <c r="C1091" s="2">
        <v>4</v>
      </c>
      <c r="D1091" s="2">
        <f t="shared" si="68"/>
        <v>2025</v>
      </c>
      <c r="E1091" s="2" t="str">
        <f t="shared" si="69"/>
        <v>2025-24</v>
      </c>
      <c r="F1091" s="2" t="str">
        <f t="shared" si="70"/>
        <v>Week 24</v>
      </c>
      <c r="G1091" s="2" t="str">
        <f t="shared" si="71"/>
        <v>Week 24-2025</v>
      </c>
      <c r="O1091"/>
      <c r="Q1091"/>
    </row>
    <row r="1092" spans="1:17" hidden="1" x14ac:dyDescent="0.2">
      <c r="A1092" s="3">
        <v>45819</v>
      </c>
      <c r="B1092" s="2" t="s">
        <v>29</v>
      </c>
      <c r="C1092" s="2">
        <v>6</v>
      </c>
      <c r="D1092" s="2">
        <f t="shared" si="68"/>
        <v>2025</v>
      </c>
      <c r="E1092" s="2" t="str">
        <f t="shared" si="69"/>
        <v>2025-24</v>
      </c>
      <c r="F1092" s="2" t="str">
        <f t="shared" si="70"/>
        <v>Week 24</v>
      </c>
      <c r="G1092" s="2" t="str">
        <f t="shared" si="71"/>
        <v>Week 24-2025</v>
      </c>
      <c r="O1092"/>
      <c r="Q1092"/>
    </row>
    <row r="1093" spans="1:17" hidden="1" x14ac:dyDescent="0.2">
      <c r="A1093" s="3">
        <v>45819</v>
      </c>
      <c r="B1093" s="2" t="s">
        <v>7</v>
      </c>
      <c r="C1093" s="2">
        <v>4</v>
      </c>
      <c r="D1093" s="2">
        <f t="shared" si="68"/>
        <v>2025</v>
      </c>
      <c r="E1093" s="2" t="str">
        <f t="shared" si="69"/>
        <v>2025-24</v>
      </c>
      <c r="F1093" s="2" t="str">
        <f t="shared" si="70"/>
        <v>Week 24</v>
      </c>
      <c r="G1093" s="2" t="str">
        <f t="shared" si="71"/>
        <v>Week 24-2025</v>
      </c>
      <c r="O1093"/>
      <c r="Q1093"/>
    </row>
    <row r="1094" spans="1:17" hidden="1" x14ac:dyDescent="0.2">
      <c r="A1094" s="3">
        <v>45819</v>
      </c>
      <c r="B1094" s="2" t="s">
        <v>14</v>
      </c>
      <c r="C1094" s="2">
        <v>7</v>
      </c>
      <c r="D1094" s="2">
        <f t="shared" si="68"/>
        <v>2025</v>
      </c>
      <c r="E1094" s="2" t="str">
        <f t="shared" si="69"/>
        <v>2025-24</v>
      </c>
      <c r="F1094" s="2" t="str">
        <f t="shared" si="70"/>
        <v>Week 24</v>
      </c>
      <c r="G1094" s="2" t="str">
        <f t="shared" si="71"/>
        <v>Week 24-2025</v>
      </c>
      <c r="O1094"/>
      <c r="Q1094"/>
    </row>
    <row r="1095" spans="1:17" hidden="1" x14ac:dyDescent="0.2">
      <c r="A1095" s="3">
        <v>45819</v>
      </c>
      <c r="B1095" s="2" t="s">
        <v>4</v>
      </c>
      <c r="C1095" s="2">
        <v>4</v>
      </c>
      <c r="D1095" s="2">
        <f t="shared" si="68"/>
        <v>2025</v>
      </c>
      <c r="E1095" s="2" t="str">
        <f t="shared" si="69"/>
        <v>2025-24</v>
      </c>
      <c r="F1095" s="2" t="str">
        <f t="shared" si="70"/>
        <v>Week 24</v>
      </c>
      <c r="G1095" s="2" t="str">
        <f t="shared" si="71"/>
        <v>Week 24-2025</v>
      </c>
      <c r="O1095"/>
      <c r="Q1095"/>
    </row>
    <row r="1096" spans="1:17" hidden="1" x14ac:dyDescent="0.2">
      <c r="A1096" s="3">
        <v>45819</v>
      </c>
      <c r="B1096" s="2" t="s">
        <v>3</v>
      </c>
      <c r="C1096" s="2">
        <v>4</v>
      </c>
      <c r="D1096" s="2">
        <f t="shared" si="68"/>
        <v>2025</v>
      </c>
      <c r="E1096" s="2" t="str">
        <f t="shared" si="69"/>
        <v>2025-24</v>
      </c>
      <c r="F1096" s="2" t="str">
        <f t="shared" si="70"/>
        <v>Week 24</v>
      </c>
      <c r="G1096" s="2" t="str">
        <f t="shared" si="71"/>
        <v>Week 24-2025</v>
      </c>
      <c r="O1096"/>
      <c r="Q1096"/>
    </row>
    <row r="1097" spans="1:17" hidden="1" x14ac:dyDescent="0.2">
      <c r="A1097" s="3">
        <v>45819</v>
      </c>
      <c r="B1097" s="2" t="s">
        <v>9</v>
      </c>
      <c r="C1097" s="2">
        <v>4</v>
      </c>
      <c r="D1097" s="2">
        <f t="shared" si="68"/>
        <v>2025</v>
      </c>
      <c r="E1097" s="2" t="str">
        <f t="shared" si="69"/>
        <v>2025-24</v>
      </c>
      <c r="F1097" s="2" t="str">
        <f t="shared" si="70"/>
        <v>Week 24</v>
      </c>
      <c r="G1097" s="2" t="str">
        <f t="shared" si="71"/>
        <v>Week 24-2025</v>
      </c>
      <c r="O1097"/>
      <c r="Q1097"/>
    </row>
    <row r="1098" spans="1:17" hidden="1" x14ac:dyDescent="0.2">
      <c r="A1098" s="3">
        <v>45819</v>
      </c>
      <c r="B1098" s="2" t="s">
        <v>12</v>
      </c>
      <c r="C1098" s="2">
        <v>2</v>
      </c>
      <c r="D1098" s="2">
        <f t="shared" si="68"/>
        <v>2025</v>
      </c>
      <c r="E1098" s="2" t="str">
        <f t="shared" si="69"/>
        <v>2025-24</v>
      </c>
      <c r="F1098" s="2" t="str">
        <f t="shared" si="70"/>
        <v>Week 24</v>
      </c>
      <c r="G1098" s="2" t="str">
        <f t="shared" si="71"/>
        <v>Week 24-2025</v>
      </c>
      <c r="O1098"/>
      <c r="Q1098"/>
    </row>
    <row r="1099" spans="1:17" hidden="1" x14ac:dyDescent="0.2">
      <c r="A1099" s="3">
        <v>45819</v>
      </c>
      <c r="B1099" s="2" t="s">
        <v>13</v>
      </c>
      <c r="C1099" s="2">
        <v>4</v>
      </c>
      <c r="D1099" s="2">
        <f t="shared" si="68"/>
        <v>2025</v>
      </c>
      <c r="E1099" s="2" t="str">
        <f t="shared" si="69"/>
        <v>2025-24</v>
      </c>
      <c r="F1099" s="2" t="str">
        <f t="shared" si="70"/>
        <v>Week 24</v>
      </c>
      <c r="G1099" s="2" t="str">
        <f t="shared" si="71"/>
        <v>Week 24-2025</v>
      </c>
      <c r="O1099"/>
      <c r="Q1099"/>
    </row>
    <row r="1100" spans="1:17" hidden="1" x14ac:dyDescent="0.2">
      <c r="A1100" s="3">
        <v>45819</v>
      </c>
      <c r="B1100" s="2" t="s">
        <v>18</v>
      </c>
      <c r="C1100" s="2">
        <v>2</v>
      </c>
      <c r="D1100" s="2">
        <f t="shared" si="68"/>
        <v>2025</v>
      </c>
      <c r="E1100" s="2" t="str">
        <f t="shared" si="69"/>
        <v>2025-24</v>
      </c>
      <c r="F1100" s="2" t="str">
        <f t="shared" si="70"/>
        <v>Week 24</v>
      </c>
      <c r="G1100" s="2" t="str">
        <f t="shared" si="71"/>
        <v>Week 24-2025</v>
      </c>
      <c r="O1100"/>
      <c r="Q1100"/>
    </row>
    <row r="1101" spans="1:17" hidden="1" x14ac:dyDescent="0.2">
      <c r="A1101" s="3">
        <v>45819</v>
      </c>
      <c r="B1101" s="2" t="s">
        <v>14</v>
      </c>
      <c r="C1101" s="2">
        <v>4</v>
      </c>
      <c r="D1101" s="2">
        <f t="shared" si="68"/>
        <v>2025</v>
      </c>
      <c r="E1101" s="2" t="str">
        <f t="shared" si="69"/>
        <v>2025-24</v>
      </c>
      <c r="F1101" s="2" t="str">
        <f t="shared" si="70"/>
        <v>Week 24</v>
      </c>
      <c r="G1101" s="2" t="str">
        <f t="shared" si="71"/>
        <v>Week 24-2025</v>
      </c>
      <c r="O1101"/>
      <c r="Q1101"/>
    </row>
    <row r="1102" spans="1:17" hidden="1" x14ac:dyDescent="0.2">
      <c r="A1102" s="3">
        <v>45819</v>
      </c>
      <c r="B1102" s="2" t="s">
        <v>34</v>
      </c>
      <c r="C1102" s="2">
        <v>4</v>
      </c>
      <c r="D1102" s="2">
        <f t="shared" si="68"/>
        <v>2025</v>
      </c>
      <c r="E1102" s="2" t="str">
        <f t="shared" si="69"/>
        <v>2025-24</v>
      </c>
      <c r="F1102" s="2" t="str">
        <f t="shared" si="70"/>
        <v>Week 24</v>
      </c>
      <c r="G1102" s="2" t="str">
        <f t="shared" si="71"/>
        <v>Week 24-2025</v>
      </c>
      <c r="O1102"/>
      <c r="Q1102"/>
    </row>
    <row r="1103" spans="1:17" hidden="1" x14ac:dyDescent="0.2">
      <c r="A1103" s="3">
        <v>45819</v>
      </c>
      <c r="B1103" s="2" t="s">
        <v>31</v>
      </c>
      <c r="C1103" s="2">
        <v>4</v>
      </c>
      <c r="D1103" s="2">
        <f t="shared" si="68"/>
        <v>2025</v>
      </c>
      <c r="E1103" s="2" t="str">
        <f t="shared" si="69"/>
        <v>2025-24</v>
      </c>
      <c r="F1103" s="2" t="str">
        <f t="shared" si="70"/>
        <v>Week 24</v>
      </c>
      <c r="G1103" s="2" t="str">
        <f t="shared" si="71"/>
        <v>Week 24-2025</v>
      </c>
      <c r="O1103"/>
      <c r="Q1103"/>
    </row>
    <row r="1104" spans="1:17" hidden="1" x14ac:dyDescent="0.2">
      <c r="A1104" s="3">
        <v>45819</v>
      </c>
      <c r="B1104" s="2" t="s">
        <v>9</v>
      </c>
      <c r="C1104" s="2">
        <v>2</v>
      </c>
      <c r="D1104" s="2">
        <f t="shared" si="68"/>
        <v>2025</v>
      </c>
      <c r="E1104" s="2" t="str">
        <f t="shared" si="69"/>
        <v>2025-24</v>
      </c>
      <c r="F1104" s="2" t="str">
        <f t="shared" si="70"/>
        <v>Week 24</v>
      </c>
      <c r="G1104" s="2" t="str">
        <f t="shared" si="71"/>
        <v>Week 24-2025</v>
      </c>
      <c r="O1104"/>
      <c r="Q1104"/>
    </row>
    <row r="1105" spans="1:17" hidden="1" x14ac:dyDescent="0.2">
      <c r="A1105" s="3">
        <v>45819</v>
      </c>
      <c r="B1105" s="2" t="s">
        <v>14</v>
      </c>
      <c r="C1105" s="2">
        <v>4</v>
      </c>
      <c r="D1105" s="2">
        <f t="shared" si="68"/>
        <v>2025</v>
      </c>
      <c r="E1105" s="2" t="str">
        <f t="shared" si="69"/>
        <v>2025-24</v>
      </c>
      <c r="F1105" s="2" t="str">
        <f t="shared" si="70"/>
        <v>Week 24</v>
      </c>
      <c r="G1105" s="2" t="str">
        <f t="shared" si="71"/>
        <v>Week 24-2025</v>
      </c>
      <c r="O1105"/>
      <c r="Q1105"/>
    </row>
    <row r="1106" spans="1:17" hidden="1" x14ac:dyDescent="0.2">
      <c r="A1106" s="3">
        <v>45819</v>
      </c>
      <c r="B1106" s="2" t="s">
        <v>3</v>
      </c>
      <c r="C1106" s="2">
        <v>2</v>
      </c>
      <c r="D1106" s="2">
        <f t="shared" si="68"/>
        <v>2025</v>
      </c>
      <c r="E1106" s="2" t="str">
        <f t="shared" si="69"/>
        <v>2025-24</v>
      </c>
      <c r="F1106" s="2" t="str">
        <f t="shared" si="70"/>
        <v>Week 24</v>
      </c>
      <c r="G1106" s="2" t="str">
        <f t="shared" si="71"/>
        <v>Week 24-2025</v>
      </c>
      <c r="O1106"/>
      <c r="Q1106"/>
    </row>
    <row r="1107" spans="1:17" hidden="1" x14ac:dyDescent="0.2">
      <c r="A1107" s="3">
        <v>45819</v>
      </c>
      <c r="B1107" s="2" t="s">
        <v>30</v>
      </c>
      <c r="C1107" s="2">
        <v>4</v>
      </c>
      <c r="D1107" s="2">
        <f t="shared" si="68"/>
        <v>2025</v>
      </c>
      <c r="E1107" s="2" t="str">
        <f t="shared" si="69"/>
        <v>2025-24</v>
      </c>
      <c r="F1107" s="2" t="str">
        <f t="shared" si="70"/>
        <v>Week 24</v>
      </c>
      <c r="G1107" s="2" t="str">
        <f t="shared" si="71"/>
        <v>Week 24-2025</v>
      </c>
      <c r="O1107"/>
      <c r="Q1107"/>
    </row>
    <row r="1108" spans="1:17" hidden="1" x14ac:dyDescent="0.2">
      <c r="A1108" s="3">
        <v>45819</v>
      </c>
      <c r="B1108" s="2" t="s">
        <v>30</v>
      </c>
      <c r="C1108" s="2">
        <v>4</v>
      </c>
      <c r="D1108" s="2">
        <f t="shared" si="68"/>
        <v>2025</v>
      </c>
      <c r="E1108" s="2" t="str">
        <f t="shared" si="69"/>
        <v>2025-24</v>
      </c>
      <c r="F1108" s="2" t="str">
        <f t="shared" si="70"/>
        <v>Week 24</v>
      </c>
      <c r="G1108" s="2" t="str">
        <f t="shared" si="71"/>
        <v>Week 24-2025</v>
      </c>
      <c r="O1108"/>
      <c r="Q1108"/>
    </row>
    <row r="1109" spans="1:17" hidden="1" x14ac:dyDescent="0.2">
      <c r="A1109" s="3">
        <v>45819</v>
      </c>
      <c r="B1109" s="2" t="s">
        <v>38</v>
      </c>
      <c r="C1109" s="2">
        <v>2</v>
      </c>
      <c r="D1109" s="2">
        <f t="shared" si="68"/>
        <v>2025</v>
      </c>
      <c r="E1109" s="2" t="str">
        <f t="shared" si="69"/>
        <v>2025-24</v>
      </c>
      <c r="F1109" s="2" t="str">
        <f t="shared" si="70"/>
        <v>Week 24</v>
      </c>
      <c r="G1109" s="2" t="str">
        <f t="shared" si="71"/>
        <v>Week 24-2025</v>
      </c>
      <c r="O1109"/>
      <c r="Q1109"/>
    </row>
    <row r="1110" spans="1:17" hidden="1" x14ac:dyDescent="0.2">
      <c r="A1110" s="3">
        <v>45819</v>
      </c>
      <c r="B1110" s="2" t="s">
        <v>8</v>
      </c>
      <c r="C1110" s="2">
        <v>2</v>
      </c>
      <c r="D1110" s="2">
        <f t="shared" si="68"/>
        <v>2025</v>
      </c>
      <c r="E1110" s="2" t="str">
        <f t="shared" si="69"/>
        <v>2025-24</v>
      </c>
      <c r="F1110" s="2" t="str">
        <f t="shared" si="70"/>
        <v>Week 24</v>
      </c>
      <c r="G1110" s="2" t="str">
        <f t="shared" si="71"/>
        <v>Week 24-2025</v>
      </c>
      <c r="O1110"/>
      <c r="Q1110"/>
    </row>
    <row r="1111" spans="1:17" hidden="1" x14ac:dyDescent="0.2">
      <c r="A1111" s="3">
        <v>45819</v>
      </c>
      <c r="B1111" s="2" t="s">
        <v>10</v>
      </c>
      <c r="C1111" s="2">
        <v>1</v>
      </c>
      <c r="D1111" s="2">
        <f t="shared" si="68"/>
        <v>2025</v>
      </c>
      <c r="E1111" s="2" t="str">
        <f t="shared" si="69"/>
        <v>2025-24</v>
      </c>
      <c r="F1111" s="2" t="str">
        <f t="shared" si="70"/>
        <v>Week 24</v>
      </c>
      <c r="G1111" s="2" t="str">
        <f t="shared" si="71"/>
        <v>Week 24-2025</v>
      </c>
      <c r="O1111"/>
      <c r="Q1111"/>
    </row>
    <row r="1112" spans="1:17" hidden="1" x14ac:dyDescent="0.2">
      <c r="A1112" s="3">
        <v>45819</v>
      </c>
      <c r="B1112" s="2" t="s">
        <v>14</v>
      </c>
      <c r="C1112" s="2">
        <v>1</v>
      </c>
      <c r="D1112" s="2">
        <f t="shared" si="68"/>
        <v>2025</v>
      </c>
      <c r="E1112" s="2" t="str">
        <f t="shared" si="69"/>
        <v>2025-24</v>
      </c>
      <c r="F1112" s="2" t="str">
        <f t="shared" si="70"/>
        <v>Week 24</v>
      </c>
      <c r="G1112" s="2" t="str">
        <f t="shared" si="71"/>
        <v>Week 24-2025</v>
      </c>
      <c r="O1112"/>
      <c r="Q1112"/>
    </row>
    <row r="1113" spans="1:17" hidden="1" x14ac:dyDescent="0.2">
      <c r="A1113" s="3">
        <v>45819</v>
      </c>
      <c r="B1113" s="2" t="s">
        <v>27</v>
      </c>
      <c r="C1113" s="2">
        <v>1</v>
      </c>
      <c r="D1113" s="2">
        <f t="shared" si="68"/>
        <v>2025</v>
      </c>
      <c r="E1113" s="2" t="str">
        <f t="shared" si="69"/>
        <v>2025-24</v>
      </c>
      <c r="F1113" s="2" t="str">
        <f t="shared" si="70"/>
        <v>Week 24</v>
      </c>
      <c r="G1113" s="2" t="str">
        <f t="shared" si="71"/>
        <v>Week 24-2025</v>
      </c>
      <c r="O1113"/>
      <c r="Q1113"/>
    </row>
    <row r="1114" spans="1:17" hidden="1" x14ac:dyDescent="0.2">
      <c r="A1114" s="3">
        <v>45820</v>
      </c>
      <c r="B1114" s="2" t="s">
        <v>19</v>
      </c>
      <c r="C1114" s="2">
        <v>2</v>
      </c>
      <c r="D1114" s="2">
        <f t="shared" si="68"/>
        <v>2025</v>
      </c>
      <c r="E1114" s="2" t="str">
        <f t="shared" si="69"/>
        <v>2025-24</v>
      </c>
      <c r="F1114" s="2" t="str">
        <f t="shared" si="70"/>
        <v>Week 24</v>
      </c>
      <c r="G1114" s="2" t="str">
        <f t="shared" si="71"/>
        <v>Week 24-2025</v>
      </c>
      <c r="O1114"/>
      <c r="Q1114"/>
    </row>
    <row r="1115" spans="1:17" hidden="1" x14ac:dyDescent="0.2">
      <c r="A1115" s="3">
        <v>45820</v>
      </c>
      <c r="B1115" s="2" t="s">
        <v>12</v>
      </c>
      <c r="C1115" s="2">
        <v>1</v>
      </c>
      <c r="D1115" s="2">
        <f t="shared" si="68"/>
        <v>2025</v>
      </c>
      <c r="E1115" s="2" t="str">
        <f t="shared" si="69"/>
        <v>2025-24</v>
      </c>
      <c r="F1115" s="2" t="str">
        <f t="shared" si="70"/>
        <v>Week 24</v>
      </c>
      <c r="G1115" s="2" t="str">
        <f t="shared" si="71"/>
        <v>Week 24-2025</v>
      </c>
      <c r="O1115"/>
      <c r="Q1115"/>
    </row>
    <row r="1116" spans="1:17" hidden="1" x14ac:dyDescent="0.2">
      <c r="A1116" s="3">
        <v>45820</v>
      </c>
      <c r="B1116" s="2" t="s">
        <v>18</v>
      </c>
      <c r="C1116" s="2">
        <v>1</v>
      </c>
      <c r="D1116" s="2">
        <f t="shared" si="68"/>
        <v>2025</v>
      </c>
      <c r="E1116" s="2" t="str">
        <f t="shared" si="69"/>
        <v>2025-24</v>
      </c>
      <c r="F1116" s="2" t="str">
        <f t="shared" si="70"/>
        <v>Week 24</v>
      </c>
      <c r="G1116" s="2" t="str">
        <f t="shared" si="71"/>
        <v>Week 24-2025</v>
      </c>
      <c r="O1116"/>
      <c r="Q1116"/>
    </row>
    <row r="1117" spans="1:17" hidden="1" x14ac:dyDescent="0.2">
      <c r="A1117" s="3">
        <v>45821</v>
      </c>
      <c r="B1117" s="2" t="s">
        <v>4</v>
      </c>
      <c r="C1117" s="2">
        <v>9</v>
      </c>
      <c r="D1117" s="2">
        <f t="shared" si="68"/>
        <v>2025</v>
      </c>
      <c r="E1117" s="2" t="str">
        <f t="shared" si="69"/>
        <v>2025-24</v>
      </c>
      <c r="F1117" s="2" t="str">
        <f t="shared" si="70"/>
        <v>Week 24</v>
      </c>
      <c r="G1117" s="2" t="str">
        <f t="shared" si="71"/>
        <v>Week 24-2025</v>
      </c>
      <c r="O1117"/>
      <c r="Q1117"/>
    </row>
    <row r="1118" spans="1:17" hidden="1" x14ac:dyDescent="0.2">
      <c r="A1118" s="3">
        <v>45821</v>
      </c>
      <c r="B1118" s="2" t="s">
        <v>4</v>
      </c>
      <c r="C1118" s="2">
        <v>7</v>
      </c>
      <c r="D1118" s="2">
        <f t="shared" si="68"/>
        <v>2025</v>
      </c>
      <c r="E1118" s="2" t="str">
        <f t="shared" si="69"/>
        <v>2025-24</v>
      </c>
      <c r="F1118" s="2" t="str">
        <f t="shared" si="70"/>
        <v>Week 24</v>
      </c>
      <c r="G1118" s="2" t="str">
        <f t="shared" si="71"/>
        <v>Week 24-2025</v>
      </c>
      <c r="O1118"/>
      <c r="Q1118"/>
    </row>
    <row r="1119" spans="1:17" hidden="1" x14ac:dyDescent="0.2">
      <c r="A1119" s="3">
        <v>45821</v>
      </c>
      <c r="B1119" s="2" t="s">
        <v>3</v>
      </c>
      <c r="C1119" s="2">
        <v>8</v>
      </c>
      <c r="D1119" s="2">
        <f t="shared" si="68"/>
        <v>2025</v>
      </c>
      <c r="E1119" s="2" t="str">
        <f t="shared" si="69"/>
        <v>2025-24</v>
      </c>
      <c r="F1119" s="2" t="str">
        <f t="shared" si="70"/>
        <v>Week 24</v>
      </c>
      <c r="G1119" s="2" t="str">
        <f t="shared" si="71"/>
        <v>Week 24-2025</v>
      </c>
      <c r="O1119"/>
      <c r="Q1119"/>
    </row>
    <row r="1120" spans="1:17" hidden="1" x14ac:dyDescent="0.2">
      <c r="A1120" s="3">
        <v>45821</v>
      </c>
      <c r="B1120" s="2" t="s">
        <v>10</v>
      </c>
      <c r="C1120" s="2">
        <v>8</v>
      </c>
      <c r="D1120" s="2">
        <f t="shared" si="68"/>
        <v>2025</v>
      </c>
      <c r="E1120" s="2" t="str">
        <f t="shared" si="69"/>
        <v>2025-24</v>
      </c>
      <c r="F1120" s="2" t="str">
        <f t="shared" si="70"/>
        <v>Week 24</v>
      </c>
      <c r="G1120" s="2" t="str">
        <f t="shared" si="71"/>
        <v>Week 24-2025</v>
      </c>
      <c r="O1120"/>
      <c r="Q1120"/>
    </row>
    <row r="1121" spans="1:17" hidden="1" x14ac:dyDescent="0.2">
      <c r="A1121" s="3">
        <v>45821</v>
      </c>
      <c r="B1121" s="2" t="s">
        <v>15</v>
      </c>
      <c r="C1121" s="2">
        <v>6</v>
      </c>
      <c r="D1121" s="2">
        <f t="shared" si="68"/>
        <v>2025</v>
      </c>
      <c r="E1121" s="2" t="str">
        <f t="shared" si="69"/>
        <v>2025-24</v>
      </c>
      <c r="F1121" s="2" t="str">
        <f t="shared" si="70"/>
        <v>Week 24</v>
      </c>
      <c r="G1121" s="2" t="str">
        <f t="shared" si="71"/>
        <v>Week 24-2025</v>
      </c>
      <c r="O1121"/>
      <c r="Q1121"/>
    </row>
    <row r="1122" spans="1:17" hidden="1" x14ac:dyDescent="0.2">
      <c r="A1122" s="3">
        <v>45821</v>
      </c>
      <c r="B1122" s="2" t="s">
        <v>30</v>
      </c>
      <c r="C1122" s="2">
        <v>4</v>
      </c>
      <c r="D1122" s="2">
        <f t="shared" si="68"/>
        <v>2025</v>
      </c>
      <c r="E1122" s="2" t="str">
        <f t="shared" si="69"/>
        <v>2025-24</v>
      </c>
      <c r="F1122" s="2" t="str">
        <f t="shared" si="70"/>
        <v>Week 24</v>
      </c>
      <c r="G1122" s="2" t="str">
        <f t="shared" si="71"/>
        <v>Week 24-2025</v>
      </c>
      <c r="O1122"/>
      <c r="Q1122"/>
    </row>
    <row r="1123" spans="1:17" hidden="1" x14ac:dyDescent="0.2">
      <c r="A1123" s="3">
        <v>45821</v>
      </c>
      <c r="B1123" s="2" t="s">
        <v>28</v>
      </c>
      <c r="C1123" s="2">
        <v>2</v>
      </c>
      <c r="D1123" s="2">
        <f t="shared" si="68"/>
        <v>2025</v>
      </c>
      <c r="E1123" s="2" t="str">
        <f t="shared" si="69"/>
        <v>2025-24</v>
      </c>
      <c r="F1123" s="2" t="str">
        <f t="shared" si="70"/>
        <v>Week 24</v>
      </c>
      <c r="G1123" s="2" t="str">
        <f t="shared" si="71"/>
        <v>Week 24-2025</v>
      </c>
      <c r="O1123"/>
      <c r="Q1123"/>
    </row>
    <row r="1124" spans="1:17" hidden="1" x14ac:dyDescent="0.2">
      <c r="A1124" s="3">
        <v>45821</v>
      </c>
      <c r="B1124" s="2" t="s">
        <v>36</v>
      </c>
      <c r="C1124" s="2">
        <v>2</v>
      </c>
      <c r="D1124" s="2">
        <f t="shared" si="68"/>
        <v>2025</v>
      </c>
      <c r="E1124" s="2" t="str">
        <f t="shared" si="69"/>
        <v>2025-24</v>
      </c>
      <c r="F1124" s="2" t="str">
        <f t="shared" si="70"/>
        <v>Week 24</v>
      </c>
      <c r="G1124" s="2" t="str">
        <f t="shared" si="71"/>
        <v>Week 24-2025</v>
      </c>
      <c r="O1124"/>
      <c r="Q1124"/>
    </row>
    <row r="1125" spans="1:17" hidden="1" x14ac:dyDescent="0.2">
      <c r="A1125" s="3">
        <v>45822</v>
      </c>
      <c r="B1125" s="2" t="s">
        <v>7</v>
      </c>
      <c r="C1125" s="2">
        <v>16</v>
      </c>
      <c r="D1125" s="2">
        <f t="shared" si="68"/>
        <v>2025</v>
      </c>
      <c r="E1125" s="2" t="str">
        <f t="shared" si="69"/>
        <v>2025-24</v>
      </c>
      <c r="F1125" s="2" t="str">
        <f t="shared" si="70"/>
        <v>Week 24</v>
      </c>
      <c r="G1125" s="2" t="str">
        <f t="shared" si="71"/>
        <v>Week 24-2025</v>
      </c>
      <c r="O1125"/>
      <c r="Q1125"/>
    </row>
    <row r="1126" spans="1:17" hidden="1" x14ac:dyDescent="0.2">
      <c r="A1126" s="3">
        <v>45822</v>
      </c>
      <c r="B1126" s="2" t="s">
        <v>4</v>
      </c>
      <c r="C1126" s="2">
        <v>16</v>
      </c>
      <c r="D1126" s="2">
        <f t="shared" si="68"/>
        <v>2025</v>
      </c>
      <c r="E1126" s="2" t="str">
        <f t="shared" si="69"/>
        <v>2025-24</v>
      </c>
      <c r="F1126" s="2" t="str">
        <f t="shared" si="70"/>
        <v>Week 24</v>
      </c>
      <c r="G1126" s="2" t="str">
        <f t="shared" si="71"/>
        <v>Week 24-2025</v>
      </c>
      <c r="O1126"/>
      <c r="Q1126"/>
    </row>
    <row r="1127" spans="1:17" hidden="1" x14ac:dyDescent="0.2">
      <c r="A1127" s="3">
        <v>45822</v>
      </c>
      <c r="B1127" s="2" t="s">
        <v>5</v>
      </c>
      <c r="C1127" s="2">
        <v>16</v>
      </c>
      <c r="D1127" s="2">
        <f t="shared" si="68"/>
        <v>2025</v>
      </c>
      <c r="E1127" s="2" t="str">
        <f t="shared" si="69"/>
        <v>2025-24</v>
      </c>
      <c r="F1127" s="2" t="str">
        <f t="shared" si="70"/>
        <v>Week 24</v>
      </c>
      <c r="G1127" s="2" t="str">
        <f t="shared" si="71"/>
        <v>Week 24-2025</v>
      </c>
      <c r="O1127"/>
      <c r="Q1127"/>
    </row>
    <row r="1128" spans="1:17" hidden="1" x14ac:dyDescent="0.2">
      <c r="A1128" s="3">
        <v>45822</v>
      </c>
      <c r="B1128" s="2" t="s">
        <v>3</v>
      </c>
      <c r="C1128" s="2">
        <v>12</v>
      </c>
      <c r="D1128" s="2">
        <f t="shared" si="68"/>
        <v>2025</v>
      </c>
      <c r="E1128" s="2" t="str">
        <f t="shared" si="69"/>
        <v>2025-24</v>
      </c>
      <c r="F1128" s="2" t="str">
        <f t="shared" si="70"/>
        <v>Week 24</v>
      </c>
      <c r="G1128" s="2" t="str">
        <f t="shared" si="71"/>
        <v>Week 24-2025</v>
      </c>
      <c r="O1128"/>
      <c r="Q1128"/>
    </row>
    <row r="1129" spans="1:17" hidden="1" x14ac:dyDescent="0.2">
      <c r="A1129" s="3">
        <v>45822</v>
      </c>
      <c r="B1129" s="2" t="s">
        <v>6</v>
      </c>
      <c r="C1129" s="2">
        <v>8</v>
      </c>
      <c r="D1129" s="2">
        <f t="shared" si="68"/>
        <v>2025</v>
      </c>
      <c r="E1129" s="2" t="str">
        <f t="shared" si="69"/>
        <v>2025-24</v>
      </c>
      <c r="F1129" s="2" t="str">
        <f t="shared" si="70"/>
        <v>Week 24</v>
      </c>
      <c r="G1129" s="2" t="str">
        <f t="shared" si="71"/>
        <v>Week 24-2025</v>
      </c>
      <c r="O1129"/>
      <c r="Q1129"/>
    </row>
    <row r="1130" spans="1:17" hidden="1" x14ac:dyDescent="0.2">
      <c r="A1130" s="3">
        <v>45822</v>
      </c>
      <c r="B1130" s="2" t="s">
        <v>37</v>
      </c>
      <c r="C1130" s="2">
        <v>16</v>
      </c>
      <c r="D1130" s="2">
        <f t="shared" si="68"/>
        <v>2025</v>
      </c>
      <c r="E1130" s="2" t="str">
        <f t="shared" si="69"/>
        <v>2025-24</v>
      </c>
      <c r="F1130" s="2" t="str">
        <f t="shared" si="70"/>
        <v>Week 24</v>
      </c>
      <c r="G1130" s="2" t="str">
        <f t="shared" si="71"/>
        <v>Week 24-2025</v>
      </c>
      <c r="O1130"/>
      <c r="Q1130"/>
    </row>
    <row r="1131" spans="1:17" hidden="1" x14ac:dyDescent="0.2">
      <c r="A1131" s="3">
        <v>45822</v>
      </c>
      <c r="B1131" s="2" t="s">
        <v>5</v>
      </c>
      <c r="C1131" s="2">
        <v>12</v>
      </c>
      <c r="D1131" s="2">
        <f t="shared" si="68"/>
        <v>2025</v>
      </c>
      <c r="E1131" s="2" t="str">
        <f t="shared" si="69"/>
        <v>2025-24</v>
      </c>
      <c r="F1131" s="2" t="str">
        <f t="shared" si="70"/>
        <v>Week 24</v>
      </c>
      <c r="G1131" s="2" t="str">
        <f t="shared" si="71"/>
        <v>Week 24-2025</v>
      </c>
      <c r="O1131"/>
      <c r="Q1131"/>
    </row>
    <row r="1132" spans="1:17" hidden="1" x14ac:dyDescent="0.2">
      <c r="A1132" s="3">
        <v>45822</v>
      </c>
      <c r="B1132" s="2" t="s">
        <v>7</v>
      </c>
      <c r="C1132" s="2">
        <v>8</v>
      </c>
      <c r="D1132" s="2">
        <f t="shared" si="68"/>
        <v>2025</v>
      </c>
      <c r="E1132" s="2" t="str">
        <f t="shared" si="69"/>
        <v>2025-24</v>
      </c>
      <c r="F1132" s="2" t="str">
        <f t="shared" si="70"/>
        <v>Week 24</v>
      </c>
      <c r="G1132" s="2" t="str">
        <f t="shared" si="71"/>
        <v>Week 24-2025</v>
      </c>
      <c r="O1132"/>
      <c r="Q1132"/>
    </row>
    <row r="1133" spans="1:17" hidden="1" x14ac:dyDescent="0.2">
      <c r="A1133" s="3">
        <v>45822</v>
      </c>
      <c r="B1133" s="2" t="s">
        <v>3</v>
      </c>
      <c r="C1133" s="2">
        <v>8</v>
      </c>
      <c r="D1133" s="2">
        <f t="shared" si="68"/>
        <v>2025</v>
      </c>
      <c r="E1133" s="2" t="str">
        <f t="shared" si="69"/>
        <v>2025-24</v>
      </c>
      <c r="F1133" s="2" t="str">
        <f t="shared" si="70"/>
        <v>Week 24</v>
      </c>
      <c r="G1133" s="2" t="str">
        <f t="shared" si="71"/>
        <v>Week 24-2025</v>
      </c>
      <c r="O1133"/>
      <c r="Q1133"/>
    </row>
    <row r="1134" spans="1:17" hidden="1" x14ac:dyDescent="0.2">
      <c r="A1134" s="3">
        <v>45822</v>
      </c>
      <c r="B1134" s="2" t="s">
        <v>14</v>
      </c>
      <c r="C1134" s="2">
        <v>8</v>
      </c>
      <c r="D1134" s="2">
        <f t="shared" si="68"/>
        <v>2025</v>
      </c>
      <c r="E1134" s="2" t="str">
        <f t="shared" si="69"/>
        <v>2025-24</v>
      </c>
      <c r="F1134" s="2" t="str">
        <f t="shared" si="70"/>
        <v>Week 24</v>
      </c>
      <c r="G1134" s="2" t="str">
        <f t="shared" si="71"/>
        <v>Week 24-2025</v>
      </c>
      <c r="O1134"/>
      <c r="Q1134"/>
    </row>
    <row r="1135" spans="1:17" hidden="1" x14ac:dyDescent="0.2">
      <c r="A1135" s="3">
        <v>45822</v>
      </c>
      <c r="B1135" s="2" t="s">
        <v>10</v>
      </c>
      <c r="C1135" s="2">
        <v>6</v>
      </c>
      <c r="D1135" s="2">
        <f t="shared" si="68"/>
        <v>2025</v>
      </c>
      <c r="E1135" s="2" t="str">
        <f t="shared" si="69"/>
        <v>2025-24</v>
      </c>
      <c r="F1135" s="2" t="str">
        <f t="shared" si="70"/>
        <v>Week 24</v>
      </c>
      <c r="G1135" s="2" t="str">
        <f t="shared" si="71"/>
        <v>Week 24-2025</v>
      </c>
      <c r="O1135"/>
      <c r="Q1135"/>
    </row>
    <row r="1136" spans="1:17" hidden="1" x14ac:dyDescent="0.2">
      <c r="A1136" s="3">
        <v>45822</v>
      </c>
      <c r="B1136" s="2" t="s">
        <v>3</v>
      </c>
      <c r="C1136" s="2">
        <v>4</v>
      </c>
      <c r="D1136" s="2">
        <f t="shared" si="68"/>
        <v>2025</v>
      </c>
      <c r="E1136" s="2" t="str">
        <f t="shared" si="69"/>
        <v>2025-24</v>
      </c>
      <c r="F1136" s="2" t="str">
        <f t="shared" si="70"/>
        <v>Week 24</v>
      </c>
      <c r="G1136" s="2" t="str">
        <f t="shared" si="71"/>
        <v>Week 24-2025</v>
      </c>
      <c r="O1136"/>
      <c r="Q1136"/>
    </row>
    <row r="1137" spans="1:17" hidden="1" x14ac:dyDescent="0.2">
      <c r="A1137" s="3">
        <v>45822</v>
      </c>
      <c r="B1137" s="2" t="s">
        <v>38</v>
      </c>
      <c r="C1137" s="2">
        <v>6</v>
      </c>
      <c r="D1137" s="2">
        <f t="shared" si="68"/>
        <v>2025</v>
      </c>
      <c r="E1137" s="2" t="str">
        <f t="shared" si="69"/>
        <v>2025-24</v>
      </c>
      <c r="F1137" s="2" t="str">
        <f t="shared" si="70"/>
        <v>Week 24</v>
      </c>
      <c r="G1137" s="2" t="str">
        <f t="shared" si="71"/>
        <v>Week 24-2025</v>
      </c>
      <c r="O1137"/>
      <c r="Q1137"/>
    </row>
    <row r="1138" spans="1:17" hidden="1" x14ac:dyDescent="0.2">
      <c r="A1138" s="3">
        <v>45822</v>
      </c>
      <c r="B1138" s="2" t="s">
        <v>31</v>
      </c>
      <c r="C1138" s="2">
        <v>5</v>
      </c>
      <c r="D1138" s="2">
        <f t="shared" si="68"/>
        <v>2025</v>
      </c>
      <c r="E1138" s="2" t="str">
        <f t="shared" si="69"/>
        <v>2025-24</v>
      </c>
      <c r="F1138" s="2" t="str">
        <f t="shared" si="70"/>
        <v>Week 24</v>
      </c>
      <c r="G1138" s="2" t="str">
        <f t="shared" si="71"/>
        <v>Week 24-2025</v>
      </c>
      <c r="O1138"/>
      <c r="Q1138"/>
    </row>
    <row r="1139" spans="1:17" hidden="1" x14ac:dyDescent="0.2">
      <c r="A1139" s="3">
        <v>45822</v>
      </c>
      <c r="B1139" s="2" t="s">
        <v>10</v>
      </c>
      <c r="C1139" s="2">
        <v>4</v>
      </c>
      <c r="D1139" s="2">
        <f t="shared" si="68"/>
        <v>2025</v>
      </c>
      <c r="E1139" s="2" t="str">
        <f t="shared" si="69"/>
        <v>2025-24</v>
      </c>
      <c r="F1139" s="2" t="str">
        <f t="shared" si="70"/>
        <v>Week 24</v>
      </c>
      <c r="G1139" s="2" t="str">
        <f t="shared" si="71"/>
        <v>Week 24-2025</v>
      </c>
      <c r="O1139"/>
      <c r="Q1139"/>
    </row>
    <row r="1140" spans="1:17" hidden="1" x14ac:dyDescent="0.2">
      <c r="A1140" s="3">
        <v>45822</v>
      </c>
      <c r="B1140" s="2" t="s">
        <v>7</v>
      </c>
      <c r="C1140" s="2">
        <v>2</v>
      </c>
      <c r="D1140" s="2">
        <f t="shared" si="68"/>
        <v>2025</v>
      </c>
      <c r="E1140" s="2" t="str">
        <f t="shared" si="69"/>
        <v>2025-24</v>
      </c>
      <c r="F1140" s="2" t="str">
        <f t="shared" si="70"/>
        <v>Week 24</v>
      </c>
      <c r="G1140" s="2" t="str">
        <f t="shared" si="71"/>
        <v>Week 24-2025</v>
      </c>
      <c r="O1140"/>
      <c r="Q1140"/>
    </row>
    <row r="1141" spans="1:17" hidden="1" x14ac:dyDescent="0.2">
      <c r="A1141" s="3">
        <v>45822</v>
      </c>
      <c r="B1141" s="2" t="s">
        <v>8</v>
      </c>
      <c r="C1141" s="2">
        <v>4</v>
      </c>
      <c r="D1141" s="2">
        <f t="shared" si="68"/>
        <v>2025</v>
      </c>
      <c r="E1141" s="2" t="str">
        <f t="shared" si="69"/>
        <v>2025-24</v>
      </c>
      <c r="F1141" s="2" t="str">
        <f t="shared" si="70"/>
        <v>Week 24</v>
      </c>
      <c r="G1141" s="2" t="str">
        <f t="shared" si="71"/>
        <v>Week 24-2025</v>
      </c>
      <c r="O1141"/>
      <c r="Q1141"/>
    </row>
    <row r="1142" spans="1:17" hidden="1" x14ac:dyDescent="0.2">
      <c r="A1142" s="3">
        <v>45822</v>
      </c>
      <c r="B1142" s="2" t="s">
        <v>9</v>
      </c>
      <c r="C1142" s="2">
        <v>2</v>
      </c>
      <c r="D1142" s="2">
        <f t="shared" si="68"/>
        <v>2025</v>
      </c>
      <c r="E1142" s="2" t="str">
        <f t="shared" si="69"/>
        <v>2025-24</v>
      </c>
      <c r="F1142" s="2" t="str">
        <f t="shared" si="70"/>
        <v>Week 24</v>
      </c>
      <c r="G1142" s="2" t="str">
        <f t="shared" si="71"/>
        <v>Week 24-2025</v>
      </c>
      <c r="O1142"/>
      <c r="Q1142"/>
    </row>
    <row r="1143" spans="1:17" hidden="1" x14ac:dyDescent="0.2">
      <c r="A1143" s="3">
        <v>45822</v>
      </c>
      <c r="B1143" s="2" t="s">
        <v>31</v>
      </c>
      <c r="C1143" s="2">
        <v>3</v>
      </c>
      <c r="D1143" s="2">
        <f t="shared" si="68"/>
        <v>2025</v>
      </c>
      <c r="E1143" s="2" t="str">
        <f t="shared" si="69"/>
        <v>2025-24</v>
      </c>
      <c r="F1143" s="2" t="str">
        <f t="shared" si="70"/>
        <v>Week 24</v>
      </c>
      <c r="G1143" s="2" t="str">
        <f t="shared" si="71"/>
        <v>Week 24-2025</v>
      </c>
      <c r="O1143"/>
      <c r="Q1143"/>
    </row>
    <row r="1144" spans="1:17" hidden="1" x14ac:dyDescent="0.2">
      <c r="A1144" s="3">
        <v>45822</v>
      </c>
      <c r="B1144" s="2" t="s">
        <v>38</v>
      </c>
      <c r="C1144" s="2">
        <v>2</v>
      </c>
      <c r="D1144" s="2">
        <f t="shared" si="68"/>
        <v>2025</v>
      </c>
      <c r="E1144" s="2" t="str">
        <f t="shared" si="69"/>
        <v>2025-24</v>
      </c>
      <c r="F1144" s="2" t="str">
        <f t="shared" si="70"/>
        <v>Week 24</v>
      </c>
      <c r="G1144" s="2" t="str">
        <f t="shared" si="71"/>
        <v>Week 24-2025</v>
      </c>
      <c r="O1144"/>
      <c r="Q1144"/>
    </row>
    <row r="1145" spans="1:17" hidden="1" x14ac:dyDescent="0.2">
      <c r="A1145" s="3">
        <v>45822</v>
      </c>
      <c r="B1145" s="2" t="s">
        <v>36</v>
      </c>
      <c r="C1145" s="2">
        <v>2</v>
      </c>
      <c r="D1145" s="2">
        <f t="shared" si="68"/>
        <v>2025</v>
      </c>
      <c r="E1145" s="2" t="str">
        <f t="shared" si="69"/>
        <v>2025-24</v>
      </c>
      <c r="F1145" s="2" t="str">
        <f t="shared" si="70"/>
        <v>Week 24</v>
      </c>
      <c r="G1145" s="2" t="str">
        <f t="shared" si="71"/>
        <v>Week 24-2025</v>
      </c>
      <c r="O1145"/>
      <c r="Q1145"/>
    </row>
    <row r="1146" spans="1:17" hidden="1" x14ac:dyDescent="0.2">
      <c r="A1146" s="3">
        <v>45824</v>
      </c>
      <c r="B1146" s="2" t="s">
        <v>9</v>
      </c>
      <c r="C1146" s="2">
        <v>12</v>
      </c>
      <c r="D1146" s="2">
        <f t="shared" si="68"/>
        <v>2025</v>
      </c>
      <c r="E1146" s="2" t="str">
        <f t="shared" si="69"/>
        <v>2025-25</v>
      </c>
      <c r="F1146" s="2" t="str">
        <f t="shared" si="70"/>
        <v>Week 25</v>
      </c>
      <c r="G1146" s="2" t="str">
        <f t="shared" si="71"/>
        <v>Week 25-2025</v>
      </c>
      <c r="O1146"/>
      <c r="Q1146"/>
    </row>
    <row r="1147" spans="1:17" hidden="1" x14ac:dyDescent="0.2">
      <c r="A1147" s="3">
        <v>45824</v>
      </c>
      <c r="B1147" s="2" t="s">
        <v>6</v>
      </c>
      <c r="C1147" s="2">
        <v>6</v>
      </c>
      <c r="D1147" s="2">
        <f t="shared" si="68"/>
        <v>2025</v>
      </c>
      <c r="E1147" s="2" t="str">
        <f t="shared" si="69"/>
        <v>2025-25</v>
      </c>
      <c r="F1147" s="2" t="str">
        <f t="shared" si="70"/>
        <v>Week 25</v>
      </c>
      <c r="G1147" s="2" t="str">
        <f t="shared" si="71"/>
        <v>Week 25-2025</v>
      </c>
      <c r="O1147"/>
      <c r="Q1147"/>
    </row>
    <row r="1148" spans="1:17" hidden="1" x14ac:dyDescent="0.2">
      <c r="A1148" s="3">
        <v>45825</v>
      </c>
      <c r="B1148" s="2" t="s">
        <v>7</v>
      </c>
      <c r="C1148" s="2">
        <v>14</v>
      </c>
      <c r="D1148" s="2">
        <f t="shared" si="68"/>
        <v>2025</v>
      </c>
      <c r="E1148" s="2" t="str">
        <f t="shared" si="69"/>
        <v>2025-25</v>
      </c>
      <c r="F1148" s="2" t="str">
        <f t="shared" si="70"/>
        <v>Week 25</v>
      </c>
      <c r="G1148" s="2" t="str">
        <f t="shared" si="71"/>
        <v>Week 25-2025</v>
      </c>
      <c r="O1148"/>
      <c r="Q1148"/>
    </row>
    <row r="1149" spans="1:17" hidden="1" x14ac:dyDescent="0.2">
      <c r="A1149" s="3">
        <v>45825</v>
      </c>
      <c r="B1149" s="2" t="s">
        <v>39</v>
      </c>
      <c r="C1149" s="2">
        <v>12</v>
      </c>
      <c r="D1149" s="2">
        <f t="shared" si="68"/>
        <v>2025</v>
      </c>
      <c r="E1149" s="2" t="str">
        <f t="shared" si="69"/>
        <v>2025-25</v>
      </c>
      <c r="F1149" s="2" t="str">
        <f t="shared" si="70"/>
        <v>Week 25</v>
      </c>
      <c r="G1149" s="2" t="str">
        <f t="shared" si="71"/>
        <v>Week 25-2025</v>
      </c>
      <c r="O1149"/>
      <c r="Q1149"/>
    </row>
    <row r="1150" spans="1:17" hidden="1" x14ac:dyDescent="0.2">
      <c r="A1150" s="3">
        <v>45825</v>
      </c>
      <c r="B1150" s="2" t="s">
        <v>18</v>
      </c>
      <c r="C1150" s="2">
        <v>4</v>
      </c>
      <c r="D1150" s="2">
        <f t="shared" si="68"/>
        <v>2025</v>
      </c>
      <c r="E1150" s="2" t="str">
        <f t="shared" si="69"/>
        <v>2025-25</v>
      </c>
      <c r="F1150" s="2" t="str">
        <f t="shared" si="70"/>
        <v>Week 25</v>
      </c>
      <c r="G1150" s="2" t="str">
        <f t="shared" si="71"/>
        <v>Week 25-2025</v>
      </c>
      <c r="O1150"/>
      <c r="Q1150"/>
    </row>
    <row r="1151" spans="1:17" hidden="1" x14ac:dyDescent="0.2">
      <c r="A1151" s="3">
        <v>45825</v>
      </c>
      <c r="B1151" s="2" t="s">
        <v>3</v>
      </c>
      <c r="C1151" s="2">
        <v>6</v>
      </c>
      <c r="D1151" s="2">
        <f t="shared" si="68"/>
        <v>2025</v>
      </c>
      <c r="E1151" s="2" t="str">
        <f t="shared" si="69"/>
        <v>2025-25</v>
      </c>
      <c r="F1151" s="2" t="str">
        <f t="shared" si="70"/>
        <v>Week 25</v>
      </c>
      <c r="G1151" s="2" t="str">
        <f t="shared" si="71"/>
        <v>Week 25-2025</v>
      </c>
      <c r="O1151"/>
      <c r="Q1151"/>
    </row>
    <row r="1152" spans="1:17" hidden="1" x14ac:dyDescent="0.2">
      <c r="A1152" s="3">
        <v>45825</v>
      </c>
      <c r="B1152" s="2" t="s">
        <v>6</v>
      </c>
      <c r="C1152" s="2">
        <v>4</v>
      </c>
      <c r="D1152" s="2">
        <f t="shared" si="68"/>
        <v>2025</v>
      </c>
      <c r="E1152" s="2" t="str">
        <f t="shared" si="69"/>
        <v>2025-25</v>
      </c>
      <c r="F1152" s="2" t="str">
        <f t="shared" si="70"/>
        <v>Week 25</v>
      </c>
      <c r="G1152" s="2" t="str">
        <f t="shared" si="71"/>
        <v>Week 25-2025</v>
      </c>
      <c r="O1152"/>
      <c r="Q1152"/>
    </row>
    <row r="1153" spans="1:17" hidden="1" x14ac:dyDescent="0.2">
      <c r="A1153" s="3">
        <v>45825</v>
      </c>
      <c r="B1153" s="2" t="s">
        <v>19</v>
      </c>
      <c r="C1153" s="2">
        <v>4</v>
      </c>
      <c r="D1153" s="2">
        <f t="shared" si="68"/>
        <v>2025</v>
      </c>
      <c r="E1153" s="2" t="str">
        <f t="shared" si="69"/>
        <v>2025-25</v>
      </c>
      <c r="F1153" s="2" t="str">
        <f t="shared" si="70"/>
        <v>Week 25</v>
      </c>
      <c r="G1153" s="2" t="str">
        <f t="shared" si="71"/>
        <v>Week 25-2025</v>
      </c>
      <c r="O1153"/>
      <c r="Q1153"/>
    </row>
    <row r="1154" spans="1:17" hidden="1" x14ac:dyDescent="0.2">
      <c r="A1154" s="3">
        <v>45825</v>
      </c>
      <c r="B1154" s="2" t="s">
        <v>5</v>
      </c>
      <c r="C1154" s="2">
        <v>6</v>
      </c>
      <c r="D1154" s="2">
        <f t="shared" ref="D1154:D1217" si="72">YEAR(A1154)</f>
        <v>2025</v>
      </c>
      <c r="E1154" s="2" t="str">
        <f t="shared" ref="E1154:E1217" si="73">YEAR(A1154)&amp;"-"&amp;_xlfn.ISOWEEKNUM(A1154)</f>
        <v>2025-25</v>
      </c>
      <c r="F1154" s="2" t="str">
        <f t="shared" ref="F1154:F1217" si="74">_xlfn.CONCAT("Week "&amp;WEEKNUM(A1154))</f>
        <v>Week 25</v>
      </c>
      <c r="G1154" s="2" t="str">
        <f t="shared" ref="G1154:G1217" si="75">_xlfn.CONCAT(F1154,"-",D1154)</f>
        <v>Week 25-2025</v>
      </c>
      <c r="O1154"/>
      <c r="Q1154"/>
    </row>
    <row r="1155" spans="1:17" hidden="1" x14ac:dyDescent="0.2">
      <c r="A1155" s="3">
        <v>45825</v>
      </c>
      <c r="B1155" s="2" t="s">
        <v>9</v>
      </c>
      <c r="C1155" s="2">
        <v>4</v>
      </c>
      <c r="D1155" s="2">
        <f t="shared" si="72"/>
        <v>2025</v>
      </c>
      <c r="E1155" s="2" t="str">
        <f t="shared" si="73"/>
        <v>2025-25</v>
      </c>
      <c r="F1155" s="2" t="str">
        <f t="shared" si="74"/>
        <v>Week 25</v>
      </c>
      <c r="G1155" s="2" t="str">
        <f t="shared" si="75"/>
        <v>Week 25-2025</v>
      </c>
      <c r="O1155"/>
      <c r="Q1155"/>
    </row>
    <row r="1156" spans="1:17" hidden="1" x14ac:dyDescent="0.2">
      <c r="A1156" s="3">
        <v>45825</v>
      </c>
      <c r="B1156" s="2" t="s">
        <v>3</v>
      </c>
      <c r="C1156" s="2">
        <v>4</v>
      </c>
      <c r="D1156" s="2">
        <f t="shared" si="72"/>
        <v>2025</v>
      </c>
      <c r="E1156" s="2" t="str">
        <f t="shared" si="73"/>
        <v>2025-25</v>
      </c>
      <c r="F1156" s="2" t="str">
        <f t="shared" si="74"/>
        <v>Week 25</v>
      </c>
      <c r="G1156" s="2" t="str">
        <f t="shared" si="75"/>
        <v>Week 25-2025</v>
      </c>
      <c r="O1156"/>
      <c r="Q1156"/>
    </row>
    <row r="1157" spans="1:17" hidden="1" x14ac:dyDescent="0.2">
      <c r="A1157" s="3">
        <v>45825</v>
      </c>
      <c r="B1157" s="2" t="s">
        <v>5</v>
      </c>
      <c r="C1157" s="2">
        <v>4</v>
      </c>
      <c r="D1157" s="2">
        <f t="shared" si="72"/>
        <v>2025</v>
      </c>
      <c r="E1157" s="2" t="str">
        <f t="shared" si="73"/>
        <v>2025-25</v>
      </c>
      <c r="F1157" s="2" t="str">
        <f t="shared" si="74"/>
        <v>Week 25</v>
      </c>
      <c r="G1157" s="2" t="str">
        <f t="shared" si="75"/>
        <v>Week 25-2025</v>
      </c>
      <c r="O1157"/>
      <c r="Q1157"/>
    </row>
    <row r="1158" spans="1:17" hidden="1" x14ac:dyDescent="0.2">
      <c r="A1158" s="3">
        <v>45825</v>
      </c>
      <c r="B1158" s="2" t="s">
        <v>18</v>
      </c>
      <c r="C1158" s="2">
        <v>2</v>
      </c>
      <c r="D1158" s="2">
        <f t="shared" si="72"/>
        <v>2025</v>
      </c>
      <c r="E1158" s="2" t="str">
        <f t="shared" si="73"/>
        <v>2025-25</v>
      </c>
      <c r="F1158" s="2" t="str">
        <f t="shared" si="74"/>
        <v>Week 25</v>
      </c>
      <c r="G1158" s="2" t="str">
        <f t="shared" si="75"/>
        <v>Week 25-2025</v>
      </c>
      <c r="O1158"/>
      <c r="Q1158"/>
    </row>
    <row r="1159" spans="1:17" hidden="1" x14ac:dyDescent="0.2">
      <c r="A1159" s="3">
        <v>45825</v>
      </c>
      <c r="B1159" s="2" t="s">
        <v>17</v>
      </c>
      <c r="C1159" s="2">
        <v>4</v>
      </c>
      <c r="D1159" s="2">
        <f t="shared" si="72"/>
        <v>2025</v>
      </c>
      <c r="E1159" s="2" t="str">
        <f t="shared" si="73"/>
        <v>2025-25</v>
      </c>
      <c r="F1159" s="2" t="str">
        <f t="shared" si="74"/>
        <v>Week 25</v>
      </c>
      <c r="G1159" s="2" t="str">
        <f t="shared" si="75"/>
        <v>Week 25-2025</v>
      </c>
      <c r="O1159"/>
      <c r="Q1159"/>
    </row>
    <row r="1160" spans="1:17" hidden="1" x14ac:dyDescent="0.2">
      <c r="A1160" s="3">
        <v>45825</v>
      </c>
      <c r="B1160" s="2" t="s">
        <v>29</v>
      </c>
      <c r="C1160" s="2">
        <v>3</v>
      </c>
      <c r="D1160" s="2">
        <f t="shared" si="72"/>
        <v>2025</v>
      </c>
      <c r="E1160" s="2" t="str">
        <f t="shared" si="73"/>
        <v>2025-25</v>
      </c>
      <c r="F1160" s="2" t="str">
        <f t="shared" si="74"/>
        <v>Week 25</v>
      </c>
      <c r="G1160" s="2" t="str">
        <f t="shared" si="75"/>
        <v>Week 25-2025</v>
      </c>
      <c r="O1160"/>
      <c r="Q1160"/>
    </row>
    <row r="1161" spans="1:17" hidden="1" x14ac:dyDescent="0.2">
      <c r="A1161" s="3">
        <v>45825</v>
      </c>
      <c r="B1161" s="2" t="s">
        <v>18</v>
      </c>
      <c r="C1161" s="2">
        <v>2</v>
      </c>
      <c r="D1161" s="2">
        <f t="shared" si="72"/>
        <v>2025</v>
      </c>
      <c r="E1161" s="2" t="str">
        <f t="shared" si="73"/>
        <v>2025-25</v>
      </c>
      <c r="F1161" s="2" t="str">
        <f t="shared" si="74"/>
        <v>Week 25</v>
      </c>
      <c r="G1161" s="2" t="str">
        <f t="shared" si="75"/>
        <v>Week 25-2025</v>
      </c>
      <c r="O1161"/>
      <c r="Q1161"/>
    </row>
    <row r="1162" spans="1:17" hidden="1" x14ac:dyDescent="0.2">
      <c r="A1162" s="3">
        <v>45825</v>
      </c>
      <c r="B1162" s="2" t="s">
        <v>34</v>
      </c>
      <c r="C1162" s="2">
        <v>4</v>
      </c>
      <c r="D1162" s="2">
        <f t="shared" si="72"/>
        <v>2025</v>
      </c>
      <c r="E1162" s="2" t="str">
        <f t="shared" si="73"/>
        <v>2025-25</v>
      </c>
      <c r="F1162" s="2" t="str">
        <f t="shared" si="74"/>
        <v>Week 25</v>
      </c>
      <c r="G1162" s="2" t="str">
        <f t="shared" si="75"/>
        <v>Week 25-2025</v>
      </c>
      <c r="O1162"/>
      <c r="Q1162"/>
    </row>
    <row r="1163" spans="1:17" hidden="1" x14ac:dyDescent="0.2">
      <c r="A1163" s="3">
        <v>45825</v>
      </c>
      <c r="B1163" s="2" t="s">
        <v>31</v>
      </c>
      <c r="C1163" s="2">
        <v>4</v>
      </c>
      <c r="D1163" s="2">
        <f t="shared" si="72"/>
        <v>2025</v>
      </c>
      <c r="E1163" s="2" t="str">
        <f t="shared" si="73"/>
        <v>2025-25</v>
      </c>
      <c r="F1163" s="2" t="str">
        <f t="shared" si="74"/>
        <v>Week 25</v>
      </c>
      <c r="G1163" s="2" t="str">
        <f t="shared" si="75"/>
        <v>Week 25-2025</v>
      </c>
      <c r="O1163"/>
      <c r="Q1163"/>
    </row>
    <row r="1164" spans="1:17" hidden="1" x14ac:dyDescent="0.2">
      <c r="A1164" s="3">
        <v>45825</v>
      </c>
      <c r="B1164" s="2" t="s">
        <v>9</v>
      </c>
      <c r="C1164" s="2">
        <v>2</v>
      </c>
      <c r="D1164" s="2">
        <f t="shared" si="72"/>
        <v>2025</v>
      </c>
      <c r="E1164" s="2" t="str">
        <f t="shared" si="73"/>
        <v>2025-25</v>
      </c>
      <c r="F1164" s="2" t="str">
        <f t="shared" si="74"/>
        <v>Week 25</v>
      </c>
      <c r="G1164" s="2" t="str">
        <f t="shared" si="75"/>
        <v>Week 25-2025</v>
      </c>
      <c r="O1164"/>
      <c r="Q1164"/>
    </row>
    <row r="1165" spans="1:17" hidden="1" x14ac:dyDescent="0.2">
      <c r="A1165" s="3">
        <v>45826</v>
      </c>
      <c r="B1165" s="2" t="s">
        <v>7</v>
      </c>
      <c r="C1165" s="2">
        <v>4</v>
      </c>
      <c r="D1165" s="2">
        <f t="shared" si="72"/>
        <v>2025</v>
      </c>
      <c r="E1165" s="2" t="str">
        <f t="shared" si="73"/>
        <v>2025-25</v>
      </c>
      <c r="F1165" s="2" t="str">
        <f t="shared" si="74"/>
        <v>Week 25</v>
      </c>
      <c r="G1165" s="2" t="str">
        <f t="shared" si="75"/>
        <v>Week 25-2025</v>
      </c>
      <c r="O1165"/>
      <c r="Q1165"/>
    </row>
    <row r="1166" spans="1:17" hidden="1" x14ac:dyDescent="0.2">
      <c r="A1166" s="3">
        <v>45826</v>
      </c>
      <c r="B1166" s="2" t="s">
        <v>18</v>
      </c>
      <c r="C1166" s="2">
        <v>2</v>
      </c>
      <c r="D1166" s="2">
        <f t="shared" si="72"/>
        <v>2025</v>
      </c>
      <c r="E1166" s="2" t="str">
        <f t="shared" si="73"/>
        <v>2025-25</v>
      </c>
      <c r="F1166" s="2" t="str">
        <f t="shared" si="74"/>
        <v>Week 25</v>
      </c>
      <c r="G1166" s="2" t="str">
        <f t="shared" si="75"/>
        <v>Week 25-2025</v>
      </c>
      <c r="O1166"/>
      <c r="Q1166"/>
    </row>
    <row r="1167" spans="1:17" hidden="1" x14ac:dyDescent="0.2">
      <c r="A1167" s="3">
        <v>45826</v>
      </c>
      <c r="B1167" s="2" t="s">
        <v>37</v>
      </c>
      <c r="C1167" s="2">
        <v>4</v>
      </c>
      <c r="D1167" s="2">
        <f t="shared" si="72"/>
        <v>2025</v>
      </c>
      <c r="E1167" s="2" t="str">
        <f t="shared" si="73"/>
        <v>2025-25</v>
      </c>
      <c r="F1167" s="2" t="str">
        <f t="shared" si="74"/>
        <v>Week 25</v>
      </c>
      <c r="G1167" s="2" t="str">
        <f t="shared" si="75"/>
        <v>Week 25-2025</v>
      </c>
      <c r="O1167"/>
      <c r="Q1167"/>
    </row>
    <row r="1168" spans="1:17" hidden="1" x14ac:dyDescent="0.2">
      <c r="A1168" s="3">
        <v>45826</v>
      </c>
      <c r="B1168" s="2" t="s">
        <v>9</v>
      </c>
      <c r="C1168" s="2">
        <v>2</v>
      </c>
      <c r="D1168" s="2">
        <f t="shared" si="72"/>
        <v>2025</v>
      </c>
      <c r="E1168" s="2" t="str">
        <f t="shared" si="73"/>
        <v>2025-25</v>
      </c>
      <c r="F1168" s="2" t="str">
        <f t="shared" si="74"/>
        <v>Week 25</v>
      </c>
      <c r="G1168" s="2" t="str">
        <f t="shared" si="75"/>
        <v>Week 25-2025</v>
      </c>
      <c r="O1168"/>
      <c r="Q1168"/>
    </row>
    <row r="1169" spans="1:17" hidden="1" x14ac:dyDescent="0.2">
      <c r="A1169" s="3">
        <v>45826</v>
      </c>
      <c r="B1169" s="2" t="s">
        <v>9</v>
      </c>
      <c r="C1169" s="2">
        <v>2</v>
      </c>
      <c r="D1169" s="2">
        <f t="shared" si="72"/>
        <v>2025</v>
      </c>
      <c r="E1169" s="2" t="str">
        <f t="shared" si="73"/>
        <v>2025-25</v>
      </c>
      <c r="F1169" s="2" t="str">
        <f t="shared" si="74"/>
        <v>Week 25</v>
      </c>
      <c r="G1169" s="2" t="str">
        <f t="shared" si="75"/>
        <v>Week 25-2025</v>
      </c>
      <c r="O1169"/>
      <c r="Q1169"/>
    </row>
    <row r="1170" spans="1:17" hidden="1" x14ac:dyDescent="0.2">
      <c r="A1170" s="3">
        <v>45827</v>
      </c>
      <c r="B1170" s="2" t="s">
        <v>9</v>
      </c>
      <c r="C1170" s="2">
        <v>34</v>
      </c>
      <c r="D1170" s="2">
        <f t="shared" si="72"/>
        <v>2025</v>
      </c>
      <c r="E1170" s="2" t="str">
        <f t="shared" si="73"/>
        <v>2025-25</v>
      </c>
      <c r="F1170" s="2" t="str">
        <f t="shared" si="74"/>
        <v>Week 25</v>
      </c>
      <c r="G1170" s="2" t="str">
        <f t="shared" si="75"/>
        <v>Week 25-2025</v>
      </c>
      <c r="O1170"/>
      <c r="Q1170"/>
    </row>
    <row r="1171" spans="1:17" hidden="1" x14ac:dyDescent="0.2">
      <c r="A1171" s="3">
        <v>45827</v>
      </c>
      <c r="B1171" s="2" t="s">
        <v>19</v>
      </c>
      <c r="C1171" s="2">
        <v>22</v>
      </c>
      <c r="D1171" s="2">
        <f t="shared" si="72"/>
        <v>2025</v>
      </c>
      <c r="E1171" s="2" t="str">
        <f t="shared" si="73"/>
        <v>2025-25</v>
      </c>
      <c r="F1171" s="2" t="str">
        <f t="shared" si="74"/>
        <v>Week 25</v>
      </c>
      <c r="G1171" s="2" t="str">
        <f t="shared" si="75"/>
        <v>Week 25-2025</v>
      </c>
      <c r="O1171"/>
      <c r="Q1171"/>
    </row>
    <row r="1172" spans="1:17" hidden="1" x14ac:dyDescent="0.2">
      <c r="A1172" s="3">
        <v>45827</v>
      </c>
      <c r="B1172" s="2" t="s">
        <v>3</v>
      </c>
      <c r="C1172" s="2">
        <v>28</v>
      </c>
      <c r="D1172" s="2">
        <f t="shared" si="72"/>
        <v>2025</v>
      </c>
      <c r="E1172" s="2" t="str">
        <f t="shared" si="73"/>
        <v>2025-25</v>
      </c>
      <c r="F1172" s="2" t="str">
        <f t="shared" si="74"/>
        <v>Week 25</v>
      </c>
      <c r="G1172" s="2" t="str">
        <f t="shared" si="75"/>
        <v>Week 25-2025</v>
      </c>
      <c r="O1172"/>
      <c r="Q1172"/>
    </row>
    <row r="1173" spans="1:17" hidden="1" x14ac:dyDescent="0.2">
      <c r="A1173" s="3">
        <v>45827</v>
      </c>
      <c r="B1173" s="2" t="s">
        <v>4</v>
      </c>
      <c r="C1173" s="2">
        <v>20</v>
      </c>
      <c r="D1173" s="2">
        <f t="shared" si="72"/>
        <v>2025</v>
      </c>
      <c r="E1173" s="2" t="str">
        <f t="shared" si="73"/>
        <v>2025-25</v>
      </c>
      <c r="F1173" s="2" t="str">
        <f t="shared" si="74"/>
        <v>Week 25</v>
      </c>
      <c r="G1173" s="2" t="str">
        <f t="shared" si="75"/>
        <v>Week 25-2025</v>
      </c>
      <c r="O1173"/>
      <c r="Q1173"/>
    </row>
    <row r="1174" spans="1:17" hidden="1" x14ac:dyDescent="0.2">
      <c r="A1174" s="3">
        <v>45827</v>
      </c>
      <c r="B1174" s="2" t="s">
        <v>4</v>
      </c>
      <c r="C1174" s="2">
        <v>18</v>
      </c>
      <c r="D1174" s="2">
        <f t="shared" si="72"/>
        <v>2025</v>
      </c>
      <c r="E1174" s="2" t="str">
        <f t="shared" si="73"/>
        <v>2025-25</v>
      </c>
      <c r="F1174" s="2" t="str">
        <f t="shared" si="74"/>
        <v>Week 25</v>
      </c>
      <c r="G1174" s="2" t="str">
        <f t="shared" si="75"/>
        <v>Week 25-2025</v>
      </c>
      <c r="O1174"/>
      <c r="Q1174"/>
    </row>
    <row r="1175" spans="1:17" hidden="1" x14ac:dyDescent="0.2">
      <c r="A1175" s="3">
        <v>45827</v>
      </c>
      <c r="B1175" s="2" t="s">
        <v>5</v>
      </c>
      <c r="C1175" s="2">
        <v>25</v>
      </c>
      <c r="D1175" s="2">
        <f t="shared" si="72"/>
        <v>2025</v>
      </c>
      <c r="E1175" s="2" t="str">
        <f t="shared" si="73"/>
        <v>2025-25</v>
      </c>
      <c r="F1175" s="2" t="str">
        <f t="shared" si="74"/>
        <v>Week 25</v>
      </c>
      <c r="G1175" s="2" t="str">
        <f t="shared" si="75"/>
        <v>Week 25-2025</v>
      </c>
      <c r="O1175"/>
      <c r="Q1175"/>
    </row>
    <row r="1176" spans="1:17" hidden="1" x14ac:dyDescent="0.2">
      <c r="A1176" s="3">
        <v>45827</v>
      </c>
      <c r="B1176" s="2" t="s">
        <v>3</v>
      </c>
      <c r="C1176" s="2">
        <v>20</v>
      </c>
      <c r="D1176" s="2">
        <f t="shared" si="72"/>
        <v>2025</v>
      </c>
      <c r="E1176" s="2" t="str">
        <f t="shared" si="73"/>
        <v>2025-25</v>
      </c>
      <c r="F1176" s="2" t="str">
        <f t="shared" si="74"/>
        <v>Week 25</v>
      </c>
      <c r="G1176" s="2" t="str">
        <f t="shared" si="75"/>
        <v>Week 25-2025</v>
      </c>
      <c r="O1176"/>
      <c r="Q1176"/>
    </row>
    <row r="1177" spans="1:17" hidden="1" x14ac:dyDescent="0.2">
      <c r="A1177" s="3">
        <v>45827</v>
      </c>
      <c r="B1177" s="2" t="s">
        <v>3</v>
      </c>
      <c r="C1177" s="2">
        <v>16</v>
      </c>
      <c r="D1177" s="2">
        <f t="shared" si="72"/>
        <v>2025</v>
      </c>
      <c r="E1177" s="2" t="str">
        <f t="shared" si="73"/>
        <v>2025-25</v>
      </c>
      <c r="F1177" s="2" t="str">
        <f t="shared" si="74"/>
        <v>Week 25</v>
      </c>
      <c r="G1177" s="2" t="str">
        <f t="shared" si="75"/>
        <v>Week 25-2025</v>
      </c>
      <c r="O1177"/>
      <c r="Q1177"/>
    </row>
    <row r="1178" spans="1:17" hidden="1" x14ac:dyDescent="0.2">
      <c r="A1178" s="3">
        <v>45827</v>
      </c>
      <c r="B1178" s="2" t="s">
        <v>5</v>
      </c>
      <c r="C1178" s="2">
        <v>18</v>
      </c>
      <c r="D1178" s="2">
        <f t="shared" si="72"/>
        <v>2025</v>
      </c>
      <c r="E1178" s="2" t="str">
        <f t="shared" si="73"/>
        <v>2025-25</v>
      </c>
      <c r="F1178" s="2" t="str">
        <f t="shared" si="74"/>
        <v>Week 25</v>
      </c>
      <c r="G1178" s="2" t="str">
        <f t="shared" si="75"/>
        <v>Week 25-2025</v>
      </c>
      <c r="O1178"/>
      <c r="Q1178"/>
    </row>
    <row r="1179" spans="1:17" hidden="1" x14ac:dyDescent="0.2">
      <c r="A1179" s="3">
        <v>45827</v>
      </c>
      <c r="B1179" s="2" t="s">
        <v>5</v>
      </c>
      <c r="C1179" s="2">
        <v>15</v>
      </c>
      <c r="D1179" s="2">
        <f t="shared" si="72"/>
        <v>2025</v>
      </c>
      <c r="E1179" s="2" t="str">
        <f t="shared" si="73"/>
        <v>2025-25</v>
      </c>
      <c r="F1179" s="2" t="str">
        <f t="shared" si="74"/>
        <v>Week 25</v>
      </c>
      <c r="G1179" s="2" t="str">
        <f t="shared" si="75"/>
        <v>Week 25-2025</v>
      </c>
      <c r="O1179"/>
      <c r="Q1179"/>
    </row>
    <row r="1180" spans="1:17" hidden="1" x14ac:dyDescent="0.2">
      <c r="A1180" s="3">
        <v>45827</v>
      </c>
      <c r="B1180" s="2" t="s">
        <v>6</v>
      </c>
      <c r="C1180" s="2">
        <v>8</v>
      </c>
      <c r="D1180" s="2">
        <f t="shared" si="72"/>
        <v>2025</v>
      </c>
      <c r="E1180" s="2" t="str">
        <f t="shared" si="73"/>
        <v>2025-25</v>
      </c>
      <c r="F1180" s="2" t="str">
        <f t="shared" si="74"/>
        <v>Week 25</v>
      </c>
      <c r="G1180" s="2" t="str">
        <f t="shared" si="75"/>
        <v>Week 25-2025</v>
      </c>
      <c r="O1180"/>
      <c r="Q1180"/>
    </row>
    <row r="1181" spans="1:17" hidden="1" x14ac:dyDescent="0.2">
      <c r="A1181" s="3">
        <v>45827</v>
      </c>
      <c r="B1181" s="2" t="s">
        <v>5</v>
      </c>
      <c r="C1181" s="2">
        <v>12</v>
      </c>
      <c r="D1181" s="2">
        <f t="shared" si="72"/>
        <v>2025</v>
      </c>
      <c r="E1181" s="2" t="str">
        <f t="shared" si="73"/>
        <v>2025-25</v>
      </c>
      <c r="F1181" s="2" t="str">
        <f t="shared" si="74"/>
        <v>Week 25</v>
      </c>
      <c r="G1181" s="2" t="str">
        <f t="shared" si="75"/>
        <v>Week 25-2025</v>
      </c>
      <c r="O1181"/>
      <c r="Q1181"/>
    </row>
    <row r="1182" spans="1:17" hidden="1" x14ac:dyDescent="0.2">
      <c r="A1182" s="3">
        <v>45827</v>
      </c>
      <c r="B1182" s="2" t="s">
        <v>7</v>
      </c>
      <c r="C1182" s="2">
        <v>8</v>
      </c>
      <c r="D1182" s="2">
        <f t="shared" si="72"/>
        <v>2025</v>
      </c>
      <c r="E1182" s="2" t="str">
        <f t="shared" si="73"/>
        <v>2025-25</v>
      </c>
      <c r="F1182" s="2" t="str">
        <f t="shared" si="74"/>
        <v>Week 25</v>
      </c>
      <c r="G1182" s="2" t="str">
        <f t="shared" si="75"/>
        <v>Week 25-2025</v>
      </c>
      <c r="O1182"/>
      <c r="Q1182"/>
    </row>
    <row r="1183" spans="1:17" hidden="1" x14ac:dyDescent="0.2">
      <c r="A1183" s="3">
        <v>45827</v>
      </c>
      <c r="B1183" s="2" t="s">
        <v>9</v>
      </c>
      <c r="C1183" s="2">
        <v>9</v>
      </c>
      <c r="D1183" s="2">
        <f t="shared" si="72"/>
        <v>2025</v>
      </c>
      <c r="E1183" s="2" t="str">
        <f t="shared" si="73"/>
        <v>2025-25</v>
      </c>
      <c r="F1183" s="2" t="str">
        <f t="shared" si="74"/>
        <v>Week 25</v>
      </c>
      <c r="G1183" s="2" t="str">
        <f t="shared" si="75"/>
        <v>Week 25-2025</v>
      </c>
      <c r="O1183"/>
      <c r="Q1183"/>
    </row>
    <row r="1184" spans="1:17" hidden="1" x14ac:dyDescent="0.2">
      <c r="A1184" s="3">
        <v>45827</v>
      </c>
      <c r="B1184" s="2" t="s">
        <v>14</v>
      </c>
      <c r="C1184" s="2">
        <v>12</v>
      </c>
      <c r="D1184" s="2">
        <f t="shared" si="72"/>
        <v>2025</v>
      </c>
      <c r="E1184" s="2" t="str">
        <f t="shared" si="73"/>
        <v>2025-25</v>
      </c>
      <c r="F1184" s="2" t="str">
        <f t="shared" si="74"/>
        <v>Week 25</v>
      </c>
      <c r="G1184" s="2" t="str">
        <f t="shared" si="75"/>
        <v>Week 25-2025</v>
      </c>
      <c r="O1184"/>
      <c r="Q1184"/>
    </row>
    <row r="1185" spans="1:17" hidden="1" x14ac:dyDescent="0.2">
      <c r="A1185" s="3">
        <v>45827</v>
      </c>
      <c r="B1185" s="2" t="s">
        <v>8</v>
      </c>
      <c r="C1185" s="2">
        <v>13</v>
      </c>
      <c r="D1185" s="2">
        <f t="shared" si="72"/>
        <v>2025</v>
      </c>
      <c r="E1185" s="2" t="str">
        <f t="shared" si="73"/>
        <v>2025-25</v>
      </c>
      <c r="F1185" s="2" t="str">
        <f t="shared" si="74"/>
        <v>Week 25</v>
      </c>
      <c r="G1185" s="2" t="str">
        <f t="shared" si="75"/>
        <v>Week 25-2025</v>
      </c>
      <c r="O1185"/>
      <c r="Q1185"/>
    </row>
    <row r="1186" spans="1:17" hidden="1" x14ac:dyDescent="0.2">
      <c r="A1186" s="3">
        <v>45827</v>
      </c>
      <c r="B1186" s="2" t="s">
        <v>8</v>
      </c>
      <c r="C1186" s="2">
        <v>11</v>
      </c>
      <c r="D1186" s="2">
        <f t="shared" si="72"/>
        <v>2025</v>
      </c>
      <c r="E1186" s="2" t="str">
        <f t="shared" si="73"/>
        <v>2025-25</v>
      </c>
      <c r="F1186" s="2" t="str">
        <f t="shared" si="74"/>
        <v>Week 25</v>
      </c>
      <c r="G1186" s="2" t="str">
        <f t="shared" si="75"/>
        <v>Week 25-2025</v>
      </c>
      <c r="O1186"/>
      <c r="Q1186"/>
    </row>
    <row r="1187" spans="1:17" hidden="1" x14ac:dyDescent="0.2">
      <c r="A1187" s="3">
        <v>45827</v>
      </c>
      <c r="B1187" s="2" t="s">
        <v>19</v>
      </c>
      <c r="C1187" s="2">
        <v>4</v>
      </c>
      <c r="D1187" s="2">
        <f t="shared" si="72"/>
        <v>2025</v>
      </c>
      <c r="E1187" s="2" t="str">
        <f t="shared" si="73"/>
        <v>2025-25</v>
      </c>
      <c r="F1187" s="2" t="str">
        <f t="shared" si="74"/>
        <v>Week 25</v>
      </c>
      <c r="G1187" s="2" t="str">
        <f t="shared" si="75"/>
        <v>Week 25-2025</v>
      </c>
      <c r="O1187"/>
      <c r="Q1187"/>
    </row>
    <row r="1188" spans="1:17" hidden="1" x14ac:dyDescent="0.2">
      <c r="A1188" s="3">
        <v>45827</v>
      </c>
      <c r="B1188" s="2" t="s">
        <v>7</v>
      </c>
      <c r="C1188" s="2">
        <v>4</v>
      </c>
      <c r="D1188" s="2">
        <f t="shared" si="72"/>
        <v>2025</v>
      </c>
      <c r="E1188" s="2" t="str">
        <f t="shared" si="73"/>
        <v>2025-25</v>
      </c>
      <c r="F1188" s="2" t="str">
        <f t="shared" si="74"/>
        <v>Week 25</v>
      </c>
      <c r="G1188" s="2" t="str">
        <f t="shared" si="75"/>
        <v>Week 25-2025</v>
      </c>
      <c r="O1188"/>
      <c r="Q1188"/>
    </row>
    <row r="1189" spans="1:17" hidden="1" x14ac:dyDescent="0.2">
      <c r="A1189" s="3">
        <v>45827</v>
      </c>
      <c r="B1189" s="2" t="s">
        <v>14</v>
      </c>
      <c r="C1189" s="2">
        <v>8</v>
      </c>
      <c r="D1189" s="2">
        <f t="shared" si="72"/>
        <v>2025</v>
      </c>
      <c r="E1189" s="2" t="str">
        <f t="shared" si="73"/>
        <v>2025-25</v>
      </c>
      <c r="F1189" s="2" t="str">
        <f t="shared" si="74"/>
        <v>Week 25</v>
      </c>
      <c r="G1189" s="2" t="str">
        <f t="shared" si="75"/>
        <v>Week 25-2025</v>
      </c>
      <c r="O1189"/>
      <c r="Q1189"/>
    </row>
    <row r="1190" spans="1:17" hidden="1" x14ac:dyDescent="0.2">
      <c r="A1190" s="3">
        <v>45827</v>
      </c>
      <c r="B1190" s="2" t="s">
        <v>17</v>
      </c>
      <c r="C1190" s="2">
        <v>6</v>
      </c>
      <c r="D1190" s="2">
        <f t="shared" si="72"/>
        <v>2025</v>
      </c>
      <c r="E1190" s="2" t="str">
        <f t="shared" si="73"/>
        <v>2025-25</v>
      </c>
      <c r="F1190" s="2" t="str">
        <f t="shared" si="74"/>
        <v>Week 25</v>
      </c>
      <c r="G1190" s="2" t="str">
        <f t="shared" si="75"/>
        <v>Week 25-2025</v>
      </c>
      <c r="O1190"/>
      <c r="Q1190"/>
    </row>
    <row r="1191" spans="1:17" hidden="1" x14ac:dyDescent="0.2">
      <c r="A1191" s="3">
        <v>45827</v>
      </c>
      <c r="B1191" s="2" t="s">
        <v>14</v>
      </c>
      <c r="C1191" s="2">
        <v>7</v>
      </c>
      <c r="D1191" s="2">
        <f t="shared" si="72"/>
        <v>2025</v>
      </c>
      <c r="E1191" s="2" t="str">
        <f t="shared" si="73"/>
        <v>2025-25</v>
      </c>
      <c r="F1191" s="2" t="str">
        <f t="shared" si="74"/>
        <v>Week 25</v>
      </c>
      <c r="G1191" s="2" t="str">
        <f t="shared" si="75"/>
        <v>Week 25-2025</v>
      </c>
      <c r="O1191"/>
      <c r="Q1191"/>
    </row>
    <row r="1192" spans="1:17" hidden="1" x14ac:dyDescent="0.2">
      <c r="A1192" s="3">
        <v>45827</v>
      </c>
      <c r="B1192" s="2" t="s">
        <v>28</v>
      </c>
      <c r="C1192" s="2">
        <v>8</v>
      </c>
      <c r="D1192" s="2">
        <f t="shared" si="72"/>
        <v>2025</v>
      </c>
      <c r="E1192" s="2" t="str">
        <f t="shared" si="73"/>
        <v>2025-25</v>
      </c>
      <c r="F1192" s="2" t="str">
        <f t="shared" si="74"/>
        <v>Week 25</v>
      </c>
      <c r="G1192" s="2" t="str">
        <f t="shared" si="75"/>
        <v>Week 25-2025</v>
      </c>
      <c r="O1192"/>
      <c r="Q1192"/>
    </row>
    <row r="1193" spans="1:17" hidden="1" x14ac:dyDescent="0.2">
      <c r="A1193" s="3">
        <v>45827</v>
      </c>
      <c r="B1193" s="2" t="s">
        <v>18</v>
      </c>
      <c r="C1193" s="2">
        <v>2</v>
      </c>
      <c r="D1193" s="2">
        <f t="shared" si="72"/>
        <v>2025</v>
      </c>
      <c r="E1193" s="2" t="str">
        <f t="shared" si="73"/>
        <v>2025-25</v>
      </c>
      <c r="F1193" s="2" t="str">
        <f t="shared" si="74"/>
        <v>Week 25</v>
      </c>
      <c r="G1193" s="2" t="str">
        <f t="shared" si="75"/>
        <v>Week 25-2025</v>
      </c>
      <c r="O1193"/>
      <c r="Q1193"/>
    </row>
    <row r="1194" spans="1:17" hidden="1" x14ac:dyDescent="0.2">
      <c r="A1194" s="3">
        <v>45827</v>
      </c>
      <c r="B1194" s="2" t="s">
        <v>10</v>
      </c>
      <c r="C1194" s="2">
        <v>4</v>
      </c>
      <c r="D1194" s="2">
        <f t="shared" si="72"/>
        <v>2025</v>
      </c>
      <c r="E1194" s="2" t="str">
        <f t="shared" si="73"/>
        <v>2025-25</v>
      </c>
      <c r="F1194" s="2" t="str">
        <f t="shared" si="74"/>
        <v>Week 25</v>
      </c>
      <c r="G1194" s="2" t="str">
        <f t="shared" si="75"/>
        <v>Week 25-2025</v>
      </c>
      <c r="O1194"/>
      <c r="Q1194"/>
    </row>
    <row r="1195" spans="1:17" hidden="1" x14ac:dyDescent="0.2">
      <c r="A1195" s="3">
        <v>45827</v>
      </c>
      <c r="B1195" s="2" t="s">
        <v>19</v>
      </c>
      <c r="C1195" s="2">
        <v>2</v>
      </c>
      <c r="D1195" s="2">
        <f t="shared" si="72"/>
        <v>2025</v>
      </c>
      <c r="E1195" s="2" t="str">
        <f t="shared" si="73"/>
        <v>2025-25</v>
      </c>
      <c r="F1195" s="2" t="str">
        <f t="shared" si="74"/>
        <v>Week 25</v>
      </c>
      <c r="G1195" s="2" t="str">
        <f t="shared" si="75"/>
        <v>Week 25-2025</v>
      </c>
      <c r="O1195"/>
      <c r="Q1195"/>
    </row>
    <row r="1196" spans="1:17" hidden="1" x14ac:dyDescent="0.2">
      <c r="A1196" s="3">
        <v>45827</v>
      </c>
      <c r="B1196" s="2" t="s">
        <v>19</v>
      </c>
      <c r="C1196" s="2">
        <v>2</v>
      </c>
      <c r="D1196" s="2">
        <f t="shared" si="72"/>
        <v>2025</v>
      </c>
      <c r="E1196" s="2" t="str">
        <f t="shared" si="73"/>
        <v>2025-25</v>
      </c>
      <c r="F1196" s="2" t="str">
        <f t="shared" si="74"/>
        <v>Week 25</v>
      </c>
      <c r="G1196" s="2" t="str">
        <f t="shared" si="75"/>
        <v>Week 25-2025</v>
      </c>
      <c r="O1196"/>
      <c r="Q1196"/>
    </row>
    <row r="1197" spans="1:17" hidden="1" x14ac:dyDescent="0.2">
      <c r="A1197" s="3">
        <v>45827</v>
      </c>
      <c r="B1197" s="2" t="s">
        <v>7</v>
      </c>
      <c r="C1197" s="2">
        <v>2</v>
      </c>
      <c r="D1197" s="2">
        <f t="shared" si="72"/>
        <v>2025</v>
      </c>
      <c r="E1197" s="2" t="str">
        <f t="shared" si="73"/>
        <v>2025-25</v>
      </c>
      <c r="F1197" s="2" t="str">
        <f t="shared" si="74"/>
        <v>Week 25</v>
      </c>
      <c r="G1197" s="2" t="str">
        <f t="shared" si="75"/>
        <v>Week 25-2025</v>
      </c>
      <c r="O1197"/>
      <c r="Q1197"/>
    </row>
    <row r="1198" spans="1:17" hidden="1" x14ac:dyDescent="0.2">
      <c r="A1198" s="3">
        <v>45827</v>
      </c>
      <c r="B1198" s="2" t="s">
        <v>10</v>
      </c>
      <c r="C1198" s="2">
        <v>3</v>
      </c>
      <c r="D1198" s="2">
        <f t="shared" si="72"/>
        <v>2025</v>
      </c>
      <c r="E1198" s="2" t="str">
        <f t="shared" si="73"/>
        <v>2025-25</v>
      </c>
      <c r="F1198" s="2" t="str">
        <f t="shared" si="74"/>
        <v>Week 25</v>
      </c>
      <c r="G1198" s="2" t="str">
        <f t="shared" si="75"/>
        <v>Week 25-2025</v>
      </c>
      <c r="O1198"/>
      <c r="Q1198"/>
    </row>
    <row r="1199" spans="1:17" hidden="1" x14ac:dyDescent="0.2">
      <c r="A1199" s="3">
        <v>45827</v>
      </c>
      <c r="B1199" s="2" t="s">
        <v>46</v>
      </c>
      <c r="C1199" s="2">
        <v>4</v>
      </c>
      <c r="D1199" s="2">
        <f t="shared" si="72"/>
        <v>2025</v>
      </c>
      <c r="E1199" s="2" t="str">
        <f t="shared" si="73"/>
        <v>2025-25</v>
      </c>
      <c r="F1199" s="2" t="str">
        <f t="shared" si="74"/>
        <v>Week 25</v>
      </c>
      <c r="G1199" s="2" t="str">
        <f t="shared" si="75"/>
        <v>Week 25-2025</v>
      </c>
      <c r="O1199"/>
      <c r="Q1199"/>
    </row>
    <row r="1200" spans="1:17" hidden="1" x14ac:dyDescent="0.2">
      <c r="A1200" s="3">
        <v>45827</v>
      </c>
      <c r="B1200" s="2" t="s">
        <v>3</v>
      </c>
      <c r="C1200" s="2">
        <v>2</v>
      </c>
      <c r="D1200" s="2">
        <f t="shared" si="72"/>
        <v>2025</v>
      </c>
      <c r="E1200" s="2" t="str">
        <f t="shared" si="73"/>
        <v>2025-25</v>
      </c>
      <c r="F1200" s="2" t="str">
        <f t="shared" si="74"/>
        <v>Week 25</v>
      </c>
      <c r="G1200" s="2" t="str">
        <f t="shared" si="75"/>
        <v>Week 25-2025</v>
      </c>
      <c r="O1200"/>
      <c r="Q1200"/>
    </row>
    <row r="1201" spans="1:17" hidden="1" x14ac:dyDescent="0.2">
      <c r="A1201" s="3">
        <v>45827</v>
      </c>
      <c r="B1201" s="2" t="s">
        <v>42</v>
      </c>
      <c r="C1201" s="2">
        <v>4</v>
      </c>
      <c r="D1201" s="2">
        <f t="shared" si="72"/>
        <v>2025</v>
      </c>
      <c r="E1201" s="2" t="str">
        <f t="shared" si="73"/>
        <v>2025-25</v>
      </c>
      <c r="F1201" s="2" t="str">
        <f t="shared" si="74"/>
        <v>Week 25</v>
      </c>
      <c r="G1201" s="2" t="str">
        <f t="shared" si="75"/>
        <v>Week 25-2025</v>
      </c>
      <c r="O1201"/>
      <c r="Q1201"/>
    </row>
    <row r="1202" spans="1:17" hidden="1" x14ac:dyDescent="0.2">
      <c r="A1202" s="3">
        <v>45827</v>
      </c>
      <c r="B1202" s="2" t="s">
        <v>13</v>
      </c>
      <c r="C1202" s="2">
        <v>2</v>
      </c>
      <c r="D1202" s="2">
        <f t="shared" si="72"/>
        <v>2025</v>
      </c>
      <c r="E1202" s="2" t="str">
        <f t="shared" si="73"/>
        <v>2025-25</v>
      </c>
      <c r="F1202" s="2" t="str">
        <f t="shared" si="74"/>
        <v>Week 25</v>
      </c>
      <c r="G1202" s="2" t="str">
        <f t="shared" si="75"/>
        <v>Week 25-2025</v>
      </c>
      <c r="O1202"/>
      <c r="Q1202"/>
    </row>
    <row r="1203" spans="1:17" hidden="1" x14ac:dyDescent="0.2">
      <c r="A1203" s="3">
        <v>45827</v>
      </c>
      <c r="B1203" s="2" t="s">
        <v>34</v>
      </c>
      <c r="C1203" s="2">
        <v>2</v>
      </c>
      <c r="D1203" s="2">
        <f t="shared" si="72"/>
        <v>2025</v>
      </c>
      <c r="E1203" s="2" t="str">
        <f t="shared" si="73"/>
        <v>2025-25</v>
      </c>
      <c r="F1203" s="2" t="str">
        <f t="shared" si="74"/>
        <v>Week 25</v>
      </c>
      <c r="G1203" s="2" t="str">
        <f t="shared" si="75"/>
        <v>Week 25-2025</v>
      </c>
      <c r="O1203"/>
      <c r="Q1203"/>
    </row>
    <row r="1204" spans="1:17" hidden="1" x14ac:dyDescent="0.2">
      <c r="A1204" s="3">
        <v>45827</v>
      </c>
      <c r="B1204" s="2" t="s">
        <v>38</v>
      </c>
      <c r="C1204" s="2">
        <v>2</v>
      </c>
      <c r="D1204" s="2">
        <f t="shared" si="72"/>
        <v>2025</v>
      </c>
      <c r="E1204" s="2" t="str">
        <f t="shared" si="73"/>
        <v>2025-25</v>
      </c>
      <c r="F1204" s="2" t="str">
        <f t="shared" si="74"/>
        <v>Week 25</v>
      </c>
      <c r="G1204" s="2" t="str">
        <f t="shared" si="75"/>
        <v>Week 25-2025</v>
      </c>
      <c r="O1204"/>
      <c r="Q1204"/>
    </row>
    <row r="1205" spans="1:17" hidden="1" x14ac:dyDescent="0.2">
      <c r="A1205" s="3">
        <v>45827</v>
      </c>
      <c r="B1205" s="2" t="s">
        <v>28</v>
      </c>
      <c r="C1205" s="2">
        <v>2</v>
      </c>
      <c r="D1205" s="2">
        <f t="shared" si="72"/>
        <v>2025</v>
      </c>
      <c r="E1205" s="2" t="str">
        <f t="shared" si="73"/>
        <v>2025-25</v>
      </c>
      <c r="F1205" s="2" t="str">
        <f t="shared" si="74"/>
        <v>Week 25</v>
      </c>
      <c r="G1205" s="2" t="str">
        <f t="shared" si="75"/>
        <v>Week 25-2025</v>
      </c>
      <c r="O1205"/>
      <c r="Q1205"/>
    </row>
    <row r="1206" spans="1:17" hidden="1" x14ac:dyDescent="0.2">
      <c r="A1206" s="3">
        <v>45827</v>
      </c>
      <c r="B1206" s="2" t="s">
        <v>10</v>
      </c>
      <c r="C1206" s="2">
        <v>1</v>
      </c>
      <c r="D1206" s="2">
        <f t="shared" si="72"/>
        <v>2025</v>
      </c>
      <c r="E1206" s="2" t="str">
        <f t="shared" si="73"/>
        <v>2025-25</v>
      </c>
      <c r="F1206" s="2" t="str">
        <f t="shared" si="74"/>
        <v>Week 25</v>
      </c>
      <c r="G1206" s="2" t="str">
        <f t="shared" si="75"/>
        <v>Week 25-2025</v>
      </c>
      <c r="O1206"/>
      <c r="Q1206"/>
    </row>
    <row r="1207" spans="1:17" hidden="1" x14ac:dyDescent="0.2">
      <c r="A1207" s="3">
        <v>45829</v>
      </c>
      <c r="B1207" s="2" t="s">
        <v>5</v>
      </c>
      <c r="C1207" s="2">
        <v>18</v>
      </c>
      <c r="D1207" s="2">
        <f t="shared" si="72"/>
        <v>2025</v>
      </c>
      <c r="E1207" s="2" t="str">
        <f t="shared" si="73"/>
        <v>2025-25</v>
      </c>
      <c r="F1207" s="2" t="str">
        <f t="shared" si="74"/>
        <v>Week 25</v>
      </c>
      <c r="G1207" s="2" t="str">
        <f t="shared" si="75"/>
        <v>Week 25-2025</v>
      </c>
      <c r="O1207"/>
      <c r="Q1207"/>
    </row>
    <row r="1208" spans="1:17" hidden="1" x14ac:dyDescent="0.2">
      <c r="A1208" s="3">
        <v>45829</v>
      </c>
      <c r="B1208" s="2" t="s">
        <v>7</v>
      </c>
      <c r="C1208" s="2">
        <v>8</v>
      </c>
      <c r="D1208" s="2">
        <f t="shared" si="72"/>
        <v>2025</v>
      </c>
      <c r="E1208" s="2" t="str">
        <f t="shared" si="73"/>
        <v>2025-25</v>
      </c>
      <c r="F1208" s="2" t="str">
        <f t="shared" si="74"/>
        <v>Week 25</v>
      </c>
      <c r="G1208" s="2" t="str">
        <f t="shared" si="75"/>
        <v>Week 25-2025</v>
      </c>
      <c r="O1208"/>
      <c r="Q1208"/>
    </row>
    <row r="1209" spans="1:17" hidden="1" x14ac:dyDescent="0.2">
      <c r="A1209" s="3">
        <v>45829</v>
      </c>
      <c r="B1209" s="2" t="s">
        <v>3</v>
      </c>
      <c r="C1209" s="2">
        <v>6</v>
      </c>
      <c r="D1209" s="2">
        <f t="shared" si="72"/>
        <v>2025</v>
      </c>
      <c r="E1209" s="2" t="str">
        <f t="shared" si="73"/>
        <v>2025-25</v>
      </c>
      <c r="F1209" s="2" t="str">
        <f t="shared" si="74"/>
        <v>Week 25</v>
      </c>
      <c r="G1209" s="2" t="str">
        <f t="shared" si="75"/>
        <v>Week 25-2025</v>
      </c>
      <c r="O1209"/>
      <c r="Q1209"/>
    </row>
    <row r="1210" spans="1:17" hidden="1" x14ac:dyDescent="0.2">
      <c r="A1210" s="3">
        <v>45829</v>
      </c>
      <c r="B1210" s="2" t="s">
        <v>4</v>
      </c>
      <c r="C1210" s="2">
        <v>4</v>
      </c>
      <c r="D1210" s="2">
        <f t="shared" si="72"/>
        <v>2025</v>
      </c>
      <c r="E1210" s="2" t="str">
        <f t="shared" si="73"/>
        <v>2025-25</v>
      </c>
      <c r="F1210" s="2" t="str">
        <f t="shared" si="74"/>
        <v>Week 25</v>
      </c>
      <c r="G1210" s="2" t="str">
        <f t="shared" si="75"/>
        <v>Week 25-2025</v>
      </c>
      <c r="O1210"/>
      <c r="Q1210"/>
    </row>
    <row r="1211" spans="1:17" hidden="1" x14ac:dyDescent="0.2">
      <c r="A1211" s="3">
        <v>45829</v>
      </c>
      <c r="B1211" s="2" t="s">
        <v>14</v>
      </c>
      <c r="C1211" s="2">
        <v>8</v>
      </c>
      <c r="D1211" s="2">
        <f t="shared" si="72"/>
        <v>2025</v>
      </c>
      <c r="E1211" s="2" t="str">
        <f t="shared" si="73"/>
        <v>2025-25</v>
      </c>
      <c r="F1211" s="2" t="str">
        <f t="shared" si="74"/>
        <v>Week 25</v>
      </c>
      <c r="G1211" s="2" t="str">
        <f t="shared" si="75"/>
        <v>Week 25-2025</v>
      </c>
      <c r="O1211"/>
      <c r="Q1211"/>
    </row>
    <row r="1212" spans="1:17" hidden="1" x14ac:dyDescent="0.2">
      <c r="A1212" s="3">
        <v>45829</v>
      </c>
      <c r="B1212" s="2" t="s">
        <v>19</v>
      </c>
      <c r="C1212" s="2">
        <v>3</v>
      </c>
      <c r="D1212" s="2">
        <f t="shared" si="72"/>
        <v>2025</v>
      </c>
      <c r="E1212" s="2" t="str">
        <f t="shared" si="73"/>
        <v>2025-25</v>
      </c>
      <c r="F1212" s="2" t="str">
        <f t="shared" si="74"/>
        <v>Week 25</v>
      </c>
      <c r="G1212" s="2" t="str">
        <f t="shared" si="75"/>
        <v>Week 25-2025</v>
      </c>
      <c r="O1212"/>
      <c r="Q1212"/>
    </row>
    <row r="1213" spans="1:17" hidden="1" x14ac:dyDescent="0.2">
      <c r="A1213" s="3">
        <v>45829</v>
      </c>
      <c r="B1213" s="2" t="s">
        <v>39</v>
      </c>
      <c r="C1213" s="2">
        <v>4</v>
      </c>
      <c r="D1213" s="2">
        <f t="shared" si="72"/>
        <v>2025</v>
      </c>
      <c r="E1213" s="2" t="str">
        <f t="shared" si="73"/>
        <v>2025-25</v>
      </c>
      <c r="F1213" s="2" t="str">
        <f t="shared" si="74"/>
        <v>Week 25</v>
      </c>
      <c r="G1213" s="2" t="str">
        <f t="shared" si="75"/>
        <v>Week 25-2025</v>
      </c>
      <c r="O1213"/>
      <c r="Q1213"/>
    </row>
    <row r="1214" spans="1:17" hidden="1" x14ac:dyDescent="0.2">
      <c r="A1214" s="3">
        <v>45829</v>
      </c>
      <c r="B1214" s="2" t="s">
        <v>29</v>
      </c>
      <c r="C1214" s="2">
        <v>3</v>
      </c>
      <c r="D1214" s="2">
        <f t="shared" si="72"/>
        <v>2025</v>
      </c>
      <c r="E1214" s="2" t="str">
        <f t="shared" si="73"/>
        <v>2025-25</v>
      </c>
      <c r="F1214" s="2" t="str">
        <f t="shared" si="74"/>
        <v>Week 25</v>
      </c>
      <c r="G1214" s="2" t="str">
        <f t="shared" si="75"/>
        <v>Week 25-2025</v>
      </c>
      <c r="O1214"/>
      <c r="Q1214"/>
    </row>
    <row r="1215" spans="1:17" hidden="1" x14ac:dyDescent="0.2">
      <c r="A1215" s="3">
        <v>45829</v>
      </c>
      <c r="B1215" s="2" t="s">
        <v>34</v>
      </c>
      <c r="C1215" s="2">
        <v>4</v>
      </c>
      <c r="D1215" s="2">
        <f t="shared" si="72"/>
        <v>2025</v>
      </c>
      <c r="E1215" s="2" t="str">
        <f t="shared" si="73"/>
        <v>2025-25</v>
      </c>
      <c r="F1215" s="2" t="str">
        <f t="shared" si="74"/>
        <v>Week 25</v>
      </c>
      <c r="G1215" s="2" t="str">
        <f t="shared" si="75"/>
        <v>Week 25-2025</v>
      </c>
      <c r="O1215"/>
      <c r="Q1215"/>
    </row>
    <row r="1216" spans="1:17" hidden="1" x14ac:dyDescent="0.2">
      <c r="A1216" s="3">
        <v>45829</v>
      </c>
      <c r="B1216" s="2" t="s">
        <v>5</v>
      </c>
      <c r="C1216" s="2">
        <v>2</v>
      </c>
      <c r="D1216" s="2">
        <f t="shared" si="72"/>
        <v>2025</v>
      </c>
      <c r="E1216" s="2" t="str">
        <f t="shared" si="73"/>
        <v>2025-25</v>
      </c>
      <c r="F1216" s="2" t="str">
        <f t="shared" si="74"/>
        <v>Week 25</v>
      </c>
      <c r="G1216" s="2" t="str">
        <f t="shared" si="75"/>
        <v>Week 25-2025</v>
      </c>
      <c r="O1216"/>
      <c r="Q1216"/>
    </row>
    <row r="1217" spans="1:17" hidden="1" x14ac:dyDescent="0.2">
      <c r="A1217" s="3">
        <v>45829</v>
      </c>
      <c r="B1217" s="2" t="s">
        <v>3</v>
      </c>
      <c r="C1217" s="2">
        <v>2</v>
      </c>
      <c r="D1217" s="2">
        <f t="shared" si="72"/>
        <v>2025</v>
      </c>
      <c r="E1217" s="2" t="str">
        <f t="shared" si="73"/>
        <v>2025-25</v>
      </c>
      <c r="F1217" s="2" t="str">
        <f t="shared" si="74"/>
        <v>Week 25</v>
      </c>
      <c r="G1217" s="2" t="str">
        <f t="shared" si="75"/>
        <v>Week 25-2025</v>
      </c>
      <c r="O1217"/>
      <c r="Q1217"/>
    </row>
    <row r="1218" spans="1:17" hidden="1" x14ac:dyDescent="0.2">
      <c r="A1218" s="3">
        <v>45830</v>
      </c>
      <c r="B1218" s="2" t="s">
        <v>5</v>
      </c>
      <c r="C1218" s="2">
        <v>35</v>
      </c>
      <c r="D1218" s="2">
        <f t="shared" ref="D1218:D1281" si="76">YEAR(A1218)</f>
        <v>2025</v>
      </c>
      <c r="E1218" s="2" t="str">
        <f t="shared" ref="E1218:E1281" si="77">YEAR(A1218)&amp;"-"&amp;_xlfn.ISOWEEKNUM(A1218)</f>
        <v>2025-25</v>
      </c>
      <c r="F1218" s="2" t="str">
        <f t="shared" ref="F1218:F1281" si="78">_xlfn.CONCAT("Week "&amp;WEEKNUM(A1218))</f>
        <v>Week 26</v>
      </c>
      <c r="G1218" s="2" t="str">
        <f t="shared" ref="G1218:G1281" si="79">_xlfn.CONCAT(F1218,"-",D1218)</f>
        <v>Week 26-2025</v>
      </c>
      <c r="O1218"/>
      <c r="Q1218"/>
    </row>
    <row r="1219" spans="1:17" hidden="1" x14ac:dyDescent="0.2">
      <c r="A1219" s="3">
        <v>45830</v>
      </c>
      <c r="B1219" s="2" t="s">
        <v>7</v>
      </c>
      <c r="C1219" s="2">
        <v>18</v>
      </c>
      <c r="D1219" s="2">
        <f t="shared" si="76"/>
        <v>2025</v>
      </c>
      <c r="E1219" s="2" t="str">
        <f t="shared" si="77"/>
        <v>2025-25</v>
      </c>
      <c r="F1219" s="2" t="str">
        <f t="shared" si="78"/>
        <v>Week 26</v>
      </c>
      <c r="G1219" s="2" t="str">
        <f t="shared" si="79"/>
        <v>Week 26-2025</v>
      </c>
      <c r="O1219"/>
      <c r="Q1219"/>
    </row>
    <row r="1220" spans="1:17" hidden="1" x14ac:dyDescent="0.2">
      <c r="A1220" s="3">
        <v>45830</v>
      </c>
      <c r="B1220" s="2" t="s">
        <v>5</v>
      </c>
      <c r="C1220" s="2">
        <v>20</v>
      </c>
      <c r="D1220" s="2">
        <f t="shared" si="76"/>
        <v>2025</v>
      </c>
      <c r="E1220" s="2" t="str">
        <f t="shared" si="77"/>
        <v>2025-25</v>
      </c>
      <c r="F1220" s="2" t="str">
        <f t="shared" si="78"/>
        <v>Week 26</v>
      </c>
      <c r="G1220" s="2" t="str">
        <f t="shared" si="79"/>
        <v>Week 26-2025</v>
      </c>
      <c r="O1220"/>
      <c r="Q1220"/>
    </row>
    <row r="1221" spans="1:17" hidden="1" x14ac:dyDescent="0.2">
      <c r="A1221" s="3">
        <v>45830</v>
      </c>
      <c r="B1221" s="2" t="s">
        <v>3</v>
      </c>
      <c r="C1221" s="2">
        <v>16</v>
      </c>
      <c r="D1221" s="2">
        <f t="shared" si="76"/>
        <v>2025</v>
      </c>
      <c r="E1221" s="2" t="str">
        <f t="shared" si="77"/>
        <v>2025-25</v>
      </c>
      <c r="F1221" s="2" t="str">
        <f t="shared" si="78"/>
        <v>Week 26</v>
      </c>
      <c r="G1221" s="2" t="str">
        <f t="shared" si="79"/>
        <v>Week 26-2025</v>
      </c>
      <c r="O1221"/>
      <c r="Q1221"/>
    </row>
    <row r="1222" spans="1:17" hidden="1" x14ac:dyDescent="0.2">
      <c r="A1222" s="3">
        <v>45830</v>
      </c>
      <c r="B1222" s="2" t="s">
        <v>3</v>
      </c>
      <c r="C1222" s="2">
        <v>14</v>
      </c>
      <c r="D1222" s="2">
        <f t="shared" si="76"/>
        <v>2025</v>
      </c>
      <c r="E1222" s="2" t="str">
        <f t="shared" si="77"/>
        <v>2025-25</v>
      </c>
      <c r="F1222" s="2" t="str">
        <f t="shared" si="78"/>
        <v>Week 26</v>
      </c>
      <c r="G1222" s="2" t="str">
        <f t="shared" si="79"/>
        <v>Week 26-2025</v>
      </c>
      <c r="O1222"/>
      <c r="Q1222"/>
    </row>
    <row r="1223" spans="1:17" hidden="1" x14ac:dyDescent="0.2">
      <c r="A1223" s="3">
        <v>45830</v>
      </c>
      <c r="B1223" s="2" t="s">
        <v>6</v>
      </c>
      <c r="C1223" s="2">
        <v>8</v>
      </c>
      <c r="D1223" s="2">
        <f t="shared" si="76"/>
        <v>2025</v>
      </c>
      <c r="E1223" s="2" t="str">
        <f t="shared" si="77"/>
        <v>2025-25</v>
      </c>
      <c r="F1223" s="2" t="str">
        <f t="shared" si="78"/>
        <v>Week 26</v>
      </c>
      <c r="G1223" s="2" t="str">
        <f t="shared" si="79"/>
        <v>Week 26-2025</v>
      </c>
      <c r="O1223"/>
      <c r="Q1223"/>
    </row>
    <row r="1224" spans="1:17" hidden="1" x14ac:dyDescent="0.2">
      <c r="A1224" s="3">
        <v>45830</v>
      </c>
      <c r="B1224" s="2" t="s">
        <v>3</v>
      </c>
      <c r="C1224" s="2">
        <v>12</v>
      </c>
      <c r="D1224" s="2">
        <f t="shared" si="76"/>
        <v>2025</v>
      </c>
      <c r="E1224" s="2" t="str">
        <f t="shared" si="77"/>
        <v>2025-25</v>
      </c>
      <c r="F1224" s="2" t="str">
        <f t="shared" si="78"/>
        <v>Week 26</v>
      </c>
      <c r="G1224" s="2" t="str">
        <f t="shared" si="79"/>
        <v>Week 26-2025</v>
      </c>
      <c r="O1224"/>
      <c r="Q1224"/>
    </row>
    <row r="1225" spans="1:17" hidden="1" x14ac:dyDescent="0.2">
      <c r="A1225" s="3">
        <v>45830</v>
      </c>
      <c r="B1225" s="2" t="s">
        <v>5</v>
      </c>
      <c r="C1225" s="2">
        <v>12</v>
      </c>
      <c r="D1225" s="2">
        <f t="shared" si="76"/>
        <v>2025</v>
      </c>
      <c r="E1225" s="2" t="str">
        <f t="shared" si="77"/>
        <v>2025-25</v>
      </c>
      <c r="F1225" s="2" t="str">
        <f t="shared" si="78"/>
        <v>Week 26</v>
      </c>
      <c r="G1225" s="2" t="str">
        <f t="shared" si="79"/>
        <v>Week 26-2025</v>
      </c>
      <c r="O1225"/>
      <c r="Q1225"/>
    </row>
    <row r="1226" spans="1:17" hidden="1" x14ac:dyDescent="0.2">
      <c r="A1226" s="3">
        <v>45830</v>
      </c>
      <c r="B1226" s="2" t="s">
        <v>14</v>
      </c>
      <c r="C1226" s="2">
        <v>16</v>
      </c>
      <c r="D1226" s="2">
        <f t="shared" si="76"/>
        <v>2025</v>
      </c>
      <c r="E1226" s="2" t="str">
        <f t="shared" si="77"/>
        <v>2025-25</v>
      </c>
      <c r="F1226" s="2" t="str">
        <f t="shared" si="78"/>
        <v>Week 26</v>
      </c>
      <c r="G1226" s="2" t="str">
        <f t="shared" si="79"/>
        <v>Week 26-2025</v>
      </c>
      <c r="O1226"/>
      <c r="Q1226"/>
    </row>
    <row r="1227" spans="1:17" hidden="1" x14ac:dyDescent="0.2">
      <c r="A1227" s="3">
        <v>45830</v>
      </c>
      <c r="B1227" s="2" t="s">
        <v>14</v>
      </c>
      <c r="C1227" s="2">
        <v>16</v>
      </c>
      <c r="D1227" s="2">
        <f t="shared" si="76"/>
        <v>2025</v>
      </c>
      <c r="E1227" s="2" t="str">
        <f t="shared" si="77"/>
        <v>2025-25</v>
      </c>
      <c r="F1227" s="2" t="str">
        <f t="shared" si="78"/>
        <v>Week 26</v>
      </c>
      <c r="G1227" s="2" t="str">
        <f t="shared" si="79"/>
        <v>Week 26-2025</v>
      </c>
      <c r="O1227"/>
      <c r="Q1227"/>
    </row>
    <row r="1228" spans="1:17" hidden="1" x14ac:dyDescent="0.2">
      <c r="A1228" s="3">
        <v>45830</v>
      </c>
      <c r="B1228" s="2" t="s">
        <v>4</v>
      </c>
      <c r="C1228" s="2">
        <v>8</v>
      </c>
      <c r="D1228" s="2">
        <f t="shared" si="76"/>
        <v>2025</v>
      </c>
      <c r="E1228" s="2" t="str">
        <f t="shared" si="77"/>
        <v>2025-25</v>
      </c>
      <c r="F1228" s="2" t="str">
        <f t="shared" si="78"/>
        <v>Week 26</v>
      </c>
      <c r="G1228" s="2" t="str">
        <f t="shared" si="79"/>
        <v>Week 26-2025</v>
      </c>
      <c r="O1228"/>
      <c r="Q1228"/>
    </row>
    <row r="1229" spans="1:17" hidden="1" x14ac:dyDescent="0.2">
      <c r="A1229" s="3">
        <v>45830</v>
      </c>
      <c r="B1229" s="2" t="s">
        <v>9</v>
      </c>
      <c r="C1229" s="2">
        <v>8</v>
      </c>
      <c r="D1229" s="2">
        <f t="shared" si="76"/>
        <v>2025</v>
      </c>
      <c r="E1229" s="2" t="str">
        <f t="shared" si="77"/>
        <v>2025-25</v>
      </c>
      <c r="F1229" s="2" t="str">
        <f t="shared" si="78"/>
        <v>Week 26</v>
      </c>
      <c r="G1229" s="2" t="str">
        <f t="shared" si="79"/>
        <v>Week 26-2025</v>
      </c>
      <c r="O1229"/>
      <c r="Q1229"/>
    </row>
    <row r="1230" spans="1:17" hidden="1" x14ac:dyDescent="0.2">
      <c r="A1230" s="3">
        <v>45830</v>
      </c>
      <c r="B1230" s="2" t="s">
        <v>3</v>
      </c>
      <c r="C1230" s="2">
        <v>8</v>
      </c>
      <c r="D1230" s="2">
        <f t="shared" si="76"/>
        <v>2025</v>
      </c>
      <c r="E1230" s="2" t="str">
        <f t="shared" si="77"/>
        <v>2025-25</v>
      </c>
      <c r="F1230" s="2" t="str">
        <f t="shared" si="78"/>
        <v>Week 26</v>
      </c>
      <c r="G1230" s="2" t="str">
        <f t="shared" si="79"/>
        <v>Week 26-2025</v>
      </c>
      <c r="O1230"/>
      <c r="Q1230"/>
    </row>
    <row r="1231" spans="1:17" hidden="1" x14ac:dyDescent="0.2">
      <c r="A1231" s="3">
        <v>45830</v>
      </c>
      <c r="B1231" s="2" t="s">
        <v>38</v>
      </c>
      <c r="C1231" s="2">
        <v>12</v>
      </c>
      <c r="D1231" s="2">
        <f t="shared" si="76"/>
        <v>2025</v>
      </c>
      <c r="E1231" s="2" t="str">
        <f t="shared" si="77"/>
        <v>2025-25</v>
      </c>
      <c r="F1231" s="2" t="str">
        <f t="shared" si="78"/>
        <v>Week 26</v>
      </c>
      <c r="G1231" s="2" t="str">
        <f t="shared" si="79"/>
        <v>Week 26-2025</v>
      </c>
      <c r="O1231"/>
      <c r="Q1231"/>
    </row>
    <row r="1232" spans="1:17" hidden="1" x14ac:dyDescent="0.2">
      <c r="A1232" s="3">
        <v>45830</v>
      </c>
      <c r="B1232" s="2" t="s">
        <v>7</v>
      </c>
      <c r="C1232" s="2">
        <v>6</v>
      </c>
      <c r="D1232" s="2">
        <f t="shared" si="76"/>
        <v>2025</v>
      </c>
      <c r="E1232" s="2" t="str">
        <f t="shared" si="77"/>
        <v>2025-25</v>
      </c>
      <c r="F1232" s="2" t="str">
        <f t="shared" si="78"/>
        <v>Week 26</v>
      </c>
      <c r="G1232" s="2" t="str">
        <f t="shared" si="79"/>
        <v>Week 26-2025</v>
      </c>
      <c r="O1232"/>
      <c r="Q1232"/>
    </row>
    <row r="1233" spans="1:17" hidden="1" x14ac:dyDescent="0.2">
      <c r="A1233" s="3">
        <v>45830</v>
      </c>
      <c r="B1233" s="2" t="s">
        <v>23</v>
      </c>
      <c r="C1233" s="2">
        <v>4</v>
      </c>
      <c r="D1233" s="2">
        <f t="shared" si="76"/>
        <v>2025</v>
      </c>
      <c r="E1233" s="2" t="str">
        <f t="shared" si="77"/>
        <v>2025-25</v>
      </c>
      <c r="F1233" s="2" t="str">
        <f t="shared" si="78"/>
        <v>Week 26</v>
      </c>
      <c r="G1233" s="2" t="str">
        <f t="shared" si="79"/>
        <v>Week 26-2025</v>
      </c>
      <c r="O1233"/>
      <c r="Q1233"/>
    </row>
    <row r="1234" spans="1:17" hidden="1" x14ac:dyDescent="0.2">
      <c r="A1234" s="3">
        <v>45830</v>
      </c>
      <c r="B1234" s="2" t="s">
        <v>6</v>
      </c>
      <c r="C1234" s="2">
        <v>4</v>
      </c>
      <c r="D1234" s="2">
        <f t="shared" si="76"/>
        <v>2025</v>
      </c>
      <c r="E1234" s="2" t="str">
        <f t="shared" si="77"/>
        <v>2025-25</v>
      </c>
      <c r="F1234" s="2" t="str">
        <f t="shared" si="78"/>
        <v>Week 26</v>
      </c>
      <c r="G1234" s="2" t="str">
        <f t="shared" si="79"/>
        <v>Week 26-2025</v>
      </c>
      <c r="O1234"/>
      <c r="Q1234"/>
    </row>
    <row r="1235" spans="1:17" hidden="1" x14ac:dyDescent="0.2">
      <c r="A1235" s="3">
        <v>45830</v>
      </c>
      <c r="B1235" s="2" t="s">
        <v>5</v>
      </c>
      <c r="C1235" s="2">
        <v>6</v>
      </c>
      <c r="D1235" s="2">
        <f t="shared" si="76"/>
        <v>2025</v>
      </c>
      <c r="E1235" s="2" t="str">
        <f t="shared" si="77"/>
        <v>2025-25</v>
      </c>
      <c r="F1235" s="2" t="str">
        <f t="shared" si="78"/>
        <v>Week 26</v>
      </c>
      <c r="G1235" s="2" t="str">
        <f t="shared" si="79"/>
        <v>Week 26-2025</v>
      </c>
      <c r="O1235"/>
      <c r="Q1235"/>
    </row>
    <row r="1236" spans="1:17" hidden="1" x14ac:dyDescent="0.2">
      <c r="A1236" s="3">
        <v>45830</v>
      </c>
      <c r="B1236" s="2" t="s">
        <v>19</v>
      </c>
      <c r="C1236" s="2">
        <v>3</v>
      </c>
      <c r="D1236" s="2">
        <f t="shared" si="76"/>
        <v>2025</v>
      </c>
      <c r="E1236" s="2" t="str">
        <f t="shared" si="77"/>
        <v>2025-25</v>
      </c>
      <c r="F1236" s="2" t="str">
        <f t="shared" si="78"/>
        <v>Week 26</v>
      </c>
      <c r="G1236" s="2" t="str">
        <f t="shared" si="79"/>
        <v>Week 26-2025</v>
      </c>
      <c r="O1236"/>
      <c r="Q1236"/>
    </row>
    <row r="1237" spans="1:17" hidden="1" x14ac:dyDescent="0.2">
      <c r="A1237" s="3">
        <v>45830</v>
      </c>
      <c r="B1237" s="2" t="s">
        <v>9</v>
      </c>
      <c r="C1237" s="2">
        <v>3</v>
      </c>
      <c r="D1237" s="2">
        <f t="shared" si="76"/>
        <v>2025</v>
      </c>
      <c r="E1237" s="2" t="str">
        <f t="shared" si="77"/>
        <v>2025-25</v>
      </c>
      <c r="F1237" s="2" t="str">
        <f t="shared" si="78"/>
        <v>Week 26</v>
      </c>
      <c r="G1237" s="2" t="str">
        <f t="shared" si="79"/>
        <v>Week 26-2025</v>
      </c>
      <c r="O1237"/>
      <c r="Q1237"/>
    </row>
    <row r="1238" spans="1:17" hidden="1" x14ac:dyDescent="0.2">
      <c r="A1238" s="3">
        <v>45830</v>
      </c>
      <c r="B1238" s="2" t="s">
        <v>10</v>
      </c>
      <c r="C1238" s="2">
        <v>4</v>
      </c>
      <c r="D1238" s="2">
        <f t="shared" si="76"/>
        <v>2025</v>
      </c>
      <c r="E1238" s="2" t="str">
        <f t="shared" si="77"/>
        <v>2025-25</v>
      </c>
      <c r="F1238" s="2" t="str">
        <f t="shared" si="78"/>
        <v>Week 26</v>
      </c>
      <c r="G1238" s="2" t="str">
        <f t="shared" si="79"/>
        <v>Week 26-2025</v>
      </c>
      <c r="O1238"/>
      <c r="Q1238"/>
    </row>
    <row r="1239" spans="1:17" hidden="1" x14ac:dyDescent="0.2">
      <c r="A1239" s="3">
        <v>45830</v>
      </c>
      <c r="B1239" s="2" t="s">
        <v>18</v>
      </c>
      <c r="C1239" s="2">
        <v>2</v>
      </c>
      <c r="D1239" s="2">
        <f t="shared" si="76"/>
        <v>2025</v>
      </c>
      <c r="E1239" s="2" t="str">
        <f t="shared" si="77"/>
        <v>2025-25</v>
      </c>
      <c r="F1239" s="2" t="str">
        <f t="shared" si="78"/>
        <v>Week 26</v>
      </c>
      <c r="G1239" s="2" t="str">
        <f t="shared" si="79"/>
        <v>Week 26-2025</v>
      </c>
      <c r="O1239"/>
      <c r="Q1239"/>
    </row>
    <row r="1240" spans="1:17" hidden="1" x14ac:dyDescent="0.2">
      <c r="A1240" s="3">
        <v>45830</v>
      </c>
      <c r="B1240" s="2" t="s">
        <v>14</v>
      </c>
      <c r="C1240" s="2">
        <v>4</v>
      </c>
      <c r="D1240" s="2">
        <f t="shared" si="76"/>
        <v>2025</v>
      </c>
      <c r="E1240" s="2" t="str">
        <f t="shared" si="77"/>
        <v>2025-25</v>
      </c>
      <c r="F1240" s="2" t="str">
        <f t="shared" si="78"/>
        <v>Week 26</v>
      </c>
      <c r="G1240" s="2" t="str">
        <f t="shared" si="79"/>
        <v>Week 26-2025</v>
      </c>
      <c r="O1240"/>
      <c r="Q1240"/>
    </row>
    <row r="1241" spans="1:17" hidden="1" x14ac:dyDescent="0.2">
      <c r="A1241" s="3">
        <v>45830</v>
      </c>
      <c r="B1241" s="2" t="s">
        <v>29</v>
      </c>
      <c r="C1241" s="2">
        <v>2</v>
      </c>
      <c r="D1241" s="2">
        <f t="shared" si="76"/>
        <v>2025</v>
      </c>
      <c r="E1241" s="2" t="str">
        <f t="shared" si="77"/>
        <v>2025-25</v>
      </c>
      <c r="F1241" s="2" t="str">
        <f t="shared" si="78"/>
        <v>Week 26</v>
      </c>
      <c r="G1241" s="2" t="str">
        <f t="shared" si="79"/>
        <v>Week 26-2025</v>
      </c>
      <c r="O1241"/>
      <c r="Q1241"/>
    </row>
    <row r="1242" spans="1:17" hidden="1" x14ac:dyDescent="0.2">
      <c r="A1242" s="3">
        <v>45830</v>
      </c>
      <c r="B1242" s="2" t="s">
        <v>12</v>
      </c>
      <c r="C1242" s="2">
        <v>1</v>
      </c>
      <c r="D1242" s="2">
        <f t="shared" si="76"/>
        <v>2025</v>
      </c>
      <c r="E1242" s="2" t="str">
        <f t="shared" si="77"/>
        <v>2025-25</v>
      </c>
      <c r="F1242" s="2" t="str">
        <f t="shared" si="78"/>
        <v>Week 26</v>
      </c>
      <c r="G1242" s="2" t="str">
        <f t="shared" si="79"/>
        <v>Week 26-2025</v>
      </c>
      <c r="O1242"/>
      <c r="Q1242"/>
    </row>
    <row r="1243" spans="1:17" hidden="1" x14ac:dyDescent="0.2">
      <c r="A1243" s="3">
        <v>45830</v>
      </c>
      <c r="B1243" s="2" t="s">
        <v>12</v>
      </c>
      <c r="C1243" s="2">
        <v>1</v>
      </c>
      <c r="D1243" s="2">
        <f t="shared" si="76"/>
        <v>2025</v>
      </c>
      <c r="E1243" s="2" t="str">
        <f t="shared" si="77"/>
        <v>2025-25</v>
      </c>
      <c r="F1243" s="2" t="str">
        <f t="shared" si="78"/>
        <v>Week 26</v>
      </c>
      <c r="G1243" s="2" t="str">
        <f t="shared" si="79"/>
        <v>Week 26-2025</v>
      </c>
      <c r="O1243"/>
      <c r="Q1243"/>
    </row>
    <row r="1244" spans="1:17" hidden="1" x14ac:dyDescent="0.2">
      <c r="A1244" s="3">
        <v>45830</v>
      </c>
      <c r="B1244" s="2" t="s">
        <v>17</v>
      </c>
      <c r="C1244" s="2">
        <v>2</v>
      </c>
      <c r="D1244" s="2">
        <f t="shared" si="76"/>
        <v>2025</v>
      </c>
      <c r="E1244" s="2" t="str">
        <f t="shared" si="77"/>
        <v>2025-25</v>
      </c>
      <c r="F1244" s="2" t="str">
        <f t="shared" si="78"/>
        <v>Week 26</v>
      </c>
      <c r="G1244" s="2" t="str">
        <f t="shared" si="79"/>
        <v>Week 26-2025</v>
      </c>
      <c r="O1244"/>
      <c r="Q1244"/>
    </row>
    <row r="1245" spans="1:17" hidden="1" x14ac:dyDescent="0.2">
      <c r="A1245" s="3">
        <v>45830</v>
      </c>
      <c r="B1245" s="2" t="s">
        <v>19</v>
      </c>
      <c r="C1245" s="2">
        <v>1</v>
      </c>
      <c r="D1245" s="2">
        <f t="shared" si="76"/>
        <v>2025</v>
      </c>
      <c r="E1245" s="2" t="str">
        <f t="shared" si="77"/>
        <v>2025-25</v>
      </c>
      <c r="F1245" s="2" t="str">
        <f t="shared" si="78"/>
        <v>Week 26</v>
      </c>
      <c r="G1245" s="2" t="str">
        <f t="shared" si="79"/>
        <v>Week 26-2025</v>
      </c>
      <c r="O1245"/>
      <c r="Q1245"/>
    </row>
    <row r="1246" spans="1:17" hidden="1" x14ac:dyDescent="0.2">
      <c r="A1246" s="3">
        <v>45830</v>
      </c>
      <c r="B1246" s="2" t="s">
        <v>27</v>
      </c>
      <c r="C1246" s="2">
        <v>2</v>
      </c>
      <c r="D1246" s="2">
        <f t="shared" si="76"/>
        <v>2025</v>
      </c>
      <c r="E1246" s="2" t="str">
        <f t="shared" si="77"/>
        <v>2025-25</v>
      </c>
      <c r="F1246" s="2" t="str">
        <f t="shared" si="78"/>
        <v>Week 26</v>
      </c>
      <c r="G1246" s="2" t="str">
        <f t="shared" si="79"/>
        <v>Week 26-2025</v>
      </c>
      <c r="O1246"/>
      <c r="Q1246"/>
    </row>
    <row r="1247" spans="1:17" hidden="1" x14ac:dyDescent="0.2">
      <c r="A1247" s="3">
        <v>45830</v>
      </c>
      <c r="B1247" s="2" t="s">
        <v>34</v>
      </c>
      <c r="C1247" s="2">
        <v>2</v>
      </c>
      <c r="D1247" s="2">
        <f t="shared" si="76"/>
        <v>2025</v>
      </c>
      <c r="E1247" s="2" t="str">
        <f t="shared" si="77"/>
        <v>2025-25</v>
      </c>
      <c r="F1247" s="2" t="str">
        <f t="shared" si="78"/>
        <v>Week 26</v>
      </c>
      <c r="G1247" s="2" t="str">
        <f t="shared" si="79"/>
        <v>Week 26-2025</v>
      </c>
      <c r="O1247"/>
      <c r="Q1247"/>
    </row>
    <row r="1248" spans="1:17" hidden="1" x14ac:dyDescent="0.2">
      <c r="A1248" s="3">
        <v>45831</v>
      </c>
      <c r="B1248" s="2" t="s">
        <v>5</v>
      </c>
      <c r="C1248" s="2">
        <v>50</v>
      </c>
      <c r="D1248" s="2">
        <f t="shared" si="76"/>
        <v>2025</v>
      </c>
      <c r="E1248" s="2" t="str">
        <f t="shared" si="77"/>
        <v>2025-26</v>
      </c>
      <c r="F1248" s="2" t="str">
        <f t="shared" si="78"/>
        <v>Week 26</v>
      </c>
      <c r="G1248" s="2" t="str">
        <f t="shared" si="79"/>
        <v>Week 26-2025</v>
      </c>
      <c r="O1248"/>
      <c r="Q1248"/>
    </row>
    <row r="1249" spans="1:17" hidden="1" x14ac:dyDescent="0.2">
      <c r="A1249" s="3">
        <v>45831</v>
      </c>
      <c r="B1249" s="2" t="s">
        <v>3</v>
      </c>
      <c r="C1249" s="2">
        <v>32</v>
      </c>
      <c r="D1249" s="2">
        <f t="shared" si="76"/>
        <v>2025</v>
      </c>
      <c r="E1249" s="2" t="str">
        <f t="shared" si="77"/>
        <v>2025-26</v>
      </c>
      <c r="F1249" s="2" t="str">
        <f t="shared" si="78"/>
        <v>Week 26</v>
      </c>
      <c r="G1249" s="2" t="str">
        <f t="shared" si="79"/>
        <v>Week 26-2025</v>
      </c>
      <c r="O1249"/>
      <c r="Q1249"/>
    </row>
    <row r="1250" spans="1:17" hidden="1" x14ac:dyDescent="0.2">
      <c r="A1250" s="3">
        <v>45831</v>
      </c>
      <c r="B1250" s="2" t="s">
        <v>14</v>
      </c>
      <c r="C1250" s="2">
        <v>30</v>
      </c>
      <c r="D1250" s="2">
        <f t="shared" si="76"/>
        <v>2025</v>
      </c>
      <c r="E1250" s="2" t="str">
        <f t="shared" si="77"/>
        <v>2025-26</v>
      </c>
      <c r="F1250" s="2" t="str">
        <f t="shared" si="78"/>
        <v>Week 26</v>
      </c>
      <c r="G1250" s="2" t="str">
        <f t="shared" si="79"/>
        <v>Week 26-2025</v>
      </c>
      <c r="O1250"/>
      <c r="Q1250"/>
    </row>
    <row r="1251" spans="1:17" hidden="1" x14ac:dyDescent="0.2">
      <c r="A1251" s="3">
        <v>45831</v>
      </c>
      <c r="B1251" s="2" t="s">
        <v>3</v>
      </c>
      <c r="C1251" s="2">
        <v>18</v>
      </c>
      <c r="D1251" s="2">
        <f t="shared" si="76"/>
        <v>2025</v>
      </c>
      <c r="E1251" s="2" t="str">
        <f t="shared" si="77"/>
        <v>2025-26</v>
      </c>
      <c r="F1251" s="2" t="str">
        <f t="shared" si="78"/>
        <v>Week 26</v>
      </c>
      <c r="G1251" s="2" t="str">
        <f t="shared" si="79"/>
        <v>Week 26-2025</v>
      </c>
      <c r="O1251"/>
      <c r="Q1251"/>
    </row>
    <row r="1252" spans="1:17" hidden="1" x14ac:dyDescent="0.2">
      <c r="A1252" s="3">
        <v>45831</v>
      </c>
      <c r="B1252" s="2" t="s">
        <v>19</v>
      </c>
      <c r="C1252" s="2">
        <v>10</v>
      </c>
      <c r="D1252" s="2">
        <f t="shared" si="76"/>
        <v>2025</v>
      </c>
      <c r="E1252" s="2" t="str">
        <f t="shared" si="77"/>
        <v>2025-26</v>
      </c>
      <c r="F1252" s="2" t="str">
        <f t="shared" si="78"/>
        <v>Week 26</v>
      </c>
      <c r="G1252" s="2" t="str">
        <f t="shared" si="79"/>
        <v>Week 26-2025</v>
      </c>
      <c r="O1252"/>
      <c r="Q1252"/>
    </row>
    <row r="1253" spans="1:17" hidden="1" x14ac:dyDescent="0.2">
      <c r="A1253" s="3">
        <v>45831</v>
      </c>
      <c r="B1253" s="2" t="s">
        <v>5</v>
      </c>
      <c r="C1253" s="2">
        <v>14</v>
      </c>
      <c r="D1253" s="2">
        <f t="shared" si="76"/>
        <v>2025</v>
      </c>
      <c r="E1253" s="2" t="str">
        <f t="shared" si="77"/>
        <v>2025-26</v>
      </c>
      <c r="F1253" s="2" t="str">
        <f t="shared" si="78"/>
        <v>Week 26</v>
      </c>
      <c r="G1253" s="2" t="str">
        <f t="shared" si="79"/>
        <v>Week 26-2025</v>
      </c>
      <c r="O1253"/>
      <c r="Q1253"/>
    </row>
    <row r="1254" spans="1:17" hidden="1" x14ac:dyDescent="0.2">
      <c r="A1254" s="3">
        <v>45831</v>
      </c>
      <c r="B1254" s="2" t="s">
        <v>8</v>
      </c>
      <c r="C1254" s="2">
        <v>20</v>
      </c>
      <c r="D1254" s="2">
        <f t="shared" si="76"/>
        <v>2025</v>
      </c>
      <c r="E1254" s="2" t="str">
        <f t="shared" si="77"/>
        <v>2025-26</v>
      </c>
      <c r="F1254" s="2" t="str">
        <f t="shared" si="78"/>
        <v>Week 26</v>
      </c>
      <c r="G1254" s="2" t="str">
        <f t="shared" si="79"/>
        <v>Week 26-2025</v>
      </c>
      <c r="O1254"/>
      <c r="Q1254"/>
    </row>
    <row r="1255" spans="1:17" hidden="1" x14ac:dyDescent="0.2">
      <c r="A1255" s="3">
        <v>45831</v>
      </c>
      <c r="B1255" s="2" t="s">
        <v>9</v>
      </c>
      <c r="C1255" s="2">
        <v>10</v>
      </c>
      <c r="D1255" s="2">
        <f t="shared" si="76"/>
        <v>2025</v>
      </c>
      <c r="E1255" s="2" t="str">
        <f t="shared" si="77"/>
        <v>2025-26</v>
      </c>
      <c r="F1255" s="2" t="str">
        <f t="shared" si="78"/>
        <v>Week 26</v>
      </c>
      <c r="G1255" s="2" t="str">
        <f t="shared" si="79"/>
        <v>Week 26-2025</v>
      </c>
      <c r="O1255"/>
      <c r="Q1255"/>
    </row>
    <row r="1256" spans="1:17" hidden="1" x14ac:dyDescent="0.2">
      <c r="A1256" s="3">
        <v>45831</v>
      </c>
      <c r="B1256" s="2" t="s">
        <v>4</v>
      </c>
      <c r="C1256" s="2">
        <v>6</v>
      </c>
      <c r="D1256" s="2">
        <f t="shared" si="76"/>
        <v>2025</v>
      </c>
      <c r="E1256" s="2" t="str">
        <f t="shared" si="77"/>
        <v>2025-26</v>
      </c>
      <c r="F1256" s="2" t="str">
        <f t="shared" si="78"/>
        <v>Week 26</v>
      </c>
      <c r="G1256" s="2" t="str">
        <f t="shared" si="79"/>
        <v>Week 26-2025</v>
      </c>
      <c r="O1256"/>
      <c r="Q1256"/>
    </row>
    <row r="1257" spans="1:17" hidden="1" x14ac:dyDescent="0.2">
      <c r="A1257" s="3">
        <v>45831</v>
      </c>
      <c r="B1257" s="2" t="s">
        <v>9</v>
      </c>
      <c r="C1257" s="2">
        <v>6</v>
      </c>
      <c r="D1257" s="2">
        <f t="shared" si="76"/>
        <v>2025</v>
      </c>
      <c r="E1257" s="2" t="str">
        <f t="shared" si="77"/>
        <v>2025-26</v>
      </c>
      <c r="F1257" s="2" t="str">
        <f t="shared" si="78"/>
        <v>Week 26</v>
      </c>
      <c r="G1257" s="2" t="str">
        <f t="shared" si="79"/>
        <v>Week 26-2025</v>
      </c>
      <c r="O1257"/>
      <c r="Q1257"/>
    </row>
    <row r="1258" spans="1:17" hidden="1" x14ac:dyDescent="0.2">
      <c r="A1258" s="3">
        <v>45831</v>
      </c>
      <c r="B1258" s="2" t="s">
        <v>6</v>
      </c>
      <c r="C1258" s="2">
        <v>4</v>
      </c>
      <c r="D1258" s="2">
        <f t="shared" si="76"/>
        <v>2025</v>
      </c>
      <c r="E1258" s="2" t="str">
        <f t="shared" si="77"/>
        <v>2025-26</v>
      </c>
      <c r="F1258" s="2" t="str">
        <f t="shared" si="78"/>
        <v>Week 26</v>
      </c>
      <c r="G1258" s="2" t="str">
        <f t="shared" si="79"/>
        <v>Week 26-2025</v>
      </c>
      <c r="O1258"/>
      <c r="Q1258"/>
    </row>
    <row r="1259" spans="1:17" hidden="1" x14ac:dyDescent="0.2">
      <c r="A1259" s="3">
        <v>45831</v>
      </c>
      <c r="B1259" s="2" t="s">
        <v>14</v>
      </c>
      <c r="C1259" s="2">
        <v>6</v>
      </c>
      <c r="D1259" s="2">
        <f t="shared" si="76"/>
        <v>2025</v>
      </c>
      <c r="E1259" s="2" t="str">
        <f t="shared" si="77"/>
        <v>2025-26</v>
      </c>
      <c r="F1259" s="2" t="str">
        <f t="shared" si="78"/>
        <v>Week 26</v>
      </c>
      <c r="G1259" s="2" t="str">
        <f t="shared" si="79"/>
        <v>Week 26-2025</v>
      </c>
      <c r="O1259"/>
      <c r="Q1259"/>
    </row>
    <row r="1260" spans="1:17" hidden="1" x14ac:dyDescent="0.2">
      <c r="A1260" s="3">
        <v>45831</v>
      </c>
      <c r="B1260" s="2" t="s">
        <v>29</v>
      </c>
      <c r="C1260" s="2">
        <v>4</v>
      </c>
      <c r="D1260" s="2">
        <f t="shared" si="76"/>
        <v>2025</v>
      </c>
      <c r="E1260" s="2" t="str">
        <f t="shared" si="77"/>
        <v>2025-26</v>
      </c>
      <c r="F1260" s="2" t="str">
        <f t="shared" si="78"/>
        <v>Week 26</v>
      </c>
      <c r="G1260" s="2" t="str">
        <f t="shared" si="79"/>
        <v>Week 26-2025</v>
      </c>
      <c r="O1260"/>
      <c r="Q1260"/>
    </row>
    <row r="1261" spans="1:17" hidden="1" x14ac:dyDescent="0.2">
      <c r="A1261" s="3">
        <v>45831</v>
      </c>
      <c r="B1261" s="2" t="s">
        <v>15</v>
      </c>
      <c r="C1261" s="2">
        <v>8</v>
      </c>
      <c r="D1261" s="2">
        <f t="shared" si="76"/>
        <v>2025</v>
      </c>
      <c r="E1261" s="2" t="str">
        <f t="shared" si="77"/>
        <v>2025-26</v>
      </c>
      <c r="F1261" s="2" t="str">
        <f t="shared" si="78"/>
        <v>Week 26</v>
      </c>
      <c r="G1261" s="2" t="str">
        <f t="shared" si="79"/>
        <v>Week 26-2025</v>
      </c>
      <c r="O1261"/>
      <c r="Q1261"/>
    </row>
    <row r="1262" spans="1:17" hidden="1" x14ac:dyDescent="0.2">
      <c r="A1262" s="3">
        <v>45831</v>
      </c>
      <c r="B1262" s="2" t="s">
        <v>10</v>
      </c>
      <c r="C1262" s="2">
        <v>4</v>
      </c>
      <c r="D1262" s="2">
        <f t="shared" si="76"/>
        <v>2025</v>
      </c>
      <c r="E1262" s="2" t="str">
        <f t="shared" si="77"/>
        <v>2025-26</v>
      </c>
      <c r="F1262" s="2" t="str">
        <f t="shared" si="78"/>
        <v>Week 26</v>
      </c>
      <c r="G1262" s="2" t="str">
        <f t="shared" si="79"/>
        <v>Week 26-2025</v>
      </c>
      <c r="O1262"/>
      <c r="Q1262"/>
    </row>
    <row r="1263" spans="1:17" hidden="1" x14ac:dyDescent="0.2">
      <c r="A1263" s="3">
        <v>45831</v>
      </c>
      <c r="B1263" s="2" t="s">
        <v>7</v>
      </c>
      <c r="C1263" s="2">
        <v>2</v>
      </c>
      <c r="D1263" s="2">
        <f t="shared" si="76"/>
        <v>2025</v>
      </c>
      <c r="E1263" s="2" t="str">
        <f t="shared" si="77"/>
        <v>2025-26</v>
      </c>
      <c r="F1263" s="2" t="str">
        <f t="shared" si="78"/>
        <v>Week 26</v>
      </c>
      <c r="G1263" s="2" t="str">
        <f t="shared" si="79"/>
        <v>Week 26-2025</v>
      </c>
      <c r="O1263"/>
      <c r="Q1263"/>
    </row>
    <row r="1264" spans="1:17" hidden="1" x14ac:dyDescent="0.2">
      <c r="A1264" s="3">
        <v>45831</v>
      </c>
      <c r="B1264" s="2" t="s">
        <v>14</v>
      </c>
      <c r="C1264" s="2">
        <v>4</v>
      </c>
      <c r="D1264" s="2">
        <f t="shared" si="76"/>
        <v>2025</v>
      </c>
      <c r="E1264" s="2" t="str">
        <f t="shared" si="77"/>
        <v>2025-26</v>
      </c>
      <c r="F1264" s="2" t="str">
        <f t="shared" si="78"/>
        <v>Week 26</v>
      </c>
      <c r="G1264" s="2" t="str">
        <f t="shared" si="79"/>
        <v>Week 26-2025</v>
      </c>
      <c r="O1264"/>
      <c r="Q1264"/>
    </row>
    <row r="1265" spans="1:17" hidden="1" x14ac:dyDescent="0.2">
      <c r="A1265" s="3">
        <v>45831</v>
      </c>
      <c r="B1265" s="2" t="s">
        <v>4</v>
      </c>
      <c r="C1265" s="2">
        <v>2</v>
      </c>
      <c r="D1265" s="2">
        <f t="shared" si="76"/>
        <v>2025</v>
      </c>
      <c r="E1265" s="2" t="str">
        <f t="shared" si="77"/>
        <v>2025-26</v>
      </c>
      <c r="F1265" s="2" t="str">
        <f t="shared" si="78"/>
        <v>Week 26</v>
      </c>
      <c r="G1265" s="2" t="str">
        <f t="shared" si="79"/>
        <v>Week 26-2025</v>
      </c>
      <c r="O1265"/>
      <c r="Q1265"/>
    </row>
    <row r="1266" spans="1:17" hidden="1" x14ac:dyDescent="0.2">
      <c r="A1266" s="3">
        <v>45831</v>
      </c>
      <c r="B1266" s="2" t="s">
        <v>15</v>
      </c>
      <c r="C1266" s="2">
        <v>6</v>
      </c>
      <c r="D1266" s="2">
        <f t="shared" si="76"/>
        <v>2025</v>
      </c>
      <c r="E1266" s="2" t="str">
        <f t="shared" si="77"/>
        <v>2025-26</v>
      </c>
      <c r="F1266" s="2" t="str">
        <f t="shared" si="78"/>
        <v>Week 26</v>
      </c>
      <c r="G1266" s="2" t="str">
        <f t="shared" si="79"/>
        <v>Week 26-2025</v>
      </c>
      <c r="O1266"/>
      <c r="Q1266"/>
    </row>
    <row r="1267" spans="1:17" hidden="1" x14ac:dyDescent="0.2">
      <c r="A1267" s="3">
        <v>45832</v>
      </c>
      <c r="B1267" s="2" t="s">
        <v>14</v>
      </c>
      <c r="C1267" s="2">
        <v>40</v>
      </c>
      <c r="D1267" s="2">
        <f t="shared" si="76"/>
        <v>2025</v>
      </c>
      <c r="E1267" s="2" t="str">
        <f t="shared" si="77"/>
        <v>2025-26</v>
      </c>
      <c r="F1267" s="2" t="str">
        <f t="shared" si="78"/>
        <v>Week 26</v>
      </c>
      <c r="G1267" s="2" t="str">
        <f t="shared" si="79"/>
        <v>Week 26-2025</v>
      </c>
      <c r="O1267"/>
      <c r="Q1267"/>
    </row>
    <row r="1268" spans="1:17" hidden="1" x14ac:dyDescent="0.2">
      <c r="A1268" s="3">
        <v>45832</v>
      </c>
      <c r="B1268" s="2" t="s">
        <v>5</v>
      </c>
      <c r="C1268" s="2">
        <v>22</v>
      </c>
      <c r="D1268" s="2">
        <f t="shared" si="76"/>
        <v>2025</v>
      </c>
      <c r="E1268" s="2" t="str">
        <f t="shared" si="77"/>
        <v>2025-26</v>
      </c>
      <c r="F1268" s="2" t="str">
        <f t="shared" si="78"/>
        <v>Week 26</v>
      </c>
      <c r="G1268" s="2" t="str">
        <f t="shared" si="79"/>
        <v>Week 26-2025</v>
      </c>
      <c r="O1268"/>
      <c r="Q1268"/>
    </row>
    <row r="1269" spans="1:17" hidden="1" x14ac:dyDescent="0.2">
      <c r="A1269" s="3">
        <v>45832</v>
      </c>
      <c r="B1269" s="2" t="s">
        <v>10</v>
      </c>
      <c r="C1269" s="2">
        <v>8</v>
      </c>
      <c r="D1269" s="2">
        <f t="shared" si="76"/>
        <v>2025</v>
      </c>
      <c r="E1269" s="2" t="str">
        <f t="shared" si="77"/>
        <v>2025-26</v>
      </c>
      <c r="F1269" s="2" t="str">
        <f t="shared" si="78"/>
        <v>Week 26</v>
      </c>
      <c r="G1269" s="2" t="str">
        <f t="shared" si="79"/>
        <v>Week 26-2025</v>
      </c>
      <c r="O1269"/>
      <c r="Q1269"/>
    </row>
    <row r="1270" spans="1:17" hidden="1" x14ac:dyDescent="0.2">
      <c r="A1270" s="3">
        <v>45832</v>
      </c>
      <c r="B1270" s="2" t="s">
        <v>17</v>
      </c>
      <c r="C1270" s="2">
        <v>4</v>
      </c>
      <c r="D1270" s="2">
        <f t="shared" si="76"/>
        <v>2025</v>
      </c>
      <c r="E1270" s="2" t="str">
        <f t="shared" si="77"/>
        <v>2025-26</v>
      </c>
      <c r="F1270" s="2" t="str">
        <f t="shared" si="78"/>
        <v>Week 26</v>
      </c>
      <c r="G1270" s="2" t="str">
        <f t="shared" si="79"/>
        <v>Week 26-2025</v>
      </c>
      <c r="O1270"/>
      <c r="Q1270"/>
    </row>
    <row r="1271" spans="1:17" hidden="1" x14ac:dyDescent="0.2">
      <c r="A1271" s="3">
        <v>45832</v>
      </c>
      <c r="B1271" s="2" t="s">
        <v>3</v>
      </c>
      <c r="C1271" s="2">
        <v>4</v>
      </c>
      <c r="D1271" s="2">
        <f t="shared" si="76"/>
        <v>2025</v>
      </c>
      <c r="E1271" s="2" t="str">
        <f t="shared" si="77"/>
        <v>2025-26</v>
      </c>
      <c r="F1271" s="2" t="str">
        <f t="shared" si="78"/>
        <v>Week 26</v>
      </c>
      <c r="G1271" s="2" t="str">
        <f t="shared" si="79"/>
        <v>Week 26-2025</v>
      </c>
      <c r="O1271"/>
      <c r="Q1271"/>
    </row>
    <row r="1272" spans="1:17" hidden="1" x14ac:dyDescent="0.2">
      <c r="A1272" s="3">
        <v>45832</v>
      </c>
      <c r="B1272" s="2" t="s">
        <v>14</v>
      </c>
      <c r="C1272" s="2">
        <v>4</v>
      </c>
      <c r="D1272" s="2">
        <f t="shared" si="76"/>
        <v>2025</v>
      </c>
      <c r="E1272" s="2" t="str">
        <f t="shared" si="77"/>
        <v>2025-26</v>
      </c>
      <c r="F1272" s="2" t="str">
        <f t="shared" si="78"/>
        <v>Week 26</v>
      </c>
      <c r="G1272" s="2" t="str">
        <f t="shared" si="79"/>
        <v>Week 26-2025</v>
      </c>
      <c r="O1272"/>
      <c r="Q1272"/>
    </row>
    <row r="1273" spans="1:17" hidden="1" x14ac:dyDescent="0.2">
      <c r="A1273" s="3">
        <v>45832</v>
      </c>
      <c r="B1273" s="2" t="s">
        <v>15</v>
      </c>
      <c r="C1273" s="2">
        <v>8</v>
      </c>
      <c r="D1273" s="2">
        <f t="shared" si="76"/>
        <v>2025</v>
      </c>
      <c r="E1273" s="2" t="str">
        <f t="shared" si="77"/>
        <v>2025-26</v>
      </c>
      <c r="F1273" s="2" t="str">
        <f t="shared" si="78"/>
        <v>Week 26</v>
      </c>
      <c r="G1273" s="2" t="str">
        <f t="shared" si="79"/>
        <v>Week 26-2025</v>
      </c>
      <c r="O1273"/>
      <c r="Q1273"/>
    </row>
    <row r="1274" spans="1:17" hidden="1" x14ac:dyDescent="0.2">
      <c r="A1274" s="3">
        <v>45832</v>
      </c>
      <c r="B1274" s="2" t="s">
        <v>27</v>
      </c>
      <c r="C1274" s="2">
        <v>6</v>
      </c>
      <c r="D1274" s="2">
        <f t="shared" si="76"/>
        <v>2025</v>
      </c>
      <c r="E1274" s="2" t="str">
        <f t="shared" si="77"/>
        <v>2025-26</v>
      </c>
      <c r="F1274" s="2" t="str">
        <f t="shared" si="78"/>
        <v>Week 26</v>
      </c>
      <c r="G1274" s="2" t="str">
        <f t="shared" si="79"/>
        <v>Week 26-2025</v>
      </c>
      <c r="O1274"/>
      <c r="Q1274"/>
    </row>
    <row r="1275" spans="1:17" hidden="1" x14ac:dyDescent="0.2">
      <c r="A1275" s="3">
        <v>45832</v>
      </c>
      <c r="B1275" s="2" t="s">
        <v>36</v>
      </c>
      <c r="C1275" s="2">
        <v>6</v>
      </c>
      <c r="D1275" s="2">
        <f t="shared" si="76"/>
        <v>2025</v>
      </c>
      <c r="E1275" s="2" t="str">
        <f t="shared" si="77"/>
        <v>2025-26</v>
      </c>
      <c r="F1275" s="2" t="str">
        <f t="shared" si="78"/>
        <v>Week 26</v>
      </c>
      <c r="G1275" s="2" t="str">
        <f t="shared" si="79"/>
        <v>Week 26-2025</v>
      </c>
      <c r="O1275"/>
      <c r="Q1275"/>
    </row>
    <row r="1276" spans="1:17" hidden="1" x14ac:dyDescent="0.2">
      <c r="A1276" s="3">
        <v>45833</v>
      </c>
      <c r="B1276" s="2" t="s">
        <v>5</v>
      </c>
      <c r="C1276" s="2">
        <v>18</v>
      </c>
      <c r="D1276" s="2">
        <f t="shared" si="76"/>
        <v>2025</v>
      </c>
      <c r="E1276" s="2" t="str">
        <f t="shared" si="77"/>
        <v>2025-26</v>
      </c>
      <c r="F1276" s="2" t="str">
        <f t="shared" si="78"/>
        <v>Week 26</v>
      </c>
      <c r="G1276" s="2" t="str">
        <f t="shared" si="79"/>
        <v>Week 26-2025</v>
      </c>
      <c r="O1276"/>
      <c r="Q1276"/>
    </row>
    <row r="1277" spans="1:17" hidden="1" x14ac:dyDescent="0.2">
      <c r="A1277" s="3">
        <v>45833</v>
      </c>
      <c r="B1277" s="2" t="s">
        <v>9</v>
      </c>
      <c r="C1277" s="2">
        <v>8</v>
      </c>
      <c r="D1277" s="2">
        <f t="shared" si="76"/>
        <v>2025</v>
      </c>
      <c r="E1277" s="2" t="str">
        <f t="shared" si="77"/>
        <v>2025-26</v>
      </c>
      <c r="F1277" s="2" t="str">
        <f t="shared" si="78"/>
        <v>Week 26</v>
      </c>
      <c r="G1277" s="2" t="str">
        <f t="shared" si="79"/>
        <v>Week 26-2025</v>
      </c>
      <c r="O1277"/>
      <c r="Q1277"/>
    </row>
    <row r="1278" spans="1:17" hidden="1" x14ac:dyDescent="0.2">
      <c r="A1278" s="3">
        <v>45833</v>
      </c>
      <c r="B1278" s="2" t="s">
        <v>3</v>
      </c>
      <c r="C1278" s="2">
        <v>8</v>
      </c>
      <c r="D1278" s="2">
        <f t="shared" si="76"/>
        <v>2025</v>
      </c>
      <c r="E1278" s="2" t="str">
        <f t="shared" si="77"/>
        <v>2025-26</v>
      </c>
      <c r="F1278" s="2" t="str">
        <f t="shared" si="78"/>
        <v>Week 26</v>
      </c>
      <c r="G1278" s="2" t="str">
        <f t="shared" si="79"/>
        <v>Week 26-2025</v>
      </c>
      <c r="O1278"/>
      <c r="Q1278"/>
    </row>
    <row r="1279" spans="1:17" hidden="1" x14ac:dyDescent="0.2">
      <c r="A1279" s="3">
        <v>45833</v>
      </c>
      <c r="B1279" s="2" t="s">
        <v>9</v>
      </c>
      <c r="C1279" s="2">
        <v>6</v>
      </c>
      <c r="D1279" s="2">
        <f t="shared" si="76"/>
        <v>2025</v>
      </c>
      <c r="E1279" s="2" t="str">
        <f t="shared" si="77"/>
        <v>2025-26</v>
      </c>
      <c r="F1279" s="2" t="str">
        <f t="shared" si="78"/>
        <v>Week 26</v>
      </c>
      <c r="G1279" s="2" t="str">
        <f t="shared" si="79"/>
        <v>Week 26-2025</v>
      </c>
      <c r="O1279"/>
      <c r="Q1279"/>
    </row>
    <row r="1280" spans="1:17" hidden="1" x14ac:dyDescent="0.2">
      <c r="A1280" s="3">
        <v>45833</v>
      </c>
      <c r="B1280" s="2" t="s">
        <v>28</v>
      </c>
      <c r="C1280" s="2">
        <v>10</v>
      </c>
      <c r="D1280" s="2">
        <f t="shared" si="76"/>
        <v>2025</v>
      </c>
      <c r="E1280" s="2" t="str">
        <f t="shared" si="77"/>
        <v>2025-26</v>
      </c>
      <c r="F1280" s="2" t="str">
        <f t="shared" si="78"/>
        <v>Week 26</v>
      </c>
      <c r="G1280" s="2" t="str">
        <f t="shared" si="79"/>
        <v>Week 26-2025</v>
      </c>
      <c r="O1280"/>
      <c r="Q1280"/>
    </row>
    <row r="1281" spans="1:17" hidden="1" x14ac:dyDescent="0.2">
      <c r="A1281" s="3">
        <v>45833</v>
      </c>
      <c r="B1281" s="2" t="s">
        <v>18</v>
      </c>
      <c r="C1281" s="2">
        <v>2</v>
      </c>
      <c r="D1281" s="2">
        <f t="shared" si="76"/>
        <v>2025</v>
      </c>
      <c r="E1281" s="2" t="str">
        <f t="shared" si="77"/>
        <v>2025-26</v>
      </c>
      <c r="F1281" s="2" t="str">
        <f t="shared" si="78"/>
        <v>Week 26</v>
      </c>
      <c r="G1281" s="2" t="str">
        <f t="shared" si="79"/>
        <v>Week 26-2025</v>
      </c>
      <c r="O1281"/>
      <c r="Q1281"/>
    </row>
    <row r="1282" spans="1:17" hidden="1" x14ac:dyDescent="0.2">
      <c r="A1282" s="3">
        <v>45833</v>
      </c>
      <c r="B1282" s="2" t="s">
        <v>6</v>
      </c>
      <c r="C1282" s="2">
        <v>2</v>
      </c>
      <c r="D1282" s="2">
        <f t="shared" ref="D1282:D1345" si="80">YEAR(A1282)</f>
        <v>2025</v>
      </c>
      <c r="E1282" s="2" t="str">
        <f t="shared" ref="E1282:E1345" si="81">YEAR(A1282)&amp;"-"&amp;_xlfn.ISOWEEKNUM(A1282)</f>
        <v>2025-26</v>
      </c>
      <c r="F1282" s="2" t="str">
        <f t="shared" ref="F1282:F1345" si="82">_xlfn.CONCAT("Week "&amp;WEEKNUM(A1282))</f>
        <v>Week 26</v>
      </c>
      <c r="G1282" s="2" t="str">
        <f t="shared" ref="G1282:G1345" si="83">_xlfn.CONCAT(F1282,"-",D1282)</f>
        <v>Week 26-2025</v>
      </c>
      <c r="O1282"/>
      <c r="Q1282"/>
    </row>
    <row r="1283" spans="1:17" hidden="1" x14ac:dyDescent="0.2">
      <c r="A1283" s="3">
        <v>45833</v>
      </c>
      <c r="B1283" s="2" t="s">
        <v>8</v>
      </c>
      <c r="C1283" s="2">
        <v>4</v>
      </c>
      <c r="D1283" s="2">
        <f t="shared" si="80"/>
        <v>2025</v>
      </c>
      <c r="E1283" s="2" t="str">
        <f t="shared" si="81"/>
        <v>2025-26</v>
      </c>
      <c r="F1283" s="2" t="str">
        <f t="shared" si="82"/>
        <v>Week 26</v>
      </c>
      <c r="G1283" s="2" t="str">
        <f t="shared" si="83"/>
        <v>Week 26-2025</v>
      </c>
      <c r="O1283"/>
      <c r="Q1283"/>
    </row>
    <row r="1284" spans="1:17" hidden="1" x14ac:dyDescent="0.2">
      <c r="A1284" s="3">
        <v>45833</v>
      </c>
      <c r="B1284" s="2" t="s">
        <v>14</v>
      </c>
      <c r="C1284" s="2">
        <v>2</v>
      </c>
      <c r="D1284" s="2">
        <f t="shared" si="80"/>
        <v>2025</v>
      </c>
      <c r="E1284" s="2" t="str">
        <f t="shared" si="81"/>
        <v>2025-26</v>
      </c>
      <c r="F1284" s="2" t="str">
        <f t="shared" si="82"/>
        <v>Week 26</v>
      </c>
      <c r="G1284" s="2" t="str">
        <f t="shared" si="83"/>
        <v>Week 26-2025</v>
      </c>
      <c r="O1284"/>
      <c r="Q1284"/>
    </row>
    <row r="1285" spans="1:17" hidden="1" x14ac:dyDescent="0.2">
      <c r="A1285" s="3">
        <v>45834</v>
      </c>
      <c r="B1285" s="2" t="s">
        <v>5</v>
      </c>
      <c r="C1285" s="2">
        <v>21</v>
      </c>
      <c r="D1285" s="2">
        <f t="shared" si="80"/>
        <v>2025</v>
      </c>
      <c r="E1285" s="2" t="str">
        <f t="shared" si="81"/>
        <v>2025-26</v>
      </c>
      <c r="F1285" s="2" t="str">
        <f t="shared" si="82"/>
        <v>Week 26</v>
      </c>
      <c r="G1285" s="2" t="str">
        <f t="shared" si="83"/>
        <v>Week 26-2025</v>
      </c>
      <c r="O1285"/>
      <c r="Q1285"/>
    </row>
    <row r="1286" spans="1:17" hidden="1" x14ac:dyDescent="0.2">
      <c r="A1286" s="3">
        <v>45834</v>
      </c>
      <c r="B1286" s="2" t="s">
        <v>9</v>
      </c>
      <c r="C1286" s="2">
        <v>10</v>
      </c>
      <c r="D1286" s="2">
        <f t="shared" si="80"/>
        <v>2025</v>
      </c>
      <c r="E1286" s="2" t="str">
        <f t="shared" si="81"/>
        <v>2025-26</v>
      </c>
      <c r="F1286" s="2" t="str">
        <f t="shared" si="82"/>
        <v>Week 26</v>
      </c>
      <c r="G1286" s="2" t="str">
        <f t="shared" si="83"/>
        <v>Week 26-2025</v>
      </c>
      <c r="O1286"/>
      <c r="Q1286"/>
    </row>
    <row r="1287" spans="1:17" hidden="1" x14ac:dyDescent="0.2">
      <c r="A1287" s="3">
        <v>45834</v>
      </c>
      <c r="B1287" s="2" t="s">
        <v>3</v>
      </c>
      <c r="C1287" s="2">
        <v>10</v>
      </c>
      <c r="D1287" s="2">
        <f t="shared" si="80"/>
        <v>2025</v>
      </c>
      <c r="E1287" s="2" t="str">
        <f t="shared" si="81"/>
        <v>2025-26</v>
      </c>
      <c r="F1287" s="2" t="str">
        <f t="shared" si="82"/>
        <v>Week 26</v>
      </c>
      <c r="G1287" s="2" t="str">
        <f t="shared" si="83"/>
        <v>Week 26-2025</v>
      </c>
      <c r="O1287"/>
      <c r="Q1287"/>
    </row>
    <row r="1288" spans="1:17" hidden="1" x14ac:dyDescent="0.2">
      <c r="A1288" s="3">
        <v>45834</v>
      </c>
      <c r="B1288" s="2" t="s">
        <v>4</v>
      </c>
      <c r="C1288" s="2">
        <v>8</v>
      </c>
      <c r="D1288" s="2">
        <f t="shared" si="80"/>
        <v>2025</v>
      </c>
      <c r="E1288" s="2" t="str">
        <f t="shared" si="81"/>
        <v>2025-26</v>
      </c>
      <c r="F1288" s="2" t="str">
        <f t="shared" si="82"/>
        <v>Week 26</v>
      </c>
      <c r="G1288" s="2" t="str">
        <f t="shared" si="83"/>
        <v>Week 26-2025</v>
      </c>
      <c r="O1288"/>
      <c r="Q1288"/>
    </row>
    <row r="1289" spans="1:17" hidden="1" x14ac:dyDescent="0.2">
      <c r="A1289" s="3">
        <v>45834</v>
      </c>
      <c r="B1289" s="2" t="s">
        <v>5</v>
      </c>
      <c r="C1289" s="2">
        <v>9</v>
      </c>
      <c r="D1289" s="2">
        <f t="shared" si="80"/>
        <v>2025</v>
      </c>
      <c r="E1289" s="2" t="str">
        <f t="shared" si="81"/>
        <v>2025-26</v>
      </c>
      <c r="F1289" s="2" t="str">
        <f t="shared" si="82"/>
        <v>Week 26</v>
      </c>
      <c r="G1289" s="2" t="str">
        <f t="shared" si="83"/>
        <v>Week 26-2025</v>
      </c>
      <c r="O1289"/>
      <c r="Q1289"/>
    </row>
    <row r="1290" spans="1:17" hidden="1" x14ac:dyDescent="0.2">
      <c r="A1290" s="3">
        <v>45834</v>
      </c>
      <c r="B1290" s="2" t="s">
        <v>19</v>
      </c>
      <c r="C1290" s="2">
        <v>2</v>
      </c>
      <c r="D1290" s="2">
        <f t="shared" si="80"/>
        <v>2025</v>
      </c>
      <c r="E1290" s="2" t="str">
        <f t="shared" si="81"/>
        <v>2025-26</v>
      </c>
      <c r="F1290" s="2" t="str">
        <f t="shared" si="82"/>
        <v>Week 26</v>
      </c>
      <c r="G1290" s="2" t="str">
        <f t="shared" si="83"/>
        <v>Week 26-2025</v>
      </c>
      <c r="O1290"/>
      <c r="Q1290"/>
    </row>
    <row r="1291" spans="1:17" hidden="1" x14ac:dyDescent="0.2">
      <c r="A1291" s="3">
        <v>45834</v>
      </c>
      <c r="B1291" s="2" t="s">
        <v>14</v>
      </c>
      <c r="C1291" s="2">
        <v>4</v>
      </c>
      <c r="D1291" s="2">
        <f t="shared" si="80"/>
        <v>2025</v>
      </c>
      <c r="E1291" s="2" t="str">
        <f t="shared" si="81"/>
        <v>2025-26</v>
      </c>
      <c r="F1291" s="2" t="str">
        <f t="shared" si="82"/>
        <v>Week 26</v>
      </c>
      <c r="G1291" s="2" t="str">
        <f t="shared" si="83"/>
        <v>Week 26-2025</v>
      </c>
      <c r="O1291"/>
      <c r="Q1291"/>
    </row>
    <row r="1292" spans="1:17" hidden="1" x14ac:dyDescent="0.2">
      <c r="A1292" s="3">
        <v>45835</v>
      </c>
      <c r="B1292" s="2" t="s">
        <v>5</v>
      </c>
      <c r="C1292" s="2">
        <v>62</v>
      </c>
      <c r="D1292" s="2">
        <f t="shared" si="80"/>
        <v>2025</v>
      </c>
      <c r="E1292" s="2" t="str">
        <f t="shared" si="81"/>
        <v>2025-26</v>
      </c>
      <c r="F1292" s="2" t="str">
        <f t="shared" si="82"/>
        <v>Week 26</v>
      </c>
      <c r="G1292" s="2" t="str">
        <f t="shared" si="83"/>
        <v>Week 26-2025</v>
      </c>
      <c r="O1292"/>
      <c r="Q1292"/>
    </row>
    <row r="1293" spans="1:17" hidden="1" x14ac:dyDescent="0.2">
      <c r="A1293" s="3">
        <v>45835</v>
      </c>
      <c r="B1293" s="2" t="s">
        <v>19</v>
      </c>
      <c r="C1293" s="2">
        <v>16</v>
      </c>
      <c r="D1293" s="2">
        <f t="shared" si="80"/>
        <v>2025</v>
      </c>
      <c r="E1293" s="2" t="str">
        <f t="shared" si="81"/>
        <v>2025-26</v>
      </c>
      <c r="F1293" s="2" t="str">
        <f t="shared" si="82"/>
        <v>Week 26</v>
      </c>
      <c r="G1293" s="2" t="str">
        <f t="shared" si="83"/>
        <v>Week 26-2025</v>
      </c>
      <c r="O1293"/>
      <c r="Q1293"/>
    </row>
    <row r="1294" spans="1:17" hidden="1" x14ac:dyDescent="0.2">
      <c r="A1294" s="3">
        <v>45835</v>
      </c>
      <c r="B1294" s="2" t="s">
        <v>9</v>
      </c>
      <c r="C1294" s="2">
        <v>11</v>
      </c>
      <c r="D1294" s="2">
        <f t="shared" si="80"/>
        <v>2025</v>
      </c>
      <c r="E1294" s="2" t="str">
        <f t="shared" si="81"/>
        <v>2025-26</v>
      </c>
      <c r="F1294" s="2" t="str">
        <f t="shared" si="82"/>
        <v>Week 26</v>
      </c>
      <c r="G1294" s="2" t="str">
        <f t="shared" si="83"/>
        <v>Week 26-2025</v>
      </c>
      <c r="O1294"/>
      <c r="Q1294"/>
    </row>
    <row r="1295" spans="1:17" hidden="1" x14ac:dyDescent="0.2">
      <c r="A1295" s="3">
        <v>45835</v>
      </c>
      <c r="B1295" s="2" t="s">
        <v>3</v>
      </c>
      <c r="C1295" s="2">
        <v>10</v>
      </c>
      <c r="D1295" s="2">
        <f t="shared" si="80"/>
        <v>2025</v>
      </c>
      <c r="E1295" s="2" t="str">
        <f t="shared" si="81"/>
        <v>2025-26</v>
      </c>
      <c r="F1295" s="2" t="str">
        <f t="shared" si="82"/>
        <v>Week 26</v>
      </c>
      <c r="G1295" s="2" t="str">
        <f t="shared" si="83"/>
        <v>Week 26-2025</v>
      </c>
      <c r="O1295"/>
      <c r="Q1295"/>
    </row>
    <row r="1296" spans="1:17" hidden="1" x14ac:dyDescent="0.2">
      <c r="A1296" s="3">
        <v>45835</v>
      </c>
      <c r="B1296" s="2" t="s">
        <v>4</v>
      </c>
      <c r="C1296" s="2">
        <v>8</v>
      </c>
      <c r="D1296" s="2">
        <f t="shared" si="80"/>
        <v>2025</v>
      </c>
      <c r="E1296" s="2" t="str">
        <f t="shared" si="81"/>
        <v>2025-26</v>
      </c>
      <c r="F1296" s="2" t="str">
        <f t="shared" si="82"/>
        <v>Week 26</v>
      </c>
      <c r="G1296" s="2" t="str">
        <f t="shared" si="83"/>
        <v>Week 26-2025</v>
      </c>
      <c r="O1296"/>
      <c r="Q1296"/>
    </row>
    <row r="1297" spans="1:17" hidden="1" x14ac:dyDescent="0.2">
      <c r="A1297" s="3">
        <v>45835</v>
      </c>
      <c r="B1297" s="2" t="s">
        <v>14</v>
      </c>
      <c r="C1297" s="2">
        <v>14</v>
      </c>
      <c r="D1297" s="2">
        <f t="shared" si="80"/>
        <v>2025</v>
      </c>
      <c r="E1297" s="2" t="str">
        <f t="shared" si="81"/>
        <v>2025-26</v>
      </c>
      <c r="F1297" s="2" t="str">
        <f t="shared" si="82"/>
        <v>Week 26</v>
      </c>
      <c r="G1297" s="2" t="str">
        <f t="shared" si="83"/>
        <v>Week 26-2025</v>
      </c>
      <c r="O1297"/>
      <c r="Q1297"/>
    </row>
    <row r="1298" spans="1:17" hidden="1" x14ac:dyDescent="0.2">
      <c r="A1298" s="3">
        <v>45835</v>
      </c>
      <c r="B1298" s="2" t="s">
        <v>19</v>
      </c>
      <c r="C1298" s="2">
        <v>5</v>
      </c>
      <c r="D1298" s="2">
        <f t="shared" si="80"/>
        <v>2025</v>
      </c>
      <c r="E1298" s="2" t="str">
        <f t="shared" si="81"/>
        <v>2025-26</v>
      </c>
      <c r="F1298" s="2" t="str">
        <f t="shared" si="82"/>
        <v>Week 26</v>
      </c>
      <c r="G1298" s="2" t="str">
        <f t="shared" si="83"/>
        <v>Week 26-2025</v>
      </c>
      <c r="O1298"/>
      <c r="Q1298"/>
    </row>
    <row r="1299" spans="1:17" hidden="1" x14ac:dyDescent="0.2">
      <c r="A1299" s="3">
        <v>45835</v>
      </c>
      <c r="B1299" s="2" t="s">
        <v>19</v>
      </c>
      <c r="C1299" s="2">
        <v>5</v>
      </c>
      <c r="D1299" s="2">
        <f t="shared" si="80"/>
        <v>2025</v>
      </c>
      <c r="E1299" s="2" t="str">
        <f t="shared" si="81"/>
        <v>2025-26</v>
      </c>
      <c r="F1299" s="2" t="str">
        <f t="shared" si="82"/>
        <v>Week 26</v>
      </c>
      <c r="G1299" s="2" t="str">
        <f t="shared" si="83"/>
        <v>Week 26-2025</v>
      </c>
      <c r="O1299"/>
      <c r="Q1299"/>
    </row>
    <row r="1300" spans="1:17" hidden="1" x14ac:dyDescent="0.2">
      <c r="A1300" s="3">
        <v>45835</v>
      </c>
      <c r="B1300" s="2" t="s">
        <v>9</v>
      </c>
      <c r="C1300" s="2">
        <v>4</v>
      </c>
      <c r="D1300" s="2">
        <f t="shared" si="80"/>
        <v>2025</v>
      </c>
      <c r="E1300" s="2" t="str">
        <f t="shared" si="81"/>
        <v>2025-26</v>
      </c>
      <c r="F1300" s="2" t="str">
        <f t="shared" si="82"/>
        <v>Week 26</v>
      </c>
      <c r="G1300" s="2" t="str">
        <f t="shared" si="83"/>
        <v>Week 26-2025</v>
      </c>
      <c r="O1300"/>
      <c r="Q1300"/>
    </row>
    <row r="1301" spans="1:17" hidden="1" x14ac:dyDescent="0.2">
      <c r="A1301" s="3">
        <v>45835</v>
      </c>
      <c r="B1301" s="2" t="s">
        <v>15</v>
      </c>
      <c r="C1301" s="2">
        <v>12</v>
      </c>
      <c r="D1301" s="2">
        <f t="shared" si="80"/>
        <v>2025</v>
      </c>
      <c r="E1301" s="2" t="str">
        <f t="shared" si="81"/>
        <v>2025-26</v>
      </c>
      <c r="F1301" s="2" t="str">
        <f t="shared" si="82"/>
        <v>Week 26</v>
      </c>
      <c r="G1301" s="2" t="str">
        <f t="shared" si="83"/>
        <v>Week 26-2025</v>
      </c>
      <c r="O1301"/>
      <c r="Q1301"/>
    </row>
    <row r="1302" spans="1:17" hidden="1" x14ac:dyDescent="0.2">
      <c r="A1302" s="3">
        <v>45835</v>
      </c>
      <c r="B1302" s="2" t="s">
        <v>29</v>
      </c>
      <c r="C1302" s="2">
        <v>4</v>
      </c>
      <c r="D1302" s="2">
        <f t="shared" si="80"/>
        <v>2025</v>
      </c>
      <c r="E1302" s="2" t="str">
        <f t="shared" si="81"/>
        <v>2025-26</v>
      </c>
      <c r="F1302" s="2" t="str">
        <f t="shared" si="82"/>
        <v>Week 26</v>
      </c>
      <c r="G1302" s="2" t="str">
        <f t="shared" si="83"/>
        <v>Week 26-2025</v>
      </c>
      <c r="O1302"/>
      <c r="Q1302"/>
    </row>
    <row r="1303" spans="1:17" hidden="1" x14ac:dyDescent="0.2">
      <c r="A1303" s="3">
        <v>45835</v>
      </c>
      <c r="B1303" s="2" t="s">
        <v>7</v>
      </c>
      <c r="C1303" s="2">
        <v>2</v>
      </c>
      <c r="D1303" s="2">
        <f t="shared" si="80"/>
        <v>2025</v>
      </c>
      <c r="E1303" s="2" t="str">
        <f t="shared" si="81"/>
        <v>2025-26</v>
      </c>
      <c r="F1303" s="2" t="str">
        <f t="shared" si="82"/>
        <v>Week 26</v>
      </c>
      <c r="G1303" s="2" t="str">
        <f t="shared" si="83"/>
        <v>Week 26-2025</v>
      </c>
      <c r="O1303"/>
      <c r="Q1303"/>
    </row>
    <row r="1304" spans="1:17" hidden="1" x14ac:dyDescent="0.2">
      <c r="A1304" s="3">
        <v>45835</v>
      </c>
      <c r="B1304" s="2" t="s">
        <v>9</v>
      </c>
      <c r="C1304" s="2">
        <v>1</v>
      </c>
      <c r="D1304" s="2">
        <f t="shared" si="80"/>
        <v>2025</v>
      </c>
      <c r="E1304" s="2" t="str">
        <f t="shared" si="81"/>
        <v>2025-26</v>
      </c>
      <c r="F1304" s="2" t="str">
        <f t="shared" si="82"/>
        <v>Week 26</v>
      </c>
      <c r="G1304" s="2" t="str">
        <f t="shared" si="83"/>
        <v>Week 26-2025</v>
      </c>
      <c r="O1304"/>
      <c r="Q1304"/>
    </row>
    <row r="1305" spans="1:17" hidden="1" x14ac:dyDescent="0.2">
      <c r="A1305" s="3">
        <v>45835</v>
      </c>
      <c r="B1305" s="2" t="s">
        <v>27</v>
      </c>
      <c r="C1305" s="2">
        <v>1</v>
      </c>
      <c r="D1305" s="2">
        <f t="shared" si="80"/>
        <v>2025</v>
      </c>
      <c r="E1305" s="2" t="str">
        <f t="shared" si="81"/>
        <v>2025-26</v>
      </c>
      <c r="F1305" s="2" t="str">
        <f t="shared" si="82"/>
        <v>Week 26</v>
      </c>
      <c r="G1305" s="2" t="str">
        <f t="shared" si="83"/>
        <v>Week 26-2025</v>
      </c>
      <c r="O1305"/>
      <c r="Q1305"/>
    </row>
    <row r="1306" spans="1:17" hidden="1" x14ac:dyDescent="0.2">
      <c r="A1306" s="3">
        <v>45836</v>
      </c>
      <c r="B1306" s="2" t="s">
        <v>5</v>
      </c>
      <c r="C1306" s="2">
        <v>48</v>
      </c>
      <c r="D1306" s="2">
        <f t="shared" si="80"/>
        <v>2025</v>
      </c>
      <c r="E1306" s="2" t="str">
        <f t="shared" si="81"/>
        <v>2025-26</v>
      </c>
      <c r="F1306" s="2" t="str">
        <f t="shared" si="82"/>
        <v>Week 26</v>
      </c>
      <c r="G1306" s="2" t="str">
        <f t="shared" si="83"/>
        <v>Week 26-2025</v>
      </c>
      <c r="O1306"/>
      <c r="Q1306"/>
    </row>
    <row r="1307" spans="1:17" hidden="1" x14ac:dyDescent="0.2">
      <c r="A1307" s="3">
        <v>45836</v>
      </c>
      <c r="B1307" s="2" t="s">
        <v>4</v>
      </c>
      <c r="C1307" s="2">
        <v>16</v>
      </c>
      <c r="D1307" s="2">
        <f t="shared" si="80"/>
        <v>2025</v>
      </c>
      <c r="E1307" s="2" t="str">
        <f t="shared" si="81"/>
        <v>2025-26</v>
      </c>
      <c r="F1307" s="2" t="str">
        <f t="shared" si="82"/>
        <v>Week 26</v>
      </c>
      <c r="G1307" s="2" t="str">
        <f t="shared" si="83"/>
        <v>Week 26-2025</v>
      </c>
      <c r="O1307"/>
      <c r="Q1307"/>
    </row>
    <row r="1308" spans="1:17" hidden="1" x14ac:dyDescent="0.2">
      <c r="A1308" s="3">
        <v>45836</v>
      </c>
      <c r="B1308" s="2" t="s">
        <v>7</v>
      </c>
      <c r="C1308" s="2">
        <v>8</v>
      </c>
      <c r="D1308" s="2">
        <f t="shared" si="80"/>
        <v>2025</v>
      </c>
      <c r="E1308" s="2" t="str">
        <f t="shared" si="81"/>
        <v>2025-26</v>
      </c>
      <c r="F1308" s="2" t="str">
        <f t="shared" si="82"/>
        <v>Week 26</v>
      </c>
      <c r="G1308" s="2" t="str">
        <f t="shared" si="83"/>
        <v>Week 26-2025</v>
      </c>
      <c r="O1308"/>
      <c r="Q1308"/>
    </row>
    <row r="1309" spans="1:17" hidden="1" x14ac:dyDescent="0.2">
      <c r="A1309" s="3">
        <v>45836</v>
      </c>
      <c r="B1309" s="2" t="s">
        <v>6</v>
      </c>
      <c r="C1309" s="2">
        <v>4</v>
      </c>
      <c r="D1309" s="2">
        <f t="shared" si="80"/>
        <v>2025</v>
      </c>
      <c r="E1309" s="2" t="str">
        <f t="shared" si="81"/>
        <v>2025-26</v>
      </c>
      <c r="F1309" s="2" t="str">
        <f t="shared" si="82"/>
        <v>Week 26</v>
      </c>
      <c r="G1309" s="2" t="str">
        <f t="shared" si="83"/>
        <v>Week 26-2025</v>
      </c>
      <c r="O1309"/>
      <c r="Q1309"/>
    </row>
    <row r="1310" spans="1:17" hidden="1" x14ac:dyDescent="0.2">
      <c r="A1310" s="3">
        <v>45836</v>
      </c>
      <c r="B1310" s="2" t="s">
        <v>9</v>
      </c>
      <c r="C1310" s="2">
        <v>6</v>
      </c>
      <c r="D1310" s="2">
        <f t="shared" si="80"/>
        <v>2025</v>
      </c>
      <c r="E1310" s="2" t="str">
        <f t="shared" si="81"/>
        <v>2025-26</v>
      </c>
      <c r="F1310" s="2" t="str">
        <f t="shared" si="82"/>
        <v>Week 26</v>
      </c>
      <c r="G1310" s="2" t="str">
        <f t="shared" si="83"/>
        <v>Week 26-2025</v>
      </c>
      <c r="O1310"/>
      <c r="Q1310"/>
    </row>
    <row r="1311" spans="1:17" hidden="1" x14ac:dyDescent="0.2">
      <c r="A1311" s="3">
        <v>45836</v>
      </c>
      <c r="B1311" s="2" t="s">
        <v>5</v>
      </c>
      <c r="C1311" s="2">
        <v>5</v>
      </c>
      <c r="D1311" s="2">
        <f t="shared" si="80"/>
        <v>2025</v>
      </c>
      <c r="E1311" s="2" t="str">
        <f t="shared" si="81"/>
        <v>2025-26</v>
      </c>
      <c r="F1311" s="2" t="str">
        <f t="shared" si="82"/>
        <v>Week 26</v>
      </c>
      <c r="G1311" s="2" t="str">
        <f t="shared" si="83"/>
        <v>Week 26-2025</v>
      </c>
      <c r="O1311"/>
      <c r="Q1311"/>
    </row>
    <row r="1312" spans="1:17" hidden="1" x14ac:dyDescent="0.2">
      <c r="A1312" s="3">
        <v>45836</v>
      </c>
      <c r="B1312" s="2" t="s">
        <v>14</v>
      </c>
      <c r="C1312" s="2">
        <v>10</v>
      </c>
      <c r="D1312" s="2">
        <f t="shared" si="80"/>
        <v>2025</v>
      </c>
      <c r="E1312" s="2" t="str">
        <f t="shared" si="81"/>
        <v>2025-26</v>
      </c>
      <c r="F1312" s="2" t="str">
        <f t="shared" si="82"/>
        <v>Week 26</v>
      </c>
      <c r="G1312" s="2" t="str">
        <f t="shared" si="83"/>
        <v>Week 26-2025</v>
      </c>
      <c r="O1312"/>
      <c r="Q1312"/>
    </row>
    <row r="1313" spans="1:17" hidden="1" x14ac:dyDescent="0.2">
      <c r="A1313" s="3">
        <v>45836</v>
      </c>
      <c r="B1313" s="2" t="s">
        <v>3</v>
      </c>
      <c r="C1313" s="2">
        <v>6</v>
      </c>
      <c r="D1313" s="2">
        <f t="shared" si="80"/>
        <v>2025</v>
      </c>
      <c r="E1313" s="2" t="str">
        <f t="shared" si="81"/>
        <v>2025-26</v>
      </c>
      <c r="F1313" s="2" t="str">
        <f t="shared" si="82"/>
        <v>Week 26</v>
      </c>
      <c r="G1313" s="2" t="str">
        <f t="shared" si="83"/>
        <v>Week 26-2025</v>
      </c>
      <c r="O1313"/>
      <c r="Q1313"/>
    </row>
    <row r="1314" spans="1:17" hidden="1" x14ac:dyDescent="0.2">
      <c r="A1314" s="3">
        <v>45836</v>
      </c>
      <c r="B1314" s="2" t="s">
        <v>8</v>
      </c>
      <c r="C1314" s="2">
        <v>2</v>
      </c>
      <c r="D1314" s="2">
        <f t="shared" si="80"/>
        <v>2025</v>
      </c>
      <c r="E1314" s="2" t="str">
        <f t="shared" si="81"/>
        <v>2025-26</v>
      </c>
      <c r="F1314" s="2" t="str">
        <f t="shared" si="82"/>
        <v>Week 26</v>
      </c>
      <c r="G1314" s="2" t="str">
        <f t="shared" si="83"/>
        <v>Week 26-2025</v>
      </c>
      <c r="O1314"/>
      <c r="Q1314"/>
    </row>
    <row r="1315" spans="1:17" hidden="1" x14ac:dyDescent="0.2">
      <c r="A1315" s="3">
        <v>45837</v>
      </c>
      <c r="B1315" s="2" t="s">
        <v>9</v>
      </c>
      <c r="C1315" s="2">
        <v>18</v>
      </c>
      <c r="D1315" s="2">
        <f t="shared" si="80"/>
        <v>2025</v>
      </c>
      <c r="E1315" s="2" t="str">
        <f t="shared" si="81"/>
        <v>2025-26</v>
      </c>
      <c r="F1315" s="2" t="str">
        <f t="shared" si="82"/>
        <v>Week 27</v>
      </c>
      <c r="G1315" s="2" t="str">
        <f t="shared" si="83"/>
        <v>Week 27-2025</v>
      </c>
      <c r="O1315"/>
      <c r="Q1315"/>
    </row>
    <row r="1316" spans="1:17" hidden="1" x14ac:dyDescent="0.2">
      <c r="A1316" s="3">
        <v>45837</v>
      </c>
      <c r="B1316" s="2" t="s">
        <v>5</v>
      </c>
      <c r="C1316" s="2">
        <v>8</v>
      </c>
      <c r="D1316" s="2">
        <f t="shared" si="80"/>
        <v>2025</v>
      </c>
      <c r="E1316" s="2" t="str">
        <f t="shared" si="81"/>
        <v>2025-26</v>
      </c>
      <c r="F1316" s="2" t="str">
        <f t="shared" si="82"/>
        <v>Week 27</v>
      </c>
      <c r="G1316" s="2" t="str">
        <f t="shared" si="83"/>
        <v>Week 27-2025</v>
      </c>
      <c r="O1316"/>
      <c r="Q1316"/>
    </row>
    <row r="1317" spans="1:17" hidden="1" x14ac:dyDescent="0.2">
      <c r="A1317" s="3">
        <v>45837</v>
      </c>
      <c r="B1317" s="2" t="s">
        <v>14</v>
      </c>
      <c r="C1317" s="2">
        <v>8</v>
      </c>
      <c r="D1317" s="2">
        <f t="shared" si="80"/>
        <v>2025</v>
      </c>
      <c r="E1317" s="2" t="str">
        <f t="shared" si="81"/>
        <v>2025-26</v>
      </c>
      <c r="F1317" s="2" t="str">
        <f t="shared" si="82"/>
        <v>Week 27</v>
      </c>
      <c r="G1317" s="2" t="str">
        <f t="shared" si="83"/>
        <v>Week 27-2025</v>
      </c>
      <c r="O1317"/>
      <c r="Q1317"/>
    </row>
    <row r="1318" spans="1:17" hidden="1" x14ac:dyDescent="0.2">
      <c r="A1318" s="3">
        <v>45837</v>
      </c>
      <c r="B1318" s="2" t="s">
        <v>4</v>
      </c>
      <c r="C1318" s="2">
        <v>2</v>
      </c>
      <c r="D1318" s="2">
        <f t="shared" si="80"/>
        <v>2025</v>
      </c>
      <c r="E1318" s="2" t="str">
        <f t="shared" si="81"/>
        <v>2025-26</v>
      </c>
      <c r="F1318" s="2" t="str">
        <f t="shared" si="82"/>
        <v>Week 27</v>
      </c>
      <c r="G1318" s="2" t="str">
        <f t="shared" si="83"/>
        <v>Week 27-2025</v>
      </c>
      <c r="O1318"/>
      <c r="Q1318"/>
    </row>
    <row r="1319" spans="1:17" hidden="1" x14ac:dyDescent="0.2">
      <c r="A1319" s="3">
        <v>45837</v>
      </c>
      <c r="B1319" s="2" t="s">
        <v>38</v>
      </c>
      <c r="C1319" s="2">
        <v>4</v>
      </c>
      <c r="D1319" s="2">
        <f t="shared" si="80"/>
        <v>2025</v>
      </c>
      <c r="E1319" s="2" t="str">
        <f t="shared" si="81"/>
        <v>2025-26</v>
      </c>
      <c r="F1319" s="2" t="str">
        <f t="shared" si="82"/>
        <v>Week 27</v>
      </c>
      <c r="G1319" s="2" t="str">
        <f t="shared" si="83"/>
        <v>Week 27-2025</v>
      </c>
      <c r="O1319"/>
      <c r="Q1319"/>
    </row>
    <row r="1320" spans="1:17" hidden="1" x14ac:dyDescent="0.2">
      <c r="A1320" s="3">
        <v>45837</v>
      </c>
      <c r="B1320" s="2" t="s">
        <v>5</v>
      </c>
      <c r="C1320" s="2">
        <v>2</v>
      </c>
      <c r="D1320" s="2">
        <f t="shared" si="80"/>
        <v>2025</v>
      </c>
      <c r="E1320" s="2" t="str">
        <f t="shared" si="81"/>
        <v>2025-26</v>
      </c>
      <c r="F1320" s="2" t="str">
        <f t="shared" si="82"/>
        <v>Week 27</v>
      </c>
      <c r="G1320" s="2" t="str">
        <f t="shared" si="83"/>
        <v>Week 27-2025</v>
      </c>
      <c r="O1320"/>
      <c r="Q1320"/>
    </row>
    <row r="1321" spans="1:17" hidden="1" x14ac:dyDescent="0.2">
      <c r="A1321" s="3">
        <v>45839</v>
      </c>
      <c r="B1321" s="2" t="s">
        <v>3</v>
      </c>
      <c r="C1321" s="2">
        <v>15</v>
      </c>
      <c r="D1321" s="2">
        <f t="shared" si="80"/>
        <v>2025</v>
      </c>
      <c r="E1321" s="2" t="str">
        <f t="shared" si="81"/>
        <v>2025-27</v>
      </c>
      <c r="F1321" s="2" t="str">
        <f t="shared" si="82"/>
        <v>Week 27</v>
      </c>
      <c r="G1321" s="2" t="str">
        <f t="shared" si="83"/>
        <v>Week 27-2025</v>
      </c>
      <c r="O1321"/>
      <c r="Q1321"/>
    </row>
    <row r="1322" spans="1:17" hidden="1" x14ac:dyDescent="0.2">
      <c r="A1322" s="3">
        <v>45839</v>
      </c>
      <c r="B1322" s="2" t="s">
        <v>5</v>
      </c>
      <c r="C1322" s="2">
        <v>8</v>
      </c>
      <c r="D1322" s="2">
        <f t="shared" si="80"/>
        <v>2025</v>
      </c>
      <c r="E1322" s="2" t="str">
        <f t="shared" si="81"/>
        <v>2025-27</v>
      </c>
      <c r="F1322" s="2" t="str">
        <f t="shared" si="82"/>
        <v>Week 27</v>
      </c>
      <c r="G1322" s="2" t="str">
        <f t="shared" si="83"/>
        <v>Week 27-2025</v>
      </c>
      <c r="O1322"/>
      <c r="Q1322"/>
    </row>
    <row r="1323" spans="1:17" hidden="1" x14ac:dyDescent="0.2">
      <c r="A1323" s="3">
        <v>45839</v>
      </c>
      <c r="B1323" s="2" t="s">
        <v>3</v>
      </c>
      <c r="C1323" s="2">
        <v>5</v>
      </c>
      <c r="D1323" s="2">
        <f t="shared" si="80"/>
        <v>2025</v>
      </c>
      <c r="E1323" s="2" t="str">
        <f t="shared" si="81"/>
        <v>2025-27</v>
      </c>
      <c r="F1323" s="2" t="str">
        <f t="shared" si="82"/>
        <v>Week 27</v>
      </c>
      <c r="G1323" s="2" t="str">
        <f t="shared" si="83"/>
        <v>Week 27-2025</v>
      </c>
      <c r="O1323"/>
      <c r="Q1323"/>
    </row>
    <row r="1324" spans="1:17" hidden="1" x14ac:dyDescent="0.2">
      <c r="A1324" s="3">
        <v>45839</v>
      </c>
      <c r="B1324" s="2" t="s">
        <v>38</v>
      </c>
      <c r="C1324" s="2">
        <v>7</v>
      </c>
      <c r="D1324" s="2">
        <f t="shared" si="80"/>
        <v>2025</v>
      </c>
      <c r="E1324" s="2" t="str">
        <f t="shared" si="81"/>
        <v>2025-27</v>
      </c>
      <c r="F1324" s="2" t="str">
        <f t="shared" si="82"/>
        <v>Week 27</v>
      </c>
      <c r="G1324" s="2" t="str">
        <f t="shared" si="83"/>
        <v>Week 27-2025</v>
      </c>
      <c r="O1324"/>
      <c r="Q1324"/>
    </row>
    <row r="1325" spans="1:17" hidden="1" x14ac:dyDescent="0.2">
      <c r="A1325" s="3">
        <v>45839</v>
      </c>
      <c r="B1325" s="2" t="s">
        <v>28</v>
      </c>
      <c r="C1325" s="2">
        <v>8</v>
      </c>
      <c r="D1325" s="2">
        <f t="shared" si="80"/>
        <v>2025</v>
      </c>
      <c r="E1325" s="2" t="str">
        <f t="shared" si="81"/>
        <v>2025-27</v>
      </c>
      <c r="F1325" s="2" t="str">
        <f t="shared" si="82"/>
        <v>Week 27</v>
      </c>
      <c r="G1325" s="2" t="str">
        <f t="shared" si="83"/>
        <v>Week 27-2025</v>
      </c>
      <c r="O1325"/>
      <c r="Q1325"/>
    </row>
    <row r="1326" spans="1:17" hidden="1" x14ac:dyDescent="0.2">
      <c r="A1326" s="3">
        <v>45839</v>
      </c>
      <c r="B1326" s="2" t="s">
        <v>38</v>
      </c>
      <c r="C1326" s="2">
        <v>5</v>
      </c>
      <c r="D1326" s="2">
        <f t="shared" si="80"/>
        <v>2025</v>
      </c>
      <c r="E1326" s="2" t="str">
        <f t="shared" si="81"/>
        <v>2025-27</v>
      </c>
      <c r="F1326" s="2" t="str">
        <f t="shared" si="82"/>
        <v>Week 27</v>
      </c>
      <c r="G1326" s="2" t="str">
        <f t="shared" si="83"/>
        <v>Week 27-2025</v>
      </c>
      <c r="O1326"/>
      <c r="Q1326"/>
    </row>
    <row r="1327" spans="1:17" hidden="1" x14ac:dyDescent="0.2">
      <c r="A1327" s="3">
        <v>45839</v>
      </c>
      <c r="B1327" s="2" t="s">
        <v>8</v>
      </c>
      <c r="C1327" s="2">
        <v>5</v>
      </c>
      <c r="D1327" s="2">
        <f t="shared" si="80"/>
        <v>2025</v>
      </c>
      <c r="E1327" s="2" t="str">
        <f t="shared" si="81"/>
        <v>2025-27</v>
      </c>
      <c r="F1327" s="2" t="str">
        <f t="shared" si="82"/>
        <v>Week 27</v>
      </c>
      <c r="G1327" s="2" t="str">
        <f t="shared" si="83"/>
        <v>Week 27-2025</v>
      </c>
      <c r="O1327"/>
      <c r="Q1327"/>
    </row>
    <row r="1328" spans="1:17" hidden="1" x14ac:dyDescent="0.2">
      <c r="A1328" s="3">
        <v>45839</v>
      </c>
      <c r="B1328" s="2" t="s">
        <v>7</v>
      </c>
      <c r="C1328" s="2">
        <v>2</v>
      </c>
      <c r="D1328" s="2">
        <f t="shared" si="80"/>
        <v>2025</v>
      </c>
      <c r="E1328" s="2" t="str">
        <f t="shared" si="81"/>
        <v>2025-27</v>
      </c>
      <c r="F1328" s="2" t="str">
        <f t="shared" si="82"/>
        <v>Week 27</v>
      </c>
      <c r="G1328" s="2" t="str">
        <f t="shared" si="83"/>
        <v>Week 27-2025</v>
      </c>
      <c r="O1328"/>
      <c r="Q1328"/>
    </row>
    <row r="1329" spans="1:17" hidden="1" x14ac:dyDescent="0.2">
      <c r="A1329" s="3">
        <v>45839</v>
      </c>
      <c r="B1329" s="2" t="s">
        <v>14</v>
      </c>
      <c r="C1329" s="2">
        <v>4</v>
      </c>
      <c r="D1329" s="2">
        <f t="shared" si="80"/>
        <v>2025</v>
      </c>
      <c r="E1329" s="2" t="str">
        <f t="shared" si="81"/>
        <v>2025-27</v>
      </c>
      <c r="F1329" s="2" t="str">
        <f t="shared" si="82"/>
        <v>Week 27</v>
      </c>
      <c r="G1329" s="2" t="str">
        <f t="shared" si="83"/>
        <v>Week 27-2025</v>
      </c>
      <c r="O1329"/>
      <c r="Q1329"/>
    </row>
    <row r="1330" spans="1:17" hidden="1" x14ac:dyDescent="0.2">
      <c r="A1330" s="3">
        <v>45839</v>
      </c>
      <c r="B1330" s="2" t="s">
        <v>14</v>
      </c>
      <c r="C1330" s="2">
        <v>4</v>
      </c>
      <c r="D1330" s="2">
        <f t="shared" si="80"/>
        <v>2025</v>
      </c>
      <c r="E1330" s="2" t="str">
        <f t="shared" si="81"/>
        <v>2025-27</v>
      </c>
      <c r="F1330" s="2" t="str">
        <f t="shared" si="82"/>
        <v>Week 27</v>
      </c>
      <c r="G1330" s="2" t="str">
        <f t="shared" si="83"/>
        <v>Week 27-2025</v>
      </c>
      <c r="O1330"/>
      <c r="Q1330"/>
    </row>
    <row r="1331" spans="1:17" hidden="1" x14ac:dyDescent="0.2">
      <c r="A1331" s="3">
        <v>45839</v>
      </c>
      <c r="B1331" s="2" t="s">
        <v>8</v>
      </c>
      <c r="C1331" s="2">
        <v>3</v>
      </c>
      <c r="D1331" s="2">
        <f t="shared" si="80"/>
        <v>2025</v>
      </c>
      <c r="E1331" s="2" t="str">
        <f t="shared" si="81"/>
        <v>2025-27</v>
      </c>
      <c r="F1331" s="2" t="str">
        <f t="shared" si="82"/>
        <v>Week 27</v>
      </c>
      <c r="G1331" s="2" t="str">
        <f t="shared" si="83"/>
        <v>Week 27-2025</v>
      </c>
      <c r="O1331"/>
      <c r="Q1331"/>
    </row>
    <row r="1332" spans="1:17" hidden="1" x14ac:dyDescent="0.2">
      <c r="A1332" s="3">
        <v>45839</v>
      </c>
      <c r="B1332" s="2" t="s">
        <v>15</v>
      </c>
      <c r="C1332" s="2">
        <v>4</v>
      </c>
      <c r="D1332" s="2">
        <f t="shared" si="80"/>
        <v>2025</v>
      </c>
      <c r="E1332" s="2" t="str">
        <f t="shared" si="81"/>
        <v>2025-27</v>
      </c>
      <c r="F1332" s="2" t="str">
        <f t="shared" si="82"/>
        <v>Week 27</v>
      </c>
      <c r="G1332" s="2" t="str">
        <f t="shared" si="83"/>
        <v>Week 27-2025</v>
      </c>
      <c r="O1332"/>
      <c r="Q1332"/>
    </row>
    <row r="1333" spans="1:17" hidden="1" x14ac:dyDescent="0.2">
      <c r="A1333" s="3">
        <v>45840</v>
      </c>
      <c r="B1333" s="2" t="s">
        <v>31</v>
      </c>
      <c r="C1333" s="2">
        <v>29</v>
      </c>
      <c r="D1333" s="2">
        <f t="shared" si="80"/>
        <v>2025</v>
      </c>
      <c r="E1333" s="2" t="str">
        <f t="shared" si="81"/>
        <v>2025-27</v>
      </c>
      <c r="F1333" s="2" t="str">
        <f t="shared" si="82"/>
        <v>Week 27</v>
      </c>
      <c r="G1333" s="2" t="str">
        <f t="shared" si="83"/>
        <v>Week 27-2025</v>
      </c>
      <c r="O1333"/>
      <c r="Q1333"/>
    </row>
    <row r="1334" spans="1:17" hidden="1" x14ac:dyDescent="0.2">
      <c r="A1334" s="3">
        <v>45840</v>
      </c>
      <c r="B1334" s="2" t="s">
        <v>5</v>
      </c>
      <c r="C1334" s="2">
        <v>20</v>
      </c>
      <c r="D1334" s="2">
        <f t="shared" si="80"/>
        <v>2025</v>
      </c>
      <c r="E1334" s="2" t="str">
        <f t="shared" si="81"/>
        <v>2025-27</v>
      </c>
      <c r="F1334" s="2" t="str">
        <f t="shared" si="82"/>
        <v>Week 27</v>
      </c>
      <c r="G1334" s="2" t="str">
        <f t="shared" si="83"/>
        <v>Week 27-2025</v>
      </c>
      <c r="O1334"/>
      <c r="Q1334"/>
    </row>
    <row r="1335" spans="1:17" hidden="1" x14ac:dyDescent="0.2">
      <c r="A1335" s="3">
        <v>45840</v>
      </c>
      <c r="B1335" s="2" t="s">
        <v>15</v>
      </c>
      <c r="C1335" s="2">
        <v>34</v>
      </c>
      <c r="D1335" s="2">
        <f t="shared" si="80"/>
        <v>2025</v>
      </c>
      <c r="E1335" s="2" t="str">
        <f t="shared" si="81"/>
        <v>2025-27</v>
      </c>
      <c r="F1335" s="2" t="str">
        <f t="shared" si="82"/>
        <v>Week 27</v>
      </c>
      <c r="G1335" s="2" t="str">
        <f t="shared" si="83"/>
        <v>Week 27-2025</v>
      </c>
      <c r="O1335"/>
      <c r="Q1335"/>
    </row>
    <row r="1336" spans="1:17" hidden="1" x14ac:dyDescent="0.2">
      <c r="A1336" s="3">
        <v>45840</v>
      </c>
      <c r="B1336" s="2" t="s">
        <v>14</v>
      </c>
      <c r="C1336" s="2">
        <v>12</v>
      </c>
      <c r="D1336" s="2">
        <f t="shared" si="80"/>
        <v>2025</v>
      </c>
      <c r="E1336" s="2" t="str">
        <f t="shared" si="81"/>
        <v>2025-27</v>
      </c>
      <c r="F1336" s="2" t="str">
        <f t="shared" si="82"/>
        <v>Week 27</v>
      </c>
      <c r="G1336" s="2" t="str">
        <f t="shared" si="83"/>
        <v>Week 27-2025</v>
      </c>
      <c r="O1336"/>
      <c r="Q1336"/>
    </row>
    <row r="1337" spans="1:17" hidden="1" x14ac:dyDescent="0.2">
      <c r="A1337" s="3">
        <v>45840</v>
      </c>
      <c r="B1337" s="2" t="s">
        <v>7</v>
      </c>
      <c r="C1337" s="2">
        <v>5</v>
      </c>
      <c r="D1337" s="2">
        <f t="shared" si="80"/>
        <v>2025</v>
      </c>
      <c r="E1337" s="2" t="str">
        <f t="shared" si="81"/>
        <v>2025-27</v>
      </c>
      <c r="F1337" s="2" t="str">
        <f t="shared" si="82"/>
        <v>Week 27</v>
      </c>
      <c r="G1337" s="2" t="str">
        <f t="shared" si="83"/>
        <v>Week 27-2025</v>
      </c>
      <c r="O1337"/>
      <c r="Q1337"/>
    </row>
    <row r="1338" spans="1:17" hidden="1" x14ac:dyDescent="0.2">
      <c r="A1338" s="3">
        <v>45840</v>
      </c>
      <c r="B1338" s="2" t="s">
        <v>14</v>
      </c>
      <c r="C1338" s="2">
        <v>7</v>
      </c>
      <c r="D1338" s="2">
        <f t="shared" si="80"/>
        <v>2025</v>
      </c>
      <c r="E1338" s="2" t="str">
        <f t="shared" si="81"/>
        <v>2025-27</v>
      </c>
      <c r="F1338" s="2" t="str">
        <f t="shared" si="82"/>
        <v>Week 27</v>
      </c>
      <c r="G1338" s="2" t="str">
        <f t="shared" si="83"/>
        <v>Week 27-2025</v>
      </c>
      <c r="O1338"/>
      <c r="Q1338"/>
    </row>
    <row r="1339" spans="1:17" hidden="1" x14ac:dyDescent="0.2">
      <c r="A1339" s="3">
        <v>45840</v>
      </c>
      <c r="B1339" s="2" t="s">
        <v>9</v>
      </c>
      <c r="C1339" s="2">
        <v>4</v>
      </c>
      <c r="D1339" s="2">
        <f t="shared" si="80"/>
        <v>2025</v>
      </c>
      <c r="E1339" s="2" t="str">
        <f t="shared" si="81"/>
        <v>2025-27</v>
      </c>
      <c r="F1339" s="2" t="str">
        <f t="shared" si="82"/>
        <v>Week 27</v>
      </c>
      <c r="G1339" s="2" t="str">
        <f t="shared" si="83"/>
        <v>Week 27-2025</v>
      </c>
      <c r="O1339"/>
      <c r="Q1339"/>
    </row>
    <row r="1340" spans="1:17" hidden="1" x14ac:dyDescent="0.2">
      <c r="A1340" s="3">
        <v>45840</v>
      </c>
      <c r="B1340" s="2" t="s">
        <v>28</v>
      </c>
      <c r="C1340" s="2">
        <v>8</v>
      </c>
      <c r="D1340" s="2">
        <f t="shared" si="80"/>
        <v>2025</v>
      </c>
      <c r="E1340" s="2" t="str">
        <f t="shared" si="81"/>
        <v>2025-27</v>
      </c>
      <c r="F1340" s="2" t="str">
        <f t="shared" si="82"/>
        <v>Week 27</v>
      </c>
      <c r="G1340" s="2" t="str">
        <f t="shared" si="83"/>
        <v>Week 27-2025</v>
      </c>
      <c r="O1340"/>
      <c r="Q1340"/>
    </row>
    <row r="1341" spans="1:17" hidden="1" x14ac:dyDescent="0.2">
      <c r="A1341" s="3">
        <v>45840</v>
      </c>
      <c r="B1341" s="2" t="s">
        <v>7</v>
      </c>
      <c r="C1341" s="2">
        <v>3</v>
      </c>
      <c r="D1341" s="2">
        <f t="shared" si="80"/>
        <v>2025</v>
      </c>
      <c r="E1341" s="2" t="str">
        <f t="shared" si="81"/>
        <v>2025-27</v>
      </c>
      <c r="F1341" s="2" t="str">
        <f t="shared" si="82"/>
        <v>Week 27</v>
      </c>
      <c r="G1341" s="2" t="str">
        <f t="shared" si="83"/>
        <v>Week 27-2025</v>
      </c>
      <c r="O1341"/>
      <c r="Q1341"/>
    </row>
    <row r="1342" spans="1:17" hidden="1" x14ac:dyDescent="0.2">
      <c r="A1342" s="3">
        <v>45840</v>
      </c>
      <c r="B1342" s="2" t="s">
        <v>15</v>
      </c>
      <c r="C1342" s="2">
        <v>8</v>
      </c>
      <c r="D1342" s="2">
        <f t="shared" si="80"/>
        <v>2025</v>
      </c>
      <c r="E1342" s="2" t="str">
        <f t="shared" si="81"/>
        <v>2025-27</v>
      </c>
      <c r="F1342" s="2" t="str">
        <f t="shared" si="82"/>
        <v>Week 27</v>
      </c>
      <c r="G1342" s="2" t="str">
        <f t="shared" si="83"/>
        <v>Week 27-2025</v>
      </c>
      <c r="O1342"/>
      <c r="Q1342"/>
    </row>
    <row r="1343" spans="1:17" hidden="1" x14ac:dyDescent="0.2">
      <c r="A1343" s="3">
        <v>45840</v>
      </c>
      <c r="B1343" s="2" t="s">
        <v>15</v>
      </c>
      <c r="C1343" s="2">
        <v>8</v>
      </c>
      <c r="D1343" s="2">
        <f t="shared" si="80"/>
        <v>2025</v>
      </c>
      <c r="E1343" s="2" t="str">
        <f t="shared" si="81"/>
        <v>2025-27</v>
      </c>
      <c r="F1343" s="2" t="str">
        <f t="shared" si="82"/>
        <v>Week 27</v>
      </c>
      <c r="G1343" s="2" t="str">
        <f t="shared" si="83"/>
        <v>Week 27-2025</v>
      </c>
      <c r="O1343"/>
      <c r="Q1343"/>
    </row>
    <row r="1344" spans="1:17" hidden="1" x14ac:dyDescent="0.2">
      <c r="A1344" s="3">
        <v>45840</v>
      </c>
      <c r="B1344" s="2" t="s">
        <v>10</v>
      </c>
      <c r="C1344" s="2">
        <v>4</v>
      </c>
      <c r="D1344" s="2">
        <f t="shared" si="80"/>
        <v>2025</v>
      </c>
      <c r="E1344" s="2" t="str">
        <f t="shared" si="81"/>
        <v>2025-27</v>
      </c>
      <c r="F1344" s="2" t="str">
        <f t="shared" si="82"/>
        <v>Week 27</v>
      </c>
      <c r="G1344" s="2" t="str">
        <f t="shared" si="83"/>
        <v>Week 27-2025</v>
      </c>
      <c r="O1344"/>
      <c r="Q1344"/>
    </row>
    <row r="1345" spans="1:17" hidden="1" x14ac:dyDescent="0.2">
      <c r="A1345" s="3">
        <v>45840</v>
      </c>
      <c r="B1345" s="2" t="s">
        <v>4</v>
      </c>
      <c r="C1345" s="2">
        <v>2</v>
      </c>
      <c r="D1345" s="2">
        <f t="shared" si="80"/>
        <v>2025</v>
      </c>
      <c r="E1345" s="2" t="str">
        <f t="shared" si="81"/>
        <v>2025-27</v>
      </c>
      <c r="F1345" s="2" t="str">
        <f t="shared" si="82"/>
        <v>Week 27</v>
      </c>
      <c r="G1345" s="2" t="str">
        <f t="shared" si="83"/>
        <v>Week 27-2025</v>
      </c>
      <c r="O1345"/>
      <c r="Q1345"/>
    </row>
    <row r="1346" spans="1:17" hidden="1" x14ac:dyDescent="0.2">
      <c r="A1346" s="3">
        <v>45840</v>
      </c>
      <c r="B1346" s="2" t="s">
        <v>38</v>
      </c>
      <c r="C1346" s="2">
        <v>4</v>
      </c>
      <c r="D1346" s="2">
        <f t="shared" ref="D1346:D1409" si="84">YEAR(A1346)</f>
        <v>2025</v>
      </c>
      <c r="E1346" s="2" t="str">
        <f t="shared" ref="E1346:E1409" si="85">YEAR(A1346)&amp;"-"&amp;_xlfn.ISOWEEKNUM(A1346)</f>
        <v>2025-27</v>
      </c>
      <c r="F1346" s="2" t="str">
        <f t="shared" ref="F1346:F1409" si="86">_xlfn.CONCAT("Week "&amp;WEEKNUM(A1346))</f>
        <v>Week 27</v>
      </c>
      <c r="G1346" s="2" t="str">
        <f t="shared" ref="G1346:G1409" si="87">_xlfn.CONCAT(F1346,"-",D1346)</f>
        <v>Week 27-2025</v>
      </c>
      <c r="O1346"/>
      <c r="Q1346"/>
    </row>
    <row r="1347" spans="1:17" hidden="1" x14ac:dyDescent="0.2">
      <c r="A1347" s="3">
        <v>45840</v>
      </c>
      <c r="B1347" s="2" t="s">
        <v>14</v>
      </c>
      <c r="C1347" s="2">
        <v>3</v>
      </c>
      <c r="D1347" s="2">
        <f t="shared" si="84"/>
        <v>2025</v>
      </c>
      <c r="E1347" s="2" t="str">
        <f t="shared" si="85"/>
        <v>2025-27</v>
      </c>
      <c r="F1347" s="2" t="str">
        <f t="shared" si="86"/>
        <v>Week 27</v>
      </c>
      <c r="G1347" s="2" t="str">
        <f t="shared" si="87"/>
        <v>Week 27-2025</v>
      </c>
      <c r="O1347"/>
      <c r="Q1347"/>
    </row>
    <row r="1348" spans="1:17" hidden="1" x14ac:dyDescent="0.2">
      <c r="A1348" s="3">
        <v>45840</v>
      </c>
      <c r="B1348" s="2" t="s">
        <v>31</v>
      </c>
      <c r="C1348" s="2">
        <v>1</v>
      </c>
      <c r="D1348" s="2">
        <f t="shared" si="84"/>
        <v>2025</v>
      </c>
      <c r="E1348" s="2" t="str">
        <f t="shared" si="85"/>
        <v>2025-27</v>
      </c>
      <c r="F1348" s="2" t="str">
        <f t="shared" si="86"/>
        <v>Week 27</v>
      </c>
      <c r="G1348" s="2" t="str">
        <f t="shared" si="87"/>
        <v>Week 27-2025</v>
      </c>
      <c r="O1348"/>
      <c r="Q1348"/>
    </row>
    <row r="1349" spans="1:17" hidden="1" x14ac:dyDescent="0.2">
      <c r="A1349" s="3">
        <v>45841</v>
      </c>
      <c r="B1349" s="2" t="s">
        <v>7</v>
      </c>
      <c r="C1349" s="2">
        <v>6</v>
      </c>
      <c r="D1349" s="2">
        <f t="shared" si="84"/>
        <v>2025</v>
      </c>
      <c r="E1349" s="2" t="str">
        <f t="shared" si="85"/>
        <v>2025-27</v>
      </c>
      <c r="F1349" s="2" t="str">
        <f t="shared" si="86"/>
        <v>Week 27</v>
      </c>
      <c r="G1349" s="2" t="str">
        <f t="shared" si="87"/>
        <v>Week 27-2025</v>
      </c>
      <c r="O1349"/>
      <c r="Q1349"/>
    </row>
    <row r="1350" spans="1:17" hidden="1" x14ac:dyDescent="0.2">
      <c r="A1350" s="3">
        <v>45841</v>
      </c>
      <c r="B1350" s="2" t="s">
        <v>4</v>
      </c>
      <c r="C1350" s="2">
        <v>4</v>
      </c>
      <c r="D1350" s="2">
        <f t="shared" si="84"/>
        <v>2025</v>
      </c>
      <c r="E1350" s="2" t="str">
        <f t="shared" si="85"/>
        <v>2025-27</v>
      </c>
      <c r="F1350" s="2" t="str">
        <f t="shared" si="86"/>
        <v>Week 27</v>
      </c>
      <c r="G1350" s="2" t="str">
        <f t="shared" si="87"/>
        <v>Week 27-2025</v>
      </c>
      <c r="O1350"/>
      <c r="Q1350"/>
    </row>
    <row r="1351" spans="1:17" hidden="1" x14ac:dyDescent="0.2">
      <c r="A1351" s="3">
        <v>45841</v>
      </c>
      <c r="B1351" s="2" t="s">
        <v>19</v>
      </c>
      <c r="C1351" s="2">
        <v>4</v>
      </c>
      <c r="D1351" s="2">
        <f t="shared" si="84"/>
        <v>2025</v>
      </c>
      <c r="E1351" s="2" t="str">
        <f t="shared" si="85"/>
        <v>2025-27</v>
      </c>
      <c r="F1351" s="2" t="str">
        <f t="shared" si="86"/>
        <v>Week 27</v>
      </c>
      <c r="G1351" s="2" t="str">
        <f t="shared" si="87"/>
        <v>Week 27-2025</v>
      </c>
      <c r="O1351"/>
      <c r="Q1351"/>
    </row>
    <row r="1352" spans="1:17" hidden="1" x14ac:dyDescent="0.2">
      <c r="A1352" s="3">
        <v>45841</v>
      </c>
      <c r="B1352" s="2" t="s">
        <v>15</v>
      </c>
      <c r="C1352" s="2">
        <v>8</v>
      </c>
      <c r="D1352" s="2">
        <f t="shared" si="84"/>
        <v>2025</v>
      </c>
      <c r="E1352" s="2" t="str">
        <f t="shared" si="85"/>
        <v>2025-27</v>
      </c>
      <c r="F1352" s="2" t="str">
        <f t="shared" si="86"/>
        <v>Week 27</v>
      </c>
      <c r="G1352" s="2" t="str">
        <f t="shared" si="87"/>
        <v>Week 27-2025</v>
      </c>
      <c r="O1352"/>
      <c r="Q1352"/>
    </row>
    <row r="1353" spans="1:17" hidden="1" x14ac:dyDescent="0.2">
      <c r="A1353" s="3">
        <v>45841</v>
      </c>
      <c r="B1353" s="2" t="s">
        <v>6</v>
      </c>
      <c r="C1353" s="2">
        <v>2</v>
      </c>
      <c r="D1353" s="2">
        <f t="shared" si="84"/>
        <v>2025</v>
      </c>
      <c r="E1353" s="2" t="str">
        <f t="shared" si="85"/>
        <v>2025-27</v>
      </c>
      <c r="F1353" s="2" t="str">
        <f t="shared" si="86"/>
        <v>Week 27</v>
      </c>
      <c r="G1353" s="2" t="str">
        <f t="shared" si="87"/>
        <v>Week 27-2025</v>
      </c>
      <c r="O1353"/>
      <c r="Q1353"/>
    </row>
    <row r="1354" spans="1:17" hidden="1" x14ac:dyDescent="0.2">
      <c r="A1354" s="3">
        <v>45841</v>
      </c>
      <c r="B1354" s="2" t="s">
        <v>14</v>
      </c>
      <c r="C1354" s="2">
        <v>4</v>
      </c>
      <c r="D1354" s="2">
        <f t="shared" si="84"/>
        <v>2025</v>
      </c>
      <c r="E1354" s="2" t="str">
        <f t="shared" si="85"/>
        <v>2025-27</v>
      </c>
      <c r="F1354" s="2" t="str">
        <f t="shared" si="86"/>
        <v>Week 27</v>
      </c>
      <c r="G1354" s="2" t="str">
        <f t="shared" si="87"/>
        <v>Week 27-2025</v>
      </c>
      <c r="O1354"/>
      <c r="Q1354"/>
    </row>
    <row r="1355" spans="1:17" hidden="1" x14ac:dyDescent="0.2">
      <c r="A1355" s="3">
        <v>45841</v>
      </c>
      <c r="B1355" s="2" t="s">
        <v>14</v>
      </c>
      <c r="C1355" s="2">
        <v>4</v>
      </c>
      <c r="D1355" s="2">
        <f t="shared" si="84"/>
        <v>2025</v>
      </c>
      <c r="E1355" s="2" t="str">
        <f t="shared" si="85"/>
        <v>2025-27</v>
      </c>
      <c r="F1355" s="2" t="str">
        <f t="shared" si="86"/>
        <v>Week 27</v>
      </c>
      <c r="G1355" s="2" t="str">
        <f t="shared" si="87"/>
        <v>Week 27-2025</v>
      </c>
      <c r="O1355"/>
      <c r="Q1355"/>
    </row>
    <row r="1356" spans="1:17" hidden="1" x14ac:dyDescent="0.2">
      <c r="A1356" s="3">
        <v>45841</v>
      </c>
      <c r="B1356" s="2" t="s">
        <v>28</v>
      </c>
      <c r="C1356" s="2">
        <v>4</v>
      </c>
      <c r="D1356" s="2">
        <f t="shared" si="84"/>
        <v>2025</v>
      </c>
      <c r="E1356" s="2" t="str">
        <f t="shared" si="85"/>
        <v>2025-27</v>
      </c>
      <c r="F1356" s="2" t="str">
        <f t="shared" si="86"/>
        <v>Week 27</v>
      </c>
      <c r="G1356" s="2" t="str">
        <f t="shared" si="87"/>
        <v>Week 27-2025</v>
      </c>
      <c r="O1356"/>
      <c r="Q1356"/>
    </row>
    <row r="1357" spans="1:17" hidden="1" x14ac:dyDescent="0.2">
      <c r="A1357" s="3">
        <v>45841</v>
      </c>
      <c r="B1357" s="2" t="s">
        <v>5</v>
      </c>
      <c r="C1357" s="2">
        <v>2</v>
      </c>
      <c r="D1357" s="2">
        <f t="shared" si="84"/>
        <v>2025</v>
      </c>
      <c r="E1357" s="2" t="str">
        <f t="shared" si="85"/>
        <v>2025-27</v>
      </c>
      <c r="F1357" s="2" t="str">
        <f t="shared" si="86"/>
        <v>Week 27</v>
      </c>
      <c r="G1357" s="2" t="str">
        <f t="shared" si="87"/>
        <v>Week 27-2025</v>
      </c>
      <c r="O1357"/>
      <c r="Q1357"/>
    </row>
    <row r="1358" spans="1:17" hidden="1" x14ac:dyDescent="0.2">
      <c r="A1358" s="3">
        <v>45841</v>
      </c>
      <c r="B1358" s="2" t="s">
        <v>5</v>
      </c>
      <c r="C1358" s="2">
        <v>2</v>
      </c>
      <c r="D1358" s="2">
        <f t="shared" si="84"/>
        <v>2025</v>
      </c>
      <c r="E1358" s="2" t="str">
        <f t="shared" si="85"/>
        <v>2025-27</v>
      </c>
      <c r="F1358" s="2" t="str">
        <f t="shared" si="86"/>
        <v>Week 27</v>
      </c>
      <c r="G1358" s="2" t="str">
        <f t="shared" si="87"/>
        <v>Week 27-2025</v>
      </c>
      <c r="O1358"/>
      <c r="Q1358"/>
    </row>
    <row r="1359" spans="1:17" hidden="1" x14ac:dyDescent="0.2">
      <c r="A1359" s="3">
        <v>45841</v>
      </c>
      <c r="B1359" s="2" t="s">
        <v>36</v>
      </c>
      <c r="C1359" s="2">
        <v>4</v>
      </c>
      <c r="D1359" s="2">
        <f t="shared" si="84"/>
        <v>2025</v>
      </c>
      <c r="E1359" s="2" t="str">
        <f t="shared" si="85"/>
        <v>2025-27</v>
      </c>
      <c r="F1359" s="2" t="str">
        <f t="shared" si="86"/>
        <v>Week 27</v>
      </c>
      <c r="G1359" s="2" t="str">
        <f t="shared" si="87"/>
        <v>Week 27-2025</v>
      </c>
      <c r="O1359"/>
      <c r="Q1359"/>
    </row>
    <row r="1360" spans="1:17" hidden="1" x14ac:dyDescent="0.2">
      <c r="A1360" s="3">
        <v>45841</v>
      </c>
      <c r="B1360" s="2" t="s">
        <v>30</v>
      </c>
      <c r="C1360" s="2">
        <v>2</v>
      </c>
      <c r="D1360" s="2">
        <f t="shared" si="84"/>
        <v>2025</v>
      </c>
      <c r="E1360" s="2" t="str">
        <f t="shared" si="85"/>
        <v>2025-27</v>
      </c>
      <c r="F1360" s="2" t="str">
        <f t="shared" si="86"/>
        <v>Week 27</v>
      </c>
      <c r="G1360" s="2" t="str">
        <f t="shared" si="87"/>
        <v>Week 27-2025</v>
      </c>
      <c r="O1360"/>
      <c r="Q1360"/>
    </row>
    <row r="1361" spans="1:17" hidden="1" x14ac:dyDescent="0.2">
      <c r="A1361" s="3">
        <v>45841</v>
      </c>
      <c r="B1361" s="2" t="s">
        <v>15</v>
      </c>
      <c r="C1361" s="2">
        <v>2</v>
      </c>
      <c r="D1361" s="2">
        <f t="shared" si="84"/>
        <v>2025</v>
      </c>
      <c r="E1361" s="2" t="str">
        <f t="shared" si="85"/>
        <v>2025-27</v>
      </c>
      <c r="F1361" s="2" t="str">
        <f t="shared" si="86"/>
        <v>Week 27</v>
      </c>
      <c r="G1361" s="2" t="str">
        <f t="shared" si="87"/>
        <v>Week 27-2025</v>
      </c>
      <c r="O1361"/>
      <c r="Q1361"/>
    </row>
    <row r="1362" spans="1:17" hidden="1" x14ac:dyDescent="0.2">
      <c r="A1362" s="3">
        <v>45842</v>
      </c>
      <c r="B1362" s="2" t="s">
        <v>6</v>
      </c>
      <c r="C1362" s="2">
        <v>8</v>
      </c>
      <c r="D1362" s="2">
        <f t="shared" si="84"/>
        <v>2025</v>
      </c>
      <c r="E1362" s="2" t="str">
        <f t="shared" si="85"/>
        <v>2025-27</v>
      </c>
      <c r="F1362" s="2" t="str">
        <f t="shared" si="86"/>
        <v>Week 27</v>
      </c>
      <c r="G1362" s="2" t="str">
        <f t="shared" si="87"/>
        <v>Week 27-2025</v>
      </c>
      <c r="O1362"/>
      <c r="Q1362"/>
    </row>
    <row r="1363" spans="1:17" hidden="1" x14ac:dyDescent="0.2">
      <c r="A1363" s="3">
        <v>45842</v>
      </c>
      <c r="B1363" s="2" t="s">
        <v>7</v>
      </c>
      <c r="C1363" s="2">
        <v>10</v>
      </c>
      <c r="D1363" s="2">
        <f t="shared" si="84"/>
        <v>2025</v>
      </c>
      <c r="E1363" s="2" t="str">
        <f t="shared" si="85"/>
        <v>2025-27</v>
      </c>
      <c r="F1363" s="2" t="str">
        <f t="shared" si="86"/>
        <v>Week 27</v>
      </c>
      <c r="G1363" s="2" t="str">
        <f t="shared" si="87"/>
        <v>Week 27-2025</v>
      </c>
      <c r="O1363"/>
      <c r="Q1363"/>
    </row>
    <row r="1364" spans="1:17" hidden="1" x14ac:dyDescent="0.2">
      <c r="A1364" s="3">
        <v>45842</v>
      </c>
      <c r="B1364" s="2" t="s">
        <v>5</v>
      </c>
      <c r="C1364" s="2">
        <v>8</v>
      </c>
      <c r="D1364" s="2">
        <f t="shared" si="84"/>
        <v>2025</v>
      </c>
      <c r="E1364" s="2" t="str">
        <f t="shared" si="85"/>
        <v>2025-27</v>
      </c>
      <c r="F1364" s="2" t="str">
        <f t="shared" si="86"/>
        <v>Week 27</v>
      </c>
      <c r="G1364" s="2" t="str">
        <f t="shared" si="87"/>
        <v>Week 27-2025</v>
      </c>
      <c r="O1364"/>
      <c r="Q1364"/>
    </row>
    <row r="1365" spans="1:17" hidden="1" x14ac:dyDescent="0.2">
      <c r="A1365" s="3">
        <v>45842</v>
      </c>
      <c r="B1365" s="2" t="s">
        <v>6</v>
      </c>
      <c r="C1365" s="2">
        <v>4</v>
      </c>
      <c r="D1365" s="2">
        <f t="shared" si="84"/>
        <v>2025</v>
      </c>
      <c r="E1365" s="2" t="str">
        <f t="shared" si="85"/>
        <v>2025-27</v>
      </c>
      <c r="F1365" s="2" t="str">
        <f t="shared" si="86"/>
        <v>Week 27</v>
      </c>
      <c r="G1365" s="2" t="str">
        <f t="shared" si="87"/>
        <v>Week 27-2025</v>
      </c>
      <c r="O1365"/>
      <c r="Q1365"/>
    </row>
    <row r="1366" spans="1:17" hidden="1" x14ac:dyDescent="0.2">
      <c r="A1366" s="3">
        <v>45842</v>
      </c>
      <c r="B1366" s="2" t="s">
        <v>14</v>
      </c>
      <c r="C1366" s="2">
        <v>9</v>
      </c>
      <c r="D1366" s="2">
        <f t="shared" si="84"/>
        <v>2025</v>
      </c>
      <c r="E1366" s="2" t="str">
        <f t="shared" si="85"/>
        <v>2025-27</v>
      </c>
      <c r="F1366" s="2" t="str">
        <f t="shared" si="86"/>
        <v>Week 27</v>
      </c>
      <c r="G1366" s="2" t="str">
        <f t="shared" si="87"/>
        <v>Week 27-2025</v>
      </c>
      <c r="O1366"/>
      <c r="Q1366"/>
    </row>
    <row r="1367" spans="1:17" hidden="1" x14ac:dyDescent="0.2">
      <c r="A1367" s="3">
        <v>45842</v>
      </c>
      <c r="B1367" s="2" t="s">
        <v>7</v>
      </c>
      <c r="C1367" s="2">
        <v>4</v>
      </c>
      <c r="D1367" s="2">
        <f t="shared" si="84"/>
        <v>2025</v>
      </c>
      <c r="E1367" s="2" t="str">
        <f t="shared" si="85"/>
        <v>2025-27</v>
      </c>
      <c r="F1367" s="2" t="str">
        <f t="shared" si="86"/>
        <v>Week 27</v>
      </c>
      <c r="G1367" s="2" t="str">
        <f t="shared" si="87"/>
        <v>Week 27-2025</v>
      </c>
      <c r="O1367"/>
      <c r="Q1367"/>
    </row>
    <row r="1368" spans="1:17" hidden="1" x14ac:dyDescent="0.2">
      <c r="A1368" s="3">
        <v>45842</v>
      </c>
      <c r="B1368" s="2" t="s">
        <v>4</v>
      </c>
      <c r="C1368" s="2">
        <v>4</v>
      </c>
      <c r="D1368" s="2">
        <f t="shared" si="84"/>
        <v>2025</v>
      </c>
      <c r="E1368" s="2" t="str">
        <f t="shared" si="85"/>
        <v>2025-27</v>
      </c>
      <c r="F1368" s="2" t="str">
        <f t="shared" si="86"/>
        <v>Week 27</v>
      </c>
      <c r="G1368" s="2" t="str">
        <f t="shared" si="87"/>
        <v>Week 27-2025</v>
      </c>
      <c r="O1368"/>
      <c r="Q1368"/>
    </row>
    <row r="1369" spans="1:17" hidden="1" x14ac:dyDescent="0.2">
      <c r="A1369" s="3">
        <v>45842</v>
      </c>
      <c r="B1369" s="2" t="s">
        <v>9</v>
      </c>
      <c r="C1369" s="2">
        <v>4</v>
      </c>
      <c r="D1369" s="2">
        <f t="shared" si="84"/>
        <v>2025</v>
      </c>
      <c r="E1369" s="2" t="str">
        <f t="shared" si="85"/>
        <v>2025-27</v>
      </c>
      <c r="F1369" s="2" t="str">
        <f t="shared" si="86"/>
        <v>Week 27</v>
      </c>
      <c r="G1369" s="2" t="str">
        <f t="shared" si="87"/>
        <v>Week 27-2025</v>
      </c>
      <c r="O1369"/>
      <c r="Q1369"/>
    </row>
    <row r="1370" spans="1:17" hidden="1" x14ac:dyDescent="0.2">
      <c r="A1370" s="3">
        <v>45842</v>
      </c>
      <c r="B1370" s="2" t="s">
        <v>18</v>
      </c>
      <c r="C1370" s="2">
        <v>2</v>
      </c>
      <c r="D1370" s="2">
        <f t="shared" si="84"/>
        <v>2025</v>
      </c>
      <c r="E1370" s="2" t="str">
        <f t="shared" si="85"/>
        <v>2025-27</v>
      </c>
      <c r="F1370" s="2" t="str">
        <f t="shared" si="86"/>
        <v>Week 27</v>
      </c>
      <c r="G1370" s="2" t="str">
        <f t="shared" si="87"/>
        <v>Week 27-2025</v>
      </c>
      <c r="O1370"/>
      <c r="Q1370"/>
    </row>
    <row r="1371" spans="1:17" hidden="1" x14ac:dyDescent="0.2">
      <c r="A1371" s="3">
        <v>45842</v>
      </c>
      <c r="B1371" s="2" t="s">
        <v>7</v>
      </c>
      <c r="C1371" s="2">
        <v>2</v>
      </c>
      <c r="D1371" s="2">
        <f t="shared" si="84"/>
        <v>2025</v>
      </c>
      <c r="E1371" s="2" t="str">
        <f t="shared" si="85"/>
        <v>2025-27</v>
      </c>
      <c r="F1371" s="2" t="str">
        <f t="shared" si="86"/>
        <v>Week 27</v>
      </c>
      <c r="G1371" s="2" t="str">
        <f t="shared" si="87"/>
        <v>Week 27-2025</v>
      </c>
      <c r="O1371"/>
      <c r="Q1371"/>
    </row>
    <row r="1372" spans="1:17" hidden="1" x14ac:dyDescent="0.2">
      <c r="A1372" s="3">
        <v>45842</v>
      </c>
      <c r="B1372" s="2" t="s">
        <v>6</v>
      </c>
      <c r="C1372" s="2">
        <v>2</v>
      </c>
      <c r="D1372" s="2">
        <f t="shared" si="84"/>
        <v>2025</v>
      </c>
      <c r="E1372" s="2" t="str">
        <f t="shared" si="85"/>
        <v>2025-27</v>
      </c>
      <c r="F1372" s="2" t="str">
        <f t="shared" si="86"/>
        <v>Week 27</v>
      </c>
      <c r="G1372" s="2" t="str">
        <f t="shared" si="87"/>
        <v>Week 27-2025</v>
      </c>
      <c r="O1372"/>
      <c r="Q1372"/>
    </row>
    <row r="1373" spans="1:17" hidden="1" x14ac:dyDescent="0.2">
      <c r="A1373" s="3">
        <v>45842</v>
      </c>
      <c r="B1373" s="2" t="s">
        <v>9</v>
      </c>
      <c r="C1373" s="2">
        <v>2</v>
      </c>
      <c r="D1373" s="2">
        <f t="shared" si="84"/>
        <v>2025</v>
      </c>
      <c r="E1373" s="2" t="str">
        <f t="shared" si="85"/>
        <v>2025-27</v>
      </c>
      <c r="F1373" s="2" t="str">
        <f t="shared" si="86"/>
        <v>Week 27</v>
      </c>
      <c r="G1373" s="2" t="str">
        <f t="shared" si="87"/>
        <v>Week 27-2025</v>
      </c>
      <c r="O1373"/>
      <c r="Q1373"/>
    </row>
    <row r="1374" spans="1:17" hidden="1" x14ac:dyDescent="0.2">
      <c r="A1374" s="3">
        <v>45842</v>
      </c>
      <c r="B1374" s="2" t="s">
        <v>27</v>
      </c>
      <c r="C1374" s="2">
        <v>3</v>
      </c>
      <c r="D1374" s="2">
        <f t="shared" si="84"/>
        <v>2025</v>
      </c>
      <c r="E1374" s="2" t="str">
        <f t="shared" si="85"/>
        <v>2025-27</v>
      </c>
      <c r="F1374" s="2" t="str">
        <f t="shared" si="86"/>
        <v>Week 27</v>
      </c>
      <c r="G1374" s="2" t="str">
        <f t="shared" si="87"/>
        <v>Week 27-2025</v>
      </c>
      <c r="O1374"/>
      <c r="Q1374"/>
    </row>
    <row r="1375" spans="1:17" hidden="1" x14ac:dyDescent="0.2">
      <c r="A1375" s="3">
        <v>45842</v>
      </c>
      <c r="B1375" s="2" t="s">
        <v>36</v>
      </c>
      <c r="C1375" s="2">
        <v>5</v>
      </c>
      <c r="D1375" s="2">
        <f t="shared" si="84"/>
        <v>2025</v>
      </c>
      <c r="E1375" s="2" t="str">
        <f t="shared" si="85"/>
        <v>2025-27</v>
      </c>
      <c r="F1375" s="2" t="str">
        <f t="shared" si="86"/>
        <v>Week 27</v>
      </c>
      <c r="G1375" s="2" t="str">
        <f t="shared" si="87"/>
        <v>Week 27-2025</v>
      </c>
      <c r="O1375"/>
      <c r="Q1375"/>
    </row>
    <row r="1376" spans="1:17" hidden="1" x14ac:dyDescent="0.2">
      <c r="A1376" s="3">
        <v>45842</v>
      </c>
      <c r="B1376" s="2" t="s">
        <v>5</v>
      </c>
      <c r="C1376" s="2">
        <v>2</v>
      </c>
      <c r="D1376" s="2">
        <f t="shared" si="84"/>
        <v>2025</v>
      </c>
      <c r="E1376" s="2" t="str">
        <f t="shared" si="85"/>
        <v>2025-27</v>
      </c>
      <c r="F1376" s="2" t="str">
        <f t="shared" si="86"/>
        <v>Week 27</v>
      </c>
      <c r="G1376" s="2" t="str">
        <f t="shared" si="87"/>
        <v>Week 27-2025</v>
      </c>
      <c r="O1376"/>
      <c r="Q1376"/>
    </row>
    <row r="1377" spans="1:17" hidden="1" x14ac:dyDescent="0.2">
      <c r="A1377" s="3">
        <v>45842</v>
      </c>
      <c r="B1377" s="2" t="s">
        <v>34</v>
      </c>
      <c r="C1377" s="2">
        <v>2</v>
      </c>
      <c r="D1377" s="2">
        <f t="shared" si="84"/>
        <v>2025</v>
      </c>
      <c r="E1377" s="2" t="str">
        <f t="shared" si="85"/>
        <v>2025-27</v>
      </c>
      <c r="F1377" s="2" t="str">
        <f t="shared" si="86"/>
        <v>Week 27</v>
      </c>
      <c r="G1377" s="2" t="str">
        <f t="shared" si="87"/>
        <v>Week 27-2025</v>
      </c>
      <c r="O1377"/>
      <c r="Q1377"/>
    </row>
    <row r="1378" spans="1:17" hidden="1" x14ac:dyDescent="0.2">
      <c r="A1378" s="3">
        <v>45842</v>
      </c>
      <c r="B1378" s="2" t="s">
        <v>46</v>
      </c>
      <c r="C1378" s="2">
        <v>2</v>
      </c>
      <c r="D1378" s="2">
        <f t="shared" si="84"/>
        <v>2025</v>
      </c>
      <c r="E1378" s="2" t="str">
        <f t="shared" si="85"/>
        <v>2025-27</v>
      </c>
      <c r="F1378" s="2" t="str">
        <f t="shared" si="86"/>
        <v>Week 27</v>
      </c>
      <c r="G1378" s="2" t="str">
        <f t="shared" si="87"/>
        <v>Week 27-2025</v>
      </c>
      <c r="O1378"/>
      <c r="Q1378"/>
    </row>
    <row r="1379" spans="1:17" hidden="1" x14ac:dyDescent="0.2">
      <c r="A1379" s="3">
        <v>45844</v>
      </c>
      <c r="B1379" s="2" t="s">
        <v>15</v>
      </c>
      <c r="C1379" s="2">
        <v>5</v>
      </c>
      <c r="D1379" s="2">
        <f t="shared" si="84"/>
        <v>2025</v>
      </c>
      <c r="E1379" s="2" t="str">
        <f t="shared" si="85"/>
        <v>2025-27</v>
      </c>
      <c r="F1379" s="2" t="str">
        <f t="shared" si="86"/>
        <v>Week 28</v>
      </c>
      <c r="G1379" s="2" t="str">
        <f t="shared" si="87"/>
        <v>Week 28-2025</v>
      </c>
      <c r="O1379"/>
      <c r="Q1379"/>
    </row>
    <row r="1380" spans="1:17" hidden="1" x14ac:dyDescent="0.2">
      <c r="A1380" s="3">
        <v>45845</v>
      </c>
      <c r="B1380" s="2" t="s">
        <v>4</v>
      </c>
      <c r="C1380" s="2">
        <v>13</v>
      </c>
      <c r="D1380" s="2">
        <f t="shared" si="84"/>
        <v>2025</v>
      </c>
      <c r="E1380" s="2" t="str">
        <f t="shared" si="85"/>
        <v>2025-28</v>
      </c>
      <c r="F1380" s="2" t="str">
        <f t="shared" si="86"/>
        <v>Week 28</v>
      </c>
      <c r="G1380" s="2" t="str">
        <f t="shared" si="87"/>
        <v>Week 28-2025</v>
      </c>
      <c r="O1380"/>
      <c r="Q1380"/>
    </row>
    <row r="1381" spans="1:17" hidden="1" x14ac:dyDescent="0.2">
      <c r="A1381" s="3">
        <v>45845</v>
      </c>
      <c r="B1381" s="2" t="s">
        <v>3</v>
      </c>
      <c r="C1381" s="2">
        <v>11</v>
      </c>
      <c r="D1381" s="2">
        <f t="shared" si="84"/>
        <v>2025</v>
      </c>
      <c r="E1381" s="2" t="str">
        <f t="shared" si="85"/>
        <v>2025-28</v>
      </c>
      <c r="F1381" s="2" t="str">
        <f t="shared" si="86"/>
        <v>Week 28</v>
      </c>
      <c r="G1381" s="2" t="str">
        <f t="shared" si="87"/>
        <v>Week 28-2025</v>
      </c>
      <c r="O1381"/>
      <c r="Q1381"/>
    </row>
    <row r="1382" spans="1:17" hidden="1" x14ac:dyDescent="0.2">
      <c r="A1382" s="3">
        <v>45845</v>
      </c>
      <c r="B1382" s="2" t="s">
        <v>3</v>
      </c>
      <c r="C1382" s="2">
        <v>9</v>
      </c>
      <c r="D1382" s="2">
        <f t="shared" si="84"/>
        <v>2025</v>
      </c>
      <c r="E1382" s="2" t="str">
        <f t="shared" si="85"/>
        <v>2025-28</v>
      </c>
      <c r="F1382" s="2" t="str">
        <f t="shared" si="86"/>
        <v>Week 28</v>
      </c>
      <c r="G1382" s="2" t="str">
        <f t="shared" si="87"/>
        <v>Week 28-2025</v>
      </c>
      <c r="O1382"/>
      <c r="Q1382"/>
    </row>
    <row r="1383" spans="1:17" hidden="1" x14ac:dyDescent="0.2">
      <c r="A1383" s="3">
        <v>45845</v>
      </c>
      <c r="B1383" s="2" t="s">
        <v>14</v>
      </c>
      <c r="C1383" s="2">
        <v>12</v>
      </c>
      <c r="D1383" s="2">
        <f t="shared" si="84"/>
        <v>2025</v>
      </c>
      <c r="E1383" s="2" t="str">
        <f t="shared" si="85"/>
        <v>2025-28</v>
      </c>
      <c r="F1383" s="2" t="str">
        <f t="shared" si="86"/>
        <v>Week 28</v>
      </c>
      <c r="G1383" s="2" t="str">
        <f t="shared" si="87"/>
        <v>Week 28-2025</v>
      </c>
      <c r="O1383"/>
      <c r="Q1383"/>
    </row>
    <row r="1384" spans="1:17" hidden="1" x14ac:dyDescent="0.2">
      <c r="A1384" s="3">
        <v>45845</v>
      </c>
      <c r="B1384" s="2" t="s">
        <v>4</v>
      </c>
      <c r="C1384" s="2">
        <v>3</v>
      </c>
      <c r="D1384" s="2">
        <f t="shared" si="84"/>
        <v>2025</v>
      </c>
      <c r="E1384" s="2" t="str">
        <f t="shared" si="85"/>
        <v>2025-28</v>
      </c>
      <c r="F1384" s="2" t="str">
        <f t="shared" si="86"/>
        <v>Week 28</v>
      </c>
      <c r="G1384" s="2" t="str">
        <f t="shared" si="87"/>
        <v>Week 28-2025</v>
      </c>
      <c r="O1384"/>
      <c r="Q1384"/>
    </row>
    <row r="1385" spans="1:17" hidden="1" x14ac:dyDescent="0.2">
      <c r="A1385" s="3">
        <v>45845</v>
      </c>
      <c r="B1385" s="2" t="s">
        <v>8</v>
      </c>
      <c r="C1385" s="2">
        <v>4</v>
      </c>
      <c r="D1385" s="2">
        <f t="shared" si="84"/>
        <v>2025</v>
      </c>
      <c r="E1385" s="2" t="str">
        <f t="shared" si="85"/>
        <v>2025-28</v>
      </c>
      <c r="F1385" s="2" t="str">
        <f t="shared" si="86"/>
        <v>Week 28</v>
      </c>
      <c r="G1385" s="2" t="str">
        <f t="shared" si="87"/>
        <v>Week 28-2025</v>
      </c>
      <c r="O1385"/>
      <c r="Q1385"/>
    </row>
    <row r="1386" spans="1:17" hidden="1" x14ac:dyDescent="0.2">
      <c r="A1386" s="3">
        <v>45846</v>
      </c>
      <c r="B1386" s="2" t="s">
        <v>14</v>
      </c>
      <c r="C1386" s="2">
        <v>34</v>
      </c>
      <c r="D1386" s="2">
        <f t="shared" si="84"/>
        <v>2025</v>
      </c>
      <c r="E1386" s="2" t="str">
        <f t="shared" si="85"/>
        <v>2025-28</v>
      </c>
      <c r="F1386" s="2" t="str">
        <f t="shared" si="86"/>
        <v>Week 28</v>
      </c>
      <c r="G1386" s="2" t="str">
        <f t="shared" si="87"/>
        <v>Week 28-2025</v>
      </c>
      <c r="O1386"/>
      <c r="Q1386"/>
    </row>
    <row r="1387" spans="1:17" hidden="1" x14ac:dyDescent="0.2">
      <c r="A1387" s="3">
        <v>45846</v>
      </c>
      <c r="B1387" s="2" t="s">
        <v>9</v>
      </c>
      <c r="C1387" s="2">
        <v>12</v>
      </c>
      <c r="D1387" s="2">
        <f t="shared" si="84"/>
        <v>2025</v>
      </c>
      <c r="E1387" s="2" t="str">
        <f t="shared" si="85"/>
        <v>2025-28</v>
      </c>
      <c r="F1387" s="2" t="str">
        <f t="shared" si="86"/>
        <v>Week 28</v>
      </c>
      <c r="G1387" s="2" t="str">
        <f t="shared" si="87"/>
        <v>Week 28-2025</v>
      </c>
      <c r="O1387"/>
      <c r="Q1387"/>
    </row>
    <row r="1388" spans="1:17" hidden="1" x14ac:dyDescent="0.2">
      <c r="A1388" s="3">
        <v>45846</v>
      </c>
      <c r="B1388" s="2" t="s">
        <v>5</v>
      </c>
      <c r="C1388" s="2">
        <v>8</v>
      </c>
      <c r="D1388" s="2">
        <f t="shared" si="84"/>
        <v>2025</v>
      </c>
      <c r="E1388" s="2" t="str">
        <f t="shared" si="85"/>
        <v>2025-28</v>
      </c>
      <c r="F1388" s="2" t="str">
        <f t="shared" si="86"/>
        <v>Week 28</v>
      </c>
      <c r="G1388" s="2" t="str">
        <f t="shared" si="87"/>
        <v>Week 28-2025</v>
      </c>
      <c r="O1388"/>
      <c r="Q1388"/>
    </row>
    <row r="1389" spans="1:17" hidden="1" x14ac:dyDescent="0.2">
      <c r="A1389" s="3">
        <v>45846</v>
      </c>
      <c r="B1389" s="2" t="s">
        <v>5</v>
      </c>
      <c r="C1389" s="2">
        <v>8</v>
      </c>
      <c r="D1389" s="2">
        <f t="shared" si="84"/>
        <v>2025</v>
      </c>
      <c r="E1389" s="2" t="str">
        <f t="shared" si="85"/>
        <v>2025-28</v>
      </c>
      <c r="F1389" s="2" t="str">
        <f t="shared" si="86"/>
        <v>Week 28</v>
      </c>
      <c r="G1389" s="2" t="str">
        <f t="shared" si="87"/>
        <v>Week 28-2025</v>
      </c>
      <c r="O1389"/>
      <c r="Q1389"/>
    </row>
    <row r="1390" spans="1:17" hidden="1" x14ac:dyDescent="0.2">
      <c r="A1390" s="3">
        <v>45846</v>
      </c>
      <c r="B1390" s="2" t="s">
        <v>3</v>
      </c>
      <c r="C1390" s="2">
        <v>6</v>
      </c>
      <c r="D1390" s="2">
        <f t="shared" si="84"/>
        <v>2025</v>
      </c>
      <c r="E1390" s="2" t="str">
        <f t="shared" si="85"/>
        <v>2025-28</v>
      </c>
      <c r="F1390" s="2" t="str">
        <f t="shared" si="86"/>
        <v>Week 28</v>
      </c>
      <c r="G1390" s="2" t="str">
        <f t="shared" si="87"/>
        <v>Week 28-2025</v>
      </c>
      <c r="O1390"/>
      <c r="Q1390"/>
    </row>
    <row r="1391" spans="1:17" hidden="1" x14ac:dyDescent="0.2">
      <c r="A1391" s="3">
        <v>45846</v>
      </c>
      <c r="B1391" s="2" t="s">
        <v>8</v>
      </c>
      <c r="C1391" s="2">
        <v>7</v>
      </c>
      <c r="D1391" s="2">
        <f t="shared" si="84"/>
        <v>2025</v>
      </c>
      <c r="E1391" s="2" t="str">
        <f t="shared" si="85"/>
        <v>2025-28</v>
      </c>
      <c r="F1391" s="2" t="str">
        <f t="shared" si="86"/>
        <v>Week 28</v>
      </c>
      <c r="G1391" s="2" t="str">
        <f t="shared" si="87"/>
        <v>Week 28-2025</v>
      </c>
      <c r="O1391"/>
      <c r="Q1391"/>
    </row>
    <row r="1392" spans="1:17" hidden="1" x14ac:dyDescent="0.2">
      <c r="A1392" s="3">
        <v>45846</v>
      </c>
      <c r="B1392" s="2" t="s">
        <v>3</v>
      </c>
      <c r="C1392" s="2">
        <v>4</v>
      </c>
      <c r="D1392" s="2">
        <f t="shared" si="84"/>
        <v>2025</v>
      </c>
      <c r="E1392" s="2" t="str">
        <f t="shared" si="85"/>
        <v>2025-28</v>
      </c>
      <c r="F1392" s="2" t="str">
        <f t="shared" si="86"/>
        <v>Week 28</v>
      </c>
      <c r="G1392" s="2" t="str">
        <f t="shared" si="87"/>
        <v>Week 28-2025</v>
      </c>
      <c r="O1392"/>
      <c r="Q1392"/>
    </row>
    <row r="1393" spans="1:17" hidden="1" x14ac:dyDescent="0.2">
      <c r="A1393" s="3">
        <v>45846</v>
      </c>
      <c r="B1393" s="2" t="s">
        <v>14</v>
      </c>
      <c r="C1393" s="2">
        <v>6</v>
      </c>
      <c r="D1393" s="2">
        <f t="shared" si="84"/>
        <v>2025</v>
      </c>
      <c r="E1393" s="2" t="str">
        <f t="shared" si="85"/>
        <v>2025-28</v>
      </c>
      <c r="F1393" s="2" t="str">
        <f t="shared" si="86"/>
        <v>Week 28</v>
      </c>
      <c r="G1393" s="2" t="str">
        <f t="shared" si="87"/>
        <v>Week 28-2025</v>
      </c>
      <c r="O1393"/>
      <c r="Q1393"/>
    </row>
    <row r="1394" spans="1:17" hidden="1" x14ac:dyDescent="0.2">
      <c r="A1394" s="3">
        <v>45846</v>
      </c>
      <c r="B1394" s="2" t="s">
        <v>14</v>
      </c>
      <c r="C1394" s="2">
        <v>6</v>
      </c>
      <c r="D1394" s="2">
        <f t="shared" si="84"/>
        <v>2025</v>
      </c>
      <c r="E1394" s="2" t="str">
        <f t="shared" si="85"/>
        <v>2025-28</v>
      </c>
      <c r="F1394" s="2" t="str">
        <f t="shared" si="86"/>
        <v>Week 28</v>
      </c>
      <c r="G1394" s="2" t="str">
        <f t="shared" si="87"/>
        <v>Week 28-2025</v>
      </c>
      <c r="O1394"/>
      <c r="Q1394"/>
    </row>
    <row r="1395" spans="1:17" hidden="1" x14ac:dyDescent="0.2">
      <c r="A1395" s="3">
        <v>45846</v>
      </c>
      <c r="B1395" s="2" t="s">
        <v>15</v>
      </c>
      <c r="C1395" s="2">
        <v>8</v>
      </c>
      <c r="D1395" s="2">
        <f t="shared" si="84"/>
        <v>2025</v>
      </c>
      <c r="E1395" s="2" t="str">
        <f t="shared" si="85"/>
        <v>2025-28</v>
      </c>
      <c r="F1395" s="2" t="str">
        <f t="shared" si="86"/>
        <v>Week 28</v>
      </c>
      <c r="G1395" s="2" t="str">
        <f t="shared" si="87"/>
        <v>Week 28-2025</v>
      </c>
      <c r="O1395"/>
      <c r="Q1395"/>
    </row>
    <row r="1396" spans="1:17" hidden="1" x14ac:dyDescent="0.2">
      <c r="A1396" s="3">
        <v>45846</v>
      </c>
      <c r="B1396" s="2" t="s">
        <v>18</v>
      </c>
      <c r="C1396" s="2">
        <v>2</v>
      </c>
      <c r="D1396" s="2">
        <f t="shared" si="84"/>
        <v>2025</v>
      </c>
      <c r="E1396" s="2" t="str">
        <f t="shared" si="85"/>
        <v>2025-28</v>
      </c>
      <c r="F1396" s="2" t="str">
        <f t="shared" si="86"/>
        <v>Week 28</v>
      </c>
      <c r="G1396" s="2" t="str">
        <f t="shared" si="87"/>
        <v>Week 28-2025</v>
      </c>
      <c r="O1396"/>
      <c r="Q1396"/>
    </row>
    <row r="1397" spans="1:17" hidden="1" x14ac:dyDescent="0.2">
      <c r="A1397" s="3">
        <v>45846</v>
      </c>
      <c r="B1397" s="2" t="s">
        <v>28</v>
      </c>
      <c r="C1397" s="2">
        <v>4</v>
      </c>
      <c r="D1397" s="2">
        <f t="shared" si="84"/>
        <v>2025</v>
      </c>
      <c r="E1397" s="2" t="str">
        <f t="shared" si="85"/>
        <v>2025-28</v>
      </c>
      <c r="F1397" s="2" t="str">
        <f t="shared" si="86"/>
        <v>Week 28</v>
      </c>
      <c r="G1397" s="2" t="str">
        <f t="shared" si="87"/>
        <v>Week 28-2025</v>
      </c>
      <c r="O1397"/>
      <c r="Q1397"/>
    </row>
    <row r="1398" spans="1:17" hidden="1" x14ac:dyDescent="0.2">
      <c r="A1398" s="3">
        <v>45846</v>
      </c>
      <c r="B1398" s="2" t="s">
        <v>8</v>
      </c>
      <c r="C1398" s="2">
        <v>1</v>
      </c>
      <c r="D1398" s="2">
        <f t="shared" si="84"/>
        <v>2025</v>
      </c>
      <c r="E1398" s="2" t="str">
        <f t="shared" si="85"/>
        <v>2025-28</v>
      </c>
      <c r="F1398" s="2" t="str">
        <f t="shared" si="86"/>
        <v>Week 28</v>
      </c>
      <c r="G1398" s="2" t="str">
        <f t="shared" si="87"/>
        <v>Week 28-2025</v>
      </c>
      <c r="O1398"/>
      <c r="Q1398"/>
    </row>
    <row r="1399" spans="1:17" hidden="1" x14ac:dyDescent="0.2">
      <c r="A1399" s="3">
        <v>45848</v>
      </c>
      <c r="B1399" s="2" t="s">
        <v>6</v>
      </c>
      <c r="C1399" s="2">
        <v>30</v>
      </c>
      <c r="D1399" s="2">
        <f t="shared" si="84"/>
        <v>2025</v>
      </c>
      <c r="E1399" s="2" t="str">
        <f t="shared" si="85"/>
        <v>2025-28</v>
      </c>
      <c r="F1399" s="2" t="str">
        <f t="shared" si="86"/>
        <v>Week 28</v>
      </c>
      <c r="G1399" s="2" t="str">
        <f t="shared" si="87"/>
        <v>Week 28-2025</v>
      </c>
      <c r="O1399"/>
      <c r="Q1399"/>
    </row>
    <row r="1400" spans="1:17" hidden="1" x14ac:dyDescent="0.2">
      <c r="A1400" s="3">
        <v>45848</v>
      </c>
      <c r="B1400" s="2" t="s">
        <v>7</v>
      </c>
      <c r="C1400" s="2">
        <v>18</v>
      </c>
      <c r="D1400" s="2">
        <f t="shared" si="84"/>
        <v>2025</v>
      </c>
      <c r="E1400" s="2" t="str">
        <f t="shared" si="85"/>
        <v>2025-28</v>
      </c>
      <c r="F1400" s="2" t="str">
        <f t="shared" si="86"/>
        <v>Week 28</v>
      </c>
      <c r="G1400" s="2" t="str">
        <f t="shared" si="87"/>
        <v>Week 28-2025</v>
      </c>
      <c r="O1400"/>
      <c r="Q1400"/>
    </row>
    <row r="1401" spans="1:17" hidden="1" x14ac:dyDescent="0.2">
      <c r="A1401" s="3">
        <v>45848</v>
      </c>
      <c r="B1401" s="2" t="s">
        <v>10</v>
      </c>
      <c r="C1401" s="2">
        <v>30</v>
      </c>
      <c r="D1401" s="2">
        <f t="shared" si="84"/>
        <v>2025</v>
      </c>
      <c r="E1401" s="2" t="str">
        <f t="shared" si="85"/>
        <v>2025-28</v>
      </c>
      <c r="F1401" s="2" t="str">
        <f t="shared" si="86"/>
        <v>Week 28</v>
      </c>
      <c r="G1401" s="2" t="str">
        <f t="shared" si="87"/>
        <v>Week 28-2025</v>
      </c>
      <c r="O1401"/>
      <c r="Q1401"/>
    </row>
    <row r="1402" spans="1:17" hidden="1" x14ac:dyDescent="0.2">
      <c r="A1402" s="3">
        <v>45848</v>
      </c>
      <c r="B1402" s="2" t="s">
        <v>7</v>
      </c>
      <c r="C1402" s="2">
        <v>12</v>
      </c>
      <c r="D1402" s="2">
        <f t="shared" si="84"/>
        <v>2025</v>
      </c>
      <c r="E1402" s="2" t="str">
        <f t="shared" si="85"/>
        <v>2025-28</v>
      </c>
      <c r="F1402" s="2" t="str">
        <f t="shared" si="86"/>
        <v>Week 28</v>
      </c>
      <c r="G1402" s="2" t="str">
        <f t="shared" si="87"/>
        <v>Week 28-2025</v>
      </c>
      <c r="O1402"/>
      <c r="Q1402"/>
    </row>
    <row r="1403" spans="1:17" hidden="1" x14ac:dyDescent="0.2">
      <c r="A1403" s="3">
        <v>45848</v>
      </c>
      <c r="B1403" s="2" t="s">
        <v>5</v>
      </c>
      <c r="C1403" s="2">
        <v>18</v>
      </c>
      <c r="D1403" s="2">
        <f t="shared" si="84"/>
        <v>2025</v>
      </c>
      <c r="E1403" s="2" t="str">
        <f t="shared" si="85"/>
        <v>2025-28</v>
      </c>
      <c r="F1403" s="2" t="str">
        <f t="shared" si="86"/>
        <v>Week 28</v>
      </c>
      <c r="G1403" s="2" t="str">
        <f t="shared" si="87"/>
        <v>Week 28-2025</v>
      </c>
      <c r="O1403"/>
      <c r="Q1403"/>
    </row>
    <row r="1404" spans="1:17" hidden="1" x14ac:dyDescent="0.2">
      <c r="A1404" s="3">
        <v>45848</v>
      </c>
      <c r="B1404" s="2" t="s">
        <v>3</v>
      </c>
      <c r="C1404" s="2">
        <v>6</v>
      </c>
      <c r="D1404" s="2">
        <f t="shared" si="84"/>
        <v>2025</v>
      </c>
      <c r="E1404" s="2" t="str">
        <f t="shared" si="85"/>
        <v>2025-28</v>
      </c>
      <c r="F1404" s="2" t="str">
        <f t="shared" si="86"/>
        <v>Week 28</v>
      </c>
      <c r="G1404" s="2" t="str">
        <f t="shared" si="87"/>
        <v>Week 28-2025</v>
      </c>
      <c r="O1404"/>
      <c r="Q1404"/>
    </row>
    <row r="1405" spans="1:17" hidden="1" x14ac:dyDescent="0.2">
      <c r="A1405" s="3">
        <v>45848</v>
      </c>
      <c r="B1405" s="2" t="s">
        <v>11</v>
      </c>
      <c r="C1405" s="2">
        <v>2</v>
      </c>
      <c r="D1405" s="2">
        <f t="shared" si="84"/>
        <v>2025</v>
      </c>
      <c r="E1405" s="2" t="str">
        <f t="shared" si="85"/>
        <v>2025-28</v>
      </c>
      <c r="F1405" s="2" t="str">
        <f t="shared" si="86"/>
        <v>Week 28</v>
      </c>
      <c r="G1405" s="2" t="str">
        <f t="shared" si="87"/>
        <v>Week 28-2025</v>
      </c>
      <c r="O1405"/>
      <c r="Q1405"/>
    </row>
    <row r="1406" spans="1:17" hidden="1" x14ac:dyDescent="0.2">
      <c r="A1406" s="3">
        <v>45848</v>
      </c>
      <c r="B1406" s="2" t="s">
        <v>12</v>
      </c>
      <c r="C1406" s="2">
        <v>2</v>
      </c>
      <c r="D1406" s="2">
        <f t="shared" si="84"/>
        <v>2025</v>
      </c>
      <c r="E1406" s="2" t="str">
        <f t="shared" si="85"/>
        <v>2025-28</v>
      </c>
      <c r="F1406" s="2" t="str">
        <f t="shared" si="86"/>
        <v>Week 28</v>
      </c>
      <c r="G1406" s="2" t="str">
        <f t="shared" si="87"/>
        <v>Week 28-2025</v>
      </c>
      <c r="O1406"/>
      <c r="Q1406"/>
    </row>
    <row r="1407" spans="1:17" hidden="1" x14ac:dyDescent="0.2">
      <c r="A1407" s="3">
        <v>45848</v>
      </c>
      <c r="B1407" s="2" t="s">
        <v>5</v>
      </c>
      <c r="C1407" s="2">
        <v>4</v>
      </c>
      <c r="D1407" s="2">
        <f t="shared" si="84"/>
        <v>2025</v>
      </c>
      <c r="E1407" s="2" t="str">
        <f t="shared" si="85"/>
        <v>2025-28</v>
      </c>
      <c r="F1407" s="2" t="str">
        <f t="shared" si="86"/>
        <v>Week 28</v>
      </c>
      <c r="G1407" s="2" t="str">
        <f t="shared" si="87"/>
        <v>Week 28-2025</v>
      </c>
      <c r="O1407"/>
      <c r="Q1407"/>
    </row>
    <row r="1408" spans="1:17" hidden="1" x14ac:dyDescent="0.2">
      <c r="A1408" s="3">
        <v>45848</v>
      </c>
      <c r="B1408" s="2" t="s">
        <v>10</v>
      </c>
      <c r="C1408" s="2">
        <v>4</v>
      </c>
      <c r="D1408" s="2">
        <f t="shared" si="84"/>
        <v>2025</v>
      </c>
      <c r="E1408" s="2" t="str">
        <f t="shared" si="85"/>
        <v>2025-28</v>
      </c>
      <c r="F1408" s="2" t="str">
        <f t="shared" si="86"/>
        <v>Week 28</v>
      </c>
      <c r="G1408" s="2" t="str">
        <f t="shared" si="87"/>
        <v>Week 28-2025</v>
      </c>
      <c r="O1408"/>
      <c r="Q1408"/>
    </row>
    <row r="1409" spans="1:17" hidden="1" x14ac:dyDescent="0.2">
      <c r="A1409" s="3">
        <v>45848</v>
      </c>
      <c r="B1409" s="2" t="s">
        <v>14</v>
      </c>
      <c r="C1409" s="2">
        <v>4</v>
      </c>
      <c r="D1409" s="2">
        <f t="shared" si="84"/>
        <v>2025</v>
      </c>
      <c r="E1409" s="2" t="str">
        <f t="shared" si="85"/>
        <v>2025-28</v>
      </c>
      <c r="F1409" s="2" t="str">
        <f t="shared" si="86"/>
        <v>Week 28</v>
      </c>
      <c r="G1409" s="2" t="str">
        <f t="shared" si="87"/>
        <v>Week 28-2025</v>
      </c>
      <c r="O1409"/>
      <c r="Q1409"/>
    </row>
    <row r="1410" spans="1:17" hidden="1" x14ac:dyDescent="0.2">
      <c r="A1410" s="3">
        <v>45849</v>
      </c>
      <c r="B1410" s="2" t="s">
        <v>10</v>
      </c>
      <c r="C1410" s="2">
        <v>6</v>
      </c>
      <c r="D1410" s="2">
        <f t="shared" ref="D1410:D1473" si="88">YEAR(A1410)</f>
        <v>2025</v>
      </c>
      <c r="E1410" s="2" t="str">
        <f t="shared" ref="E1410:E1473" si="89">YEAR(A1410)&amp;"-"&amp;_xlfn.ISOWEEKNUM(A1410)</f>
        <v>2025-28</v>
      </c>
      <c r="F1410" s="2" t="str">
        <f t="shared" ref="F1410:F1473" si="90">_xlfn.CONCAT("Week "&amp;WEEKNUM(A1410))</f>
        <v>Week 28</v>
      </c>
      <c r="G1410" s="2" t="str">
        <f t="shared" ref="G1410:G1473" si="91">_xlfn.CONCAT(F1410,"-",D1410)</f>
        <v>Week 28-2025</v>
      </c>
      <c r="O1410"/>
      <c r="Q1410"/>
    </row>
    <row r="1411" spans="1:17" hidden="1" x14ac:dyDescent="0.2">
      <c r="A1411" s="3">
        <v>45850</v>
      </c>
      <c r="B1411" s="2" t="s">
        <v>16</v>
      </c>
      <c r="C1411" s="2">
        <v>8</v>
      </c>
      <c r="D1411" s="2">
        <f t="shared" si="88"/>
        <v>2025</v>
      </c>
      <c r="E1411" s="2" t="str">
        <f t="shared" si="89"/>
        <v>2025-28</v>
      </c>
      <c r="F1411" s="2" t="str">
        <f t="shared" si="90"/>
        <v>Week 28</v>
      </c>
      <c r="G1411" s="2" t="str">
        <f t="shared" si="91"/>
        <v>Week 28-2025</v>
      </c>
      <c r="O1411"/>
      <c r="Q1411"/>
    </row>
    <row r="1412" spans="1:17" hidden="1" x14ac:dyDescent="0.2">
      <c r="A1412" s="3">
        <v>45850</v>
      </c>
      <c r="B1412" s="2" t="s">
        <v>9</v>
      </c>
      <c r="C1412" s="2">
        <v>29</v>
      </c>
      <c r="D1412" s="2">
        <f t="shared" si="88"/>
        <v>2025</v>
      </c>
      <c r="E1412" s="2" t="str">
        <f t="shared" si="89"/>
        <v>2025-28</v>
      </c>
      <c r="F1412" s="2" t="str">
        <f t="shared" si="90"/>
        <v>Week 28</v>
      </c>
      <c r="G1412" s="2" t="str">
        <f t="shared" si="91"/>
        <v>Week 28-2025</v>
      </c>
      <c r="O1412"/>
      <c r="Q1412"/>
    </row>
    <row r="1413" spans="1:17" hidden="1" x14ac:dyDescent="0.2">
      <c r="A1413" s="3">
        <v>45850</v>
      </c>
      <c r="B1413" s="2" t="s">
        <v>5</v>
      </c>
      <c r="C1413" s="2">
        <v>36</v>
      </c>
      <c r="D1413" s="2">
        <f t="shared" si="88"/>
        <v>2025</v>
      </c>
      <c r="E1413" s="2" t="str">
        <f t="shared" si="89"/>
        <v>2025-28</v>
      </c>
      <c r="F1413" s="2" t="str">
        <f t="shared" si="90"/>
        <v>Week 28</v>
      </c>
      <c r="G1413" s="2" t="str">
        <f t="shared" si="91"/>
        <v>Week 28-2025</v>
      </c>
      <c r="O1413"/>
      <c r="Q1413"/>
    </row>
    <row r="1414" spans="1:17" hidden="1" x14ac:dyDescent="0.2">
      <c r="A1414" s="3">
        <v>45850</v>
      </c>
      <c r="B1414" s="2" t="s">
        <v>4</v>
      </c>
      <c r="C1414" s="2">
        <v>8</v>
      </c>
      <c r="D1414" s="2">
        <f t="shared" si="88"/>
        <v>2025</v>
      </c>
      <c r="E1414" s="2" t="str">
        <f t="shared" si="89"/>
        <v>2025-28</v>
      </c>
      <c r="F1414" s="2" t="str">
        <f t="shared" si="90"/>
        <v>Week 28</v>
      </c>
      <c r="G1414" s="2" t="str">
        <f t="shared" si="91"/>
        <v>Week 28-2025</v>
      </c>
      <c r="O1414"/>
      <c r="Q1414"/>
    </row>
    <row r="1415" spans="1:17" hidden="1" x14ac:dyDescent="0.2">
      <c r="A1415" s="3">
        <v>45850</v>
      </c>
      <c r="B1415" s="2" t="s">
        <v>4</v>
      </c>
      <c r="C1415" s="2">
        <v>8</v>
      </c>
      <c r="D1415" s="2">
        <f t="shared" si="88"/>
        <v>2025</v>
      </c>
      <c r="E1415" s="2" t="str">
        <f t="shared" si="89"/>
        <v>2025-28</v>
      </c>
      <c r="F1415" s="2" t="str">
        <f t="shared" si="90"/>
        <v>Week 28</v>
      </c>
      <c r="G1415" s="2" t="str">
        <f t="shared" si="91"/>
        <v>Week 28-2025</v>
      </c>
      <c r="O1415"/>
      <c r="Q1415"/>
    </row>
    <row r="1416" spans="1:17" hidden="1" x14ac:dyDescent="0.2">
      <c r="A1416" s="3">
        <v>45850</v>
      </c>
      <c r="B1416" s="2" t="s">
        <v>9</v>
      </c>
      <c r="C1416" s="2">
        <v>8</v>
      </c>
      <c r="D1416" s="2">
        <f t="shared" si="88"/>
        <v>2025</v>
      </c>
      <c r="E1416" s="2" t="str">
        <f t="shared" si="89"/>
        <v>2025-28</v>
      </c>
      <c r="F1416" s="2" t="str">
        <f t="shared" si="90"/>
        <v>Week 28</v>
      </c>
      <c r="G1416" s="2" t="str">
        <f t="shared" si="91"/>
        <v>Week 28-2025</v>
      </c>
      <c r="O1416"/>
      <c r="Q1416"/>
    </row>
    <row r="1417" spans="1:17" hidden="1" x14ac:dyDescent="0.2">
      <c r="A1417" s="3">
        <v>45850</v>
      </c>
      <c r="B1417" s="2" t="s">
        <v>4</v>
      </c>
      <c r="C1417" s="2">
        <v>8</v>
      </c>
      <c r="D1417" s="2">
        <f t="shared" si="88"/>
        <v>2025</v>
      </c>
      <c r="E1417" s="2" t="str">
        <f t="shared" si="89"/>
        <v>2025-28</v>
      </c>
      <c r="F1417" s="2" t="str">
        <f t="shared" si="90"/>
        <v>Week 28</v>
      </c>
      <c r="G1417" s="2" t="str">
        <f t="shared" si="91"/>
        <v>Week 28-2025</v>
      </c>
      <c r="O1417"/>
      <c r="Q1417"/>
    </row>
    <row r="1418" spans="1:17" hidden="1" x14ac:dyDescent="0.2">
      <c r="A1418" s="3">
        <v>45850</v>
      </c>
      <c r="B1418" s="2" t="s">
        <v>3</v>
      </c>
      <c r="C1418" s="2">
        <v>8</v>
      </c>
      <c r="D1418" s="2">
        <f t="shared" si="88"/>
        <v>2025</v>
      </c>
      <c r="E1418" s="2" t="str">
        <f t="shared" si="89"/>
        <v>2025-28</v>
      </c>
      <c r="F1418" s="2" t="str">
        <f t="shared" si="90"/>
        <v>Week 28</v>
      </c>
      <c r="G1418" s="2" t="str">
        <f t="shared" si="91"/>
        <v>Week 28-2025</v>
      </c>
      <c r="O1418"/>
      <c r="Q1418"/>
    </row>
    <row r="1419" spans="1:17" hidden="1" x14ac:dyDescent="0.2">
      <c r="A1419" s="3">
        <v>45850</v>
      </c>
      <c r="B1419" s="2" t="s">
        <v>14</v>
      </c>
      <c r="C1419" s="2">
        <v>12</v>
      </c>
      <c r="D1419" s="2">
        <f t="shared" si="88"/>
        <v>2025</v>
      </c>
      <c r="E1419" s="2" t="str">
        <f t="shared" si="89"/>
        <v>2025-28</v>
      </c>
      <c r="F1419" s="2" t="str">
        <f t="shared" si="90"/>
        <v>Week 28</v>
      </c>
      <c r="G1419" s="2" t="str">
        <f t="shared" si="91"/>
        <v>Week 28-2025</v>
      </c>
      <c r="O1419"/>
      <c r="Q1419"/>
    </row>
    <row r="1420" spans="1:17" hidden="1" x14ac:dyDescent="0.2">
      <c r="A1420" s="3">
        <v>45850</v>
      </c>
      <c r="B1420" s="2" t="s">
        <v>4</v>
      </c>
      <c r="C1420" s="2">
        <v>4</v>
      </c>
      <c r="D1420" s="2">
        <f t="shared" si="88"/>
        <v>2025</v>
      </c>
      <c r="E1420" s="2" t="str">
        <f t="shared" si="89"/>
        <v>2025-28</v>
      </c>
      <c r="F1420" s="2" t="str">
        <f t="shared" si="90"/>
        <v>Week 28</v>
      </c>
      <c r="G1420" s="2" t="str">
        <f t="shared" si="91"/>
        <v>Week 28-2025</v>
      </c>
      <c r="O1420"/>
      <c r="Q1420"/>
    </row>
    <row r="1421" spans="1:17" hidden="1" x14ac:dyDescent="0.2">
      <c r="A1421" s="3">
        <v>45850</v>
      </c>
      <c r="B1421" s="2" t="s">
        <v>4</v>
      </c>
      <c r="C1421" s="2">
        <v>4</v>
      </c>
      <c r="D1421" s="2">
        <f t="shared" si="88"/>
        <v>2025</v>
      </c>
      <c r="E1421" s="2" t="str">
        <f t="shared" si="89"/>
        <v>2025-28</v>
      </c>
      <c r="F1421" s="2" t="str">
        <f t="shared" si="90"/>
        <v>Week 28</v>
      </c>
      <c r="G1421" s="2" t="str">
        <f t="shared" si="91"/>
        <v>Week 28-2025</v>
      </c>
      <c r="O1421"/>
      <c r="Q1421"/>
    </row>
    <row r="1422" spans="1:17" hidden="1" x14ac:dyDescent="0.2">
      <c r="A1422" s="3">
        <v>45850</v>
      </c>
      <c r="B1422" s="2" t="s">
        <v>12</v>
      </c>
      <c r="C1422" s="2">
        <v>2</v>
      </c>
      <c r="D1422" s="2">
        <f t="shared" si="88"/>
        <v>2025</v>
      </c>
      <c r="E1422" s="2" t="str">
        <f t="shared" si="89"/>
        <v>2025-28</v>
      </c>
      <c r="F1422" s="2" t="str">
        <f t="shared" si="90"/>
        <v>Week 28</v>
      </c>
      <c r="G1422" s="2" t="str">
        <f t="shared" si="91"/>
        <v>Week 28-2025</v>
      </c>
      <c r="O1422"/>
      <c r="Q1422"/>
    </row>
    <row r="1423" spans="1:17" hidden="1" x14ac:dyDescent="0.2">
      <c r="A1423" s="3">
        <v>45850</v>
      </c>
      <c r="B1423" s="2" t="s">
        <v>4</v>
      </c>
      <c r="C1423" s="2">
        <v>2</v>
      </c>
      <c r="D1423" s="2">
        <f t="shared" si="88"/>
        <v>2025</v>
      </c>
      <c r="E1423" s="2" t="str">
        <f t="shared" si="89"/>
        <v>2025-28</v>
      </c>
      <c r="F1423" s="2" t="str">
        <f t="shared" si="90"/>
        <v>Week 28</v>
      </c>
      <c r="G1423" s="2" t="str">
        <f t="shared" si="91"/>
        <v>Week 28-2025</v>
      </c>
      <c r="O1423"/>
      <c r="Q1423"/>
    </row>
    <row r="1424" spans="1:17" hidden="1" x14ac:dyDescent="0.2">
      <c r="A1424" s="3">
        <v>45850</v>
      </c>
      <c r="B1424" s="2" t="s">
        <v>4</v>
      </c>
      <c r="C1424" s="2">
        <v>2</v>
      </c>
      <c r="D1424" s="2">
        <f t="shared" si="88"/>
        <v>2025</v>
      </c>
      <c r="E1424" s="2" t="str">
        <f t="shared" si="89"/>
        <v>2025-28</v>
      </c>
      <c r="F1424" s="2" t="str">
        <f t="shared" si="90"/>
        <v>Week 28</v>
      </c>
      <c r="G1424" s="2" t="str">
        <f t="shared" si="91"/>
        <v>Week 28-2025</v>
      </c>
      <c r="O1424"/>
      <c r="Q1424"/>
    </row>
    <row r="1425" spans="1:17" hidden="1" x14ac:dyDescent="0.2">
      <c r="A1425" s="3">
        <v>45850</v>
      </c>
      <c r="B1425" s="2" t="s">
        <v>19</v>
      </c>
      <c r="C1425" s="2">
        <v>2</v>
      </c>
      <c r="D1425" s="2">
        <f t="shared" si="88"/>
        <v>2025</v>
      </c>
      <c r="E1425" s="2" t="str">
        <f t="shared" si="89"/>
        <v>2025-28</v>
      </c>
      <c r="F1425" s="2" t="str">
        <f t="shared" si="90"/>
        <v>Week 28</v>
      </c>
      <c r="G1425" s="2" t="str">
        <f t="shared" si="91"/>
        <v>Week 28-2025</v>
      </c>
      <c r="O1425"/>
      <c r="Q1425"/>
    </row>
    <row r="1426" spans="1:17" hidden="1" x14ac:dyDescent="0.2">
      <c r="A1426" s="3">
        <v>45850</v>
      </c>
      <c r="B1426" s="2" t="s">
        <v>5</v>
      </c>
      <c r="C1426" s="2">
        <v>2</v>
      </c>
      <c r="D1426" s="2">
        <f t="shared" si="88"/>
        <v>2025</v>
      </c>
      <c r="E1426" s="2" t="str">
        <f t="shared" si="89"/>
        <v>2025-28</v>
      </c>
      <c r="F1426" s="2" t="str">
        <f t="shared" si="90"/>
        <v>Week 28</v>
      </c>
      <c r="G1426" s="2" t="str">
        <f t="shared" si="91"/>
        <v>Week 28-2025</v>
      </c>
      <c r="O1426"/>
      <c r="Q1426"/>
    </row>
    <row r="1427" spans="1:17" hidden="1" x14ac:dyDescent="0.2">
      <c r="A1427" s="3">
        <v>45850</v>
      </c>
      <c r="B1427" s="2" t="s">
        <v>27</v>
      </c>
      <c r="C1427" s="2">
        <v>1</v>
      </c>
      <c r="D1427" s="2">
        <f t="shared" si="88"/>
        <v>2025</v>
      </c>
      <c r="E1427" s="2" t="str">
        <f t="shared" si="89"/>
        <v>2025-28</v>
      </c>
      <c r="F1427" s="2" t="str">
        <f t="shared" si="90"/>
        <v>Week 28</v>
      </c>
      <c r="G1427" s="2" t="str">
        <f t="shared" si="91"/>
        <v>Week 28-2025</v>
      </c>
      <c r="O1427"/>
      <c r="Q1427"/>
    </row>
    <row r="1428" spans="1:17" x14ac:dyDescent="0.2">
      <c r="A1428" s="3">
        <v>45853</v>
      </c>
      <c r="B1428" s="2" t="s">
        <v>24</v>
      </c>
      <c r="C1428" s="2">
        <v>48</v>
      </c>
      <c r="D1428" s="2">
        <f t="shared" si="88"/>
        <v>2025</v>
      </c>
      <c r="E1428" s="2" t="str">
        <f t="shared" si="89"/>
        <v>2025-29</v>
      </c>
      <c r="F1428" s="2" t="str">
        <f t="shared" si="90"/>
        <v>Week 29</v>
      </c>
      <c r="G1428" s="2" t="str">
        <f t="shared" si="91"/>
        <v>Week 29-2025</v>
      </c>
      <c r="O1428"/>
      <c r="Q1428"/>
    </row>
    <row r="1429" spans="1:17" hidden="1" x14ac:dyDescent="0.2">
      <c r="A1429" s="3">
        <v>45853</v>
      </c>
      <c r="B1429" s="2" t="s">
        <v>36</v>
      </c>
      <c r="C1429" s="2">
        <v>30</v>
      </c>
      <c r="D1429" s="2">
        <f t="shared" si="88"/>
        <v>2025</v>
      </c>
      <c r="E1429" s="2" t="str">
        <f t="shared" si="89"/>
        <v>2025-29</v>
      </c>
      <c r="F1429" s="2" t="str">
        <f t="shared" si="90"/>
        <v>Week 29</v>
      </c>
      <c r="G1429" s="2" t="str">
        <f t="shared" si="91"/>
        <v>Week 29-2025</v>
      </c>
      <c r="O1429"/>
      <c r="Q1429"/>
    </row>
    <row r="1430" spans="1:17" hidden="1" x14ac:dyDescent="0.2">
      <c r="A1430" s="3">
        <v>45853</v>
      </c>
      <c r="B1430" s="2" t="s">
        <v>9</v>
      </c>
      <c r="C1430" s="2">
        <v>8</v>
      </c>
      <c r="D1430" s="2">
        <f t="shared" si="88"/>
        <v>2025</v>
      </c>
      <c r="E1430" s="2" t="str">
        <f t="shared" si="89"/>
        <v>2025-29</v>
      </c>
      <c r="F1430" s="2" t="str">
        <f t="shared" si="90"/>
        <v>Week 29</v>
      </c>
      <c r="G1430" s="2" t="str">
        <f t="shared" si="91"/>
        <v>Week 29-2025</v>
      </c>
      <c r="O1430"/>
      <c r="Q1430"/>
    </row>
    <row r="1431" spans="1:17" hidden="1" x14ac:dyDescent="0.2">
      <c r="A1431" s="3">
        <v>45853</v>
      </c>
      <c r="B1431" s="2" t="s">
        <v>6</v>
      </c>
      <c r="C1431" s="2">
        <v>5</v>
      </c>
      <c r="D1431" s="2">
        <f t="shared" si="88"/>
        <v>2025</v>
      </c>
      <c r="E1431" s="2" t="str">
        <f t="shared" si="89"/>
        <v>2025-29</v>
      </c>
      <c r="F1431" s="2" t="str">
        <f t="shared" si="90"/>
        <v>Week 29</v>
      </c>
      <c r="G1431" s="2" t="str">
        <f t="shared" si="91"/>
        <v>Week 29-2025</v>
      </c>
      <c r="O1431"/>
      <c r="Q1431"/>
    </row>
    <row r="1432" spans="1:17" hidden="1" x14ac:dyDescent="0.2">
      <c r="A1432" s="3">
        <v>45853</v>
      </c>
      <c r="B1432" s="2" t="s">
        <v>9</v>
      </c>
      <c r="C1432" s="2">
        <v>5</v>
      </c>
      <c r="D1432" s="2">
        <f t="shared" si="88"/>
        <v>2025</v>
      </c>
      <c r="E1432" s="2" t="str">
        <f t="shared" si="89"/>
        <v>2025-29</v>
      </c>
      <c r="F1432" s="2" t="str">
        <f t="shared" si="90"/>
        <v>Week 29</v>
      </c>
      <c r="G1432" s="2" t="str">
        <f t="shared" si="91"/>
        <v>Week 29-2025</v>
      </c>
      <c r="O1432"/>
      <c r="Q1432"/>
    </row>
    <row r="1433" spans="1:17" hidden="1" x14ac:dyDescent="0.2">
      <c r="A1433" s="3">
        <v>45853</v>
      </c>
      <c r="B1433" s="2" t="s">
        <v>6</v>
      </c>
      <c r="C1433" s="2">
        <v>3</v>
      </c>
      <c r="D1433" s="2">
        <f t="shared" si="88"/>
        <v>2025</v>
      </c>
      <c r="E1433" s="2" t="str">
        <f t="shared" si="89"/>
        <v>2025-29</v>
      </c>
      <c r="F1433" s="2" t="str">
        <f t="shared" si="90"/>
        <v>Week 29</v>
      </c>
      <c r="G1433" s="2" t="str">
        <f t="shared" si="91"/>
        <v>Week 29-2025</v>
      </c>
      <c r="O1433"/>
      <c r="Q1433"/>
    </row>
    <row r="1434" spans="1:17" hidden="1" x14ac:dyDescent="0.2">
      <c r="A1434" s="3">
        <v>45853</v>
      </c>
      <c r="B1434" s="2" t="s">
        <v>9</v>
      </c>
      <c r="C1434" s="2">
        <v>3</v>
      </c>
      <c r="D1434" s="2">
        <f t="shared" si="88"/>
        <v>2025</v>
      </c>
      <c r="E1434" s="2" t="str">
        <f t="shared" si="89"/>
        <v>2025-29</v>
      </c>
      <c r="F1434" s="2" t="str">
        <f t="shared" si="90"/>
        <v>Week 29</v>
      </c>
      <c r="G1434" s="2" t="str">
        <f t="shared" si="91"/>
        <v>Week 29-2025</v>
      </c>
      <c r="O1434"/>
      <c r="Q1434"/>
    </row>
    <row r="1435" spans="1:17" hidden="1" x14ac:dyDescent="0.2">
      <c r="A1435" s="3">
        <v>45853</v>
      </c>
      <c r="B1435" s="2" t="s">
        <v>17</v>
      </c>
      <c r="C1435" s="2">
        <v>4</v>
      </c>
      <c r="D1435" s="2">
        <f t="shared" si="88"/>
        <v>2025</v>
      </c>
      <c r="E1435" s="2" t="str">
        <f t="shared" si="89"/>
        <v>2025-29</v>
      </c>
      <c r="F1435" s="2" t="str">
        <f t="shared" si="90"/>
        <v>Week 29</v>
      </c>
      <c r="G1435" s="2" t="str">
        <f t="shared" si="91"/>
        <v>Week 29-2025</v>
      </c>
      <c r="O1435"/>
      <c r="Q1435"/>
    </row>
    <row r="1436" spans="1:17" hidden="1" x14ac:dyDescent="0.2">
      <c r="A1436" s="3">
        <v>45854</v>
      </c>
      <c r="B1436" s="2" t="s">
        <v>9</v>
      </c>
      <c r="C1436" s="2">
        <v>7</v>
      </c>
      <c r="D1436" s="2">
        <f t="shared" si="88"/>
        <v>2025</v>
      </c>
      <c r="E1436" s="2" t="str">
        <f t="shared" si="89"/>
        <v>2025-29</v>
      </c>
      <c r="F1436" s="2" t="str">
        <f t="shared" si="90"/>
        <v>Week 29</v>
      </c>
      <c r="G1436" s="2" t="str">
        <f t="shared" si="91"/>
        <v>Week 29-2025</v>
      </c>
      <c r="O1436"/>
      <c r="Q1436"/>
    </row>
    <row r="1437" spans="1:17" hidden="1" x14ac:dyDescent="0.2">
      <c r="A1437" s="3">
        <v>45854</v>
      </c>
      <c r="B1437" s="2" t="s">
        <v>3</v>
      </c>
      <c r="C1437" s="2">
        <v>6</v>
      </c>
      <c r="D1437" s="2">
        <f t="shared" si="88"/>
        <v>2025</v>
      </c>
      <c r="E1437" s="2" t="str">
        <f t="shared" si="89"/>
        <v>2025-29</v>
      </c>
      <c r="F1437" s="2" t="str">
        <f t="shared" si="90"/>
        <v>Week 29</v>
      </c>
      <c r="G1437" s="2" t="str">
        <f t="shared" si="91"/>
        <v>Week 29-2025</v>
      </c>
      <c r="O1437"/>
      <c r="Q1437"/>
    </row>
    <row r="1438" spans="1:17" hidden="1" x14ac:dyDescent="0.2">
      <c r="A1438" s="3">
        <v>45854</v>
      </c>
      <c r="B1438" s="2" t="s">
        <v>6</v>
      </c>
      <c r="C1438" s="2">
        <v>4</v>
      </c>
      <c r="D1438" s="2">
        <f t="shared" si="88"/>
        <v>2025</v>
      </c>
      <c r="E1438" s="2" t="str">
        <f t="shared" si="89"/>
        <v>2025-29</v>
      </c>
      <c r="F1438" s="2" t="str">
        <f t="shared" si="90"/>
        <v>Week 29</v>
      </c>
      <c r="G1438" s="2" t="str">
        <f t="shared" si="91"/>
        <v>Week 29-2025</v>
      </c>
      <c r="O1438"/>
      <c r="Q1438"/>
    </row>
    <row r="1439" spans="1:17" hidden="1" x14ac:dyDescent="0.2">
      <c r="A1439" s="3">
        <v>45854</v>
      </c>
      <c r="B1439" s="2" t="s">
        <v>9</v>
      </c>
      <c r="C1439" s="2">
        <v>5</v>
      </c>
      <c r="D1439" s="2">
        <f t="shared" si="88"/>
        <v>2025</v>
      </c>
      <c r="E1439" s="2" t="str">
        <f t="shared" si="89"/>
        <v>2025-29</v>
      </c>
      <c r="F1439" s="2" t="str">
        <f t="shared" si="90"/>
        <v>Week 29</v>
      </c>
      <c r="G1439" s="2" t="str">
        <f t="shared" si="91"/>
        <v>Week 29-2025</v>
      </c>
      <c r="O1439"/>
      <c r="Q1439"/>
    </row>
    <row r="1440" spans="1:17" hidden="1" x14ac:dyDescent="0.2">
      <c r="A1440" s="3">
        <v>45854</v>
      </c>
      <c r="B1440" s="2" t="s">
        <v>9</v>
      </c>
      <c r="C1440" s="2">
        <v>4</v>
      </c>
      <c r="D1440" s="2">
        <f t="shared" si="88"/>
        <v>2025</v>
      </c>
      <c r="E1440" s="2" t="str">
        <f t="shared" si="89"/>
        <v>2025-29</v>
      </c>
      <c r="F1440" s="2" t="str">
        <f t="shared" si="90"/>
        <v>Week 29</v>
      </c>
      <c r="G1440" s="2" t="str">
        <f t="shared" si="91"/>
        <v>Week 29-2025</v>
      </c>
      <c r="O1440"/>
      <c r="Q1440"/>
    </row>
    <row r="1441" spans="1:17" hidden="1" x14ac:dyDescent="0.2">
      <c r="A1441" s="3">
        <v>45854</v>
      </c>
      <c r="B1441" s="2" t="s">
        <v>36</v>
      </c>
      <c r="C1441" s="2">
        <v>7</v>
      </c>
      <c r="D1441" s="2">
        <f t="shared" si="88"/>
        <v>2025</v>
      </c>
      <c r="E1441" s="2" t="str">
        <f t="shared" si="89"/>
        <v>2025-29</v>
      </c>
      <c r="F1441" s="2" t="str">
        <f t="shared" si="90"/>
        <v>Week 29</v>
      </c>
      <c r="G1441" s="2" t="str">
        <f t="shared" si="91"/>
        <v>Week 29-2025</v>
      </c>
      <c r="O1441"/>
      <c r="Q1441"/>
    </row>
    <row r="1442" spans="1:17" hidden="1" x14ac:dyDescent="0.2">
      <c r="A1442" s="3">
        <v>45854</v>
      </c>
      <c r="B1442" s="2" t="s">
        <v>15</v>
      </c>
      <c r="C1442" s="2">
        <v>2</v>
      </c>
      <c r="D1442" s="2">
        <f t="shared" si="88"/>
        <v>2025</v>
      </c>
      <c r="E1442" s="2" t="str">
        <f t="shared" si="89"/>
        <v>2025-29</v>
      </c>
      <c r="F1442" s="2" t="str">
        <f t="shared" si="90"/>
        <v>Week 29</v>
      </c>
      <c r="G1442" s="2" t="str">
        <f t="shared" si="91"/>
        <v>Week 29-2025</v>
      </c>
      <c r="O1442"/>
      <c r="Q1442"/>
    </row>
    <row r="1443" spans="1:17" hidden="1" x14ac:dyDescent="0.2">
      <c r="A1443" s="3">
        <v>45854</v>
      </c>
      <c r="B1443" s="2" t="s">
        <v>27</v>
      </c>
      <c r="C1443" s="2">
        <v>1</v>
      </c>
      <c r="D1443" s="2">
        <f t="shared" si="88"/>
        <v>2025</v>
      </c>
      <c r="E1443" s="2" t="str">
        <f t="shared" si="89"/>
        <v>2025-29</v>
      </c>
      <c r="F1443" s="2" t="str">
        <f t="shared" si="90"/>
        <v>Week 29</v>
      </c>
      <c r="G1443" s="2" t="str">
        <f t="shared" si="91"/>
        <v>Week 29-2025</v>
      </c>
      <c r="O1443"/>
      <c r="Q1443"/>
    </row>
    <row r="1444" spans="1:17" hidden="1" x14ac:dyDescent="0.2">
      <c r="A1444" s="3">
        <v>45855</v>
      </c>
      <c r="B1444" s="2" t="s">
        <v>3</v>
      </c>
      <c r="C1444" s="2">
        <v>36</v>
      </c>
      <c r="D1444" s="2">
        <f t="shared" si="88"/>
        <v>2025</v>
      </c>
      <c r="E1444" s="2" t="str">
        <f t="shared" si="89"/>
        <v>2025-29</v>
      </c>
      <c r="F1444" s="2" t="str">
        <f t="shared" si="90"/>
        <v>Week 29</v>
      </c>
      <c r="G1444" s="2" t="str">
        <f t="shared" si="91"/>
        <v>Week 29-2025</v>
      </c>
      <c r="O1444"/>
      <c r="Q1444"/>
    </row>
    <row r="1445" spans="1:17" hidden="1" x14ac:dyDescent="0.2">
      <c r="A1445" s="3">
        <v>45855</v>
      </c>
      <c r="B1445" s="2" t="s">
        <v>5</v>
      </c>
      <c r="C1445" s="2">
        <v>18</v>
      </c>
      <c r="D1445" s="2">
        <f t="shared" si="88"/>
        <v>2025</v>
      </c>
      <c r="E1445" s="2" t="str">
        <f t="shared" si="89"/>
        <v>2025-29</v>
      </c>
      <c r="F1445" s="2" t="str">
        <f t="shared" si="90"/>
        <v>Week 29</v>
      </c>
      <c r="G1445" s="2" t="str">
        <f t="shared" si="91"/>
        <v>Week 29-2025</v>
      </c>
      <c r="O1445"/>
      <c r="Q1445"/>
    </row>
    <row r="1446" spans="1:17" hidden="1" x14ac:dyDescent="0.2">
      <c r="A1446" s="3">
        <v>45855</v>
      </c>
      <c r="B1446" s="2" t="s">
        <v>5</v>
      </c>
      <c r="C1446" s="2">
        <v>16</v>
      </c>
      <c r="D1446" s="2">
        <f t="shared" si="88"/>
        <v>2025</v>
      </c>
      <c r="E1446" s="2" t="str">
        <f t="shared" si="89"/>
        <v>2025-29</v>
      </c>
      <c r="F1446" s="2" t="str">
        <f t="shared" si="90"/>
        <v>Week 29</v>
      </c>
      <c r="G1446" s="2" t="str">
        <f t="shared" si="91"/>
        <v>Week 29-2025</v>
      </c>
      <c r="O1446"/>
      <c r="Q1446"/>
    </row>
    <row r="1447" spans="1:17" hidden="1" x14ac:dyDescent="0.2">
      <c r="A1447" s="3">
        <v>45855</v>
      </c>
      <c r="B1447" s="2" t="s">
        <v>9</v>
      </c>
      <c r="C1447" s="2">
        <v>12</v>
      </c>
      <c r="D1447" s="2">
        <f t="shared" si="88"/>
        <v>2025</v>
      </c>
      <c r="E1447" s="2" t="str">
        <f t="shared" si="89"/>
        <v>2025-29</v>
      </c>
      <c r="F1447" s="2" t="str">
        <f t="shared" si="90"/>
        <v>Week 29</v>
      </c>
      <c r="G1447" s="2" t="str">
        <f t="shared" si="91"/>
        <v>Week 29-2025</v>
      </c>
      <c r="O1447"/>
      <c r="Q1447"/>
    </row>
    <row r="1448" spans="1:17" hidden="1" x14ac:dyDescent="0.2">
      <c r="A1448" s="3">
        <v>45855</v>
      </c>
      <c r="B1448" s="2" t="s">
        <v>4</v>
      </c>
      <c r="C1448" s="2">
        <v>6</v>
      </c>
      <c r="D1448" s="2">
        <f t="shared" si="88"/>
        <v>2025</v>
      </c>
      <c r="E1448" s="2" t="str">
        <f t="shared" si="89"/>
        <v>2025-29</v>
      </c>
      <c r="F1448" s="2" t="str">
        <f t="shared" si="90"/>
        <v>Week 29</v>
      </c>
      <c r="G1448" s="2" t="str">
        <f t="shared" si="91"/>
        <v>Week 29-2025</v>
      </c>
      <c r="O1448"/>
      <c r="Q1448"/>
    </row>
    <row r="1449" spans="1:17" hidden="1" x14ac:dyDescent="0.2">
      <c r="A1449" s="3">
        <v>45855</v>
      </c>
      <c r="B1449" s="2" t="s">
        <v>14</v>
      </c>
      <c r="C1449" s="2">
        <v>10</v>
      </c>
      <c r="D1449" s="2">
        <f t="shared" si="88"/>
        <v>2025</v>
      </c>
      <c r="E1449" s="2" t="str">
        <f t="shared" si="89"/>
        <v>2025-29</v>
      </c>
      <c r="F1449" s="2" t="str">
        <f t="shared" si="90"/>
        <v>Week 29</v>
      </c>
      <c r="G1449" s="2" t="str">
        <f t="shared" si="91"/>
        <v>Week 29-2025</v>
      </c>
      <c r="O1449"/>
      <c r="Q1449"/>
    </row>
    <row r="1450" spans="1:17" hidden="1" x14ac:dyDescent="0.2">
      <c r="A1450" s="3">
        <v>45855</v>
      </c>
      <c r="B1450" s="2" t="s">
        <v>3</v>
      </c>
      <c r="C1450" s="2">
        <v>6</v>
      </c>
      <c r="D1450" s="2">
        <f t="shared" si="88"/>
        <v>2025</v>
      </c>
      <c r="E1450" s="2" t="str">
        <f t="shared" si="89"/>
        <v>2025-29</v>
      </c>
      <c r="F1450" s="2" t="str">
        <f t="shared" si="90"/>
        <v>Week 29</v>
      </c>
      <c r="G1450" s="2" t="str">
        <f t="shared" si="91"/>
        <v>Week 29-2025</v>
      </c>
      <c r="O1450"/>
      <c r="Q1450"/>
    </row>
    <row r="1451" spans="1:17" hidden="1" x14ac:dyDescent="0.2">
      <c r="A1451" s="3">
        <v>45855</v>
      </c>
      <c r="B1451" s="2" t="s">
        <v>10</v>
      </c>
      <c r="C1451" s="2">
        <v>8</v>
      </c>
      <c r="D1451" s="2">
        <f t="shared" si="88"/>
        <v>2025</v>
      </c>
      <c r="E1451" s="2" t="str">
        <f t="shared" si="89"/>
        <v>2025-29</v>
      </c>
      <c r="F1451" s="2" t="str">
        <f t="shared" si="90"/>
        <v>Week 29</v>
      </c>
      <c r="G1451" s="2" t="str">
        <f t="shared" si="91"/>
        <v>Week 29-2025</v>
      </c>
      <c r="O1451"/>
      <c r="Q1451"/>
    </row>
    <row r="1452" spans="1:17" hidden="1" x14ac:dyDescent="0.2">
      <c r="A1452" s="3">
        <v>45855</v>
      </c>
      <c r="B1452" s="2" t="s">
        <v>15</v>
      </c>
      <c r="C1452" s="2">
        <v>10</v>
      </c>
      <c r="D1452" s="2">
        <f t="shared" si="88"/>
        <v>2025</v>
      </c>
      <c r="E1452" s="2" t="str">
        <f t="shared" si="89"/>
        <v>2025-29</v>
      </c>
      <c r="F1452" s="2" t="str">
        <f t="shared" si="90"/>
        <v>Week 29</v>
      </c>
      <c r="G1452" s="2" t="str">
        <f t="shared" si="91"/>
        <v>Week 29-2025</v>
      </c>
      <c r="O1452"/>
      <c r="Q1452"/>
    </row>
    <row r="1453" spans="1:17" hidden="1" x14ac:dyDescent="0.2">
      <c r="A1453" s="3">
        <v>45855</v>
      </c>
      <c r="B1453" s="2" t="s">
        <v>8</v>
      </c>
      <c r="C1453" s="2">
        <v>7</v>
      </c>
      <c r="D1453" s="2">
        <f t="shared" si="88"/>
        <v>2025</v>
      </c>
      <c r="E1453" s="2" t="str">
        <f t="shared" si="89"/>
        <v>2025-29</v>
      </c>
      <c r="F1453" s="2" t="str">
        <f t="shared" si="90"/>
        <v>Week 29</v>
      </c>
      <c r="G1453" s="2" t="str">
        <f t="shared" si="91"/>
        <v>Week 29-2025</v>
      </c>
      <c r="O1453"/>
      <c r="Q1453"/>
    </row>
    <row r="1454" spans="1:17" hidden="1" x14ac:dyDescent="0.2">
      <c r="A1454" s="3">
        <v>45855</v>
      </c>
      <c r="B1454" s="2" t="s">
        <v>14</v>
      </c>
      <c r="C1454" s="2">
        <v>6</v>
      </c>
      <c r="D1454" s="2">
        <f t="shared" si="88"/>
        <v>2025</v>
      </c>
      <c r="E1454" s="2" t="str">
        <f t="shared" si="89"/>
        <v>2025-29</v>
      </c>
      <c r="F1454" s="2" t="str">
        <f t="shared" si="90"/>
        <v>Week 29</v>
      </c>
      <c r="G1454" s="2" t="str">
        <f t="shared" si="91"/>
        <v>Week 29-2025</v>
      </c>
      <c r="O1454"/>
      <c r="Q1454"/>
    </row>
    <row r="1455" spans="1:17" hidden="1" x14ac:dyDescent="0.2">
      <c r="A1455" s="3">
        <v>45855</v>
      </c>
      <c r="B1455" s="2" t="s">
        <v>5</v>
      </c>
      <c r="C1455" s="2">
        <v>4</v>
      </c>
      <c r="D1455" s="2">
        <f t="shared" si="88"/>
        <v>2025</v>
      </c>
      <c r="E1455" s="2" t="str">
        <f t="shared" si="89"/>
        <v>2025-29</v>
      </c>
      <c r="F1455" s="2" t="str">
        <f t="shared" si="90"/>
        <v>Week 29</v>
      </c>
      <c r="G1455" s="2" t="str">
        <f t="shared" si="91"/>
        <v>Week 29-2025</v>
      </c>
      <c r="O1455"/>
      <c r="Q1455"/>
    </row>
    <row r="1456" spans="1:17" hidden="1" x14ac:dyDescent="0.2">
      <c r="A1456" s="3">
        <v>45855</v>
      </c>
      <c r="B1456" s="2" t="s">
        <v>15</v>
      </c>
      <c r="C1456" s="2">
        <v>6</v>
      </c>
      <c r="D1456" s="2">
        <f t="shared" si="88"/>
        <v>2025</v>
      </c>
      <c r="E1456" s="2" t="str">
        <f t="shared" si="89"/>
        <v>2025-29</v>
      </c>
      <c r="F1456" s="2" t="str">
        <f t="shared" si="90"/>
        <v>Week 29</v>
      </c>
      <c r="G1456" s="2" t="str">
        <f t="shared" si="91"/>
        <v>Week 29-2025</v>
      </c>
      <c r="O1456"/>
      <c r="Q1456"/>
    </row>
    <row r="1457" spans="1:17" hidden="1" x14ac:dyDescent="0.2">
      <c r="A1457" s="3">
        <v>45855</v>
      </c>
      <c r="B1457" s="2" t="s">
        <v>29</v>
      </c>
      <c r="C1457" s="2">
        <v>2</v>
      </c>
      <c r="D1457" s="2">
        <f t="shared" si="88"/>
        <v>2025</v>
      </c>
      <c r="E1457" s="2" t="str">
        <f t="shared" si="89"/>
        <v>2025-29</v>
      </c>
      <c r="F1457" s="2" t="str">
        <f t="shared" si="90"/>
        <v>Week 29</v>
      </c>
      <c r="G1457" s="2" t="str">
        <f t="shared" si="91"/>
        <v>Week 29-2025</v>
      </c>
      <c r="O1457"/>
      <c r="Q1457"/>
    </row>
    <row r="1458" spans="1:17" hidden="1" x14ac:dyDescent="0.2">
      <c r="A1458" s="3">
        <v>45855</v>
      </c>
      <c r="B1458" s="2" t="s">
        <v>27</v>
      </c>
      <c r="C1458" s="2">
        <v>2</v>
      </c>
      <c r="D1458" s="2">
        <f t="shared" si="88"/>
        <v>2025</v>
      </c>
      <c r="E1458" s="2" t="str">
        <f t="shared" si="89"/>
        <v>2025-29</v>
      </c>
      <c r="F1458" s="2" t="str">
        <f t="shared" si="90"/>
        <v>Week 29</v>
      </c>
      <c r="G1458" s="2" t="str">
        <f t="shared" si="91"/>
        <v>Week 29-2025</v>
      </c>
      <c r="O1458"/>
      <c r="Q1458"/>
    </row>
    <row r="1459" spans="1:17" hidden="1" x14ac:dyDescent="0.2">
      <c r="A1459" s="3">
        <v>45855</v>
      </c>
      <c r="B1459" s="2" t="s">
        <v>36</v>
      </c>
      <c r="C1459" s="2">
        <v>2</v>
      </c>
      <c r="D1459" s="2">
        <f t="shared" si="88"/>
        <v>2025</v>
      </c>
      <c r="E1459" s="2" t="str">
        <f t="shared" si="89"/>
        <v>2025-29</v>
      </c>
      <c r="F1459" s="2" t="str">
        <f t="shared" si="90"/>
        <v>Week 29</v>
      </c>
      <c r="G1459" s="2" t="str">
        <f t="shared" si="91"/>
        <v>Week 29-2025</v>
      </c>
      <c r="O1459"/>
      <c r="Q1459"/>
    </row>
    <row r="1460" spans="1:17" hidden="1" x14ac:dyDescent="0.2">
      <c r="A1460" s="3">
        <v>45855</v>
      </c>
      <c r="B1460" s="2" t="s">
        <v>28</v>
      </c>
      <c r="C1460" s="2">
        <v>1</v>
      </c>
      <c r="D1460" s="2">
        <f t="shared" si="88"/>
        <v>2025</v>
      </c>
      <c r="E1460" s="2" t="str">
        <f t="shared" si="89"/>
        <v>2025-29</v>
      </c>
      <c r="F1460" s="2" t="str">
        <f t="shared" si="90"/>
        <v>Week 29</v>
      </c>
      <c r="G1460" s="2" t="str">
        <f t="shared" si="91"/>
        <v>Week 29-2025</v>
      </c>
      <c r="O1460"/>
      <c r="Q1460"/>
    </row>
    <row r="1461" spans="1:17" hidden="1" x14ac:dyDescent="0.2">
      <c r="A1461" s="3">
        <v>45857</v>
      </c>
      <c r="B1461" s="2" t="s">
        <v>12</v>
      </c>
      <c r="C1461" s="2">
        <v>5</v>
      </c>
      <c r="D1461" s="2">
        <f t="shared" si="88"/>
        <v>2025</v>
      </c>
      <c r="E1461" s="2" t="str">
        <f t="shared" si="89"/>
        <v>2025-29</v>
      </c>
      <c r="F1461" s="2" t="str">
        <f t="shared" si="90"/>
        <v>Week 29</v>
      </c>
      <c r="G1461" s="2" t="str">
        <f t="shared" si="91"/>
        <v>Week 29-2025</v>
      </c>
      <c r="O1461"/>
      <c r="Q1461"/>
    </row>
    <row r="1462" spans="1:17" hidden="1" x14ac:dyDescent="0.2">
      <c r="A1462" s="3">
        <v>45857</v>
      </c>
      <c r="B1462" s="2" t="s">
        <v>29</v>
      </c>
      <c r="C1462" s="2">
        <v>2</v>
      </c>
      <c r="D1462" s="2">
        <f t="shared" si="88"/>
        <v>2025</v>
      </c>
      <c r="E1462" s="2" t="str">
        <f t="shared" si="89"/>
        <v>2025-29</v>
      </c>
      <c r="F1462" s="2" t="str">
        <f t="shared" si="90"/>
        <v>Week 29</v>
      </c>
      <c r="G1462" s="2" t="str">
        <f t="shared" si="91"/>
        <v>Week 29-2025</v>
      </c>
      <c r="O1462"/>
      <c r="Q1462"/>
    </row>
    <row r="1463" spans="1:17" hidden="1" x14ac:dyDescent="0.2">
      <c r="A1463" s="3">
        <v>45858</v>
      </c>
      <c r="B1463" s="2" t="s">
        <v>3</v>
      </c>
      <c r="C1463" s="2">
        <v>16</v>
      </c>
      <c r="D1463" s="2">
        <f t="shared" si="88"/>
        <v>2025</v>
      </c>
      <c r="E1463" s="2" t="str">
        <f t="shared" si="89"/>
        <v>2025-29</v>
      </c>
      <c r="F1463" s="2" t="str">
        <f t="shared" si="90"/>
        <v>Week 30</v>
      </c>
      <c r="G1463" s="2" t="str">
        <f t="shared" si="91"/>
        <v>Week 30-2025</v>
      </c>
      <c r="O1463"/>
      <c r="Q1463"/>
    </row>
    <row r="1464" spans="1:17" hidden="1" x14ac:dyDescent="0.2">
      <c r="A1464" s="3">
        <v>45858</v>
      </c>
      <c r="B1464" s="2" t="s">
        <v>4</v>
      </c>
      <c r="C1464" s="2">
        <v>10</v>
      </c>
      <c r="D1464" s="2">
        <f t="shared" si="88"/>
        <v>2025</v>
      </c>
      <c r="E1464" s="2" t="str">
        <f t="shared" si="89"/>
        <v>2025-29</v>
      </c>
      <c r="F1464" s="2" t="str">
        <f t="shared" si="90"/>
        <v>Week 30</v>
      </c>
      <c r="G1464" s="2" t="str">
        <f t="shared" si="91"/>
        <v>Week 30-2025</v>
      </c>
      <c r="O1464"/>
      <c r="Q1464"/>
    </row>
    <row r="1465" spans="1:17" hidden="1" x14ac:dyDescent="0.2">
      <c r="A1465" s="3">
        <v>45858</v>
      </c>
      <c r="B1465" s="2" t="s">
        <v>4</v>
      </c>
      <c r="C1465" s="2">
        <v>8</v>
      </c>
      <c r="D1465" s="2">
        <f t="shared" si="88"/>
        <v>2025</v>
      </c>
      <c r="E1465" s="2" t="str">
        <f t="shared" si="89"/>
        <v>2025-29</v>
      </c>
      <c r="F1465" s="2" t="str">
        <f t="shared" si="90"/>
        <v>Week 30</v>
      </c>
      <c r="G1465" s="2" t="str">
        <f t="shared" si="91"/>
        <v>Week 30-2025</v>
      </c>
      <c r="O1465"/>
      <c r="Q1465"/>
    </row>
    <row r="1466" spans="1:17" hidden="1" x14ac:dyDescent="0.2">
      <c r="A1466" s="3">
        <v>45858</v>
      </c>
      <c r="B1466" s="2" t="s">
        <v>4</v>
      </c>
      <c r="C1466" s="2">
        <v>8</v>
      </c>
      <c r="D1466" s="2">
        <f t="shared" si="88"/>
        <v>2025</v>
      </c>
      <c r="E1466" s="2" t="str">
        <f t="shared" si="89"/>
        <v>2025-29</v>
      </c>
      <c r="F1466" s="2" t="str">
        <f t="shared" si="90"/>
        <v>Week 30</v>
      </c>
      <c r="G1466" s="2" t="str">
        <f t="shared" si="91"/>
        <v>Week 30-2025</v>
      </c>
      <c r="O1466"/>
      <c r="Q1466"/>
    </row>
    <row r="1467" spans="1:17" hidden="1" x14ac:dyDescent="0.2">
      <c r="A1467" s="3">
        <v>45858</v>
      </c>
      <c r="B1467" s="2" t="s">
        <v>9</v>
      </c>
      <c r="C1467" s="2">
        <v>7</v>
      </c>
      <c r="D1467" s="2">
        <f t="shared" si="88"/>
        <v>2025</v>
      </c>
      <c r="E1467" s="2" t="str">
        <f t="shared" si="89"/>
        <v>2025-29</v>
      </c>
      <c r="F1467" s="2" t="str">
        <f t="shared" si="90"/>
        <v>Week 30</v>
      </c>
      <c r="G1467" s="2" t="str">
        <f t="shared" si="91"/>
        <v>Week 30-2025</v>
      </c>
      <c r="O1467"/>
      <c r="Q1467"/>
    </row>
    <row r="1468" spans="1:17" hidden="1" x14ac:dyDescent="0.2">
      <c r="A1468" s="3">
        <v>45858</v>
      </c>
      <c r="B1468" s="2" t="s">
        <v>14</v>
      </c>
      <c r="C1468" s="2">
        <v>14</v>
      </c>
      <c r="D1468" s="2">
        <f t="shared" si="88"/>
        <v>2025</v>
      </c>
      <c r="E1468" s="2" t="str">
        <f t="shared" si="89"/>
        <v>2025-29</v>
      </c>
      <c r="F1468" s="2" t="str">
        <f t="shared" si="90"/>
        <v>Week 30</v>
      </c>
      <c r="G1468" s="2" t="str">
        <f t="shared" si="91"/>
        <v>Week 30-2025</v>
      </c>
      <c r="O1468"/>
      <c r="Q1468"/>
    </row>
    <row r="1469" spans="1:17" hidden="1" x14ac:dyDescent="0.2">
      <c r="A1469" s="3">
        <v>45858</v>
      </c>
      <c r="B1469" s="2" t="s">
        <v>3</v>
      </c>
      <c r="C1469" s="2">
        <v>8</v>
      </c>
      <c r="D1469" s="2">
        <f t="shared" si="88"/>
        <v>2025</v>
      </c>
      <c r="E1469" s="2" t="str">
        <f t="shared" si="89"/>
        <v>2025-29</v>
      </c>
      <c r="F1469" s="2" t="str">
        <f t="shared" si="90"/>
        <v>Week 30</v>
      </c>
      <c r="G1469" s="2" t="str">
        <f t="shared" si="91"/>
        <v>Week 30-2025</v>
      </c>
      <c r="O1469"/>
      <c r="Q1469"/>
    </row>
    <row r="1470" spans="1:17" hidden="1" x14ac:dyDescent="0.2">
      <c r="A1470" s="3">
        <v>45858</v>
      </c>
      <c r="B1470" s="2" t="s">
        <v>18</v>
      </c>
      <c r="C1470" s="2">
        <v>4</v>
      </c>
      <c r="D1470" s="2">
        <f t="shared" si="88"/>
        <v>2025</v>
      </c>
      <c r="E1470" s="2" t="str">
        <f t="shared" si="89"/>
        <v>2025-29</v>
      </c>
      <c r="F1470" s="2" t="str">
        <f t="shared" si="90"/>
        <v>Week 30</v>
      </c>
      <c r="G1470" s="2" t="str">
        <f t="shared" si="91"/>
        <v>Week 30-2025</v>
      </c>
      <c r="O1470"/>
      <c r="Q1470"/>
    </row>
    <row r="1471" spans="1:17" hidden="1" x14ac:dyDescent="0.2">
      <c r="A1471" s="3">
        <v>45858</v>
      </c>
      <c r="B1471" s="2" t="s">
        <v>19</v>
      </c>
      <c r="C1471" s="2">
        <v>4</v>
      </c>
      <c r="D1471" s="2">
        <f t="shared" si="88"/>
        <v>2025</v>
      </c>
      <c r="E1471" s="2" t="str">
        <f t="shared" si="89"/>
        <v>2025-29</v>
      </c>
      <c r="F1471" s="2" t="str">
        <f t="shared" si="90"/>
        <v>Week 30</v>
      </c>
      <c r="G1471" s="2" t="str">
        <f t="shared" si="91"/>
        <v>Week 30-2025</v>
      </c>
      <c r="O1471"/>
      <c r="Q1471"/>
    </row>
    <row r="1472" spans="1:17" hidden="1" x14ac:dyDescent="0.2">
      <c r="A1472" s="3">
        <v>45858</v>
      </c>
      <c r="B1472" s="2" t="s">
        <v>17</v>
      </c>
      <c r="C1472" s="2">
        <v>6</v>
      </c>
      <c r="D1472" s="2">
        <f t="shared" si="88"/>
        <v>2025</v>
      </c>
      <c r="E1472" s="2" t="str">
        <f t="shared" si="89"/>
        <v>2025-29</v>
      </c>
      <c r="F1472" s="2" t="str">
        <f t="shared" si="90"/>
        <v>Week 30</v>
      </c>
      <c r="G1472" s="2" t="str">
        <f t="shared" si="91"/>
        <v>Week 30-2025</v>
      </c>
      <c r="O1472"/>
      <c r="Q1472"/>
    </row>
    <row r="1473" spans="1:17" hidden="1" x14ac:dyDescent="0.2">
      <c r="A1473" s="3">
        <v>45858</v>
      </c>
      <c r="B1473" s="2" t="s">
        <v>5</v>
      </c>
      <c r="C1473" s="2">
        <v>6</v>
      </c>
      <c r="D1473" s="2">
        <f t="shared" si="88"/>
        <v>2025</v>
      </c>
      <c r="E1473" s="2" t="str">
        <f t="shared" si="89"/>
        <v>2025-29</v>
      </c>
      <c r="F1473" s="2" t="str">
        <f t="shared" si="90"/>
        <v>Week 30</v>
      </c>
      <c r="G1473" s="2" t="str">
        <f t="shared" si="91"/>
        <v>Week 30-2025</v>
      </c>
      <c r="O1473"/>
      <c r="Q1473"/>
    </row>
    <row r="1474" spans="1:17" hidden="1" x14ac:dyDescent="0.2">
      <c r="A1474" s="3">
        <v>45858</v>
      </c>
      <c r="B1474" s="2" t="s">
        <v>5</v>
      </c>
      <c r="C1474" s="2">
        <v>6</v>
      </c>
      <c r="D1474" s="2">
        <f t="shared" ref="D1474:D1537" si="92">YEAR(A1474)</f>
        <v>2025</v>
      </c>
      <c r="E1474" s="2" t="str">
        <f t="shared" ref="E1474:E1537" si="93">YEAR(A1474)&amp;"-"&amp;_xlfn.ISOWEEKNUM(A1474)</f>
        <v>2025-29</v>
      </c>
      <c r="F1474" s="2" t="str">
        <f t="shared" ref="F1474:F1537" si="94">_xlfn.CONCAT("Week "&amp;WEEKNUM(A1474))</f>
        <v>Week 30</v>
      </c>
      <c r="G1474" s="2" t="str">
        <f t="shared" ref="G1474:G1537" si="95">_xlfn.CONCAT(F1474,"-",D1474)</f>
        <v>Week 30-2025</v>
      </c>
      <c r="O1474"/>
      <c r="Q1474"/>
    </row>
    <row r="1475" spans="1:17" hidden="1" x14ac:dyDescent="0.2">
      <c r="A1475" s="3">
        <v>45858</v>
      </c>
      <c r="B1475" s="2" t="s">
        <v>3</v>
      </c>
      <c r="C1475" s="2">
        <v>4</v>
      </c>
      <c r="D1475" s="2">
        <f t="shared" si="92"/>
        <v>2025</v>
      </c>
      <c r="E1475" s="2" t="str">
        <f t="shared" si="93"/>
        <v>2025-29</v>
      </c>
      <c r="F1475" s="2" t="str">
        <f t="shared" si="94"/>
        <v>Week 30</v>
      </c>
      <c r="G1475" s="2" t="str">
        <f t="shared" si="95"/>
        <v>Week 30-2025</v>
      </c>
      <c r="O1475"/>
      <c r="Q1475"/>
    </row>
    <row r="1476" spans="1:17" hidden="1" x14ac:dyDescent="0.2">
      <c r="A1476" s="3">
        <v>45858</v>
      </c>
      <c r="B1476" s="2" t="s">
        <v>5</v>
      </c>
      <c r="C1476" s="2">
        <v>5</v>
      </c>
      <c r="D1476" s="2">
        <f t="shared" si="92"/>
        <v>2025</v>
      </c>
      <c r="E1476" s="2" t="str">
        <f t="shared" si="93"/>
        <v>2025-29</v>
      </c>
      <c r="F1476" s="2" t="str">
        <f t="shared" si="94"/>
        <v>Week 30</v>
      </c>
      <c r="G1476" s="2" t="str">
        <f t="shared" si="95"/>
        <v>Week 30-2025</v>
      </c>
      <c r="O1476"/>
      <c r="Q1476"/>
    </row>
    <row r="1477" spans="1:17" hidden="1" x14ac:dyDescent="0.2">
      <c r="A1477" s="3">
        <v>45858</v>
      </c>
      <c r="B1477" s="2" t="s">
        <v>18</v>
      </c>
      <c r="C1477" s="2">
        <v>2</v>
      </c>
      <c r="D1477" s="2">
        <f t="shared" si="92"/>
        <v>2025</v>
      </c>
      <c r="E1477" s="2" t="str">
        <f t="shared" si="93"/>
        <v>2025-29</v>
      </c>
      <c r="F1477" s="2" t="str">
        <f t="shared" si="94"/>
        <v>Week 30</v>
      </c>
      <c r="G1477" s="2" t="str">
        <f t="shared" si="95"/>
        <v>Week 30-2025</v>
      </c>
      <c r="O1477"/>
      <c r="Q1477"/>
    </row>
    <row r="1478" spans="1:17" hidden="1" x14ac:dyDescent="0.2">
      <c r="A1478" s="3">
        <v>45858</v>
      </c>
      <c r="B1478" s="2" t="s">
        <v>5</v>
      </c>
      <c r="C1478" s="2">
        <v>4</v>
      </c>
      <c r="D1478" s="2">
        <f t="shared" si="92"/>
        <v>2025</v>
      </c>
      <c r="E1478" s="2" t="str">
        <f t="shared" si="93"/>
        <v>2025-29</v>
      </c>
      <c r="F1478" s="2" t="str">
        <f t="shared" si="94"/>
        <v>Week 30</v>
      </c>
      <c r="G1478" s="2" t="str">
        <f t="shared" si="95"/>
        <v>Week 30-2025</v>
      </c>
      <c r="O1478"/>
      <c r="Q1478"/>
    </row>
    <row r="1479" spans="1:17" hidden="1" x14ac:dyDescent="0.2">
      <c r="A1479" s="3">
        <v>45858</v>
      </c>
      <c r="B1479" s="2" t="s">
        <v>10</v>
      </c>
      <c r="C1479" s="2">
        <v>2</v>
      </c>
      <c r="D1479" s="2">
        <f t="shared" si="92"/>
        <v>2025</v>
      </c>
      <c r="E1479" s="2" t="str">
        <f t="shared" si="93"/>
        <v>2025-29</v>
      </c>
      <c r="F1479" s="2" t="str">
        <f t="shared" si="94"/>
        <v>Week 30</v>
      </c>
      <c r="G1479" s="2" t="str">
        <f t="shared" si="95"/>
        <v>Week 30-2025</v>
      </c>
      <c r="O1479"/>
      <c r="Q1479"/>
    </row>
    <row r="1480" spans="1:17" hidden="1" x14ac:dyDescent="0.2">
      <c r="A1480" s="3">
        <v>45858</v>
      </c>
      <c r="B1480" s="2" t="s">
        <v>10</v>
      </c>
      <c r="C1480" s="2">
        <v>2</v>
      </c>
      <c r="D1480" s="2">
        <f t="shared" si="92"/>
        <v>2025</v>
      </c>
      <c r="E1480" s="2" t="str">
        <f t="shared" si="93"/>
        <v>2025-29</v>
      </c>
      <c r="F1480" s="2" t="str">
        <f t="shared" si="94"/>
        <v>Week 30</v>
      </c>
      <c r="G1480" s="2" t="str">
        <f t="shared" si="95"/>
        <v>Week 30-2025</v>
      </c>
      <c r="O1480"/>
      <c r="Q1480"/>
    </row>
    <row r="1481" spans="1:17" hidden="1" x14ac:dyDescent="0.2">
      <c r="A1481" s="3">
        <v>45858</v>
      </c>
      <c r="B1481" s="2" t="s">
        <v>14</v>
      </c>
      <c r="C1481" s="2">
        <v>2</v>
      </c>
      <c r="D1481" s="2">
        <f t="shared" si="92"/>
        <v>2025</v>
      </c>
      <c r="E1481" s="2" t="str">
        <f t="shared" si="93"/>
        <v>2025-29</v>
      </c>
      <c r="F1481" s="2" t="str">
        <f t="shared" si="94"/>
        <v>Week 30</v>
      </c>
      <c r="G1481" s="2" t="str">
        <f t="shared" si="95"/>
        <v>Week 30-2025</v>
      </c>
      <c r="O1481"/>
      <c r="Q1481"/>
    </row>
    <row r="1482" spans="1:17" hidden="1" x14ac:dyDescent="0.2">
      <c r="A1482" s="3">
        <v>45858</v>
      </c>
      <c r="B1482" s="2" t="s">
        <v>14</v>
      </c>
      <c r="C1482" s="2">
        <v>2</v>
      </c>
      <c r="D1482" s="2">
        <f t="shared" si="92"/>
        <v>2025</v>
      </c>
      <c r="E1482" s="2" t="str">
        <f t="shared" si="93"/>
        <v>2025-29</v>
      </c>
      <c r="F1482" s="2" t="str">
        <f t="shared" si="94"/>
        <v>Week 30</v>
      </c>
      <c r="G1482" s="2" t="str">
        <f t="shared" si="95"/>
        <v>Week 30-2025</v>
      </c>
      <c r="O1482"/>
      <c r="Q1482"/>
    </row>
    <row r="1483" spans="1:17" hidden="1" x14ac:dyDescent="0.2">
      <c r="A1483" s="3">
        <v>45858</v>
      </c>
      <c r="B1483" s="2" t="s">
        <v>9</v>
      </c>
      <c r="C1483" s="2">
        <v>1</v>
      </c>
      <c r="D1483" s="2">
        <f t="shared" si="92"/>
        <v>2025</v>
      </c>
      <c r="E1483" s="2" t="str">
        <f t="shared" si="93"/>
        <v>2025-29</v>
      </c>
      <c r="F1483" s="2" t="str">
        <f t="shared" si="94"/>
        <v>Week 30</v>
      </c>
      <c r="G1483" s="2" t="str">
        <f t="shared" si="95"/>
        <v>Week 30-2025</v>
      </c>
      <c r="O1483"/>
      <c r="Q1483"/>
    </row>
    <row r="1484" spans="1:17" hidden="1" x14ac:dyDescent="0.2">
      <c r="A1484" s="3">
        <v>45858</v>
      </c>
      <c r="B1484" s="2" t="s">
        <v>36</v>
      </c>
      <c r="C1484" s="2">
        <v>2</v>
      </c>
      <c r="D1484" s="2">
        <f t="shared" si="92"/>
        <v>2025</v>
      </c>
      <c r="E1484" s="2" t="str">
        <f t="shared" si="93"/>
        <v>2025-29</v>
      </c>
      <c r="F1484" s="2" t="str">
        <f t="shared" si="94"/>
        <v>Week 30</v>
      </c>
      <c r="G1484" s="2" t="str">
        <f t="shared" si="95"/>
        <v>Week 30-2025</v>
      </c>
      <c r="O1484"/>
      <c r="Q1484"/>
    </row>
    <row r="1485" spans="1:17" hidden="1" x14ac:dyDescent="0.2">
      <c r="A1485" s="3">
        <v>45858</v>
      </c>
      <c r="B1485" s="2" t="s">
        <v>36</v>
      </c>
      <c r="C1485" s="2">
        <v>2</v>
      </c>
      <c r="D1485" s="2">
        <f t="shared" si="92"/>
        <v>2025</v>
      </c>
      <c r="E1485" s="2" t="str">
        <f t="shared" si="93"/>
        <v>2025-29</v>
      </c>
      <c r="F1485" s="2" t="str">
        <f t="shared" si="94"/>
        <v>Week 30</v>
      </c>
      <c r="G1485" s="2" t="str">
        <f t="shared" si="95"/>
        <v>Week 30-2025</v>
      </c>
      <c r="O1485"/>
      <c r="Q1485"/>
    </row>
    <row r="1486" spans="1:17" hidden="1" x14ac:dyDescent="0.2">
      <c r="A1486" s="3">
        <v>45859</v>
      </c>
      <c r="B1486" s="2" t="s">
        <v>9</v>
      </c>
      <c r="C1486" s="2">
        <v>32</v>
      </c>
      <c r="D1486" s="2">
        <f t="shared" si="92"/>
        <v>2025</v>
      </c>
      <c r="E1486" s="2" t="str">
        <f t="shared" si="93"/>
        <v>2025-30</v>
      </c>
      <c r="F1486" s="2" t="str">
        <f t="shared" si="94"/>
        <v>Week 30</v>
      </c>
      <c r="G1486" s="2" t="str">
        <f t="shared" si="95"/>
        <v>Week 30-2025</v>
      </c>
      <c r="O1486"/>
      <c r="Q1486"/>
    </row>
    <row r="1487" spans="1:17" hidden="1" x14ac:dyDescent="0.2">
      <c r="A1487" s="3">
        <v>45859</v>
      </c>
      <c r="B1487" s="2" t="s">
        <v>5</v>
      </c>
      <c r="C1487" s="2">
        <v>19</v>
      </c>
      <c r="D1487" s="2">
        <f t="shared" si="92"/>
        <v>2025</v>
      </c>
      <c r="E1487" s="2" t="str">
        <f t="shared" si="93"/>
        <v>2025-30</v>
      </c>
      <c r="F1487" s="2" t="str">
        <f t="shared" si="94"/>
        <v>Week 30</v>
      </c>
      <c r="G1487" s="2" t="str">
        <f t="shared" si="95"/>
        <v>Week 30-2025</v>
      </c>
      <c r="O1487"/>
      <c r="Q1487"/>
    </row>
    <row r="1488" spans="1:17" hidden="1" x14ac:dyDescent="0.2">
      <c r="A1488" s="3">
        <v>45859</v>
      </c>
      <c r="B1488" s="2" t="s">
        <v>3</v>
      </c>
      <c r="C1488" s="2">
        <v>16</v>
      </c>
      <c r="D1488" s="2">
        <f t="shared" si="92"/>
        <v>2025</v>
      </c>
      <c r="E1488" s="2" t="str">
        <f t="shared" si="93"/>
        <v>2025-30</v>
      </c>
      <c r="F1488" s="2" t="str">
        <f t="shared" si="94"/>
        <v>Week 30</v>
      </c>
      <c r="G1488" s="2" t="str">
        <f t="shared" si="95"/>
        <v>Week 30-2025</v>
      </c>
      <c r="O1488"/>
      <c r="Q1488"/>
    </row>
    <row r="1489" spans="1:17" hidden="1" x14ac:dyDescent="0.2">
      <c r="A1489" s="3">
        <v>45859</v>
      </c>
      <c r="B1489" s="2" t="s">
        <v>6</v>
      </c>
      <c r="C1489" s="2">
        <v>10</v>
      </c>
      <c r="D1489" s="2">
        <f t="shared" si="92"/>
        <v>2025</v>
      </c>
      <c r="E1489" s="2" t="str">
        <f t="shared" si="93"/>
        <v>2025-30</v>
      </c>
      <c r="F1489" s="2" t="str">
        <f t="shared" si="94"/>
        <v>Week 30</v>
      </c>
      <c r="G1489" s="2" t="str">
        <f t="shared" si="95"/>
        <v>Week 30-2025</v>
      </c>
      <c r="O1489"/>
      <c r="Q1489"/>
    </row>
    <row r="1490" spans="1:17" hidden="1" x14ac:dyDescent="0.2">
      <c r="A1490" s="3">
        <v>45859</v>
      </c>
      <c r="B1490" s="2" t="s">
        <v>8</v>
      </c>
      <c r="C1490" s="2">
        <v>8</v>
      </c>
      <c r="D1490" s="2">
        <f t="shared" si="92"/>
        <v>2025</v>
      </c>
      <c r="E1490" s="2" t="str">
        <f t="shared" si="93"/>
        <v>2025-30</v>
      </c>
      <c r="F1490" s="2" t="str">
        <f t="shared" si="94"/>
        <v>Week 30</v>
      </c>
      <c r="G1490" s="2" t="str">
        <f t="shared" si="95"/>
        <v>Week 30-2025</v>
      </c>
      <c r="O1490"/>
      <c r="Q1490"/>
    </row>
    <row r="1491" spans="1:17" hidden="1" x14ac:dyDescent="0.2">
      <c r="A1491" s="3">
        <v>45859</v>
      </c>
      <c r="B1491" s="2" t="s">
        <v>14</v>
      </c>
      <c r="C1491" s="2">
        <v>5</v>
      </c>
      <c r="D1491" s="2">
        <f t="shared" si="92"/>
        <v>2025</v>
      </c>
      <c r="E1491" s="2" t="str">
        <f t="shared" si="93"/>
        <v>2025-30</v>
      </c>
      <c r="F1491" s="2" t="str">
        <f t="shared" si="94"/>
        <v>Week 30</v>
      </c>
      <c r="G1491" s="2" t="str">
        <f t="shared" si="95"/>
        <v>Week 30-2025</v>
      </c>
      <c r="O1491"/>
      <c r="Q1491"/>
    </row>
    <row r="1492" spans="1:17" hidden="1" x14ac:dyDescent="0.2">
      <c r="A1492" s="3">
        <v>45859</v>
      </c>
      <c r="B1492" s="2" t="s">
        <v>17</v>
      </c>
      <c r="C1492" s="2">
        <v>2</v>
      </c>
      <c r="D1492" s="2">
        <f t="shared" si="92"/>
        <v>2025</v>
      </c>
      <c r="E1492" s="2" t="str">
        <f t="shared" si="93"/>
        <v>2025-30</v>
      </c>
      <c r="F1492" s="2" t="str">
        <f t="shared" si="94"/>
        <v>Week 30</v>
      </c>
      <c r="G1492" s="2" t="str">
        <f t="shared" si="95"/>
        <v>Week 30-2025</v>
      </c>
      <c r="O1492"/>
      <c r="Q1492"/>
    </row>
    <row r="1493" spans="1:17" hidden="1" x14ac:dyDescent="0.2">
      <c r="A1493" s="3">
        <v>45860</v>
      </c>
      <c r="B1493" s="2" t="s">
        <v>5</v>
      </c>
      <c r="C1493" s="2">
        <v>93</v>
      </c>
      <c r="D1493" s="2">
        <f t="shared" si="92"/>
        <v>2025</v>
      </c>
      <c r="E1493" s="2" t="str">
        <f t="shared" si="93"/>
        <v>2025-30</v>
      </c>
      <c r="F1493" s="2" t="str">
        <f t="shared" si="94"/>
        <v>Week 30</v>
      </c>
      <c r="G1493" s="2" t="str">
        <f t="shared" si="95"/>
        <v>Week 30-2025</v>
      </c>
      <c r="O1493"/>
      <c r="Q1493"/>
    </row>
    <row r="1494" spans="1:17" hidden="1" x14ac:dyDescent="0.2">
      <c r="A1494" s="3">
        <v>45860</v>
      </c>
      <c r="B1494" s="2" t="s">
        <v>5</v>
      </c>
      <c r="C1494" s="2">
        <v>64</v>
      </c>
      <c r="D1494" s="2">
        <f t="shared" si="92"/>
        <v>2025</v>
      </c>
      <c r="E1494" s="2" t="str">
        <f t="shared" si="93"/>
        <v>2025-30</v>
      </c>
      <c r="F1494" s="2" t="str">
        <f t="shared" si="94"/>
        <v>Week 30</v>
      </c>
      <c r="G1494" s="2" t="str">
        <f t="shared" si="95"/>
        <v>Week 30-2025</v>
      </c>
      <c r="O1494"/>
      <c r="Q1494"/>
    </row>
    <row r="1495" spans="1:17" hidden="1" x14ac:dyDescent="0.2">
      <c r="A1495" s="3">
        <v>45860</v>
      </c>
      <c r="B1495" s="2" t="s">
        <v>3</v>
      </c>
      <c r="C1495" s="2">
        <v>45</v>
      </c>
      <c r="D1495" s="2">
        <f t="shared" si="92"/>
        <v>2025</v>
      </c>
      <c r="E1495" s="2" t="str">
        <f t="shared" si="93"/>
        <v>2025-30</v>
      </c>
      <c r="F1495" s="2" t="str">
        <f t="shared" si="94"/>
        <v>Week 30</v>
      </c>
      <c r="G1495" s="2" t="str">
        <f t="shared" si="95"/>
        <v>Week 30-2025</v>
      </c>
      <c r="O1495"/>
      <c r="Q1495"/>
    </row>
    <row r="1496" spans="1:17" hidden="1" x14ac:dyDescent="0.2">
      <c r="A1496" s="3">
        <v>45860</v>
      </c>
      <c r="B1496" s="2" t="s">
        <v>9</v>
      </c>
      <c r="C1496" s="2">
        <v>16</v>
      </c>
      <c r="D1496" s="2">
        <f t="shared" si="92"/>
        <v>2025</v>
      </c>
      <c r="E1496" s="2" t="str">
        <f t="shared" si="93"/>
        <v>2025-30</v>
      </c>
      <c r="F1496" s="2" t="str">
        <f t="shared" si="94"/>
        <v>Week 30</v>
      </c>
      <c r="G1496" s="2" t="str">
        <f t="shared" si="95"/>
        <v>Week 30-2025</v>
      </c>
      <c r="O1496"/>
      <c r="Q1496"/>
    </row>
    <row r="1497" spans="1:17" hidden="1" x14ac:dyDescent="0.2">
      <c r="A1497" s="3">
        <v>45860</v>
      </c>
      <c r="B1497" s="2" t="s">
        <v>14</v>
      </c>
      <c r="C1497" s="2">
        <v>28</v>
      </c>
      <c r="D1497" s="2">
        <f t="shared" si="92"/>
        <v>2025</v>
      </c>
      <c r="E1497" s="2" t="str">
        <f t="shared" si="93"/>
        <v>2025-30</v>
      </c>
      <c r="F1497" s="2" t="str">
        <f t="shared" si="94"/>
        <v>Week 30</v>
      </c>
      <c r="G1497" s="2" t="str">
        <f t="shared" si="95"/>
        <v>Week 30-2025</v>
      </c>
      <c r="O1497"/>
      <c r="Q1497"/>
    </row>
    <row r="1498" spans="1:17" hidden="1" x14ac:dyDescent="0.2">
      <c r="A1498" s="3">
        <v>45860</v>
      </c>
      <c r="B1498" s="2" t="s">
        <v>5</v>
      </c>
      <c r="C1498" s="2">
        <v>12</v>
      </c>
      <c r="D1498" s="2">
        <f t="shared" si="92"/>
        <v>2025</v>
      </c>
      <c r="E1498" s="2" t="str">
        <f t="shared" si="93"/>
        <v>2025-30</v>
      </c>
      <c r="F1498" s="2" t="str">
        <f t="shared" si="94"/>
        <v>Week 30</v>
      </c>
      <c r="G1498" s="2" t="str">
        <f t="shared" si="95"/>
        <v>Week 30-2025</v>
      </c>
      <c r="O1498"/>
      <c r="Q1498"/>
    </row>
    <row r="1499" spans="1:17" hidden="1" x14ac:dyDescent="0.2">
      <c r="A1499" s="3">
        <v>45860</v>
      </c>
      <c r="B1499" s="2" t="s">
        <v>4</v>
      </c>
      <c r="C1499" s="2">
        <v>8</v>
      </c>
      <c r="D1499" s="2">
        <f t="shared" si="92"/>
        <v>2025</v>
      </c>
      <c r="E1499" s="2" t="str">
        <f t="shared" si="93"/>
        <v>2025-30</v>
      </c>
      <c r="F1499" s="2" t="str">
        <f t="shared" si="94"/>
        <v>Week 30</v>
      </c>
      <c r="G1499" s="2" t="str">
        <f t="shared" si="95"/>
        <v>Week 30-2025</v>
      </c>
      <c r="O1499"/>
      <c r="Q1499"/>
    </row>
    <row r="1500" spans="1:17" hidden="1" x14ac:dyDescent="0.2">
      <c r="A1500" s="3">
        <v>45860</v>
      </c>
      <c r="B1500" s="2" t="s">
        <v>18</v>
      </c>
      <c r="C1500" s="2">
        <v>5</v>
      </c>
      <c r="D1500" s="2">
        <f t="shared" si="92"/>
        <v>2025</v>
      </c>
      <c r="E1500" s="2" t="str">
        <f t="shared" si="93"/>
        <v>2025-30</v>
      </c>
      <c r="F1500" s="2" t="str">
        <f t="shared" si="94"/>
        <v>Week 30</v>
      </c>
      <c r="G1500" s="2" t="str">
        <f t="shared" si="95"/>
        <v>Week 30-2025</v>
      </c>
      <c r="O1500"/>
      <c r="Q1500"/>
    </row>
    <row r="1501" spans="1:17" hidden="1" x14ac:dyDescent="0.2">
      <c r="A1501" s="3">
        <v>45860</v>
      </c>
      <c r="B1501" s="2" t="s">
        <v>18</v>
      </c>
      <c r="C1501" s="2">
        <v>5</v>
      </c>
      <c r="D1501" s="2">
        <f t="shared" si="92"/>
        <v>2025</v>
      </c>
      <c r="E1501" s="2" t="str">
        <f t="shared" si="93"/>
        <v>2025-30</v>
      </c>
      <c r="F1501" s="2" t="str">
        <f t="shared" si="94"/>
        <v>Week 30</v>
      </c>
      <c r="G1501" s="2" t="str">
        <f t="shared" si="95"/>
        <v>Week 30-2025</v>
      </c>
      <c r="O1501"/>
      <c r="Q1501"/>
    </row>
    <row r="1502" spans="1:17" hidden="1" x14ac:dyDescent="0.2">
      <c r="A1502" s="3">
        <v>45860</v>
      </c>
      <c r="B1502" s="2" t="s">
        <v>19</v>
      </c>
      <c r="C1502" s="2">
        <v>6</v>
      </c>
      <c r="D1502" s="2">
        <f t="shared" si="92"/>
        <v>2025</v>
      </c>
      <c r="E1502" s="2" t="str">
        <f t="shared" si="93"/>
        <v>2025-30</v>
      </c>
      <c r="F1502" s="2" t="str">
        <f t="shared" si="94"/>
        <v>Week 30</v>
      </c>
      <c r="G1502" s="2" t="str">
        <f t="shared" si="95"/>
        <v>Week 30-2025</v>
      </c>
      <c r="O1502"/>
      <c r="Q1502"/>
    </row>
    <row r="1503" spans="1:17" hidden="1" x14ac:dyDescent="0.2">
      <c r="A1503" s="3">
        <v>45860</v>
      </c>
      <c r="B1503" s="2" t="s">
        <v>19</v>
      </c>
      <c r="C1503" s="2">
        <v>4</v>
      </c>
      <c r="D1503" s="2">
        <f t="shared" si="92"/>
        <v>2025</v>
      </c>
      <c r="E1503" s="2" t="str">
        <f t="shared" si="93"/>
        <v>2025-30</v>
      </c>
      <c r="F1503" s="2" t="str">
        <f t="shared" si="94"/>
        <v>Week 30</v>
      </c>
      <c r="G1503" s="2" t="str">
        <f t="shared" si="95"/>
        <v>Week 30-2025</v>
      </c>
      <c r="O1503"/>
      <c r="Q1503"/>
    </row>
    <row r="1504" spans="1:17" hidden="1" x14ac:dyDescent="0.2">
      <c r="A1504" s="3">
        <v>45860</v>
      </c>
      <c r="B1504" s="2" t="s">
        <v>31</v>
      </c>
      <c r="C1504" s="2">
        <v>8</v>
      </c>
      <c r="D1504" s="2">
        <f t="shared" si="92"/>
        <v>2025</v>
      </c>
      <c r="E1504" s="2" t="str">
        <f t="shared" si="93"/>
        <v>2025-30</v>
      </c>
      <c r="F1504" s="2" t="str">
        <f t="shared" si="94"/>
        <v>Week 30</v>
      </c>
      <c r="G1504" s="2" t="str">
        <f t="shared" si="95"/>
        <v>Week 30-2025</v>
      </c>
      <c r="O1504"/>
      <c r="Q1504"/>
    </row>
    <row r="1505" spans="1:17" hidden="1" x14ac:dyDescent="0.2">
      <c r="A1505" s="3">
        <v>45860</v>
      </c>
      <c r="B1505" s="2" t="s">
        <v>30</v>
      </c>
      <c r="C1505" s="2">
        <v>8</v>
      </c>
      <c r="D1505" s="2">
        <f t="shared" si="92"/>
        <v>2025</v>
      </c>
      <c r="E1505" s="2" t="str">
        <f t="shared" si="93"/>
        <v>2025-30</v>
      </c>
      <c r="F1505" s="2" t="str">
        <f t="shared" si="94"/>
        <v>Week 30</v>
      </c>
      <c r="G1505" s="2" t="str">
        <f t="shared" si="95"/>
        <v>Week 30-2025</v>
      </c>
      <c r="O1505"/>
      <c r="Q1505"/>
    </row>
    <row r="1506" spans="1:17" hidden="1" x14ac:dyDescent="0.2">
      <c r="A1506" s="3">
        <v>45860</v>
      </c>
      <c r="B1506" s="2" t="s">
        <v>3</v>
      </c>
      <c r="C1506" s="2">
        <v>4</v>
      </c>
      <c r="D1506" s="2">
        <f t="shared" si="92"/>
        <v>2025</v>
      </c>
      <c r="E1506" s="2" t="str">
        <f t="shared" si="93"/>
        <v>2025-30</v>
      </c>
      <c r="F1506" s="2" t="str">
        <f t="shared" si="94"/>
        <v>Week 30</v>
      </c>
      <c r="G1506" s="2" t="str">
        <f t="shared" si="95"/>
        <v>Week 30-2025</v>
      </c>
      <c r="O1506"/>
      <c r="Q1506"/>
    </row>
    <row r="1507" spans="1:17" hidden="1" x14ac:dyDescent="0.2">
      <c r="A1507" s="3">
        <v>45860</v>
      </c>
      <c r="B1507" s="2" t="s">
        <v>6</v>
      </c>
      <c r="C1507" s="2">
        <v>2</v>
      </c>
      <c r="D1507" s="2">
        <f t="shared" si="92"/>
        <v>2025</v>
      </c>
      <c r="E1507" s="2" t="str">
        <f t="shared" si="93"/>
        <v>2025-30</v>
      </c>
      <c r="F1507" s="2" t="str">
        <f t="shared" si="94"/>
        <v>Week 30</v>
      </c>
      <c r="G1507" s="2" t="str">
        <f t="shared" si="95"/>
        <v>Week 30-2025</v>
      </c>
      <c r="O1507"/>
      <c r="Q1507"/>
    </row>
    <row r="1508" spans="1:17" hidden="1" x14ac:dyDescent="0.2">
      <c r="A1508" s="3">
        <v>45860</v>
      </c>
      <c r="B1508" s="2" t="s">
        <v>37</v>
      </c>
      <c r="C1508" s="2">
        <v>4</v>
      </c>
      <c r="D1508" s="2">
        <f t="shared" si="92"/>
        <v>2025</v>
      </c>
      <c r="E1508" s="2" t="str">
        <f t="shared" si="93"/>
        <v>2025-30</v>
      </c>
      <c r="F1508" s="2" t="str">
        <f t="shared" si="94"/>
        <v>Week 30</v>
      </c>
      <c r="G1508" s="2" t="str">
        <f t="shared" si="95"/>
        <v>Week 30-2025</v>
      </c>
      <c r="O1508"/>
      <c r="Q1508"/>
    </row>
    <row r="1509" spans="1:17" hidden="1" x14ac:dyDescent="0.2">
      <c r="A1509" s="3">
        <v>45860</v>
      </c>
      <c r="B1509" s="2" t="s">
        <v>14</v>
      </c>
      <c r="C1509" s="2">
        <v>4</v>
      </c>
      <c r="D1509" s="2">
        <f t="shared" si="92"/>
        <v>2025</v>
      </c>
      <c r="E1509" s="2" t="str">
        <f t="shared" si="93"/>
        <v>2025-30</v>
      </c>
      <c r="F1509" s="2" t="str">
        <f t="shared" si="94"/>
        <v>Week 30</v>
      </c>
      <c r="G1509" s="2" t="str">
        <f t="shared" si="95"/>
        <v>Week 30-2025</v>
      </c>
      <c r="O1509"/>
      <c r="Q1509"/>
    </row>
    <row r="1510" spans="1:17" hidden="1" x14ac:dyDescent="0.2">
      <c r="A1510" s="3">
        <v>45860</v>
      </c>
      <c r="B1510" s="2" t="s">
        <v>19</v>
      </c>
      <c r="C1510" s="2">
        <v>2</v>
      </c>
      <c r="D1510" s="2">
        <f t="shared" si="92"/>
        <v>2025</v>
      </c>
      <c r="E1510" s="2" t="str">
        <f t="shared" si="93"/>
        <v>2025-30</v>
      </c>
      <c r="F1510" s="2" t="str">
        <f t="shared" si="94"/>
        <v>Week 30</v>
      </c>
      <c r="G1510" s="2" t="str">
        <f t="shared" si="95"/>
        <v>Week 30-2025</v>
      </c>
      <c r="O1510"/>
      <c r="Q1510"/>
    </row>
    <row r="1511" spans="1:17" hidden="1" x14ac:dyDescent="0.2">
      <c r="A1511" s="3">
        <v>45860</v>
      </c>
      <c r="B1511" s="2" t="s">
        <v>4</v>
      </c>
      <c r="C1511" s="2">
        <v>2</v>
      </c>
      <c r="D1511" s="2">
        <f t="shared" si="92"/>
        <v>2025</v>
      </c>
      <c r="E1511" s="2" t="str">
        <f t="shared" si="93"/>
        <v>2025-30</v>
      </c>
      <c r="F1511" s="2" t="str">
        <f t="shared" si="94"/>
        <v>Week 30</v>
      </c>
      <c r="G1511" s="2" t="str">
        <f t="shared" si="95"/>
        <v>Week 30-2025</v>
      </c>
      <c r="O1511"/>
      <c r="Q1511"/>
    </row>
    <row r="1512" spans="1:17" hidden="1" x14ac:dyDescent="0.2">
      <c r="A1512" s="3">
        <v>45860</v>
      </c>
      <c r="B1512" s="2" t="s">
        <v>15</v>
      </c>
      <c r="C1512" s="2">
        <v>6</v>
      </c>
      <c r="D1512" s="2">
        <f t="shared" si="92"/>
        <v>2025</v>
      </c>
      <c r="E1512" s="2" t="str">
        <f t="shared" si="93"/>
        <v>2025-30</v>
      </c>
      <c r="F1512" s="2" t="str">
        <f t="shared" si="94"/>
        <v>Week 30</v>
      </c>
      <c r="G1512" s="2" t="str">
        <f t="shared" si="95"/>
        <v>Week 30-2025</v>
      </c>
      <c r="O1512"/>
      <c r="Q1512"/>
    </row>
    <row r="1513" spans="1:17" hidden="1" x14ac:dyDescent="0.2">
      <c r="A1513" s="3">
        <v>45860</v>
      </c>
      <c r="B1513" s="2" t="s">
        <v>9</v>
      </c>
      <c r="C1513" s="2">
        <v>2</v>
      </c>
      <c r="D1513" s="2">
        <f t="shared" si="92"/>
        <v>2025</v>
      </c>
      <c r="E1513" s="2" t="str">
        <f t="shared" si="93"/>
        <v>2025-30</v>
      </c>
      <c r="F1513" s="2" t="str">
        <f t="shared" si="94"/>
        <v>Week 30</v>
      </c>
      <c r="G1513" s="2" t="str">
        <f t="shared" si="95"/>
        <v>Week 30-2025</v>
      </c>
      <c r="O1513"/>
      <c r="Q1513"/>
    </row>
    <row r="1514" spans="1:17" hidden="1" x14ac:dyDescent="0.2">
      <c r="A1514" s="3">
        <v>45860</v>
      </c>
      <c r="B1514" s="2" t="s">
        <v>9</v>
      </c>
      <c r="C1514" s="2">
        <v>2</v>
      </c>
      <c r="D1514" s="2">
        <f t="shared" si="92"/>
        <v>2025</v>
      </c>
      <c r="E1514" s="2" t="str">
        <f t="shared" si="93"/>
        <v>2025-30</v>
      </c>
      <c r="F1514" s="2" t="str">
        <f t="shared" si="94"/>
        <v>Week 30</v>
      </c>
      <c r="G1514" s="2" t="str">
        <f t="shared" si="95"/>
        <v>Week 30-2025</v>
      </c>
      <c r="O1514"/>
      <c r="Q1514"/>
    </row>
    <row r="1515" spans="1:17" hidden="1" x14ac:dyDescent="0.2">
      <c r="A1515" s="3">
        <v>45860</v>
      </c>
      <c r="B1515" s="2" t="s">
        <v>7</v>
      </c>
      <c r="C1515" s="2">
        <v>2</v>
      </c>
      <c r="D1515" s="2">
        <f t="shared" si="92"/>
        <v>2025</v>
      </c>
      <c r="E1515" s="2" t="str">
        <f t="shared" si="93"/>
        <v>2025-30</v>
      </c>
      <c r="F1515" s="2" t="str">
        <f t="shared" si="94"/>
        <v>Week 30</v>
      </c>
      <c r="G1515" s="2" t="str">
        <f t="shared" si="95"/>
        <v>Week 30-2025</v>
      </c>
      <c r="O1515"/>
      <c r="Q1515"/>
    </row>
    <row r="1516" spans="1:17" hidden="1" x14ac:dyDescent="0.2">
      <c r="A1516" s="3">
        <v>45860</v>
      </c>
      <c r="B1516" s="2" t="s">
        <v>3</v>
      </c>
      <c r="C1516" s="2">
        <v>2</v>
      </c>
      <c r="D1516" s="2">
        <f t="shared" si="92"/>
        <v>2025</v>
      </c>
      <c r="E1516" s="2" t="str">
        <f t="shared" si="93"/>
        <v>2025-30</v>
      </c>
      <c r="F1516" s="2" t="str">
        <f t="shared" si="94"/>
        <v>Week 30</v>
      </c>
      <c r="G1516" s="2" t="str">
        <f t="shared" si="95"/>
        <v>Week 30-2025</v>
      </c>
      <c r="O1516"/>
      <c r="Q1516"/>
    </row>
    <row r="1517" spans="1:17" hidden="1" x14ac:dyDescent="0.2">
      <c r="A1517" s="3">
        <v>45860</v>
      </c>
      <c r="B1517" s="2" t="s">
        <v>3</v>
      </c>
      <c r="C1517" s="2">
        <v>2</v>
      </c>
      <c r="D1517" s="2">
        <f t="shared" si="92"/>
        <v>2025</v>
      </c>
      <c r="E1517" s="2" t="str">
        <f t="shared" si="93"/>
        <v>2025-30</v>
      </c>
      <c r="F1517" s="2" t="str">
        <f t="shared" si="94"/>
        <v>Week 30</v>
      </c>
      <c r="G1517" s="2" t="str">
        <f t="shared" si="95"/>
        <v>Week 30-2025</v>
      </c>
      <c r="O1517"/>
      <c r="Q1517"/>
    </row>
    <row r="1518" spans="1:17" hidden="1" x14ac:dyDescent="0.2">
      <c r="A1518" s="3">
        <v>45860</v>
      </c>
      <c r="B1518" s="2" t="s">
        <v>8</v>
      </c>
      <c r="C1518" s="2">
        <v>4</v>
      </c>
      <c r="D1518" s="2">
        <f t="shared" si="92"/>
        <v>2025</v>
      </c>
      <c r="E1518" s="2" t="str">
        <f t="shared" si="93"/>
        <v>2025-30</v>
      </c>
      <c r="F1518" s="2" t="str">
        <f t="shared" si="94"/>
        <v>Week 30</v>
      </c>
      <c r="G1518" s="2" t="str">
        <f t="shared" si="95"/>
        <v>Week 30-2025</v>
      </c>
      <c r="O1518"/>
      <c r="Q1518"/>
    </row>
    <row r="1519" spans="1:17" hidden="1" x14ac:dyDescent="0.2">
      <c r="A1519" s="3">
        <v>45860</v>
      </c>
      <c r="B1519" s="2" t="s">
        <v>31</v>
      </c>
      <c r="C1519" s="2">
        <v>3</v>
      </c>
      <c r="D1519" s="2">
        <f t="shared" si="92"/>
        <v>2025</v>
      </c>
      <c r="E1519" s="2" t="str">
        <f t="shared" si="93"/>
        <v>2025-30</v>
      </c>
      <c r="F1519" s="2" t="str">
        <f t="shared" si="94"/>
        <v>Week 30</v>
      </c>
      <c r="G1519" s="2" t="str">
        <f t="shared" si="95"/>
        <v>Week 30-2025</v>
      </c>
      <c r="O1519"/>
      <c r="Q1519"/>
    </row>
    <row r="1520" spans="1:17" hidden="1" x14ac:dyDescent="0.2">
      <c r="A1520" s="3">
        <v>45860</v>
      </c>
      <c r="B1520" s="2" t="s">
        <v>3</v>
      </c>
      <c r="C1520" s="2">
        <v>2</v>
      </c>
      <c r="D1520" s="2">
        <f t="shared" si="92"/>
        <v>2025</v>
      </c>
      <c r="E1520" s="2" t="str">
        <f t="shared" si="93"/>
        <v>2025-30</v>
      </c>
      <c r="F1520" s="2" t="str">
        <f t="shared" si="94"/>
        <v>Week 30</v>
      </c>
      <c r="G1520" s="2" t="str">
        <f t="shared" si="95"/>
        <v>Week 30-2025</v>
      </c>
      <c r="O1520"/>
      <c r="Q1520"/>
    </row>
    <row r="1521" spans="1:17" hidden="1" x14ac:dyDescent="0.2">
      <c r="A1521" s="3">
        <v>45860</v>
      </c>
      <c r="B1521" s="2" t="s">
        <v>17</v>
      </c>
      <c r="C1521" s="2">
        <v>2</v>
      </c>
      <c r="D1521" s="2">
        <f t="shared" si="92"/>
        <v>2025</v>
      </c>
      <c r="E1521" s="2" t="str">
        <f t="shared" si="93"/>
        <v>2025-30</v>
      </c>
      <c r="F1521" s="2" t="str">
        <f t="shared" si="94"/>
        <v>Week 30</v>
      </c>
      <c r="G1521" s="2" t="str">
        <f t="shared" si="95"/>
        <v>Week 30-2025</v>
      </c>
      <c r="O1521"/>
      <c r="Q1521"/>
    </row>
    <row r="1522" spans="1:17" hidden="1" x14ac:dyDescent="0.2">
      <c r="A1522" s="3">
        <v>45860</v>
      </c>
      <c r="B1522" s="2" t="s">
        <v>27</v>
      </c>
      <c r="C1522" s="2">
        <v>2</v>
      </c>
      <c r="D1522" s="2">
        <f t="shared" si="92"/>
        <v>2025</v>
      </c>
      <c r="E1522" s="2" t="str">
        <f t="shared" si="93"/>
        <v>2025-30</v>
      </c>
      <c r="F1522" s="2" t="str">
        <f t="shared" si="94"/>
        <v>Week 30</v>
      </c>
      <c r="G1522" s="2" t="str">
        <f t="shared" si="95"/>
        <v>Week 30-2025</v>
      </c>
      <c r="O1522"/>
      <c r="Q1522"/>
    </row>
    <row r="1523" spans="1:17" hidden="1" x14ac:dyDescent="0.2">
      <c r="A1523" s="3">
        <v>45860</v>
      </c>
      <c r="B1523" s="2" t="s">
        <v>31</v>
      </c>
      <c r="C1523" s="2">
        <v>1</v>
      </c>
      <c r="D1523" s="2">
        <f t="shared" si="92"/>
        <v>2025</v>
      </c>
      <c r="E1523" s="2" t="str">
        <f t="shared" si="93"/>
        <v>2025-30</v>
      </c>
      <c r="F1523" s="2" t="str">
        <f t="shared" si="94"/>
        <v>Week 30</v>
      </c>
      <c r="G1523" s="2" t="str">
        <f t="shared" si="95"/>
        <v>Week 30-2025</v>
      </c>
      <c r="O1523"/>
      <c r="Q1523"/>
    </row>
    <row r="1524" spans="1:17" hidden="1" x14ac:dyDescent="0.2">
      <c r="A1524" s="3">
        <v>45861</v>
      </c>
      <c r="B1524" s="2" t="s">
        <v>6</v>
      </c>
      <c r="C1524" s="2">
        <v>12</v>
      </c>
      <c r="D1524" s="2">
        <f t="shared" si="92"/>
        <v>2025</v>
      </c>
      <c r="E1524" s="2" t="str">
        <f t="shared" si="93"/>
        <v>2025-30</v>
      </c>
      <c r="F1524" s="2" t="str">
        <f t="shared" si="94"/>
        <v>Week 30</v>
      </c>
      <c r="G1524" s="2" t="str">
        <f t="shared" si="95"/>
        <v>Week 30-2025</v>
      </c>
      <c r="O1524"/>
      <c r="Q1524"/>
    </row>
    <row r="1525" spans="1:17" hidden="1" x14ac:dyDescent="0.2">
      <c r="A1525" s="3">
        <v>45861</v>
      </c>
      <c r="B1525" s="2" t="s">
        <v>3</v>
      </c>
      <c r="C1525" s="2">
        <v>4</v>
      </c>
      <c r="D1525" s="2">
        <f t="shared" si="92"/>
        <v>2025</v>
      </c>
      <c r="E1525" s="2" t="str">
        <f t="shared" si="93"/>
        <v>2025-30</v>
      </c>
      <c r="F1525" s="2" t="str">
        <f t="shared" si="94"/>
        <v>Week 30</v>
      </c>
      <c r="G1525" s="2" t="str">
        <f t="shared" si="95"/>
        <v>Week 30-2025</v>
      </c>
      <c r="O1525"/>
      <c r="Q1525"/>
    </row>
    <row r="1526" spans="1:17" hidden="1" x14ac:dyDescent="0.2">
      <c r="A1526" s="3">
        <v>45861</v>
      </c>
      <c r="B1526" s="2" t="s">
        <v>10</v>
      </c>
      <c r="C1526" s="2">
        <v>4</v>
      </c>
      <c r="D1526" s="2">
        <f t="shared" si="92"/>
        <v>2025</v>
      </c>
      <c r="E1526" s="2" t="str">
        <f t="shared" si="93"/>
        <v>2025-30</v>
      </c>
      <c r="F1526" s="2" t="str">
        <f t="shared" si="94"/>
        <v>Week 30</v>
      </c>
      <c r="G1526" s="2" t="str">
        <f t="shared" si="95"/>
        <v>Week 30-2025</v>
      </c>
      <c r="O1526"/>
      <c r="Q1526"/>
    </row>
    <row r="1527" spans="1:17" hidden="1" x14ac:dyDescent="0.2">
      <c r="A1527" s="3">
        <v>45861</v>
      </c>
      <c r="B1527" s="2" t="s">
        <v>35</v>
      </c>
      <c r="C1527" s="2">
        <v>4</v>
      </c>
      <c r="D1527" s="2">
        <f t="shared" si="92"/>
        <v>2025</v>
      </c>
      <c r="E1527" s="2" t="str">
        <f t="shared" si="93"/>
        <v>2025-30</v>
      </c>
      <c r="F1527" s="2" t="str">
        <f t="shared" si="94"/>
        <v>Week 30</v>
      </c>
      <c r="G1527" s="2" t="str">
        <f t="shared" si="95"/>
        <v>Week 30-2025</v>
      </c>
      <c r="O1527"/>
      <c r="Q1527"/>
    </row>
    <row r="1528" spans="1:17" hidden="1" x14ac:dyDescent="0.2">
      <c r="A1528" s="3">
        <v>45862</v>
      </c>
      <c r="B1528" s="2" t="s">
        <v>15</v>
      </c>
      <c r="C1528" s="2">
        <v>8</v>
      </c>
      <c r="D1528" s="2">
        <f t="shared" si="92"/>
        <v>2025</v>
      </c>
      <c r="E1528" s="2" t="str">
        <f t="shared" si="93"/>
        <v>2025-30</v>
      </c>
      <c r="F1528" s="2" t="str">
        <f t="shared" si="94"/>
        <v>Week 30</v>
      </c>
      <c r="G1528" s="2" t="str">
        <f t="shared" si="95"/>
        <v>Week 30-2025</v>
      </c>
      <c r="O1528"/>
      <c r="Q1528"/>
    </row>
    <row r="1529" spans="1:17" hidden="1" x14ac:dyDescent="0.2">
      <c r="A1529" s="3">
        <v>45862</v>
      </c>
      <c r="B1529" s="2" t="s">
        <v>36</v>
      </c>
      <c r="C1529" s="2">
        <v>6</v>
      </c>
      <c r="D1529" s="2">
        <f t="shared" si="92"/>
        <v>2025</v>
      </c>
      <c r="E1529" s="2" t="str">
        <f t="shared" si="93"/>
        <v>2025-30</v>
      </c>
      <c r="F1529" s="2" t="str">
        <f t="shared" si="94"/>
        <v>Week 30</v>
      </c>
      <c r="G1529" s="2" t="str">
        <f t="shared" si="95"/>
        <v>Week 30-2025</v>
      </c>
      <c r="O1529"/>
      <c r="Q1529"/>
    </row>
    <row r="1530" spans="1:17" hidden="1" x14ac:dyDescent="0.2">
      <c r="A1530" s="3">
        <v>45865</v>
      </c>
      <c r="B1530" s="2" t="s">
        <v>3</v>
      </c>
      <c r="C1530" s="2">
        <v>32</v>
      </c>
      <c r="D1530" s="2">
        <f t="shared" si="92"/>
        <v>2025</v>
      </c>
      <c r="E1530" s="2" t="str">
        <f t="shared" si="93"/>
        <v>2025-30</v>
      </c>
      <c r="F1530" s="2" t="str">
        <f t="shared" si="94"/>
        <v>Week 31</v>
      </c>
      <c r="G1530" s="2" t="str">
        <f t="shared" si="95"/>
        <v>Week 31-2025</v>
      </c>
      <c r="O1530"/>
      <c r="Q1530"/>
    </row>
    <row r="1531" spans="1:17" hidden="1" x14ac:dyDescent="0.2">
      <c r="A1531" s="3">
        <v>45865</v>
      </c>
      <c r="B1531" s="2" t="s">
        <v>9</v>
      </c>
      <c r="C1531" s="2">
        <v>25</v>
      </c>
      <c r="D1531" s="2">
        <f t="shared" si="92"/>
        <v>2025</v>
      </c>
      <c r="E1531" s="2" t="str">
        <f t="shared" si="93"/>
        <v>2025-30</v>
      </c>
      <c r="F1531" s="2" t="str">
        <f t="shared" si="94"/>
        <v>Week 31</v>
      </c>
      <c r="G1531" s="2" t="str">
        <f t="shared" si="95"/>
        <v>Week 31-2025</v>
      </c>
      <c r="O1531"/>
      <c r="Q1531"/>
    </row>
    <row r="1532" spans="1:17" hidden="1" x14ac:dyDescent="0.2">
      <c r="A1532" s="3">
        <v>45865</v>
      </c>
      <c r="B1532" s="2" t="s">
        <v>18</v>
      </c>
      <c r="C1532" s="2">
        <v>11</v>
      </c>
      <c r="D1532" s="2">
        <f t="shared" si="92"/>
        <v>2025</v>
      </c>
      <c r="E1532" s="2" t="str">
        <f t="shared" si="93"/>
        <v>2025-30</v>
      </c>
      <c r="F1532" s="2" t="str">
        <f t="shared" si="94"/>
        <v>Week 31</v>
      </c>
      <c r="G1532" s="2" t="str">
        <f t="shared" si="95"/>
        <v>Week 31-2025</v>
      </c>
      <c r="O1532"/>
      <c r="Q1532"/>
    </row>
    <row r="1533" spans="1:17" hidden="1" x14ac:dyDescent="0.2">
      <c r="A1533" s="3">
        <v>45865</v>
      </c>
      <c r="B1533" s="2" t="s">
        <v>9</v>
      </c>
      <c r="C1533" s="2">
        <v>16</v>
      </c>
      <c r="D1533" s="2">
        <f t="shared" si="92"/>
        <v>2025</v>
      </c>
      <c r="E1533" s="2" t="str">
        <f t="shared" si="93"/>
        <v>2025-30</v>
      </c>
      <c r="F1533" s="2" t="str">
        <f t="shared" si="94"/>
        <v>Week 31</v>
      </c>
      <c r="G1533" s="2" t="str">
        <f t="shared" si="95"/>
        <v>Week 31-2025</v>
      </c>
      <c r="O1533"/>
      <c r="Q1533"/>
    </row>
    <row r="1534" spans="1:17" hidden="1" x14ac:dyDescent="0.2">
      <c r="A1534" s="3">
        <v>45865</v>
      </c>
      <c r="B1534" s="2" t="s">
        <v>5</v>
      </c>
      <c r="C1534" s="2">
        <v>14</v>
      </c>
      <c r="D1534" s="2">
        <f t="shared" si="92"/>
        <v>2025</v>
      </c>
      <c r="E1534" s="2" t="str">
        <f t="shared" si="93"/>
        <v>2025-30</v>
      </c>
      <c r="F1534" s="2" t="str">
        <f t="shared" si="94"/>
        <v>Week 31</v>
      </c>
      <c r="G1534" s="2" t="str">
        <f t="shared" si="95"/>
        <v>Week 31-2025</v>
      </c>
      <c r="O1534"/>
      <c r="Q1534"/>
    </row>
    <row r="1535" spans="1:17" hidden="1" x14ac:dyDescent="0.2">
      <c r="A1535" s="3">
        <v>45865</v>
      </c>
      <c r="B1535" s="2" t="s">
        <v>18</v>
      </c>
      <c r="C1535" s="2">
        <v>6</v>
      </c>
      <c r="D1535" s="2">
        <f t="shared" si="92"/>
        <v>2025</v>
      </c>
      <c r="E1535" s="2" t="str">
        <f t="shared" si="93"/>
        <v>2025-30</v>
      </c>
      <c r="F1535" s="2" t="str">
        <f t="shared" si="94"/>
        <v>Week 31</v>
      </c>
      <c r="G1535" s="2" t="str">
        <f t="shared" si="95"/>
        <v>Week 31-2025</v>
      </c>
      <c r="O1535"/>
      <c r="Q1535"/>
    </row>
    <row r="1536" spans="1:17" hidden="1" x14ac:dyDescent="0.2">
      <c r="A1536" s="3">
        <v>45865</v>
      </c>
      <c r="B1536" s="2" t="s">
        <v>4</v>
      </c>
      <c r="C1536" s="2">
        <v>8</v>
      </c>
      <c r="D1536" s="2">
        <f t="shared" si="92"/>
        <v>2025</v>
      </c>
      <c r="E1536" s="2" t="str">
        <f t="shared" si="93"/>
        <v>2025-30</v>
      </c>
      <c r="F1536" s="2" t="str">
        <f t="shared" si="94"/>
        <v>Week 31</v>
      </c>
      <c r="G1536" s="2" t="str">
        <f t="shared" si="95"/>
        <v>Week 31-2025</v>
      </c>
      <c r="O1536"/>
      <c r="Q1536"/>
    </row>
    <row r="1537" spans="1:17" hidden="1" x14ac:dyDescent="0.2">
      <c r="A1537" s="3">
        <v>45865</v>
      </c>
      <c r="B1537" s="2" t="s">
        <v>5</v>
      </c>
      <c r="C1537" s="2">
        <v>10</v>
      </c>
      <c r="D1537" s="2">
        <f t="shared" si="92"/>
        <v>2025</v>
      </c>
      <c r="E1537" s="2" t="str">
        <f t="shared" si="93"/>
        <v>2025-30</v>
      </c>
      <c r="F1537" s="2" t="str">
        <f t="shared" si="94"/>
        <v>Week 31</v>
      </c>
      <c r="G1537" s="2" t="str">
        <f t="shared" si="95"/>
        <v>Week 31-2025</v>
      </c>
      <c r="O1537"/>
      <c r="Q1537"/>
    </row>
    <row r="1538" spans="1:17" hidden="1" x14ac:dyDescent="0.2">
      <c r="A1538" s="3">
        <v>45865</v>
      </c>
      <c r="B1538" s="2" t="s">
        <v>5</v>
      </c>
      <c r="C1538" s="2">
        <v>10</v>
      </c>
      <c r="D1538" s="2">
        <f t="shared" ref="D1538:D1601" si="96">YEAR(A1538)</f>
        <v>2025</v>
      </c>
      <c r="E1538" s="2" t="str">
        <f t="shared" ref="E1538:E1601" si="97">YEAR(A1538)&amp;"-"&amp;_xlfn.ISOWEEKNUM(A1538)</f>
        <v>2025-30</v>
      </c>
      <c r="F1538" s="2" t="str">
        <f t="shared" ref="F1538:F1601" si="98">_xlfn.CONCAT("Week "&amp;WEEKNUM(A1538))</f>
        <v>Week 31</v>
      </c>
      <c r="G1538" s="2" t="str">
        <f t="shared" ref="G1538:G1601" si="99">_xlfn.CONCAT(F1538,"-",D1538)</f>
        <v>Week 31-2025</v>
      </c>
      <c r="O1538"/>
      <c r="Q1538"/>
    </row>
    <row r="1539" spans="1:17" hidden="1" x14ac:dyDescent="0.2">
      <c r="A1539" s="3">
        <v>45865</v>
      </c>
      <c r="B1539" s="2" t="s">
        <v>4</v>
      </c>
      <c r="C1539" s="2">
        <v>6</v>
      </c>
      <c r="D1539" s="2">
        <f t="shared" si="96"/>
        <v>2025</v>
      </c>
      <c r="E1539" s="2" t="str">
        <f t="shared" si="97"/>
        <v>2025-30</v>
      </c>
      <c r="F1539" s="2" t="str">
        <f t="shared" si="98"/>
        <v>Week 31</v>
      </c>
      <c r="G1539" s="2" t="str">
        <f t="shared" si="99"/>
        <v>Week 31-2025</v>
      </c>
      <c r="O1539"/>
      <c r="Q1539"/>
    </row>
    <row r="1540" spans="1:17" hidden="1" x14ac:dyDescent="0.2">
      <c r="A1540" s="3">
        <v>45865</v>
      </c>
      <c r="B1540" s="2" t="s">
        <v>18</v>
      </c>
      <c r="C1540" s="2">
        <v>4</v>
      </c>
      <c r="D1540" s="2">
        <f t="shared" si="96"/>
        <v>2025</v>
      </c>
      <c r="E1540" s="2" t="str">
        <f t="shared" si="97"/>
        <v>2025-30</v>
      </c>
      <c r="F1540" s="2" t="str">
        <f t="shared" si="98"/>
        <v>Week 31</v>
      </c>
      <c r="G1540" s="2" t="str">
        <f t="shared" si="99"/>
        <v>Week 31-2025</v>
      </c>
      <c r="O1540"/>
      <c r="Q1540"/>
    </row>
    <row r="1541" spans="1:17" hidden="1" x14ac:dyDescent="0.2">
      <c r="A1541" s="3">
        <v>45865</v>
      </c>
      <c r="B1541" s="2" t="s">
        <v>17</v>
      </c>
      <c r="C1541" s="2">
        <v>8</v>
      </c>
      <c r="D1541" s="2">
        <f t="shared" si="96"/>
        <v>2025</v>
      </c>
      <c r="E1541" s="2" t="str">
        <f t="shared" si="97"/>
        <v>2025-30</v>
      </c>
      <c r="F1541" s="2" t="str">
        <f t="shared" si="98"/>
        <v>Week 31</v>
      </c>
      <c r="G1541" s="2" t="str">
        <f t="shared" si="99"/>
        <v>Week 31-2025</v>
      </c>
      <c r="O1541"/>
      <c r="Q1541"/>
    </row>
    <row r="1542" spans="1:17" hidden="1" x14ac:dyDescent="0.2">
      <c r="A1542" s="3">
        <v>45865</v>
      </c>
      <c r="B1542" s="2" t="s">
        <v>17</v>
      </c>
      <c r="C1542" s="2">
        <v>8</v>
      </c>
      <c r="D1542" s="2">
        <f t="shared" si="96"/>
        <v>2025</v>
      </c>
      <c r="E1542" s="2" t="str">
        <f t="shared" si="97"/>
        <v>2025-30</v>
      </c>
      <c r="F1542" s="2" t="str">
        <f t="shared" si="98"/>
        <v>Week 31</v>
      </c>
      <c r="G1542" s="2" t="str">
        <f t="shared" si="99"/>
        <v>Week 31-2025</v>
      </c>
      <c r="O1542"/>
      <c r="Q1542"/>
    </row>
    <row r="1543" spans="1:17" hidden="1" x14ac:dyDescent="0.2">
      <c r="A1543" s="3">
        <v>45865</v>
      </c>
      <c r="B1543" s="2" t="s">
        <v>14</v>
      </c>
      <c r="C1543" s="2">
        <v>9</v>
      </c>
      <c r="D1543" s="2">
        <f t="shared" si="96"/>
        <v>2025</v>
      </c>
      <c r="E1543" s="2" t="str">
        <f t="shared" si="97"/>
        <v>2025-30</v>
      </c>
      <c r="F1543" s="2" t="str">
        <f t="shared" si="98"/>
        <v>Week 31</v>
      </c>
      <c r="G1543" s="2" t="str">
        <f t="shared" si="99"/>
        <v>Week 31-2025</v>
      </c>
      <c r="O1543"/>
      <c r="Q1543"/>
    </row>
    <row r="1544" spans="1:17" hidden="1" x14ac:dyDescent="0.2">
      <c r="A1544" s="3">
        <v>45865</v>
      </c>
      <c r="B1544" s="2" t="s">
        <v>9</v>
      </c>
      <c r="C1544" s="2">
        <v>4</v>
      </c>
      <c r="D1544" s="2">
        <f t="shared" si="96"/>
        <v>2025</v>
      </c>
      <c r="E1544" s="2" t="str">
        <f t="shared" si="97"/>
        <v>2025-30</v>
      </c>
      <c r="F1544" s="2" t="str">
        <f t="shared" si="98"/>
        <v>Week 31</v>
      </c>
      <c r="G1544" s="2" t="str">
        <f t="shared" si="99"/>
        <v>Week 31-2025</v>
      </c>
      <c r="O1544"/>
      <c r="Q1544"/>
    </row>
    <row r="1545" spans="1:17" hidden="1" x14ac:dyDescent="0.2">
      <c r="A1545" s="3">
        <v>45865</v>
      </c>
      <c r="B1545" s="2" t="s">
        <v>15</v>
      </c>
      <c r="C1545" s="2">
        <v>12</v>
      </c>
      <c r="D1545" s="2">
        <f t="shared" si="96"/>
        <v>2025</v>
      </c>
      <c r="E1545" s="2" t="str">
        <f t="shared" si="97"/>
        <v>2025-30</v>
      </c>
      <c r="F1545" s="2" t="str">
        <f t="shared" si="98"/>
        <v>Week 31</v>
      </c>
      <c r="G1545" s="2" t="str">
        <f t="shared" si="99"/>
        <v>Week 31-2025</v>
      </c>
      <c r="O1545"/>
      <c r="Q1545"/>
    </row>
    <row r="1546" spans="1:17" hidden="1" x14ac:dyDescent="0.2">
      <c r="A1546" s="3">
        <v>45865</v>
      </c>
      <c r="B1546" s="2" t="s">
        <v>15</v>
      </c>
      <c r="C1546" s="2">
        <v>12</v>
      </c>
      <c r="D1546" s="2">
        <f t="shared" si="96"/>
        <v>2025</v>
      </c>
      <c r="E1546" s="2" t="str">
        <f t="shared" si="97"/>
        <v>2025-30</v>
      </c>
      <c r="F1546" s="2" t="str">
        <f t="shared" si="98"/>
        <v>Week 31</v>
      </c>
      <c r="G1546" s="2" t="str">
        <f t="shared" si="99"/>
        <v>Week 31-2025</v>
      </c>
      <c r="O1546"/>
      <c r="Q1546"/>
    </row>
    <row r="1547" spans="1:17" hidden="1" x14ac:dyDescent="0.2">
      <c r="A1547" s="3">
        <v>45865</v>
      </c>
      <c r="B1547" s="2" t="s">
        <v>3</v>
      </c>
      <c r="C1547" s="2">
        <v>4</v>
      </c>
      <c r="D1547" s="2">
        <f t="shared" si="96"/>
        <v>2025</v>
      </c>
      <c r="E1547" s="2" t="str">
        <f t="shared" si="97"/>
        <v>2025-30</v>
      </c>
      <c r="F1547" s="2" t="str">
        <f t="shared" si="98"/>
        <v>Week 31</v>
      </c>
      <c r="G1547" s="2" t="str">
        <f t="shared" si="99"/>
        <v>Week 31-2025</v>
      </c>
      <c r="O1547"/>
      <c r="Q1547"/>
    </row>
    <row r="1548" spans="1:17" hidden="1" x14ac:dyDescent="0.2">
      <c r="A1548" s="3">
        <v>45865</v>
      </c>
      <c r="B1548" s="2" t="s">
        <v>36</v>
      </c>
      <c r="C1548" s="2">
        <v>8</v>
      </c>
      <c r="D1548" s="2">
        <f t="shared" si="96"/>
        <v>2025</v>
      </c>
      <c r="E1548" s="2" t="str">
        <f t="shared" si="97"/>
        <v>2025-30</v>
      </c>
      <c r="F1548" s="2" t="str">
        <f t="shared" si="98"/>
        <v>Week 31</v>
      </c>
      <c r="G1548" s="2" t="str">
        <f t="shared" si="99"/>
        <v>Week 31-2025</v>
      </c>
      <c r="O1548"/>
      <c r="Q1548"/>
    </row>
    <row r="1549" spans="1:17" hidden="1" x14ac:dyDescent="0.2">
      <c r="A1549" s="3">
        <v>45865</v>
      </c>
      <c r="B1549" s="2" t="s">
        <v>14</v>
      </c>
      <c r="C1549" s="2">
        <v>5</v>
      </c>
      <c r="D1549" s="2">
        <f t="shared" si="96"/>
        <v>2025</v>
      </c>
      <c r="E1549" s="2" t="str">
        <f t="shared" si="97"/>
        <v>2025-30</v>
      </c>
      <c r="F1549" s="2" t="str">
        <f t="shared" si="98"/>
        <v>Week 31</v>
      </c>
      <c r="G1549" s="2" t="str">
        <f t="shared" si="99"/>
        <v>Week 31-2025</v>
      </c>
      <c r="O1549"/>
      <c r="Q1549"/>
    </row>
    <row r="1550" spans="1:17" hidden="1" x14ac:dyDescent="0.2">
      <c r="A1550" s="3">
        <v>45865</v>
      </c>
      <c r="B1550" s="2" t="s">
        <v>19</v>
      </c>
      <c r="C1550" s="2">
        <v>2</v>
      </c>
      <c r="D1550" s="2">
        <f t="shared" si="96"/>
        <v>2025</v>
      </c>
      <c r="E1550" s="2" t="str">
        <f t="shared" si="97"/>
        <v>2025-30</v>
      </c>
      <c r="F1550" s="2" t="str">
        <f t="shared" si="98"/>
        <v>Week 31</v>
      </c>
      <c r="G1550" s="2" t="str">
        <f t="shared" si="99"/>
        <v>Week 31-2025</v>
      </c>
      <c r="O1550"/>
      <c r="Q1550"/>
    </row>
    <row r="1551" spans="1:17" hidden="1" x14ac:dyDescent="0.2">
      <c r="A1551" s="3">
        <v>45865</v>
      </c>
      <c r="B1551" s="2" t="s">
        <v>19</v>
      </c>
      <c r="C1551" s="2">
        <v>2</v>
      </c>
      <c r="D1551" s="2">
        <f t="shared" si="96"/>
        <v>2025</v>
      </c>
      <c r="E1551" s="2" t="str">
        <f t="shared" si="97"/>
        <v>2025-30</v>
      </c>
      <c r="F1551" s="2" t="str">
        <f t="shared" si="98"/>
        <v>Week 31</v>
      </c>
      <c r="G1551" s="2" t="str">
        <f t="shared" si="99"/>
        <v>Week 31-2025</v>
      </c>
      <c r="O1551"/>
      <c r="Q1551"/>
    </row>
    <row r="1552" spans="1:17" hidden="1" x14ac:dyDescent="0.2">
      <c r="A1552" s="3">
        <v>45865</v>
      </c>
      <c r="B1552" s="2" t="s">
        <v>8</v>
      </c>
      <c r="C1552" s="2">
        <v>4</v>
      </c>
      <c r="D1552" s="2">
        <f t="shared" si="96"/>
        <v>2025</v>
      </c>
      <c r="E1552" s="2" t="str">
        <f t="shared" si="97"/>
        <v>2025-30</v>
      </c>
      <c r="F1552" s="2" t="str">
        <f t="shared" si="98"/>
        <v>Week 31</v>
      </c>
      <c r="G1552" s="2" t="str">
        <f t="shared" si="99"/>
        <v>Week 31-2025</v>
      </c>
      <c r="O1552"/>
      <c r="Q1552"/>
    </row>
    <row r="1553" spans="1:17" hidden="1" x14ac:dyDescent="0.2">
      <c r="A1553" s="3">
        <v>45865</v>
      </c>
      <c r="B1553" s="2" t="s">
        <v>5</v>
      </c>
      <c r="C1553" s="2">
        <v>2</v>
      </c>
      <c r="D1553" s="2">
        <f t="shared" si="96"/>
        <v>2025</v>
      </c>
      <c r="E1553" s="2" t="str">
        <f t="shared" si="97"/>
        <v>2025-30</v>
      </c>
      <c r="F1553" s="2" t="str">
        <f t="shared" si="98"/>
        <v>Week 31</v>
      </c>
      <c r="G1553" s="2" t="str">
        <f t="shared" si="99"/>
        <v>Week 31-2025</v>
      </c>
      <c r="O1553"/>
      <c r="Q1553"/>
    </row>
    <row r="1554" spans="1:17" hidden="1" x14ac:dyDescent="0.2">
      <c r="A1554" s="3">
        <v>45865</v>
      </c>
      <c r="B1554" s="2" t="s">
        <v>28</v>
      </c>
      <c r="C1554" s="2">
        <v>4</v>
      </c>
      <c r="D1554" s="2">
        <f t="shared" si="96"/>
        <v>2025</v>
      </c>
      <c r="E1554" s="2" t="str">
        <f t="shared" si="97"/>
        <v>2025-30</v>
      </c>
      <c r="F1554" s="2" t="str">
        <f t="shared" si="98"/>
        <v>Week 31</v>
      </c>
      <c r="G1554" s="2" t="str">
        <f t="shared" si="99"/>
        <v>Week 31-2025</v>
      </c>
      <c r="O1554"/>
      <c r="Q1554"/>
    </row>
    <row r="1555" spans="1:17" hidden="1" x14ac:dyDescent="0.2">
      <c r="A1555" s="3">
        <v>45865</v>
      </c>
      <c r="B1555" s="2" t="s">
        <v>28</v>
      </c>
      <c r="C1555" s="2">
        <v>4</v>
      </c>
      <c r="D1555" s="2">
        <f t="shared" si="96"/>
        <v>2025</v>
      </c>
      <c r="E1555" s="2" t="str">
        <f t="shared" si="97"/>
        <v>2025-30</v>
      </c>
      <c r="F1555" s="2" t="str">
        <f t="shared" si="98"/>
        <v>Week 31</v>
      </c>
      <c r="G1555" s="2" t="str">
        <f t="shared" si="99"/>
        <v>Week 31-2025</v>
      </c>
      <c r="O1555"/>
      <c r="Q1555"/>
    </row>
    <row r="1556" spans="1:17" hidden="1" x14ac:dyDescent="0.2">
      <c r="A1556" s="3">
        <v>45865</v>
      </c>
      <c r="B1556" s="2" t="s">
        <v>3</v>
      </c>
      <c r="C1556" s="2">
        <v>2</v>
      </c>
      <c r="D1556" s="2">
        <f t="shared" si="96"/>
        <v>2025</v>
      </c>
      <c r="E1556" s="2" t="str">
        <f t="shared" si="97"/>
        <v>2025-30</v>
      </c>
      <c r="F1556" s="2" t="str">
        <f t="shared" si="98"/>
        <v>Week 31</v>
      </c>
      <c r="G1556" s="2" t="str">
        <f t="shared" si="99"/>
        <v>Week 31-2025</v>
      </c>
      <c r="O1556"/>
      <c r="Q1556"/>
    </row>
    <row r="1557" spans="1:17" hidden="1" x14ac:dyDescent="0.2">
      <c r="A1557" s="3">
        <v>45865</v>
      </c>
      <c r="B1557" s="2" t="s">
        <v>3</v>
      </c>
      <c r="C1557" s="2">
        <v>2</v>
      </c>
      <c r="D1557" s="2">
        <f t="shared" si="96"/>
        <v>2025</v>
      </c>
      <c r="E1557" s="2" t="str">
        <f t="shared" si="97"/>
        <v>2025-30</v>
      </c>
      <c r="F1557" s="2" t="str">
        <f t="shared" si="98"/>
        <v>Week 31</v>
      </c>
      <c r="G1557" s="2" t="str">
        <f t="shared" si="99"/>
        <v>Week 31-2025</v>
      </c>
      <c r="O1557"/>
      <c r="Q1557"/>
    </row>
    <row r="1558" spans="1:17" hidden="1" x14ac:dyDescent="0.2">
      <c r="A1558" s="3">
        <v>45865</v>
      </c>
      <c r="B1558" s="2" t="s">
        <v>18</v>
      </c>
      <c r="C1558" s="2">
        <v>1</v>
      </c>
      <c r="D1558" s="2">
        <f t="shared" si="96"/>
        <v>2025</v>
      </c>
      <c r="E1558" s="2" t="str">
        <f t="shared" si="97"/>
        <v>2025-30</v>
      </c>
      <c r="F1558" s="2" t="str">
        <f t="shared" si="98"/>
        <v>Week 31</v>
      </c>
      <c r="G1558" s="2" t="str">
        <f t="shared" si="99"/>
        <v>Week 31-2025</v>
      </c>
      <c r="O1558"/>
      <c r="Q1558"/>
    </row>
    <row r="1559" spans="1:17" hidden="1" x14ac:dyDescent="0.2">
      <c r="A1559" s="3">
        <v>45865</v>
      </c>
      <c r="B1559" s="2" t="s">
        <v>27</v>
      </c>
      <c r="C1559" s="2">
        <v>4</v>
      </c>
      <c r="D1559" s="2">
        <f t="shared" si="96"/>
        <v>2025</v>
      </c>
      <c r="E1559" s="2" t="str">
        <f t="shared" si="97"/>
        <v>2025-30</v>
      </c>
      <c r="F1559" s="2" t="str">
        <f t="shared" si="98"/>
        <v>Week 31</v>
      </c>
      <c r="G1559" s="2" t="str">
        <f t="shared" si="99"/>
        <v>Week 31-2025</v>
      </c>
      <c r="O1559"/>
      <c r="Q1559"/>
    </row>
    <row r="1560" spans="1:17" hidden="1" x14ac:dyDescent="0.2">
      <c r="A1560" s="3">
        <v>45865</v>
      </c>
      <c r="B1560" s="2" t="s">
        <v>13</v>
      </c>
      <c r="C1560" s="2">
        <v>2</v>
      </c>
      <c r="D1560" s="2">
        <f t="shared" si="96"/>
        <v>2025</v>
      </c>
      <c r="E1560" s="2" t="str">
        <f t="shared" si="97"/>
        <v>2025-30</v>
      </c>
      <c r="F1560" s="2" t="str">
        <f t="shared" si="98"/>
        <v>Week 31</v>
      </c>
      <c r="G1560" s="2" t="str">
        <f t="shared" si="99"/>
        <v>Week 31-2025</v>
      </c>
      <c r="O1560"/>
      <c r="Q1560"/>
    </row>
    <row r="1561" spans="1:17" hidden="1" x14ac:dyDescent="0.2">
      <c r="A1561" s="3">
        <v>45865</v>
      </c>
      <c r="B1561" s="2" t="s">
        <v>13</v>
      </c>
      <c r="C1561" s="2">
        <v>2</v>
      </c>
      <c r="D1561" s="2">
        <f t="shared" si="96"/>
        <v>2025</v>
      </c>
      <c r="E1561" s="2" t="str">
        <f t="shared" si="97"/>
        <v>2025-30</v>
      </c>
      <c r="F1561" s="2" t="str">
        <f t="shared" si="98"/>
        <v>Week 31</v>
      </c>
      <c r="G1561" s="2" t="str">
        <f t="shared" si="99"/>
        <v>Week 31-2025</v>
      </c>
      <c r="O1561"/>
      <c r="Q1561"/>
    </row>
    <row r="1562" spans="1:17" hidden="1" x14ac:dyDescent="0.2">
      <c r="A1562" s="3">
        <v>45865</v>
      </c>
      <c r="B1562" s="2" t="s">
        <v>5</v>
      </c>
      <c r="C1562" s="2">
        <v>2</v>
      </c>
      <c r="D1562" s="2">
        <f t="shared" si="96"/>
        <v>2025</v>
      </c>
      <c r="E1562" s="2" t="str">
        <f t="shared" si="97"/>
        <v>2025-30</v>
      </c>
      <c r="F1562" s="2" t="str">
        <f t="shared" si="98"/>
        <v>Week 31</v>
      </c>
      <c r="G1562" s="2" t="str">
        <f t="shared" si="99"/>
        <v>Week 31-2025</v>
      </c>
      <c r="O1562"/>
      <c r="Q1562"/>
    </row>
    <row r="1563" spans="1:17" hidden="1" x14ac:dyDescent="0.2">
      <c r="A1563" s="3">
        <v>45865</v>
      </c>
      <c r="B1563" s="2" t="s">
        <v>46</v>
      </c>
      <c r="C1563" s="2">
        <v>2</v>
      </c>
      <c r="D1563" s="2">
        <f t="shared" si="96"/>
        <v>2025</v>
      </c>
      <c r="E1563" s="2" t="str">
        <f t="shared" si="97"/>
        <v>2025-30</v>
      </c>
      <c r="F1563" s="2" t="str">
        <f t="shared" si="98"/>
        <v>Week 31</v>
      </c>
      <c r="G1563" s="2" t="str">
        <f t="shared" si="99"/>
        <v>Week 31-2025</v>
      </c>
      <c r="O1563"/>
      <c r="Q1563"/>
    </row>
    <row r="1564" spans="1:17" hidden="1" x14ac:dyDescent="0.2">
      <c r="A1564" s="3">
        <v>45865</v>
      </c>
      <c r="B1564" s="2" t="s">
        <v>15</v>
      </c>
      <c r="C1564" s="2">
        <v>2</v>
      </c>
      <c r="D1564" s="2">
        <f t="shared" si="96"/>
        <v>2025</v>
      </c>
      <c r="E1564" s="2" t="str">
        <f t="shared" si="97"/>
        <v>2025-30</v>
      </c>
      <c r="F1564" s="2" t="str">
        <f t="shared" si="98"/>
        <v>Week 31</v>
      </c>
      <c r="G1564" s="2" t="str">
        <f t="shared" si="99"/>
        <v>Week 31-2025</v>
      </c>
      <c r="O1564"/>
      <c r="Q1564"/>
    </row>
    <row r="1565" spans="1:17" hidden="1" x14ac:dyDescent="0.2">
      <c r="A1565" s="3">
        <v>45865</v>
      </c>
      <c r="B1565" s="2" t="s">
        <v>15</v>
      </c>
      <c r="C1565" s="2">
        <v>2</v>
      </c>
      <c r="D1565" s="2">
        <f t="shared" si="96"/>
        <v>2025</v>
      </c>
      <c r="E1565" s="2" t="str">
        <f t="shared" si="97"/>
        <v>2025-30</v>
      </c>
      <c r="F1565" s="2" t="str">
        <f t="shared" si="98"/>
        <v>Week 31</v>
      </c>
      <c r="G1565" s="2" t="str">
        <f t="shared" si="99"/>
        <v>Week 31-2025</v>
      </c>
      <c r="O1565"/>
      <c r="Q1565"/>
    </row>
    <row r="1566" spans="1:17" hidden="1" x14ac:dyDescent="0.2">
      <c r="A1566" s="3">
        <v>45865</v>
      </c>
      <c r="B1566" s="2" t="s">
        <v>36</v>
      </c>
      <c r="C1566" s="2">
        <v>2</v>
      </c>
      <c r="D1566" s="2">
        <f t="shared" si="96"/>
        <v>2025</v>
      </c>
      <c r="E1566" s="2" t="str">
        <f t="shared" si="97"/>
        <v>2025-30</v>
      </c>
      <c r="F1566" s="2" t="str">
        <f t="shared" si="98"/>
        <v>Week 31</v>
      </c>
      <c r="G1566" s="2" t="str">
        <f t="shared" si="99"/>
        <v>Week 31-2025</v>
      </c>
      <c r="O1566"/>
      <c r="Q1566"/>
    </row>
    <row r="1567" spans="1:17" hidden="1" x14ac:dyDescent="0.2">
      <c r="A1567" s="3">
        <v>45865</v>
      </c>
      <c r="B1567" s="2" t="s">
        <v>36</v>
      </c>
      <c r="C1567" s="2">
        <v>2</v>
      </c>
      <c r="D1567" s="2">
        <f t="shared" si="96"/>
        <v>2025</v>
      </c>
      <c r="E1567" s="2" t="str">
        <f t="shared" si="97"/>
        <v>2025-30</v>
      </c>
      <c r="F1567" s="2" t="str">
        <f t="shared" si="98"/>
        <v>Week 31</v>
      </c>
      <c r="G1567" s="2" t="str">
        <f t="shared" si="99"/>
        <v>Week 31-2025</v>
      </c>
      <c r="O1567"/>
      <c r="Q1567"/>
    </row>
    <row r="1568" spans="1:17" hidden="1" x14ac:dyDescent="0.2">
      <c r="A1568" s="3">
        <v>45865</v>
      </c>
      <c r="B1568" s="2" t="s">
        <v>36</v>
      </c>
      <c r="C1568" s="2">
        <v>2</v>
      </c>
      <c r="D1568" s="2">
        <f t="shared" si="96"/>
        <v>2025</v>
      </c>
      <c r="E1568" s="2" t="str">
        <f t="shared" si="97"/>
        <v>2025-30</v>
      </c>
      <c r="F1568" s="2" t="str">
        <f t="shared" si="98"/>
        <v>Week 31</v>
      </c>
      <c r="G1568" s="2" t="str">
        <f t="shared" si="99"/>
        <v>Week 31-2025</v>
      </c>
      <c r="O1568"/>
      <c r="Q1568"/>
    </row>
    <row r="1569" spans="1:17" hidden="1" x14ac:dyDescent="0.2">
      <c r="A1569" s="3">
        <v>45866</v>
      </c>
      <c r="B1569" s="2" t="s">
        <v>6</v>
      </c>
      <c r="C1569" s="2">
        <v>15</v>
      </c>
      <c r="D1569" s="2">
        <f t="shared" si="96"/>
        <v>2025</v>
      </c>
      <c r="E1569" s="2" t="str">
        <f t="shared" si="97"/>
        <v>2025-31</v>
      </c>
      <c r="F1569" s="2" t="str">
        <f t="shared" si="98"/>
        <v>Week 31</v>
      </c>
      <c r="G1569" s="2" t="str">
        <f t="shared" si="99"/>
        <v>Week 31-2025</v>
      </c>
      <c r="O1569"/>
      <c r="Q1569"/>
    </row>
    <row r="1570" spans="1:17" hidden="1" x14ac:dyDescent="0.2">
      <c r="A1570" s="3">
        <v>45866</v>
      </c>
      <c r="B1570" s="2" t="s">
        <v>12</v>
      </c>
      <c r="C1570" s="2">
        <v>11</v>
      </c>
      <c r="D1570" s="2">
        <f t="shared" si="96"/>
        <v>2025</v>
      </c>
      <c r="E1570" s="2" t="str">
        <f t="shared" si="97"/>
        <v>2025-31</v>
      </c>
      <c r="F1570" s="2" t="str">
        <f t="shared" si="98"/>
        <v>Week 31</v>
      </c>
      <c r="G1570" s="2" t="str">
        <f t="shared" si="99"/>
        <v>Week 31-2025</v>
      </c>
      <c r="O1570"/>
      <c r="Q1570"/>
    </row>
    <row r="1571" spans="1:17" hidden="1" x14ac:dyDescent="0.2">
      <c r="A1571" s="3">
        <v>45866</v>
      </c>
      <c r="B1571" s="2" t="s">
        <v>12</v>
      </c>
      <c r="C1571" s="2">
        <v>8</v>
      </c>
      <c r="D1571" s="2">
        <f t="shared" si="96"/>
        <v>2025</v>
      </c>
      <c r="E1571" s="2" t="str">
        <f t="shared" si="97"/>
        <v>2025-31</v>
      </c>
      <c r="F1571" s="2" t="str">
        <f t="shared" si="98"/>
        <v>Week 31</v>
      </c>
      <c r="G1571" s="2" t="str">
        <f t="shared" si="99"/>
        <v>Week 31-2025</v>
      </c>
      <c r="O1571"/>
      <c r="Q1571"/>
    </row>
    <row r="1572" spans="1:17" hidden="1" x14ac:dyDescent="0.2">
      <c r="A1572" s="3">
        <v>45866</v>
      </c>
      <c r="B1572" s="2" t="s">
        <v>12</v>
      </c>
      <c r="C1572" s="2">
        <v>6</v>
      </c>
      <c r="D1572" s="2">
        <f t="shared" si="96"/>
        <v>2025</v>
      </c>
      <c r="E1572" s="2" t="str">
        <f t="shared" si="97"/>
        <v>2025-31</v>
      </c>
      <c r="F1572" s="2" t="str">
        <f t="shared" si="98"/>
        <v>Week 31</v>
      </c>
      <c r="G1572" s="2" t="str">
        <f t="shared" si="99"/>
        <v>Week 31-2025</v>
      </c>
      <c r="O1572"/>
      <c r="Q1572"/>
    </row>
    <row r="1573" spans="1:17" hidden="1" x14ac:dyDescent="0.2">
      <c r="A1573" s="3">
        <v>45866</v>
      </c>
      <c r="B1573" s="2" t="s">
        <v>12</v>
      </c>
      <c r="C1573" s="2">
        <v>6</v>
      </c>
      <c r="D1573" s="2">
        <f t="shared" si="96"/>
        <v>2025</v>
      </c>
      <c r="E1573" s="2" t="str">
        <f t="shared" si="97"/>
        <v>2025-31</v>
      </c>
      <c r="F1573" s="2" t="str">
        <f t="shared" si="98"/>
        <v>Week 31</v>
      </c>
      <c r="G1573" s="2" t="str">
        <f t="shared" si="99"/>
        <v>Week 31-2025</v>
      </c>
      <c r="O1573"/>
      <c r="Q1573"/>
    </row>
    <row r="1574" spans="1:17" hidden="1" x14ac:dyDescent="0.2">
      <c r="A1574" s="3">
        <v>45866</v>
      </c>
      <c r="B1574" s="2" t="s">
        <v>7</v>
      </c>
      <c r="C1574" s="2">
        <v>8</v>
      </c>
      <c r="D1574" s="2">
        <f t="shared" si="96"/>
        <v>2025</v>
      </c>
      <c r="E1574" s="2" t="str">
        <f t="shared" si="97"/>
        <v>2025-31</v>
      </c>
      <c r="F1574" s="2" t="str">
        <f t="shared" si="98"/>
        <v>Week 31</v>
      </c>
      <c r="G1574" s="2" t="str">
        <f t="shared" si="99"/>
        <v>Week 31-2025</v>
      </c>
      <c r="O1574"/>
      <c r="Q1574"/>
    </row>
    <row r="1575" spans="1:17" hidden="1" x14ac:dyDescent="0.2">
      <c r="A1575" s="3">
        <v>45866</v>
      </c>
      <c r="B1575" s="2" t="s">
        <v>4</v>
      </c>
      <c r="C1575" s="2">
        <v>8</v>
      </c>
      <c r="D1575" s="2">
        <f t="shared" si="96"/>
        <v>2025</v>
      </c>
      <c r="E1575" s="2" t="str">
        <f t="shared" si="97"/>
        <v>2025-31</v>
      </c>
      <c r="F1575" s="2" t="str">
        <f t="shared" si="98"/>
        <v>Week 31</v>
      </c>
      <c r="G1575" s="2" t="str">
        <f t="shared" si="99"/>
        <v>Week 31-2025</v>
      </c>
      <c r="O1575"/>
      <c r="Q1575"/>
    </row>
    <row r="1576" spans="1:17" hidden="1" x14ac:dyDescent="0.2">
      <c r="A1576" s="3">
        <v>45866</v>
      </c>
      <c r="B1576" s="2" t="s">
        <v>15</v>
      </c>
      <c r="C1576" s="2">
        <v>20</v>
      </c>
      <c r="D1576" s="2">
        <f t="shared" si="96"/>
        <v>2025</v>
      </c>
      <c r="E1576" s="2" t="str">
        <f t="shared" si="97"/>
        <v>2025-31</v>
      </c>
      <c r="F1576" s="2" t="str">
        <f t="shared" si="98"/>
        <v>Week 31</v>
      </c>
      <c r="G1576" s="2" t="str">
        <f t="shared" si="99"/>
        <v>Week 31-2025</v>
      </c>
      <c r="O1576"/>
      <c r="Q1576"/>
    </row>
    <row r="1577" spans="1:17" hidden="1" x14ac:dyDescent="0.2">
      <c r="A1577" s="3">
        <v>45866</v>
      </c>
      <c r="B1577" s="2" t="s">
        <v>15</v>
      </c>
      <c r="C1577" s="2">
        <v>17</v>
      </c>
      <c r="D1577" s="2">
        <f t="shared" si="96"/>
        <v>2025</v>
      </c>
      <c r="E1577" s="2" t="str">
        <f t="shared" si="97"/>
        <v>2025-31</v>
      </c>
      <c r="F1577" s="2" t="str">
        <f t="shared" si="98"/>
        <v>Week 31</v>
      </c>
      <c r="G1577" s="2" t="str">
        <f t="shared" si="99"/>
        <v>Week 31-2025</v>
      </c>
      <c r="O1577"/>
      <c r="Q1577"/>
    </row>
    <row r="1578" spans="1:17" hidden="1" x14ac:dyDescent="0.2">
      <c r="A1578" s="3">
        <v>45866</v>
      </c>
      <c r="B1578" s="2" t="s">
        <v>9</v>
      </c>
      <c r="C1578" s="2">
        <v>6</v>
      </c>
      <c r="D1578" s="2">
        <f t="shared" si="96"/>
        <v>2025</v>
      </c>
      <c r="E1578" s="2" t="str">
        <f t="shared" si="97"/>
        <v>2025-31</v>
      </c>
      <c r="F1578" s="2" t="str">
        <f t="shared" si="98"/>
        <v>Week 31</v>
      </c>
      <c r="G1578" s="2" t="str">
        <f t="shared" si="99"/>
        <v>Week 31-2025</v>
      </c>
      <c r="O1578"/>
      <c r="Q1578"/>
    </row>
    <row r="1579" spans="1:17" hidden="1" x14ac:dyDescent="0.2">
      <c r="A1579" s="3">
        <v>45866</v>
      </c>
      <c r="B1579" s="2" t="s">
        <v>17</v>
      </c>
      <c r="C1579" s="2">
        <v>8</v>
      </c>
      <c r="D1579" s="2">
        <f t="shared" si="96"/>
        <v>2025</v>
      </c>
      <c r="E1579" s="2" t="str">
        <f t="shared" si="97"/>
        <v>2025-31</v>
      </c>
      <c r="F1579" s="2" t="str">
        <f t="shared" si="98"/>
        <v>Week 31</v>
      </c>
      <c r="G1579" s="2" t="str">
        <f t="shared" si="99"/>
        <v>Week 31-2025</v>
      </c>
      <c r="O1579"/>
      <c r="Q1579"/>
    </row>
    <row r="1580" spans="1:17" hidden="1" x14ac:dyDescent="0.2">
      <c r="A1580" s="3">
        <v>45866</v>
      </c>
      <c r="B1580" s="2" t="s">
        <v>30</v>
      </c>
      <c r="C1580" s="2">
        <v>8</v>
      </c>
      <c r="D1580" s="2">
        <f t="shared" si="96"/>
        <v>2025</v>
      </c>
      <c r="E1580" s="2" t="str">
        <f t="shared" si="97"/>
        <v>2025-31</v>
      </c>
      <c r="F1580" s="2" t="str">
        <f t="shared" si="98"/>
        <v>Week 31</v>
      </c>
      <c r="G1580" s="2" t="str">
        <f t="shared" si="99"/>
        <v>Week 31-2025</v>
      </c>
      <c r="O1580"/>
      <c r="Q1580"/>
    </row>
    <row r="1581" spans="1:17" hidden="1" x14ac:dyDescent="0.2">
      <c r="A1581" s="3">
        <v>45866</v>
      </c>
      <c r="B1581" s="2" t="s">
        <v>6</v>
      </c>
      <c r="C1581" s="2">
        <v>2</v>
      </c>
      <c r="D1581" s="2">
        <f t="shared" si="96"/>
        <v>2025</v>
      </c>
      <c r="E1581" s="2" t="str">
        <f t="shared" si="97"/>
        <v>2025-31</v>
      </c>
      <c r="F1581" s="2" t="str">
        <f t="shared" si="98"/>
        <v>Week 31</v>
      </c>
      <c r="G1581" s="2" t="str">
        <f t="shared" si="99"/>
        <v>Week 31-2025</v>
      </c>
      <c r="O1581"/>
      <c r="Q1581"/>
    </row>
    <row r="1582" spans="1:17" hidden="1" x14ac:dyDescent="0.2">
      <c r="A1582" s="3">
        <v>45866</v>
      </c>
      <c r="B1582" s="2" t="s">
        <v>12</v>
      </c>
      <c r="C1582" s="2">
        <v>2</v>
      </c>
      <c r="D1582" s="2">
        <f t="shared" si="96"/>
        <v>2025</v>
      </c>
      <c r="E1582" s="2" t="str">
        <f t="shared" si="97"/>
        <v>2025-31</v>
      </c>
      <c r="F1582" s="2" t="str">
        <f t="shared" si="98"/>
        <v>Week 31</v>
      </c>
      <c r="G1582" s="2" t="str">
        <f t="shared" si="99"/>
        <v>Week 31-2025</v>
      </c>
      <c r="O1582"/>
      <c r="Q1582"/>
    </row>
    <row r="1583" spans="1:17" hidden="1" x14ac:dyDescent="0.2">
      <c r="A1583" s="3">
        <v>45866</v>
      </c>
      <c r="B1583" s="2" t="s">
        <v>34</v>
      </c>
      <c r="C1583" s="2">
        <v>4</v>
      </c>
      <c r="D1583" s="2">
        <f t="shared" si="96"/>
        <v>2025</v>
      </c>
      <c r="E1583" s="2" t="str">
        <f t="shared" si="97"/>
        <v>2025-31</v>
      </c>
      <c r="F1583" s="2" t="str">
        <f t="shared" si="98"/>
        <v>Week 31</v>
      </c>
      <c r="G1583" s="2" t="str">
        <f t="shared" si="99"/>
        <v>Week 31-2025</v>
      </c>
      <c r="O1583"/>
      <c r="Q1583"/>
    </row>
    <row r="1584" spans="1:17" hidden="1" x14ac:dyDescent="0.2">
      <c r="A1584" s="3">
        <v>45866</v>
      </c>
      <c r="B1584" s="2" t="s">
        <v>7</v>
      </c>
      <c r="C1584" s="2">
        <v>2</v>
      </c>
      <c r="D1584" s="2">
        <f t="shared" si="96"/>
        <v>2025</v>
      </c>
      <c r="E1584" s="2" t="str">
        <f t="shared" si="97"/>
        <v>2025-31</v>
      </c>
      <c r="F1584" s="2" t="str">
        <f t="shared" si="98"/>
        <v>Week 31</v>
      </c>
      <c r="G1584" s="2" t="str">
        <f t="shared" si="99"/>
        <v>Week 31-2025</v>
      </c>
      <c r="O1584"/>
      <c r="Q1584"/>
    </row>
    <row r="1585" spans="1:17" hidden="1" x14ac:dyDescent="0.2">
      <c r="A1585" s="3">
        <v>45866</v>
      </c>
      <c r="B1585" s="2" t="s">
        <v>7</v>
      </c>
      <c r="C1585" s="2">
        <v>2</v>
      </c>
      <c r="D1585" s="2">
        <f t="shared" si="96"/>
        <v>2025</v>
      </c>
      <c r="E1585" s="2" t="str">
        <f t="shared" si="97"/>
        <v>2025-31</v>
      </c>
      <c r="F1585" s="2" t="str">
        <f t="shared" si="98"/>
        <v>Week 31</v>
      </c>
      <c r="G1585" s="2" t="str">
        <f t="shared" si="99"/>
        <v>Week 31-2025</v>
      </c>
      <c r="O1585"/>
      <c r="Q1585"/>
    </row>
    <row r="1586" spans="1:17" hidden="1" x14ac:dyDescent="0.2">
      <c r="A1586" s="3">
        <v>45866</v>
      </c>
      <c r="B1586" s="2" t="s">
        <v>51</v>
      </c>
      <c r="C1586" s="2">
        <v>4</v>
      </c>
      <c r="D1586" s="2">
        <f t="shared" si="96"/>
        <v>2025</v>
      </c>
      <c r="E1586" s="2" t="str">
        <f t="shared" si="97"/>
        <v>2025-31</v>
      </c>
      <c r="F1586" s="2" t="str">
        <f t="shared" si="98"/>
        <v>Week 31</v>
      </c>
      <c r="G1586" s="2" t="str">
        <f t="shared" si="99"/>
        <v>Week 31-2025</v>
      </c>
      <c r="O1586"/>
      <c r="Q1586"/>
    </row>
    <row r="1587" spans="1:17" hidden="1" x14ac:dyDescent="0.2">
      <c r="A1587" s="3">
        <v>45866</v>
      </c>
      <c r="B1587" s="2" t="s">
        <v>15</v>
      </c>
      <c r="C1587" s="2">
        <v>4</v>
      </c>
      <c r="D1587" s="2">
        <f t="shared" si="96"/>
        <v>2025</v>
      </c>
      <c r="E1587" s="2" t="str">
        <f t="shared" si="97"/>
        <v>2025-31</v>
      </c>
      <c r="F1587" s="2" t="str">
        <f t="shared" si="98"/>
        <v>Week 31</v>
      </c>
      <c r="G1587" s="2" t="str">
        <f t="shared" si="99"/>
        <v>Week 31-2025</v>
      </c>
      <c r="O1587"/>
      <c r="Q1587"/>
    </row>
    <row r="1588" spans="1:17" hidden="1" x14ac:dyDescent="0.2">
      <c r="A1588" s="3">
        <v>45866</v>
      </c>
      <c r="B1588" s="2" t="s">
        <v>36</v>
      </c>
      <c r="C1588" s="2">
        <v>4</v>
      </c>
      <c r="D1588" s="2">
        <f t="shared" si="96"/>
        <v>2025</v>
      </c>
      <c r="E1588" s="2" t="str">
        <f t="shared" si="97"/>
        <v>2025-31</v>
      </c>
      <c r="F1588" s="2" t="str">
        <f t="shared" si="98"/>
        <v>Week 31</v>
      </c>
      <c r="G1588" s="2" t="str">
        <f t="shared" si="99"/>
        <v>Week 31-2025</v>
      </c>
      <c r="O1588"/>
      <c r="Q1588"/>
    </row>
    <row r="1589" spans="1:17" hidden="1" x14ac:dyDescent="0.2">
      <c r="A1589" s="3">
        <v>45866</v>
      </c>
      <c r="B1589" s="2" t="s">
        <v>38</v>
      </c>
      <c r="C1589" s="2">
        <v>2</v>
      </c>
      <c r="D1589" s="2">
        <f t="shared" si="96"/>
        <v>2025</v>
      </c>
      <c r="E1589" s="2" t="str">
        <f t="shared" si="97"/>
        <v>2025-31</v>
      </c>
      <c r="F1589" s="2" t="str">
        <f t="shared" si="98"/>
        <v>Week 31</v>
      </c>
      <c r="G1589" s="2" t="str">
        <f t="shared" si="99"/>
        <v>Week 31-2025</v>
      </c>
      <c r="O1589"/>
      <c r="Q1589"/>
    </row>
    <row r="1590" spans="1:17" hidden="1" x14ac:dyDescent="0.2">
      <c r="A1590" s="3">
        <v>45866</v>
      </c>
      <c r="B1590" s="2" t="s">
        <v>36</v>
      </c>
      <c r="C1590" s="2">
        <v>2</v>
      </c>
      <c r="D1590" s="2">
        <f t="shared" si="96"/>
        <v>2025</v>
      </c>
      <c r="E1590" s="2" t="str">
        <f t="shared" si="97"/>
        <v>2025-31</v>
      </c>
      <c r="F1590" s="2" t="str">
        <f t="shared" si="98"/>
        <v>Week 31</v>
      </c>
      <c r="G1590" s="2" t="str">
        <f t="shared" si="99"/>
        <v>Week 31-2025</v>
      </c>
      <c r="O1590"/>
      <c r="Q1590"/>
    </row>
    <row r="1591" spans="1:17" hidden="1" x14ac:dyDescent="0.2">
      <c r="A1591" s="3">
        <v>45867</v>
      </c>
      <c r="B1591" s="2" t="s">
        <v>5</v>
      </c>
      <c r="C1591" s="2">
        <v>24</v>
      </c>
      <c r="D1591" s="2">
        <f t="shared" si="96"/>
        <v>2025</v>
      </c>
      <c r="E1591" s="2" t="str">
        <f t="shared" si="97"/>
        <v>2025-31</v>
      </c>
      <c r="F1591" s="2" t="str">
        <f t="shared" si="98"/>
        <v>Week 31</v>
      </c>
      <c r="G1591" s="2" t="str">
        <f t="shared" si="99"/>
        <v>Week 31-2025</v>
      </c>
      <c r="O1591"/>
      <c r="Q1591"/>
    </row>
    <row r="1592" spans="1:17" hidden="1" x14ac:dyDescent="0.2">
      <c r="A1592" s="3">
        <v>45867</v>
      </c>
      <c r="B1592" s="2" t="s">
        <v>4</v>
      </c>
      <c r="C1592" s="2">
        <v>16</v>
      </c>
      <c r="D1592" s="2">
        <f t="shared" si="96"/>
        <v>2025</v>
      </c>
      <c r="E1592" s="2" t="str">
        <f t="shared" si="97"/>
        <v>2025-31</v>
      </c>
      <c r="F1592" s="2" t="str">
        <f t="shared" si="98"/>
        <v>Week 31</v>
      </c>
      <c r="G1592" s="2" t="str">
        <f t="shared" si="99"/>
        <v>Week 31-2025</v>
      </c>
      <c r="O1592"/>
      <c r="Q1592"/>
    </row>
    <row r="1593" spans="1:17" hidden="1" x14ac:dyDescent="0.2">
      <c r="A1593" s="3">
        <v>45867</v>
      </c>
      <c r="B1593" s="2" t="s">
        <v>4</v>
      </c>
      <c r="C1593" s="2">
        <v>12</v>
      </c>
      <c r="D1593" s="2">
        <f t="shared" si="96"/>
        <v>2025</v>
      </c>
      <c r="E1593" s="2" t="str">
        <f t="shared" si="97"/>
        <v>2025-31</v>
      </c>
      <c r="F1593" s="2" t="str">
        <f t="shared" si="98"/>
        <v>Week 31</v>
      </c>
      <c r="G1593" s="2" t="str">
        <f t="shared" si="99"/>
        <v>Week 31-2025</v>
      </c>
      <c r="O1593"/>
      <c r="Q1593"/>
    </row>
    <row r="1594" spans="1:17" hidden="1" x14ac:dyDescent="0.2">
      <c r="A1594" s="3">
        <v>45867</v>
      </c>
      <c r="B1594" s="2" t="s">
        <v>5</v>
      </c>
      <c r="C1594" s="2">
        <v>14</v>
      </c>
      <c r="D1594" s="2">
        <f t="shared" si="96"/>
        <v>2025</v>
      </c>
      <c r="E1594" s="2" t="str">
        <f t="shared" si="97"/>
        <v>2025-31</v>
      </c>
      <c r="F1594" s="2" t="str">
        <f t="shared" si="98"/>
        <v>Week 31</v>
      </c>
      <c r="G1594" s="2" t="str">
        <f t="shared" si="99"/>
        <v>Week 31-2025</v>
      </c>
      <c r="O1594"/>
      <c r="Q1594"/>
    </row>
    <row r="1595" spans="1:17" hidden="1" x14ac:dyDescent="0.2">
      <c r="A1595" s="3">
        <v>45867</v>
      </c>
      <c r="B1595" s="2" t="s">
        <v>14</v>
      </c>
      <c r="C1595" s="2">
        <v>12</v>
      </c>
      <c r="D1595" s="2">
        <f t="shared" si="96"/>
        <v>2025</v>
      </c>
      <c r="E1595" s="2" t="str">
        <f t="shared" si="97"/>
        <v>2025-31</v>
      </c>
      <c r="F1595" s="2" t="str">
        <f t="shared" si="98"/>
        <v>Week 31</v>
      </c>
      <c r="G1595" s="2" t="str">
        <f t="shared" si="99"/>
        <v>Week 31-2025</v>
      </c>
      <c r="O1595"/>
      <c r="Q1595"/>
    </row>
    <row r="1596" spans="1:17" hidden="1" x14ac:dyDescent="0.2">
      <c r="A1596" s="3">
        <v>45867</v>
      </c>
      <c r="B1596" s="2" t="s">
        <v>14</v>
      </c>
      <c r="C1596" s="2">
        <v>10</v>
      </c>
      <c r="D1596" s="2">
        <f t="shared" si="96"/>
        <v>2025</v>
      </c>
      <c r="E1596" s="2" t="str">
        <f t="shared" si="97"/>
        <v>2025-31</v>
      </c>
      <c r="F1596" s="2" t="str">
        <f t="shared" si="98"/>
        <v>Week 31</v>
      </c>
      <c r="G1596" s="2" t="str">
        <f t="shared" si="99"/>
        <v>Week 31-2025</v>
      </c>
      <c r="O1596"/>
      <c r="Q1596"/>
    </row>
    <row r="1597" spans="1:17" hidden="1" x14ac:dyDescent="0.2">
      <c r="A1597" s="3">
        <v>45867</v>
      </c>
      <c r="B1597" s="2" t="s">
        <v>9</v>
      </c>
      <c r="C1597" s="2">
        <v>6</v>
      </c>
      <c r="D1597" s="2">
        <f t="shared" si="96"/>
        <v>2025</v>
      </c>
      <c r="E1597" s="2" t="str">
        <f t="shared" si="97"/>
        <v>2025-31</v>
      </c>
      <c r="F1597" s="2" t="str">
        <f t="shared" si="98"/>
        <v>Week 31</v>
      </c>
      <c r="G1597" s="2" t="str">
        <f t="shared" si="99"/>
        <v>Week 31-2025</v>
      </c>
      <c r="O1597"/>
      <c r="Q1597"/>
    </row>
    <row r="1598" spans="1:17" hidden="1" x14ac:dyDescent="0.2">
      <c r="A1598" s="3">
        <v>45867</v>
      </c>
      <c r="B1598" s="2" t="s">
        <v>17</v>
      </c>
      <c r="C1598" s="2">
        <v>8</v>
      </c>
      <c r="D1598" s="2">
        <f t="shared" si="96"/>
        <v>2025</v>
      </c>
      <c r="E1598" s="2" t="str">
        <f t="shared" si="97"/>
        <v>2025-31</v>
      </c>
      <c r="F1598" s="2" t="str">
        <f t="shared" si="98"/>
        <v>Week 31</v>
      </c>
      <c r="G1598" s="2" t="str">
        <f t="shared" si="99"/>
        <v>Week 31-2025</v>
      </c>
      <c r="O1598"/>
      <c r="Q1598"/>
    </row>
    <row r="1599" spans="1:17" hidden="1" x14ac:dyDescent="0.2">
      <c r="A1599" s="3">
        <v>45867</v>
      </c>
      <c r="B1599" s="2" t="s">
        <v>10</v>
      </c>
      <c r="C1599" s="2">
        <v>8</v>
      </c>
      <c r="D1599" s="2">
        <f t="shared" si="96"/>
        <v>2025</v>
      </c>
      <c r="E1599" s="2" t="str">
        <f t="shared" si="97"/>
        <v>2025-31</v>
      </c>
      <c r="F1599" s="2" t="str">
        <f t="shared" si="98"/>
        <v>Week 31</v>
      </c>
      <c r="G1599" s="2" t="str">
        <f t="shared" si="99"/>
        <v>Week 31-2025</v>
      </c>
      <c r="O1599"/>
      <c r="Q1599"/>
    </row>
    <row r="1600" spans="1:17" hidden="1" x14ac:dyDescent="0.2">
      <c r="A1600" s="3">
        <v>45867</v>
      </c>
      <c r="B1600" s="2" t="s">
        <v>9</v>
      </c>
      <c r="C1600" s="2">
        <v>4</v>
      </c>
      <c r="D1600" s="2">
        <f t="shared" si="96"/>
        <v>2025</v>
      </c>
      <c r="E1600" s="2" t="str">
        <f t="shared" si="97"/>
        <v>2025-31</v>
      </c>
      <c r="F1600" s="2" t="str">
        <f t="shared" si="98"/>
        <v>Week 31</v>
      </c>
      <c r="G1600" s="2" t="str">
        <f t="shared" si="99"/>
        <v>Week 31-2025</v>
      </c>
      <c r="O1600"/>
      <c r="Q1600"/>
    </row>
    <row r="1601" spans="1:17" hidden="1" x14ac:dyDescent="0.2">
      <c r="A1601" s="3">
        <v>45867</v>
      </c>
      <c r="B1601" s="2" t="s">
        <v>7</v>
      </c>
      <c r="C1601" s="2">
        <v>4</v>
      </c>
      <c r="D1601" s="2">
        <f t="shared" si="96"/>
        <v>2025</v>
      </c>
      <c r="E1601" s="2" t="str">
        <f t="shared" si="97"/>
        <v>2025-31</v>
      </c>
      <c r="F1601" s="2" t="str">
        <f t="shared" si="98"/>
        <v>Week 31</v>
      </c>
      <c r="G1601" s="2" t="str">
        <f t="shared" si="99"/>
        <v>Week 31-2025</v>
      </c>
      <c r="O1601"/>
      <c r="Q1601"/>
    </row>
    <row r="1602" spans="1:17" hidden="1" x14ac:dyDescent="0.2">
      <c r="A1602" s="3">
        <v>45867</v>
      </c>
      <c r="B1602" s="2" t="s">
        <v>29</v>
      </c>
      <c r="C1602" s="2">
        <v>4</v>
      </c>
      <c r="D1602" s="2">
        <f t="shared" ref="D1602:D1665" si="100">YEAR(A1602)</f>
        <v>2025</v>
      </c>
      <c r="E1602" s="2" t="str">
        <f t="shared" ref="E1602:E1665" si="101">YEAR(A1602)&amp;"-"&amp;_xlfn.ISOWEEKNUM(A1602)</f>
        <v>2025-31</v>
      </c>
      <c r="F1602" s="2" t="str">
        <f t="shared" ref="F1602:F1665" si="102">_xlfn.CONCAT("Week "&amp;WEEKNUM(A1602))</f>
        <v>Week 31</v>
      </c>
      <c r="G1602" s="2" t="str">
        <f t="shared" ref="G1602:G1665" si="103">_xlfn.CONCAT(F1602,"-",D1602)</f>
        <v>Week 31-2025</v>
      </c>
      <c r="O1602"/>
      <c r="Q1602"/>
    </row>
    <row r="1603" spans="1:17" hidden="1" x14ac:dyDescent="0.2">
      <c r="A1603" s="3">
        <v>45867</v>
      </c>
      <c r="B1603" s="2" t="s">
        <v>9</v>
      </c>
      <c r="C1603" s="2">
        <v>4</v>
      </c>
      <c r="D1603" s="2">
        <f t="shared" si="100"/>
        <v>2025</v>
      </c>
      <c r="E1603" s="2" t="str">
        <f t="shared" si="101"/>
        <v>2025-31</v>
      </c>
      <c r="F1603" s="2" t="str">
        <f t="shared" si="102"/>
        <v>Week 31</v>
      </c>
      <c r="G1603" s="2" t="str">
        <f t="shared" si="103"/>
        <v>Week 31-2025</v>
      </c>
      <c r="O1603"/>
      <c r="Q1603"/>
    </row>
    <row r="1604" spans="1:17" hidden="1" x14ac:dyDescent="0.2">
      <c r="A1604" s="3">
        <v>45867</v>
      </c>
      <c r="B1604" s="2" t="s">
        <v>14</v>
      </c>
      <c r="C1604" s="2">
        <v>6</v>
      </c>
      <c r="D1604" s="2">
        <f t="shared" si="100"/>
        <v>2025</v>
      </c>
      <c r="E1604" s="2" t="str">
        <f t="shared" si="101"/>
        <v>2025-31</v>
      </c>
      <c r="F1604" s="2" t="str">
        <f t="shared" si="102"/>
        <v>Week 31</v>
      </c>
      <c r="G1604" s="2" t="str">
        <f t="shared" si="103"/>
        <v>Week 31-2025</v>
      </c>
      <c r="O1604"/>
      <c r="Q1604"/>
    </row>
    <row r="1605" spans="1:17" hidden="1" x14ac:dyDescent="0.2">
      <c r="A1605" s="3">
        <v>45867</v>
      </c>
      <c r="B1605" s="2" t="s">
        <v>45</v>
      </c>
      <c r="C1605" s="2">
        <v>8</v>
      </c>
      <c r="D1605" s="2">
        <f t="shared" si="100"/>
        <v>2025</v>
      </c>
      <c r="E1605" s="2" t="str">
        <f t="shared" si="101"/>
        <v>2025-31</v>
      </c>
      <c r="F1605" s="2" t="str">
        <f t="shared" si="102"/>
        <v>Week 31</v>
      </c>
      <c r="G1605" s="2" t="str">
        <f t="shared" si="103"/>
        <v>Week 31-2025</v>
      </c>
      <c r="O1605"/>
      <c r="Q1605"/>
    </row>
    <row r="1606" spans="1:17" hidden="1" x14ac:dyDescent="0.2">
      <c r="A1606" s="3">
        <v>45867</v>
      </c>
      <c r="B1606" s="2" t="s">
        <v>15</v>
      </c>
      <c r="C1606" s="2">
        <v>10</v>
      </c>
      <c r="D1606" s="2">
        <f t="shared" si="100"/>
        <v>2025</v>
      </c>
      <c r="E1606" s="2" t="str">
        <f t="shared" si="101"/>
        <v>2025-31</v>
      </c>
      <c r="F1606" s="2" t="str">
        <f t="shared" si="102"/>
        <v>Week 31</v>
      </c>
      <c r="G1606" s="2" t="str">
        <f t="shared" si="103"/>
        <v>Week 31-2025</v>
      </c>
      <c r="O1606"/>
      <c r="Q1606"/>
    </row>
    <row r="1607" spans="1:17" hidden="1" x14ac:dyDescent="0.2">
      <c r="A1607" s="3">
        <v>45867</v>
      </c>
      <c r="B1607" s="2" t="s">
        <v>3</v>
      </c>
      <c r="C1607" s="2">
        <v>4</v>
      </c>
      <c r="D1607" s="2">
        <f t="shared" si="100"/>
        <v>2025</v>
      </c>
      <c r="E1607" s="2" t="str">
        <f t="shared" si="101"/>
        <v>2025-31</v>
      </c>
      <c r="F1607" s="2" t="str">
        <f t="shared" si="102"/>
        <v>Week 31</v>
      </c>
      <c r="G1607" s="2" t="str">
        <f t="shared" si="103"/>
        <v>Week 31-2025</v>
      </c>
      <c r="O1607"/>
      <c r="Q1607"/>
    </row>
    <row r="1608" spans="1:17" hidden="1" x14ac:dyDescent="0.2">
      <c r="A1608" s="3">
        <v>45867</v>
      </c>
      <c r="B1608" s="2" t="s">
        <v>30</v>
      </c>
      <c r="C1608" s="2">
        <v>6</v>
      </c>
      <c r="D1608" s="2">
        <f t="shared" si="100"/>
        <v>2025</v>
      </c>
      <c r="E1608" s="2" t="str">
        <f t="shared" si="101"/>
        <v>2025-31</v>
      </c>
      <c r="F1608" s="2" t="str">
        <f t="shared" si="102"/>
        <v>Week 31</v>
      </c>
      <c r="G1608" s="2" t="str">
        <f t="shared" si="103"/>
        <v>Week 31-2025</v>
      </c>
      <c r="O1608"/>
      <c r="Q1608"/>
    </row>
    <row r="1609" spans="1:17" hidden="1" x14ac:dyDescent="0.2">
      <c r="A1609" s="3">
        <v>45867</v>
      </c>
      <c r="B1609" s="2" t="s">
        <v>19</v>
      </c>
      <c r="C1609" s="2">
        <v>2</v>
      </c>
      <c r="D1609" s="2">
        <f t="shared" si="100"/>
        <v>2025</v>
      </c>
      <c r="E1609" s="2" t="str">
        <f t="shared" si="101"/>
        <v>2025-31</v>
      </c>
      <c r="F1609" s="2" t="str">
        <f t="shared" si="102"/>
        <v>Week 31</v>
      </c>
      <c r="G1609" s="2" t="str">
        <f t="shared" si="103"/>
        <v>Week 31-2025</v>
      </c>
      <c r="O1609"/>
      <c r="Q1609"/>
    </row>
    <row r="1610" spans="1:17" hidden="1" x14ac:dyDescent="0.2">
      <c r="A1610" s="3">
        <v>45867</v>
      </c>
      <c r="B1610" s="2" t="s">
        <v>15</v>
      </c>
      <c r="C1610" s="2">
        <v>8</v>
      </c>
      <c r="D1610" s="2">
        <f t="shared" si="100"/>
        <v>2025</v>
      </c>
      <c r="E1610" s="2" t="str">
        <f t="shared" si="101"/>
        <v>2025-31</v>
      </c>
      <c r="F1610" s="2" t="str">
        <f t="shared" si="102"/>
        <v>Week 31</v>
      </c>
      <c r="G1610" s="2" t="str">
        <f t="shared" si="103"/>
        <v>Week 31-2025</v>
      </c>
      <c r="O1610"/>
      <c r="Q1610"/>
    </row>
    <row r="1611" spans="1:17" hidden="1" x14ac:dyDescent="0.2">
      <c r="A1611" s="3">
        <v>45867</v>
      </c>
      <c r="B1611" s="2" t="s">
        <v>19</v>
      </c>
      <c r="C1611" s="2">
        <v>2</v>
      </c>
      <c r="D1611" s="2">
        <f t="shared" si="100"/>
        <v>2025</v>
      </c>
      <c r="E1611" s="2" t="str">
        <f t="shared" si="101"/>
        <v>2025-31</v>
      </c>
      <c r="F1611" s="2" t="str">
        <f t="shared" si="102"/>
        <v>Week 31</v>
      </c>
      <c r="G1611" s="2" t="str">
        <f t="shared" si="103"/>
        <v>Week 31-2025</v>
      </c>
      <c r="O1611"/>
      <c r="Q1611"/>
    </row>
    <row r="1612" spans="1:17" hidden="1" x14ac:dyDescent="0.2">
      <c r="A1612" s="3">
        <v>45867</v>
      </c>
      <c r="B1612" s="2" t="s">
        <v>30</v>
      </c>
      <c r="C1612" s="2">
        <v>4</v>
      </c>
      <c r="D1612" s="2">
        <f t="shared" si="100"/>
        <v>2025</v>
      </c>
      <c r="E1612" s="2" t="str">
        <f t="shared" si="101"/>
        <v>2025-31</v>
      </c>
      <c r="F1612" s="2" t="str">
        <f t="shared" si="102"/>
        <v>Week 31</v>
      </c>
      <c r="G1612" s="2" t="str">
        <f t="shared" si="103"/>
        <v>Week 31-2025</v>
      </c>
      <c r="O1612"/>
      <c r="Q1612"/>
    </row>
    <row r="1613" spans="1:17" hidden="1" x14ac:dyDescent="0.2">
      <c r="A1613" s="3">
        <v>45867</v>
      </c>
      <c r="B1613" s="2" t="s">
        <v>36</v>
      </c>
      <c r="C1613" s="2">
        <v>6</v>
      </c>
      <c r="D1613" s="2">
        <f t="shared" si="100"/>
        <v>2025</v>
      </c>
      <c r="E1613" s="2" t="str">
        <f t="shared" si="101"/>
        <v>2025-31</v>
      </c>
      <c r="F1613" s="2" t="str">
        <f t="shared" si="102"/>
        <v>Week 31</v>
      </c>
      <c r="G1613" s="2" t="str">
        <f t="shared" si="103"/>
        <v>Week 31-2025</v>
      </c>
      <c r="O1613"/>
      <c r="Q1613"/>
    </row>
    <row r="1614" spans="1:17" hidden="1" x14ac:dyDescent="0.2">
      <c r="A1614" s="3">
        <v>45867</v>
      </c>
      <c r="B1614" s="2" t="s">
        <v>28</v>
      </c>
      <c r="C1614" s="2">
        <v>4</v>
      </c>
      <c r="D1614" s="2">
        <f t="shared" si="100"/>
        <v>2025</v>
      </c>
      <c r="E1614" s="2" t="str">
        <f t="shared" si="101"/>
        <v>2025-31</v>
      </c>
      <c r="F1614" s="2" t="str">
        <f t="shared" si="102"/>
        <v>Week 31</v>
      </c>
      <c r="G1614" s="2" t="str">
        <f t="shared" si="103"/>
        <v>Week 31-2025</v>
      </c>
      <c r="O1614"/>
      <c r="Q1614"/>
    </row>
    <row r="1615" spans="1:17" hidden="1" x14ac:dyDescent="0.2">
      <c r="A1615" s="3">
        <v>45867</v>
      </c>
      <c r="B1615" s="2" t="s">
        <v>5</v>
      </c>
      <c r="C1615" s="2">
        <v>2</v>
      </c>
      <c r="D1615" s="2">
        <f t="shared" si="100"/>
        <v>2025</v>
      </c>
      <c r="E1615" s="2" t="str">
        <f t="shared" si="101"/>
        <v>2025-31</v>
      </c>
      <c r="F1615" s="2" t="str">
        <f t="shared" si="102"/>
        <v>Week 31</v>
      </c>
      <c r="G1615" s="2" t="str">
        <f t="shared" si="103"/>
        <v>Week 31-2025</v>
      </c>
      <c r="O1615"/>
      <c r="Q1615"/>
    </row>
    <row r="1616" spans="1:17" hidden="1" x14ac:dyDescent="0.2">
      <c r="A1616" s="3">
        <v>45867</v>
      </c>
      <c r="B1616" s="2" t="s">
        <v>27</v>
      </c>
      <c r="C1616" s="2">
        <v>4</v>
      </c>
      <c r="D1616" s="2">
        <f t="shared" si="100"/>
        <v>2025</v>
      </c>
      <c r="E1616" s="2" t="str">
        <f t="shared" si="101"/>
        <v>2025-31</v>
      </c>
      <c r="F1616" s="2" t="str">
        <f t="shared" si="102"/>
        <v>Week 31</v>
      </c>
      <c r="G1616" s="2" t="str">
        <f t="shared" si="103"/>
        <v>Week 31-2025</v>
      </c>
      <c r="O1616"/>
      <c r="Q1616"/>
    </row>
    <row r="1617" spans="1:17" hidden="1" x14ac:dyDescent="0.2">
      <c r="A1617" s="3">
        <v>45867</v>
      </c>
      <c r="B1617" s="2" t="s">
        <v>14</v>
      </c>
      <c r="C1617" s="2">
        <v>2</v>
      </c>
      <c r="D1617" s="2">
        <f t="shared" si="100"/>
        <v>2025</v>
      </c>
      <c r="E1617" s="2" t="str">
        <f t="shared" si="101"/>
        <v>2025-31</v>
      </c>
      <c r="F1617" s="2" t="str">
        <f t="shared" si="102"/>
        <v>Week 31</v>
      </c>
      <c r="G1617" s="2" t="str">
        <f t="shared" si="103"/>
        <v>Week 31-2025</v>
      </c>
      <c r="O1617"/>
      <c r="Q1617"/>
    </row>
    <row r="1618" spans="1:17" hidden="1" x14ac:dyDescent="0.2">
      <c r="A1618" s="3">
        <v>45867</v>
      </c>
      <c r="B1618" s="2" t="s">
        <v>46</v>
      </c>
      <c r="C1618" s="2">
        <v>2</v>
      </c>
      <c r="D1618" s="2">
        <f t="shared" si="100"/>
        <v>2025</v>
      </c>
      <c r="E1618" s="2" t="str">
        <f t="shared" si="101"/>
        <v>2025-31</v>
      </c>
      <c r="F1618" s="2" t="str">
        <f t="shared" si="102"/>
        <v>Week 31</v>
      </c>
      <c r="G1618" s="2" t="str">
        <f t="shared" si="103"/>
        <v>Week 31-2025</v>
      </c>
      <c r="O1618"/>
      <c r="Q1618"/>
    </row>
    <row r="1619" spans="1:17" hidden="1" x14ac:dyDescent="0.2">
      <c r="A1619" s="3">
        <v>45867</v>
      </c>
      <c r="B1619" s="2" t="s">
        <v>27</v>
      </c>
      <c r="C1619" s="2">
        <v>2</v>
      </c>
      <c r="D1619" s="2">
        <f t="shared" si="100"/>
        <v>2025</v>
      </c>
      <c r="E1619" s="2" t="str">
        <f t="shared" si="101"/>
        <v>2025-31</v>
      </c>
      <c r="F1619" s="2" t="str">
        <f t="shared" si="102"/>
        <v>Week 31</v>
      </c>
      <c r="G1619" s="2" t="str">
        <f t="shared" si="103"/>
        <v>Week 31-2025</v>
      </c>
      <c r="O1619"/>
      <c r="Q1619"/>
    </row>
    <row r="1620" spans="1:17" hidden="1" x14ac:dyDescent="0.2">
      <c r="A1620" s="3">
        <v>45867</v>
      </c>
      <c r="B1620" s="2" t="s">
        <v>15</v>
      </c>
      <c r="C1620" s="2">
        <v>2</v>
      </c>
      <c r="D1620" s="2">
        <f t="shared" si="100"/>
        <v>2025</v>
      </c>
      <c r="E1620" s="2" t="str">
        <f t="shared" si="101"/>
        <v>2025-31</v>
      </c>
      <c r="F1620" s="2" t="str">
        <f t="shared" si="102"/>
        <v>Week 31</v>
      </c>
      <c r="G1620" s="2" t="str">
        <f t="shared" si="103"/>
        <v>Week 31-2025</v>
      </c>
      <c r="O1620"/>
      <c r="Q1620"/>
    </row>
    <row r="1621" spans="1:17" hidden="1" x14ac:dyDescent="0.2">
      <c r="A1621" s="3">
        <v>45868</v>
      </c>
      <c r="B1621" s="2" t="s">
        <v>4</v>
      </c>
      <c r="C1621" s="2">
        <v>12</v>
      </c>
      <c r="D1621" s="2">
        <f t="shared" si="100"/>
        <v>2025</v>
      </c>
      <c r="E1621" s="2" t="str">
        <f t="shared" si="101"/>
        <v>2025-31</v>
      </c>
      <c r="F1621" s="2" t="str">
        <f t="shared" si="102"/>
        <v>Week 31</v>
      </c>
      <c r="G1621" s="2" t="str">
        <f t="shared" si="103"/>
        <v>Week 31-2025</v>
      </c>
      <c r="O1621"/>
      <c r="Q1621"/>
    </row>
    <row r="1622" spans="1:17" hidden="1" x14ac:dyDescent="0.2">
      <c r="A1622" s="3">
        <v>45868</v>
      </c>
      <c r="B1622" s="2" t="s">
        <v>38</v>
      </c>
      <c r="C1622" s="2">
        <v>2</v>
      </c>
      <c r="D1622" s="2">
        <f t="shared" si="100"/>
        <v>2025</v>
      </c>
      <c r="E1622" s="2" t="str">
        <f t="shared" si="101"/>
        <v>2025-31</v>
      </c>
      <c r="F1622" s="2" t="str">
        <f t="shared" si="102"/>
        <v>Week 31</v>
      </c>
      <c r="G1622" s="2" t="str">
        <f t="shared" si="103"/>
        <v>Week 31-2025</v>
      </c>
      <c r="O1622"/>
      <c r="Q1622"/>
    </row>
    <row r="1623" spans="1:17" x14ac:dyDescent="0.2">
      <c r="A1623" s="3">
        <v>45868</v>
      </c>
      <c r="B1623" s="2" t="s">
        <v>24</v>
      </c>
      <c r="C1623" s="2">
        <v>2</v>
      </c>
      <c r="D1623" s="2">
        <f t="shared" si="100"/>
        <v>2025</v>
      </c>
      <c r="E1623" s="2" t="str">
        <f t="shared" si="101"/>
        <v>2025-31</v>
      </c>
      <c r="F1623" s="2" t="str">
        <f t="shared" si="102"/>
        <v>Week 31</v>
      </c>
      <c r="G1623" s="2" t="str">
        <f t="shared" si="103"/>
        <v>Week 31-2025</v>
      </c>
      <c r="O1623"/>
      <c r="Q1623"/>
    </row>
    <row r="1624" spans="1:17" x14ac:dyDescent="0.2">
      <c r="A1624" s="3">
        <v>45868</v>
      </c>
      <c r="B1624" s="2" t="s">
        <v>24</v>
      </c>
      <c r="C1624" s="2">
        <v>2</v>
      </c>
      <c r="D1624" s="2">
        <f t="shared" si="100"/>
        <v>2025</v>
      </c>
      <c r="E1624" s="2" t="str">
        <f t="shared" si="101"/>
        <v>2025-31</v>
      </c>
      <c r="F1624" s="2" t="str">
        <f t="shared" si="102"/>
        <v>Week 31</v>
      </c>
      <c r="G1624" s="2" t="str">
        <f t="shared" si="103"/>
        <v>Week 31-2025</v>
      </c>
      <c r="O1624"/>
      <c r="Q1624"/>
    </row>
    <row r="1625" spans="1:17" hidden="1" x14ac:dyDescent="0.2">
      <c r="A1625" s="3">
        <v>45869</v>
      </c>
      <c r="B1625" s="2" t="s">
        <v>5</v>
      </c>
      <c r="C1625" s="2">
        <v>15</v>
      </c>
      <c r="D1625" s="2">
        <f t="shared" si="100"/>
        <v>2025</v>
      </c>
      <c r="E1625" s="2" t="str">
        <f t="shared" si="101"/>
        <v>2025-31</v>
      </c>
      <c r="F1625" s="2" t="str">
        <f t="shared" si="102"/>
        <v>Week 31</v>
      </c>
      <c r="G1625" s="2" t="str">
        <f t="shared" si="103"/>
        <v>Week 31-2025</v>
      </c>
      <c r="O1625"/>
      <c r="Q1625"/>
    </row>
    <row r="1626" spans="1:17" hidden="1" x14ac:dyDescent="0.2">
      <c r="A1626" s="3">
        <v>45869</v>
      </c>
      <c r="B1626" s="2" t="s">
        <v>4</v>
      </c>
      <c r="C1626" s="2">
        <v>8</v>
      </c>
      <c r="D1626" s="2">
        <f t="shared" si="100"/>
        <v>2025</v>
      </c>
      <c r="E1626" s="2" t="str">
        <f t="shared" si="101"/>
        <v>2025-31</v>
      </c>
      <c r="F1626" s="2" t="str">
        <f t="shared" si="102"/>
        <v>Week 31</v>
      </c>
      <c r="G1626" s="2" t="str">
        <f t="shared" si="103"/>
        <v>Week 31-2025</v>
      </c>
      <c r="O1626"/>
      <c r="Q1626"/>
    </row>
    <row r="1627" spans="1:17" hidden="1" x14ac:dyDescent="0.2">
      <c r="A1627" s="3">
        <v>45869</v>
      </c>
      <c r="B1627" s="2" t="s">
        <v>5</v>
      </c>
      <c r="C1627" s="2">
        <v>11</v>
      </c>
      <c r="D1627" s="2">
        <f t="shared" si="100"/>
        <v>2025</v>
      </c>
      <c r="E1627" s="2" t="str">
        <f t="shared" si="101"/>
        <v>2025-31</v>
      </c>
      <c r="F1627" s="2" t="str">
        <f t="shared" si="102"/>
        <v>Week 31</v>
      </c>
      <c r="G1627" s="2" t="str">
        <f t="shared" si="103"/>
        <v>Week 31-2025</v>
      </c>
      <c r="O1627"/>
      <c r="Q1627"/>
    </row>
    <row r="1628" spans="1:17" hidden="1" x14ac:dyDescent="0.2">
      <c r="A1628" s="3">
        <v>45869</v>
      </c>
      <c r="B1628" s="2" t="s">
        <v>3</v>
      </c>
      <c r="C1628" s="2">
        <v>7</v>
      </c>
      <c r="D1628" s="2">
        <f t="shared" si="100"/>
        <v>2025</v>
      </c>
      <c r="E1628" s="2" t="str">
        <f t="shared" si="101"/>
        <v>2025-31</v>
      </c>
      <c r="F1628" s="2" t="str">
        <f t="shared" si="102"/>
        <v>Week 31</v>
      </c>
      <c r="G1628" s="2" t="str">
        <f t="shared" si="103"/>
        <v>Week 31-2025</v>
      </c>
      <c r="O1628"/>
      <c r="Q1628"/>
    </row>
    <row r="1629" spans="1:17" hidden="1" x14ac:dyDescent="0.2">
      <c r="A1629" s="3">
        <v>45869</v>
      </c>
      <c r="B1629" s="2" t="s">
        <v>5</v>
      </c>
      <c r="C1629" s="2">
        <v>6</v>
      </c>
      <c r="D1629" s="2">
        <f t="shared" si="100"/>
        <v>2025</v>
      </c>
      <c r="E1629" s="2" t="str">
        <f t="shared" si="101"/>
        <v>2025-31</v>
      </c>
      <c r="F1629" s="2" t="str">
        <f t="shared" si="102"/>
        <v>Week 31</v>
      </c>
      <c r="G1629" s="2" t="str">
        <f t="shared" si="103"/>
        <v>Week 31-2025</v>
      </c>
      <c r="O1629"/>
      <c r="Q1629"/>
    </row>
    <row r="1630" spans="1:17" hidden="1" x14ac:dyDescent="0.2">
      <c r="A1630" s="3">
        <v>45869</v>
      </c>
      <c r="B1630" s="2" t="s">
        <v>14</v>
      </c>
      <c r="C1630" s="2">
        <v>7</v>
      </c>
      <c r="D1630" s="2">
        <f t="shared" si="100"/>
        <v>2025</v>
      </c>
      <c r="E1630" s="2" t="str">
        <f t="shared" si="101"/>
        <v>2025-31</v>
      </c>
      <c r="F1630" s="2" t="str">
        <f t="shared" si="102"/>
        <v>Week 31</v>
      </c>
      <c r="G1630" s="2" t="str">
        <f t="shared" si="103"/>
        <v>Week 31-2025</v>
      </c>
      <c r="O1630"/>
      <c r="Q1630"/>
    </row>
    <row r="1631" spans="1:17" hidden="1" x14ac:dyDescent="0.2">
      <c r="A1631" s="3">
        <v>45869</v>
      </c>
      <c r="B1631" s="2" t="s">
        <v>3</v>
      </c>
      <c r="C1631" s="2">
        <v>4</v>
      </c>
      <c r="D1631" s="2">
        <f t="shared" si="100"/>
        <v>2025</v>
      </c>
      <c r="E1631" s="2" t="str">
        <f t="shared" si="101"/>
        <v>2025-31</v>
      </c>
      <c r="F1631" s="2" t="str">
        <f t="shared" si="102"/>
        <v>Week 31</v>
      </c>
      <c r="G1631" s="2" t="str">
        <f t="shared" si="103"/>
        <v>Week 31-2025</v>
      </c>
      <c r="O1631"/>
      <c r="Q1631"/>
    </row>
    <row r="1632" spans="1:17" hidden="1" x14ac:dyDescent="0.2">
      <c r="A1632" s="3">
        <v>45869</v>
      </c>
      <c r="B1632" s="2" t="s">
        <v>14</v>
      </c>
      <c r="C1632" s="2">
        <v>6</v>
      </c>
      <c r="D1632" s="2">
        <f t="shared" si="100"/>
        <v>2025</v>
      </c>
      <c r="E1632" s="2" t="str">
        <f t="shared" si="101"/>
        <v>2025-31</v>
      </c>
      <c r="F1632" s="2" t="str">
        <f t="shared" si="102"/>
        <v>Week 31</v>
      </c>
      <c r="G1632" s="2" t="str">
        <f t="shared" si="103"/>
        <v>Week 31-2025</v>
      </c>
      <c r="O1632"/>
      <c r="Q1632"/>
    </row>
    <row r="1633" spans="1:17" hidden="1" x14ac:dyDescent="0.2">
      <c r="A1633" s="3">
        <v>45869</v>
      </c>
      <c r="B1633" s="2" t="s">
        <v>5</v>
      </c>
      <c r="C1633" s="2">
        <v>4</v>
      </c>
      <c r="D1633" s="2">
        <f t="shared" si="100"/>
        <v>2025</v>
      </c>
      <c r="E1633" s="2" t="str">
        <f t="shared" si="101"/>
        <v>2025-31</v>
      </c>
      <c r="F1633" s="2" t="str">
        <f t="shared" si="102"/>
        <v>Week 31</v>
      </c>
      <c r="G1633" s="2" t="str">
        <f t="shared" si="103"/>
        <v>Week 31-2025</v>
      </c>
      <c r="O1633"/>
      <c r="Q1633"/>
    </row>
    <row r="1634" spans="1:17" hidden="1" x14ac:dyDescent="0.2">
      <c r="A1634" s="3">
        <v>45869</v>
      </c>
      <c r="B1634" s="2" t="s">
        <v>5</v>
      </c>
      <c r="C1634" s="2">
        <v>3</v>
      </c>
      <c r="D1634" s="2">
        <f t="shared" si="100"/>
        <v>2025</v>
      </c>
      <c r="E1634" s="2" t="str">
        <f t="shared" si="101"/>
        <v>2025-31</v>
      </c>
      <c r="F1634" s="2" t="str">
        <f t="shared" si="102"/>
        <v>Week 31</v>
      </c>
      <c r="G1634" s="2" t="str">
        <f t="shared" si="103"/>
        <v>Week 31-2025</v>
      </c>
      <c r="O1634"/>
      <c r="Q1634"/>
    </row>
    <row r="1635" spans="1:17" hidden="1" x14ac:dyDescent="0.2">
      <c r="A1635" s="3">
        <v>45869</v>
      </c>
      <c r="B1635" s="2" t="s">
        <v>27</v>
      </c>
      <c r="C1635" s="2">
        <v>4</v>
      </c>
      <c r="D1635" s="2">
        <f t="shared" si="100"/>
        <v>2025</v>
      </c>
      <c r="E1635" s="2" t="str">
        <f t="shared" si="101"/>
        <v>2025-31</v>
      </c>
      <c r="F1635" s="2" t="str">
        <f t="shared" si="102"/>
        <v>Week 31</v>
      </c>
      <c r="G1635" s="2" t="str">
        <f t="shared" si="103"/>
        <v>Week 31-2025</v>
      </c>
      <c r="O1635"/>
      <c r="Q1635"/>
    </row>
    <row r="1636" spans="1:17" hidden="1" x14ac:dyDescent="0.2">
      <c r="A1636" s="3">
        <v>45869</v>
      </c>
      <c r="B1636" s="2" t="s">
        <v>5</v>
      </c>
      <c r="C1636" s="2">
        <v>2</v>
      </c>
      <c r="D1636" s="2">
        <f t="shared" si="100"/>
        <v>2025</v>
      </c>
      <c r="E1636" s="2" t="str">
        <f t="shared" si="101"/>
        <v>2025-31</v>
      </c>
      <c r="F1636" s="2" t="str">
        <f t="shared" si="102"/>
        <v>Week 31</v>
      </c>
      <c r="G1636" s="2" t="str">
        <f t="shared" si="103"/>
        <v>Week 31-2025</v>
      </c>
      <c r="O1636"/>
      <c r="Q1636"/>
    </row>
    <row r="1637" spans="1:17" hidden="1" x14ac:dyDescent="0.2">
      <c r="A1637" s="3">
        <v>45869</v>
      </c>
      <c r="B1637" s="2" t="s">
        <v>36</v>
      </c>
      <c r="C1637" s="2">
        <v>4</v>
      </c>
      <c r="D1637" s="2">
        <f t="shared" si="100"/>
        <v>2025</v>
      </c>
      <c r="E1637" s="2" t="str">
        <f t="shared" si="101"/>
        <v>2025-31</v>
      </c>
      <c r="F1637" s="2" t="str">
        <f t="shared" si="102"/>
        <v>Week 31</v>
      </c>
      <c r="G1637" s="2" t="str">
        <f t="shared" si="103"/>
        <v>Week 31-2025</v>
      </c>
      <c r="O1637"/>
      <c r="Q1637"/>
    </row>
    <row r="1638" spans="1:17" hidden="1" x14ac:dyDescent="0.2">
      <c r="A1638" s="3">
        <v>45869</v>
      </c>
      <c r="B1638" s="2" t="s">
        <v>10</v>
      </c>
      <c r="C1638" s="2">
        <v>2</v>
      </c>
      <c r="D1638" s="2">
        <f t="shared" si="100"/>
        <v>2025</v>
      </c>
      <c r="E1638" s="2" t="str">
        <f t="shared" si="101"/>
        <v>2025-31</v>
      </c>
      <c r="F1638" s="2" t="str">
        <f t="shared" si="102"/>
        <v>Week 31</v>
      </c>
      <c r="G1638" s="2" t="str">
        <f t="shared" si="103"/>
        <v>Week 31-2025</v>
      </c>
      <c r="O1638"/>
      <c r="Q1638"/>
    </row>
    <row r="1639" spans="1:17" hidden="1" x14ac:dyDescent="0.2">
      <c r="A1639" s="3">
        <v>45869</v>
      </c>
      <c r="B1639" s="2" t="s">
        <v>8</v>
      </c>
      <c r="C1639" s="2">
        <v>2</v>
      </c>
      <c r="D1639" s="2">
        <f t="shared" si="100"/>
        <v>2025</v>
      </c>
      <c r="E1639" s="2" t="str">
        <f t="shared" si="101"/>
        <v>2025-31</v>
      </c>
      <c r="F1639" s="2" t="str">
        <f t="shared" si="102"/>
        <v>Week 31</v>
      </c>
      <c r="G1639" s="2" t="str">
        <f t="shared" si="103"/>
        <v>Week 31-2025</v>
      </c>
      <c r="O1639"/>
      <c r="Q1639"/>
    </row>
    <row r="1640" spans="1:17" hidden="1" x14ac:dyDescent="0.2">
      <c r="A1640" s="3">
        <v>45869</v>
      </c>
      <c r="B1640" s="2" t="s">
        <v>9</v>
      </c>
      <c r="C1640" s="2">
        <v>1</v>
      </c>
      <c r="D1640" s="2">
        <f t="shared" si="100"/>
        <v>2025</v>
      </c>
      <c r="E1640" s="2" t="str">
        <f t="shared" si="101"/>
        <v>2025-31</v>
      </c>
      <c r="F1640" s="2" t="str">
        <f t="shared" si="102"/>
        <v>Week 31</v>
      </c>
      <c r="G1640" s="2" t="str">
        <f t="shared" si="103"/>
        <v>Week 31-2025</v>
      </c>
      <c r="O1640"/>
      <c r="Q1640"/>
    </row>
    <row r="1641" spans="1:17" hidden="1" x14ac:dyDescent="0.2">
      <c r="A1641" s="3">
        <v>45869</v>
      </c>
      <c r="B1641" s="2" t="s">
        <v>3</v>
      </c>
      <c r="C1641" s="2">
        <v>1</v>
      </c>
      <c r="D1641" s="2">
        <f t="shared" si="100"/>
        <v>2025</v>
      </c>
      <c r="E1641" s="2" t="str">
        <f t="shared" si="101"/>
        <v>2025-31</v>
      </c>
      <c r="F1641" s="2" t="str">
        <f t="shared" si="102"/>
        <v>Week 31</v>
      </c>
      <c r="G1641" s="2" t="str">
        <f t="shared" si="103"/>
        <v>Week 31-2025</v>
      </c>
      <c r="O1641"/>
      <c r="Q1641"/>
    </row>
    <row r="1642" spans="1:17" hidden="1" x14ac:dyDescent="0.2">
      <c r="A1642" s="3">
        <v>45870</v>
      </c>
      <c r="B1642" s="2" t="s">
        <v>6</v>
      </c>
      <c r="C1642" s="2">
        <v>8</v>
      </c>
      <c r="D1642" s="2">
        <f t="shared" si="100"/>
        <v>2025</v>
      </c>
      <c r="E1642" s="2" t="str">
        <f t="shared" si="101"/>
        <v>2025-31</v>
      </c>
      <c r="F1642" s="2" t="str">
        <f t="shared" si="102"/>
        <v>Week 31</v>
      </c>
      <c r="G1642" s="2" t="str">
        <f t="shared" si="103"/>
        <v>Week 31-2025</v>
      </c>
      <c r="O1642"/>
      <c r="Q1642"/>
    </row>
    <row r="1643" spans="1:17" hidden="1" x14ac:dyDescent="0.2">
      <c r="A1643" s="3">
        <v>45870</v>
      </c>
      <c r="B1643" s="2" t="s">
        <v>14</v>
      </c>
      <c r="C1643" s="2">
        <v>7</v>
      </c>
      <c r="D1643" s="2">
        <f t="shared" si="100"/>
        <v>2025</v>
      </c>
      <c r="E1643" s="2" t="str">
        <f t="shared" si="101"/>
        <v>2025-31</v>
      </c>
      <c r="F1643" s="2" t="str">
        <f t="shared" si="102"/>
        <v>Week 31</v>
      </c>
      <c r="G1643" s="2" t="str">
        <f t="shared" si="103"/>
        <v>Week 31-2025</v>
      </c>
      <c r="O1643"/>
      <c r="Q1643"/>
    </row>
    <row r="1644" spans="1:17" hidden="1" x14ac:dyDescent="0.2">
      <c r="A1644" s="3">
        <v>45870</v>
      </c>
      <c r="B1644" s="2" t="s">
        <v>17</v>
      </c>
      <c r="C1644" s="2">
        <v>4</v>
      </c>
      <c r="D1644" s="2">
        <f t="shared" si="100"/>
        <v>2025</v>
      </c>
      <c r="E1644" s="2" t="str">
        <f t="shared" si="101"/>
        <v>2025-31</v>
      </c>
      <c r="F1644" s="2" t="str">
        <f t="shared" si="102"/>
        <v>Week 31</v>
      </c>
      <c r="G1644" s="2" t="str">
        <f t="shared" si="103"/>
        <v>Week 31-2025</v>
      </c>
      <c r="O1644"/>
      <c r="Q1644"/>
    </row>
    <row r="1645" spans="1:17" hidden="1" x14ac:dyDescent="0.2">
      <c r="A1645" s="3">
        <v>45870</v>
      </c>
      <c r="B1645" s="2" t="s">
        <v>34</v>
      </c>
      <c r="C1645" s="2">
        <v>2</v>
      </c>
      <c r="D1645" s="2">
        <f t="shared" si="100"/>
        <v>2025</v>
      </c>
      <c r="E1645" s="2" t="str">
        <f t="shared" si="101"/>
        <v>2025-31</v>
      </c>
      <c r="F1645" s="2" t="str">
        <f t="shared" si="102"/>
        <v>Week 31</v>
      </c>
      <c r="G1645" s="2" t="str">
        <f t="shared" si="103"/>
        <v>Week 31-2025</v>
      </c>
      <c r="O1645"/>
      <c r="Q1645"/>
    </row>
    <row r="1646" spans="1:17" hidden="1" x14ac:dyDescent="0.2">
      <c r="A1646" s="3">
        <v>45870</v>
      </c>
      <c r="B1646" s="2" t="s">
        <v>14</v>
      </c>
      <c r="C1646" s="2">
        <v>1</v>
      </c>
      <c r="D1646" s="2">
        <f t="shared" si="100"/>
        <v>2025</v>
      </c>
      <c r="E1646" s="2" t="str">
        <f t="shared" si="101"/>
        <v>2025-31</v>
      </c>
      <c r="F1646" s="2" t="str">
        <f t="shared" si="102"/>
        <v>Week 31</v>
      </c>
      <c r="G1646" s="2" t="str">
        <f t="shared" si="103"/>
        <v>Week 31-2025</v>
      </c>
      <c r="O1646"/>
      <c r="Q1646"/>
    </row>
    <row r="1647" spans="1:17" hidden="1" x14ac:dyDescent="0.2">
      <c r="A1647" s="3">
        <v>45871</v>
      </c>
      <c r="B1647" s="2" t="s">
        <v>5</v>
      </c>
      <c r="C1647" s="2">
        <v>4</v>
      </c>
      <c r="D1647" s="2">
        <f t="shared" si="100"/>
        <v>2025</v>
      </c>
      <c r="E1647" s="2" t="str">
        <f t="shared" si="101"/>
        <v>2025-31</v>
      </c>
      <c r="F1647" s="2" t="str">
        <f t="shared" si="102"/>
        <v>Week 31</v>
      </c>
      <c r="G1647" s="2" t="str">
        <f t="shared" si="103"/>
        <v>Week 31-2025</v>
      </c>
      <c r="O1647"/>
      <c r="Q1647"/>
    </row>
    <row r="1648" spans="1:17" hidden="1" x14ac:dyDescent="0.2">
      <c r="A1648" s="3">
        <v>45871</v>
      </c>
      <c r="B1648" s="2" t="s">
        <v>14</v>
      </c>
      <c r="C1648" s="2">
        <v>4</v>
      </c>
      <c r="D1648" s="2">
        <f t="shared" si="100"/>
        <v>2025</v>
      </c>
      <c r="E1648" s="2" t="str">
        <f t="shared" si="101"/>
        <v>2025-31</v>
      </c>
      <c r="F1648" s="2" t="str">
        <f t="shared" si="102"/>
        <v>Week 31</v>
      </c>
      <c r="G1648" s="2" t="str">
        <f t="shared" si="103"/>
        <v>Week 31-2025</v>
      </c>
      <c r="O1648"/>
      <c r="Q1648"/>
    </row>
    <row r="1649" spans="1:17" hidden="1" x14ac:dyDescent="0.2">
      <c r="A1649" s="3">
        <v>45872</v>
      </c>
      <c r="B1649" s="2" t="s">
        <v>51</v>
      </c>
      <c r="C1649" s="2">
        <v>2</v>
      </c>
      <c r="D1649" s="2">
        <f t="shared" si="100"/>
        <v>2025</v>
      </c>
      <c r="E1649" s="2" t="str">
        <f t="shared" si="101"/>
        <v>2025-31</v>
      </c>
      <c r="F1649" s="2" t="str">
        <f t="shared" si="102"/>
        <v>Week 32</v>
      </c>
      <c r="G1649" s="2" t="str">
        <f t="shared" si="103"/>
        <v>Week 32-2025</v>
      </c>
      <c r="O1649"/>
      <c r="Q1649"/>
    </row>
    <row r="1650" spans="1:17" hidden="1" x14ac:dyDescent="0.2">
      <c r="A1650" s="3">
        <v>45873</v>
      </c>
      <c r="B1650" s="2" t="s">
        <v>3</v>
      </c>
      <c r="C1650" s="2">
        <v>8</v>
      </c>
      <c r="D1650" s="2">
        <f t="shared" si="100"/>
        <v>2025</v>
      </c>
      <c r="E1650" s="2" t="str">
        <f t="shared" si="101"/>
        <v>2025-32</v>
      </c>
      <c r="F1650" s="2" t="str">
        <f t="shared" si="102"/>
        <v>Week 32</v>
      </c>
      <c r="G1650" s="2" t="str">
        <f t="shared" si="103"/>
        <v>Week 32-2025</v>
      </c>
      <c r="O1650"/>
      <c r="Q1650"/>
    </row>
    <row r="1651" spans="1:17" hidden="1" x14ac:dyDescent="0.2">
      <c r="A1651" s="3">
        <v>45873</v>
      </c>
      <c r="B1651" s="2" t="s">
        <v>5</v>
      </c>
      <c r="C1651" s="2">
        <v>69</v>
      </c>
      <c r="D1651" s="2">
        <f t="shared" si="100"/>
        <v>2025</v>
      </c>
      <c r="E1651" s="2" t="str">
        <f t="shared" si="101"/>
        <v>2025-32</v>
      </c>
      <c r="F1651" s="2" t="str">
        <f t="shared" si="102"/>
        <v>Week 32</v>
      </c>
      <c r="G1651" s="2" t="str">
        <f t="shared" si="103"/>
        <v>Week 32-2025</v>
      </c>
      <c r="O1651"/>
      <c r="Q1651"/>
    </row>
    <row r="1652" spans="1:17" hidden="1" x14ac:dyDescent="0.2">
      <c r="A1652" s="3">
        <v>45873</v>
      </c>
      <c r="B1652" s="2" t="s">
        <v>5</v>
      </c>
      <c r="C1652" s="2">
        <v>68</v>
      </c>
      <c r="D1652" s="2">
        <f t="shared" si="100"/>
        <v>2025</v>
      </c>
      <c r="E1652" s="2" t="str">
        <f t="shared" si="101"/>
        <v>2025-32</v>
      </c>
      <c r="F1652" s="2" t="str">
        <f t="shared" si="102"/>
        <v>Week 32</v>
      </c>
      <c r="G1652" s="2" t="str">
        <f t="shared" si="103"/>
        <v>Week 32-2025</v>
      </c>
      <c r="O1652"/>
      <c r="Q1652"/>
    </row>
    <row r="1653" spans="1:17" hidden="1" x14ac:dyDescent="0.2">
      <c r="A1653" s="3">
        <v>45873</v>
      </c>
      <c r="B1653" s="2" t="s">
        <v>3</v>
      </c>
      <c r="C1653" s="2">
        <v>50</v>
      </c>
      <c r="D1653" s="2">
        <f t="shared" si="100"/>
        <v>2025</v>
      </c>
      <c r="E1653" s="2" t="str">
        <f t="shared" si="101"/>
        <v>2025-32</v>
      </c>
      <c r="F1653" s="2" t="str">
        <f t="shared" si="102"/>
        <v>Week 32</v>
      </c>
      <c r="G1653" s="2" t="str">
        <f t="shared" si="103"/>
        <v>Week 32-2025</v>
      </c>
      <c r="O1653"/>
      <c r="Q1653"/>
    </row>
    <row r="1654" spans="1:17" hidden="1" x14ac:dyDescent="0.2">
      <c r="A1654" s="3">
        <v>45873</v>
      </c>
      <c r="B1654" s="2" t="s">
        <v>5</v>
      </c>
      <c r="C1654" s="2">
        <v>47</v>
      </c>
      <c r="D1654" s="2">
        <f t="shared" si="100"/>
        <v>2025</v>
      </c>
      <c r="E1654" s="2" t="str">
        <f t="shared" si="101"/>
        <v>2025-32</v>
      </c>
      <c r="F1654" s="2" t="str">
        <f t="shared" si="102"/>
        <v>Week 32</v>
      </c>
      <c r="G1654" s="2" t="str">
        <f t="shared" si="103"/>
        <v>Week 32-2025</v>
      </c>
      <c r="O1654"/>
      <c r="Q1654"/>
    </row>
    <row r="1655" spans="1:17" hidden="1" x14ac:dyDescent="0.2">
      <c r="A1655" s="3">
        <v>45873</v>
      </c>
      <c r="B1655" s="2" t="s">
        <v>14</v>
      </c>
      <c r="C1655" s="2">
        <v>50</v>
      </c>
      <c r="D1655" s="2">
        <f t="shared" si="100"/>
        <v>2025</v>
      </c>
      <c r="E1655" s="2" t="str">
        <f t="shared" si="101"/>
        <v>2025-32</v>
      </c>
      <c r="F1655" s="2" t="str">
        <f t="shared" si="102"/>
        <v>Week 32</v>
      </c>
      <c r="G1655" s="2" t="str">
        <f t="shared" si="103"/>
        <v>Week 32-2025</v>
      </c>
      <c r="O1655"/>
      <c r="Q1655"/>
    </row>
    <row r="1656" spans="1:17" hidden="1" x14ac:dyDescent="0.2">
      <c r="A1656" s="3">
        <v>45873</v>
      </c>
      <c r="B1656" s="2" t="s">
        <v>3</v>
      </c>
      <c r="C1656" s="2">
        <v>36</v>
      </c>
      <c r="D1656" s="2">
        <f t="shared" si="100"/>
        <v>2025</v>
      </c>
      <c r="E1656" s="2" t="str">
        <f t="shared" si="101"/>
        <v>2025-32</v>
      </c>
      <c r="F1656" s="2" t="str">
        <f t="shared" si="102"/>
        <v>Week 32</v>
      </c>
      <c r="G1656" s="2" t="str">
        <f t="shared" si="103"/>
        <v>Week 32-2025</v>
      </c>
      <c r="O1656"/>
      <c r="Q1656"/>
    </row>
    <row r="1657" spans="1:17" hidden="1" x14ac:dyDescent="0.2">
      <c r="A1657" s="3">
        <v>45873</v>
      </c>
      <c r="B1657" s="2" t="s">
        <v>14</v>
      </c>
      <c r="C1657" s="2">
        <v>50</v>
      </c>
      <c r="D1657" s="2">
        <f t="shared" si="100"/>
        <v>2025</v>
      </c>
      <c r="E1657" s="2" t="str">
        <f t="shared" si="101"/>
        <v>2025-32</v>
      </c>
      <c r="F1657" s="2" t="str">
        <f t="shared" si="102"/>
        <v>Week 32</v>
      </c>
      <c r="G1657" s="2" t="str">
        <f t="shared" si="103"/>
        <v>Week 32-2025</v>
      </c>
      <c r="O1657"/>
      <c r="Q1657"/>
    </row>
    <row r="1658" spans="1:17" hidden="1" x14ac:dyDescent="0.2">
      <c r="A1658" s="3">
        <v>45873</v>
      </c>
      <c r="B1658" s="2" t="s">
        <v>5</v>
      </c>
      <c r="C1658" s="2">
        <v>24</v>
      </c>
      <c r="D1658" s="2">
        <f t="shared" si="100"/>
        <v>2025</v>
      </c>
      <c r="E1658" s="2" t="str">
        <f t="shared" si="101"/>
        <v>2025-32</v>
      </c>
      <c r="F1658" s="2" t="str">
        <f t="shared" si="102"/>
        <v>Week 32</v>
      </c>
      <c r="G1658" s="2" t="str">
        <f t="shared" si="103"/>
        <v>Week 32-2025</v>
      </c>
      <c r="O1658"/>
      <c r="Q1658"/>
    </row>
    <row r="1659" spans="1:17" hidden="1" x14ac:dyDescent="0.2">
      <c r="A1659" s="3">
        <v>45873</v>
      </c>
      <c r="B1659" s="2" t="s">
        <v>9</v>
      </c>
      <c r="C1659" s="2">
        <v>18</v>
      </c>
      <c r="D1659" s="2">
        <f t="shared" si="100"/>
        <v>2025</v>
      </c>
      <c r="E1659" s="2" t="str">
        <f t="shared" si="101"/>
        <v>2025-32</v>
      </c>
      <c r="F1659" s="2" t="str">
        <f t="shared" si="102"/>
        <v>Week 32</v>
      </c>
      <c r="G1659" s="2" t="str">
        <f t="shared" si="103"/>
        <v>Week 32-2025</v>
      </c>
      <c r="O1659"/>
      <c r="Q1659"/>
    </row>
    <row r="1660" spans="1:17" hidden="1" x14ac:dyDescent="0.2">
      <c r="A1660" s="3">
        <v>45873</v>
      </c>
      <c r="B1660" s="2" t="s">
        <v>3</v>
      </c>
      <c r="C1660" s="2">
        <v>20</v>
      </c>
      <c r="D1660" s="2">
        <f t="shared" si="100"/>
        <v>2025</v>
      </c>
      <c r="E1660" s="2" t="str">
        <f t="shared" si="101"/>
        <v>2025-32</v>
      </c>
      <c r="F1660" s="2" t="str">
        <f t="shared" si="102"/>
        <v>Week 32</v>
      </c>
      <c r="G1660" s="2" t="str">
        <f t="shared" si="103"/>
        <v>Week 32-2025</v>
      </c>
      <c r="O1660"/>
      <c r="Q1660"/>
    </row>
    <row r="1661" spans="1:17" hidden="1" x14ac:dyDescent="0.2">
      <c r="A1661" s="3">
        <v>45873</v>
      </c>
      <c r="B1661" s="2" t="s">
        <v>9</v>
      </c>
      <c r="C1661" s="2">
        <v>16</v>
      </c>
      <c r="D1661" s="2">
        <f t="shared" si="100"/>
        <v>2025</v>
      </c>
      <c r="E1661" s="2" t="str">
        <f t="shared" si="101"/>
        <v>2025-32</v>
      </c>
      <c r="F1661" s="2" t="str">
        <f t="shared" si="102"/>
        <v>Week 32</v>
      </c>
      <c r="G1661" s="2" t="str">
        <f t="shared" si="103"/>
        <v>Week 32-2025</v>
      </c>
      <c r="O1661"/>
      <c r="Q1661"/>
    </row>
    <row r="1662" spans="1:17" hidden="1" x14ac:dyDescent="0.2">
      <c r="A1662" s="3">
        <v>45873</v>
      </c>
      <c r="B1662" s="2" t="s">
        <v>9</v>
      </c>
      <c r="C1662" s="2">
        <v>15</v>
      </c>
      <c r="D1662" s="2">
        <f t="shared" si="100"/>
        <v>2025</v>
      </c>
      <c r="E1662" s="2" t="str">
        <f t="shared" si="101"/>
        <v>2025-32</v>
      </c>
      <c r="F1662" s="2" t="str">
        <f t="shared" si="102"/>
        <v>Week 32</v>
      </c>
      <c r="G1662" s="2" t="str">
        <f t="shared" si="103"/>
        <v>Week 32-2025</v>
      </c>
      <c r="O1662"/>
      <c r="Q1662"/>
    </row>
    <row r="1663" spans="1:17" hidden="1" x14ac:dyDescent="0.2">
      <c r="A1663" s="3">
        <v>45873</v>
      </c>
      <c r="B1663" s="2" t="s">
        <v>14</v>
      </c>
      <c r="C1663" s="2">
        <v>26</v>
      </c>
      <c r="D1663" s="2">
        <f t="shared" si="100"/>
        <v>2025</v>
      </c>
      <c r="E1663" s="2" t="str">
        <f t="shared" si="101"/>
        <v>2025-32</v>
      </c>
      <c r="F1663" s="2" t="str">
        <f t="shared" si="102"/>
        <v>Week 32</v>
      </c>
      <c r="G1663" s="2" t="str">
        <f t="shared" si="103"/>
        <v>Week 32-2025</v>
      </c>
      <c r="O1663"/>
      <c r="Q1663"/>
    </row>
    <row r="1664" spans="1:17" hidden="1" x14ac:dyDescent="0.2">
      <c r="A1664" s="3">
        <v>45873</v>
      </c>
      <c r="B1664" s="2" t="s">
        <v>4</v>
      </c>
      <c r="C1664" s="2">
        <v>11</v>
      </c>
      <c r="D1664" s="2">
        <f t="shared" si="100"/>
        <v>2025</v>
      </c>
      <c r="E1664" s="2" t="str">
        <f t="shared" si="101"/>
        <v>2025-32</v>
      </c>
      <c r="F1664" s="2" t="str">
        <f t="shared" si="102"/>
        <v>Week 32</v>
      </c>
      <c r="G1664" s="2" t="str">
        <f t="shared" si="103"/>
        <v>Week 32-2025</v>
      </c>
      <c r="O1664"/>
      <c r="Q1664"/>
    </row>
    <row r="1665" spans="1:17" hidden="1" x14ac:dyDescent="0.2">
      <c r="A1665" s="3">
        <v>45873</v>
      </c>
      <c r="B1665" s="2" t="s">
        <v>3</v>
      </c>
      <c r="C1665" s="2">
        <v>13</v>
      </c>
      <c r="D1665" s="2">
        <f t="shared" si="100"/>
        <v>2025</v>
      </c>
      <c r="E1665" s="2" t="str">
        <f t="shared" si="101"/>
        <v>2025-32</v>
      </c>
      <c r="F1665" s="2" t="str">
        <f t="shared" si="102"/>
        <v>Week 32</v>
      </c>
      <c r="G1665" s="2" t="str">
        <f t="shared" si="103"/>
        <v>Week 32-2025</v>
      </c>
      <c r="O1665"/>
      <c r="Q1665"/>
    </row>
    <row r="1666" spans="1:17" hidden="1" x14ac:dyDescent="0.2">
      <c r="A1666" s="3">
        <v>45873</v>
      </c>
      <c r="B1666" s="2" t="s">
        <v>7</v>
      </c>
      <c r="C1666" s="2">
        <v>8</v>
      </c>
      <c r="D1666" s="2">
        <f t="shared" ref="D1666:D1729" si="104">YEAR(A1666)</f>
        <v>2025</v>
      </c>
      <c r="E1666" s="2" t="str">
        <f t="shared" ref="E1666:E1729" si="105">YEAR(A1666)&amp;"-"&amp;_xlfn.ISOWEEKNUM(A1666)</f>
        <v>2025-32</v>
      </c>
      <c r="F1666" s="2" t="str">
        <f t="shared" ref="F1666:F1729" si="106">_xlfn.CONCAT("Week "&amp;WEEKNUM(A1666))</f>
        <v>Week 32</v>
      </c>
      <c r="G1666" s="2" t="str">
        <f t="shared" ref="G1666:G1729" si="107">_xlfn.CONCAT(F1666,"-",D1666)</f>
        <v>Week 32-2025</v>
      </c>
      <c r="O1666"/>
      <c r="Q1666"/>
    </row>
    <row r="1667" spans="1:17" hidden="1" x14ac:dyDescent="0.2">
      <c r="A1667" s="3">
        <v>45873</v>
      </c>
      <c r="B1667" s="2" t="s">
        <v>14</v>
      </c>
      <c r="C1667" s="2">
        <v>20</v>
      </c>
      <c r="D1667" s="2">
        <f t="shared" si="104"/>
        <v>2025</v>
      </c>
      <c r="E1667" s="2" t="str">
        <f t="shared" si="105"/>
        <v>2025-32</v>
      </c>
      <c r="F1667" s="2" t="str">
        <f t="shared" si="106"/>
        <v>Week 32</v>
      </c>
      <c r="G1667" s="2" t="str">
        <f t="shared" si="107"/>
        <v>Week 32-2025</v>
      </c>
      <c r="O1667"/>
      <c r="Q1667"/>
    </row>
    <row r="1668" spans="1:17" hidden="1" x14ac:dyDescent="0.2">
      <c r="A1668" s="3">
        <v>45873</v>
      </c>
      <c r="B1668" s="2" t="s">
        <v>3</v>
      </c>
      <c r="C1668" s="2">
        <v>10</v>
      </c>
      <c r="D1668" s="2">
        <f t="shared" si="104"/>
        <v>2025</v>
      </c>
      <c r="E1668" s="2" t="str">
        <f t="shared" si="105"/>
        <v>2025-32</v>
      </c>
      <c r="F1668" s="2" t="str">
        <f t="shared" si="106"/>
        <v>Week 32</v>
      </c>
      <c r="G1668" s="2" t="str">
        <f t="shared" si="107"/>
        <v>Week 32-2025</v>
      </c>
      <c r="O1668"/>
      <c r="Q1668"/>
    </row>
    <row r="1669" spans="1:17" hidden="1" x14ac:dyDescent="0.2">
      <c r="A1669" s="3">
        <v>45873</v>
      </c>
      <c r="B1669" s="2" t="s">
        <v>17</v>
      </c>
      <c r="C1669" s="2">
        <v>12</v>
      </c>
      <c r="D1669" s="2">
        <f t="shared" si="104"/>
        <v>2025</v>
      </c>
      <c r="E1669" s="2" t="str">
        <f t="shared" si="105"/>
        <v>2025-32</v>
      </c>
      <c r="F1669" s="2" t="str">
        <f t="shared" si="106"/>
        <v>Week 32</v>
      </c>
      <c r="G1669" s="2" t="str">
        <f t="shared" si="107"/>
        <v>Week 32-2025</v>
      </c>
      <c r="O1669"/>
      <c r="Q1669"/>
    </row>
    <row r="1670" spans="1:17" hidden="1" x14ac:dyDescent="0.2">
      <c r="A1670" s="3">
        <v>45873</v>
      </c>
      <c r="B1670" s="2" t="s">
        <v>14</v>
      </c>
      <c r="C1670" s="2">
        <v>18</v>
      </c>
      <c r="D1670" s="2">
        <f t="shared" si="104"/>
        <v>2025</v>
      </c>
      <c r="E1670" s="2" t="str">
        <f t="shared" si="105"/>
        <v>2025-32</v>
      </c>
      <c r="F1670" s="2" t="str">
        <f t="shared" si="106"/>
        <v>Week 32</v>
      </c>
      <c r="G1670" s="2" t="str">
        <f t="shared" si="107"/>
        <v>Week 32-2025</v>
      </c>
      <c r="O1670"/>
      <c r="Q1670"/>
    </row>
    <row r="1671" spans="1:17" hidden="1" x14ac:dyDescent="0.2">
      <c r="A1671" s="3">
        <v>45873</v>
      </c>
      <c r="B1671" s="2" t="s">
        <v>4</v>
      </c>
      <c r="C1671" s="2">
        <v>7</v>
      </c>
      <c r="D1671" s="2">
        <f t="shared" si="104"/>
        <v>2025</v>
      </c>
      <c r="E1671" s="2" t="str">
        <f t="shared" si="105"/>
        <v>2025-32</v>
      </c>
      <c r="F1671" s="2" t="str">
        <f t="shared" si="106"/>
        <v>Week 32</v>
      </c>
      <c r="G1671" s="2" t="str">
        <f t="shared" si="107"/>
        <v>Week 32-2025</v>
      </c>
      <c r="O1671"/>
      <c r="Q1671"/>
    </row>
    <row r="1672" spans="1:17" hidden="1" x14ac:dyDescent="0.2">
      <c r="A1672" s="3">
        <v>45873</v>
      </c>
      <c r="B1672" s="2" t="s">
        <v>5</v>
      </c>
      <c r="C1672" s="2">
        <v>12</v>
      </c>
      <c r="D1672" s="2">
        <f t="shared" si="104"/>
        <v>2025</v>
      </c>
      <c r="E1672" s="2" t="str">
        <f t="shared" si="105"/>
        <v>2025-32</v>
      </c>
      <c r="F1672" s="2" t="str">
        <f t="shared" si="106"/>
        <v>Week 32</v>
      </c>
      <c r="G1672" s="2" t="str">
        <f t="shared" si="107"/>
        <v>Week 32-2025</v>
      </c>
      <c r="O1672"/>
      <c r="Q1672"/>
    </row>
    <row r="1673" spans="1:17" hidden="1" x14ac:dyDescent="0.2">
      <c r="A1673" s="3">
        <v>45873</v>
      </c>
      <c r="B1673" s="2" t="s">
        <v>27</v>
      </c>
      <c r="C1673" s="2">
        <v>18</v>
      </c>
      <c r="D1673" s="2">
        <f t="shared" si="104"/>
        <v>2025</v>
      </c>
      <c r="E1673" s="2" t="str">
        <f t="shared" si="105"/>
        <v>2025-32</v>
      </c>
      <c r="F1673" s="2" t="str">
        <f t="shared" si="106"/>
        <v>Week 32</v>
      </c>
      <c r="G1673" s="2" t="str">
        <f t="shared" si="107"/>
        <v>Week 32-2025</v>
      </c>
      <c r="O1673"/>
      <c r="Q1673"/>
    </row>
    <row r="1674" spans="1:17" hidden="1" x14ac:dyDescent="0.2">
      <c r="A1674" s="3">
        <v>45873</v>
      </c>
      <c r="B1674" s="2" t="s">
        <v>19</v>
      </c>
      <c r="C1674" s="2">
        <v>7</v>
      </c>
      <c r="D1674" s="2">
        <f t="shared" si="104"/>
        <v>2025</v>
      </c>
      <c r="E1674" s="2" t="str">
        <f t="shared" si="105"/>
        <v>2025-32</v>
      </c>
      <c r="F1674" s="2" t="str">
        <f t="shared" si="106"/>
        <v>Week 32</v>
      </c>
      <c r="G1674" s="2" t="str">
        <f t="shared" si="107"/>
        <v>Week 32-2025</v>
      </c>
      <c r="O1674"/>
      <c r="Q1674"/>
    </row>
    <row r="1675" spans="1:17" hidden="1" x14ac:dyDescent="0.2">
      <c r="A1675" s="3">
        <v>45873</v>
      </c>
      <c r="B1675" s="2" t="s">
        <v>5</v>
      </c>
      <c r="C1675" s="2">
        <v>10</v>
      </c>
      <c r="D1675" s="2">
        <f t="shared" si="104"/>
        <v>2025</v>
      </c>
      <c r="E1675" s="2" t="str">
        <f t="shared" si="105"/>
        <v>2025-32</v>
      </c>
      <c r="F1675" s="2" t="str">
        <f t="shared" si="106"/>
        <v>Week 32</v>
      </c>
      <c r="G1675" s="2" t="str">
        <f t="shared" si="107"/>
        <v>Week 32-2025</v>
      </c>
      <c r="O1675"/>
      <c r="Q1675"/>
    </row>
    <row r="1676" spans="1:17" hidden="1" x14ac:dyDescent="0.2">
      <c r="A1676" s="3">
        <v>45873</v>
      </c>
      <c r="B1676" s="2" t="s">
        <v>5</v>
      </c>
      <c r="C1676" s="2">
        <v>8</v>
      </c>
      <c r="D1676" s="2">
        <f t="shared" si="104"/>
        <v>2025</v>
      </c>
      <c r="E1676" s="2" t="str">
        <f t="shared" si="105"/>
        <v>2025-32</v>
      </c>
      <c r="F1676" s="2" t="str">
        <f t="shared" si="106"/>
        <v>Week 32</v>
      </c>
      <c r="G1676" s="2" t="str">
        <f t="shared" si="107"/>
        <v>Week 32-2025</v>
      </c>
      <c r="O1676"/>
      <c r="Q1676"/>
    </row>
    <row r="1677" spans="1:17" hidden="1" x14ac:dyDescent="0.2">
      <c r="A1677" s="3">
        <v>45873</v>
      </c>
      <c r="B1677" s="2" t="s">
        <v>9</v>
      </c>
      <c r="C1677" s="2">
        <v>7</v>
      </c>
      <c r="D1677" s="2">
        <f t="shared" si="104"/>
        <v>2025</v>
      </c>
      <c r="E1677" s="2" t="str">
        <f t="shared" si="105"/>
        <v>2025-32</v>
      </c>
      <c r="F1677" s="2" t="str">
        <f t="shared" si="106"/>
        <v>Week 32</v>
      </c>
      <c r="G1677" s="2" t="str">
        <f t="shared" si="107"/>
        <v>Week 32-2025</v>
      </c>
      <c r="O1677"/>
      <c r="Q1677"/>
    </row>
    <row r="1678" spans="1:17" hidden="1" x14ac:dyDescent="0.2">
      <c r="A1678" s="3">
        <v>45873</v>
      </c>
      <c r="B1678" s="2" t="s">
        <v>9</v>
      </c>
      <c r="C1678" s="2">
        <v>6</v>
      </c>
      <c r="D1678" s="2">
        <f t="shared" si="104"/>
        <v>2025</v>
      </c>
      <c r="E1678" s="2" t="str">
        <f t="shared" si="105"/>
        <v>2025-32</v>
      </c>
      <c r="F1678" s="2" t="str">
        <f t="shared" si="106"/>
        <v>Week 32</v>
      </c>
      <c r="G1678" s="2" t="str">
        <f t="shared" si="107"/>
        <v>Week 32-2025</v>
      </c>
      <c r="O1678"/>
      <c r="Q1678"/>
    </row>
    <row r="1679" spans="1:17" hidden="1" x14ac:dyDescent="0.2">
      <c r="A1679" s="3">
        <v>45873</v>
      </c>
      <c r="B1679" s="2" t="s">
        <v>9</v>
      </c>
      <c r="C1679" s="2">
        <v>6</v>
      </c>
      <c r="D1679" s="2">
        <f t="shared" si="104"/>
        <v>2025</v>
      </c>
      <c r="E1679" s="2" t="str">
        <f t="shared" si="105"/>
        <v>2025-32</v>
      </c>
      <c r="F1679" s="2" t="str">
        <f t="shared" si="106"/>
        <v>Week 32</v>
      </c>
      <c r="G1679" s="2" t="str">
        <f t="shared" si="107"/>
        <v>Week 32-2025</v>
      </c>
      <c r="O1679"/>
      <c r="Q1679"/>
    </row>
    <row r="1680" spans="1:17" hidden="1" x14ac:dyDescent="0.2">
      <c r="A1680" s="3">
        <v>45873</v>
      </c>
      <c r="B1680" s="2" t="s">
        <v>14</v>
      </c>
      <c r="C1680" s="2">
        <v>12</v>
      </c>
      <c r="D1680" s="2">
        <f t="shared" si="104"/>
        <v>2025</v>
      </c>
      <c r="E1680" s="2" t="str">
        <f t="shared" si="105"/>
        <v>2025-32</v>
      </c>
      <c r="F1680" s="2" t="str">
        <f t="shared" si="106"/>
        <v>Week 32</v>
      </c>
      <c r="G1680" s="2" t="str">
        <f t="shared" si="107"/>
        <v>Week 32-2025</v>
      </c>
      <c r="O1680"/>
      <c r="Q1680"/>
    </row>
    <row r="1681" spans="1:17" hidden="1" x14ac:dyDescent="0.2">
      <c r="A1681" s="3">
        <v>45873</v>
      </c>
      <c r="B1681" s="2" t="s">
        <v>5</v>
      </c>
      <c r="C1681" s="2">
        <v>8</v>
      </c>
      <c r="D1681" s="2">
        <f t="shared" si="104"/>
        <v>2025</v>
      </c>
      <c r="E1681" s="2" t="str">
        <f t="shared" si="105"/>
        <v>2025-32</v>
      </c>
      <c r="F1681" s="2" t="str">
        <f t="shared" si="106"/>
        <v>Week 32</v>
      </c>
      <c r="G1681" s="2" t="str">
        <f t="shared" si="107"/>
        <v>Week 32-2025</v>
      </c>
      <c r="O1681"/>
      <c r="Q1681"/>
    </row>
    <row r="1682" spans="1:17" hidden="1" x14ac:dyDescent="0.2">
      <c r="A1682" s="3">
        <v>45873</v>
      </c>
      <c r="B1682" s="2" t="s">
        <v>30</v>
      </c>
      <c r="C1682" s="2">
        <v>10</v>
      </c>
      <c r="D1682" s="2">
        <f t="shared" si="104"/>
        <v>2025</v>
      </c>
      <c r="E1682" s="2" t="str">
        <f t="shared" si="105"/>
        <v>2025-32</v>
      </c>
      <c r="F1682" s="2" t="str">
        <f t="shared" si="106"/>
        <v>Week 32</v>
      </c>
      <c r="G1682" s="2" t="str">
        <f t="shared" si="107"/>
        <v>Week 32-2025</v>
      </c>
      <c r="O1682"/>
      <c r="Q1682"/>
    </row>
    <row r="1683" spans="1:17" hidden="1" x14ac:dyDescent="0.2">
      <c r="A1683" s="3">
        <v>45873</v>
      </c>
      <c r="B1683" s="2" t="s">
        <v>7</v>
      </c>
      <c r="C1683" s="2">
        <v>4</v>
      </c>
      <c r="D1683" s="2">
        <f t="shared" si="104"/>
        <v>2025</v>
      </c>
      <c r="E1683" s="2" t="str">
        <f t="shared" si="105"/>
        <v>2025-32</v>
      </c>
      <c r="F1683" s="2" t="str">
        <f t="shared" si="106"/>
        <v>Week 32</v>
      </c>
      <c r="G1683" s="2" t="str">
        <f t="shared" si="107"/>
        <v>Week 32-2025</v>
      </c>
      <c r="O1683"/>
      <c r="Q1683"/>
    </row>
    <row r="1684" spans="1:17" hidden="1" x14ac:dyDescent="0.2">
      <c r="A1684" s="3">
        <v>45873</v>
      </c>
      <c r="B1684" s="2" t="s">
        <v>17</v>
      </c>
      <c r="C1684" s="2">
        <v>6</v>
      </c>
      <c r="D1684" s="2">
        <f t="shared" si="104"/>
        <v>2025</v>
      </c>
      <c r="E1684" s="2" t="str">
        <f t="shared" si="105"/>
        <v>2025-32</v>
      </c>
      <c r="F1684" s="2" t="str">
        <f t="shared" si="106"/>
        <v>Week 32</v>
      </c>
      <c r="G1684" s="2" t="str">
        <f t="shared" si="107"/>
        <v>Week 32-2025</v>
      </c>
      <c r="O1684"/>
      <c r="Q1684"/>
    </row>
    <row r="1685" spans="1:17" hidden="1" x14ac:dyDescent="0.2">
      <c r="A1685" s="3">
        <v>45873</v>
      </c>
      <c r="B1685" s="2" t="s">
        <v>8</v>
      </c>
      <c r="C1685" s="2">
        <v>10</v>
      </c>
      <c r="D1685" s="2">
        <f t="shared" si="104"/>
        <v>2025</v>
      </c>
      <c r="E1685" s="2" t="str">
        <f t="shared" si="105"/>
        <v>2025-32</v>
      </c>
      <c r="F1685" s="2" t="str">
        <f t="shared" si="106"/>
        <v>Week 32</v>
      </c>
      <c r="G1685" s="2" t="str">
        <f t="shared" si="107"/>
        <v>Week 32-2025</v>
      </c>
      <c r="O1685"/>
      <c r="Q1685"/>
    </row>
    <row r="1686" spans="1:17" hidden="1" x14ac:dyDescent="0.2">
      <c r="A1686" s="3">
        <v>45873</v>
      </c>
      <c r="B1686" s="2" t="s">
        <v>14</v>
      </c>
      <c r="C1686" s="2">
        <v>8</v>
      </c>
      <c r="D1686" s="2">
        <f t="shared" si="104"/>
        <v>2025</v>
      </c>
      <c r="E1686" s="2" t="str">
        <f t="shared" si="105"/>
        <v>2025-32</v>
      </c>
      <c r="F1686" s="2" t="str">
        <f t="shared" si="106"/>
        <v>Week 32</v>
      </c>
      <c r="G1686" s="2" t="str">
        <f t="shared" si="107"/>
        <v>Week 32-2025</v>
      </c>
      <c r="O1686"/>
      <c r="Q1686"/>
    </row>
    <row r="1687" spans="1:17" hidden="1" x14ac:dyDescent="0.2">
      <c r="A1687" s="3">
        <v>45873</v>
      </c>
      <c r="B1687" s="2" t="s">
        <v>10</v>
      </c>
      <c r="C1687" s="2">
        <v>6</v>
      </c>
      <c r="D1687" s="2">
        <f t="shared" si="104"/>
        <v>2025</v>
      </c>
      <c r="E1687" s="2" t="str">
        <f t="shared" si="105"/>
        <v>2025-32</v>
      </c>
      <c r="F1687" s="2" t="str">
        <f t="shared" si="106"/>
        <v>Week 32</v>
      </c>
      <c r="G1687" s="2" t="str">
        <f t="shared" si="107"/>
        <v>Week 32-2025</v>
      </c>
      <c r="O1687"/>
      <c r="Q1687"/>
    </row>
    <row r="1688" spans="1:17" hidden="1" x14ac:dyDescent="0.2">
      <c r="A1688" s="3">
        <v>45873</v>
      </c>
      <c r="B1688" s="2" t="s">
        <v>5</v>
      </c>
      <c r="C1688" s="2">
        <v>6</v>
      </c>
      <c r="D1688" s="2">
        <f t="shared" si="104"/>
        <v>2025</v>
      </c>
      <c r="E1688" s="2" t="str">
        <f t="shared" si="105"/>
        <v>2025-32</v>
      </c>
      <c r="F1688" s="2" t="str">
        <f t="shared" si="106"/>
        <v>Week 32</v>
      </c>
      <c r="G1688" s="2" t="str">
        <f t="shared" si="107"/>
        <v>Week 32-2025</v>
      </c>
      <c r="O1688"/>
      <c r="Q1688"/>
    </row>
    <row r="1689" spans="1:17" hidden="1" x14ac:dyDescent="0.2">
      <c r="A1689" s="3">
        <v>45873</v>
      </c>
      <c r="B1689" s="2" t="s">
        <v>37</v>
      </c>
      <c r="C1689" s="2">
        <v>6</v>
      </c>
      <c r="D1689" s="2">
        <f t="shared" si="104"/>
        <v>2025</v>
      </c>
      <c r="E1689" s="2" t="str">
        <f t="shared" si="105"/>
        <v>2025-32</v>
      </c>
      <c r="F1689" s="2" t="str">
        <f t="shared" si="106"/>
        <v>Week 32</v>
      </c>
      <c r="G1689" s="2" t="str">
        <f t="shared" si="107"/>
        <v>Week 32-2025</v>
      </c>
      <c r="O1689"/>
      <c r="Q1689"/>
    </row>
    <row r="1690" spans="1:17" hidden="1" x14ac:dyDescent="0.2">
      <c r="A1690" s="3">
        <v>45873</v>
      </c>
      <c r="B1690" s="2" t="s">
        <v>4</v>
      </c>
      <c r="C1690" s="2">
        <v>3</v>
      </c>
      <c r="D1690" s="2">
        <f t="shared" si="104"/>
        <v>2025</v>
      </c>
      <c r="E1690" s="2" t="str">
        <f t="shared" si="105"/>
        <v>2025-32</v>
      </c>
      <c r="F1690" s="2" t="str">
        <f t="shared" si="106"/>
        <v>Week 32</v>
      </c>
      <c r="G1690" s="2" t="str">
        <f t="shared" si="107"/>
        <v>Week 32-2025</v>
      </c>
      <c r="O1690"/>
      <c r="Q1690"/>
    </row>
    <row r="1691" spans="1:17" hidden="1" x14ac:dyDescent="0.2">
      <c r="A1691" s="3">
        <v>45873</v>
      </c>
      <c r="B1691" s="2" t="s">
        <v>19</v>
      </c>
      <c r="C1691" s="2">
        <v>3</v>
      </c>
      <c r="D1691" s="2">
        <f t="shared" si="104"/>
        <v>2025</v>
      </c>
      <c r="E1691" s="2" t="str">
        <f t="shared" si="105"/>
        <v>2025-32</v>
      </c>
      <c r="F1691" s="2" t="str">
        <f t="shared" si="106"/>
        <v>Week 32</v>
      </c>
      <c r="G1691" s="2" t="str">
        <f t="shared" si="107"/>
        <v>Week 32-2025</v>
      </c>
      <c r="O1691"/>
      <c r="Q1691"/>
    </row>
    <row r="1692" spans="1:17" hidden="1" x14ac:dyDescent="0.2">
      <c r="A1692" s="3">
        <v>45873</v>
      </c>
      <c r="B1692" s="2" t="s">
        <v>12</v>
      </c>
      <c r="C1692" s="2">
        <v>2</v>
      </c>
      <c r="D1692" s="2">
        <f t="shared" si="104"/>
        <v>2025</v>
      </c>
      <c r="E1692" s="2" t="str">
        <f t="shared" si="105"/>
        <v>2025-32</v>
      </c>
      <c r="F1692" s="2" t="str">
        <f t="shared" si="106"/>
        <v>Week 32</v>
      </c>
      <c r="G1692" s="2" t="str">
        <f t="shared" si="107"/>
        <v>Week 32-2025</v>
      </c>
      <c r="O1692"/>
      <c r="Q1692"/>
    </row>
    <row r="1693" spans="1:17" hidden="1" x14ac:dyDescent="0.2">
      <c r="A1693" s="3">
        <v>45873</v>
      </c>
      <c r="B1693" s="2" t="s">
        <v>18</v>
      </c>
      <c r="C1693" s="2">
        <v>2</v>
      </c>
      <c r="D1693" s="2">
        <f t="shared" si="104"/>
        <v>2025</v>
      </c>
      <c r="E1693" s="2" t="str">
        <f t="shared" si="105"/>
        <v>2025-32</v>
      </c>
      <c r="F1693" s="2" t="str">
        <f t="shared" si="106"/>
        <v>Week 32</v>
      </c>
      <c r="G1693" s="2" t="str">
        <f t="shared" si="107"/>
        <v>Week 32-2025</v>
      </c>
      <c r="O1693"/>
      <c r="Q1693"/>
    </row>
    <row r="1694" spans="1:17" hidden="1" x14ac:dyDescent="0.2">
      <c r="A1694" s="3">
        <v>45873</v>
      </c>
      <c r="B1694" s="2" t="s">
        <v>14</v>
      </c>
      <c r="C1694" s="2">
        <v>6</v>
      </c>
      <c r="D1694" s="2">
        <f t="shared" si="104"/>
        <v>2025</v>
      </c>
      <c r="E1694" s="2" t="str">
        <f t="shared" si="105"/>
        <v>2025-32</v>
      </c>
      <c r="F1694" s="2" t="str">
        <f t="shared" si="106"/>
        <v>Week 32</v>
      </c>
      <c r="G1694" s="2" t="str">
        <f t="shared" si="107"/>
        <v>Week 32-2025</v>
      </c>
      <c r="O1694"/>
      <c r="Q1694"/>
    </row>
    <row r="1695" spans="1:17" hidden="1" x14ac:dyDescent="0.2">
      <c r="A1695" s="3">
        <v>45873</v>
      </c>
      <c r="B1695" s="2" t="s">
        <v>10</v>
      </c>
      <c r="C1695" s="2">
        <v>4</v>
      </c>
      <c r="D1695" s="2">
        <f t="shared" si="104"/>
        <v>2025</v>
      </c>
      <c r="E1695" s="2" t="str">
        <f t="shared" si="105"/>
        <v>2025-32</v>
      </c>
      <c r="F1695" s="2" t="str">
        <f t="shared" si="106"/>
        <v>Week 32</v>
      </c>
      <c r="G1695" s="2" t="str">
        <f t="shared" si="107"/>
        <v>Week 32-2025</v>
      </c>
      <c r="O1695"/>
      <c r="Q1695"/>
    </row>
    <row r="1696" spans="1:17" hidden="1" x14ac:dyDescent="0.2">
      <c r="A1696" s="3">
        <v>45873</v>
      </c>
      <c r="B1696" s="2" t="s">
        <v>8</v>
      </c>
      <c r="C1696" s="2">
        <v>5</v>
      </c>
      <c r="D1696" s="2">
        <f t="shared" si="104"/>
        <v>2025</v>
      </c>
      <c r="E1696" s="2" t="str">
        <f t="shared" si="105"/>
        <v>2025-32</v>
      </c>
      <c r="F1696" s="2" t="str">
        <f t="shared" si="106"/>
        <v>Week 32</v>
      </c>
      <c r="G1696" s="2" t="str">
        <f t="shared" si="107"/>
        <v>Week 32-2025</v>
      </c>
      <c r="O1696"/>
      <c r="Q1696"/>
    </row>
    <row r="1697" spans="1:17" hidden="1" x14ac:dyDescent="0.2">
      <c r="A1697" s="3">
        <v>45873</v>
      </c>
      <c r="B1697" s="2" t="s">
        <v>13</v>
      </c>
      <c r="C1697" s="2">
        <v>4</v>
      </c>
      <c r="D1697" s="2">
        <f t="shared" si="104"/>
        <v>2025</v>
      </c>
      <c r="E1697" s="2" t="str">
        <f t="shared" si="105"/>
        <v>2025-32</v>
      </c>
      <c r="F1697" s="2" t="str">
        <f t="shared" si="106"/>
        <v>Week 32</v>
      </c>
      <c r="G1697" s="2" t="str">
        <f t="shared" si="107"/>
        <v>Week 32-2025</v>
      </c>
      <c r="O1697"/>
      <c r="Q1697"/>
    </row>
    <row r="1698" spans="1:17" hidden="1" x14ac:dyDescent="0.2">
      <c r="A1698" s="3">
        <v>45873</v>
      </c>
      <c r="B1698" s="2" t="s">
        <v>6</v>
      </c>
      <c r="C1698" s="2">
        <v>2</v>
      </c>
      <c r="D1698" s="2">
        <f t="shared" si="104"/>
        <v>2025</v>
      </c>
      <c r="E1698" s="2" t="str">
        <f t="shared" si="105"/>
        <v>2025-32</v>
      </c>
      <c r="F1698" s="2" t="str">
        <f t="shared" si="106"/>
        <v>Week 32</v>
      </c>
      <c r="G1698" s="2" t="str">
        <f t="shared" si="107"/>
        <v>Week 32-2025</v>
      </c>
      <c r="O1698"/>
      <c r="Q1698"/>
    </row>
    <row r="1699" spans="1:17" hidden="1" x14ac:dyDescent="0.2">
      <c r="A1699" s="3">
        <v>45873</v>
      </c>
      <c r="B1699" s="2" t="s">
        <v>9</v>
      </c>
      <c r="C1699" s="2">
        <v>3</v>
      </c>
      <c r="D1699" s="2">
        <f t="shared" si="104"/>
        <v>2025</v>
      </c>
      <c r="E1699" s="2" t="str">
        <f t="shared" si="105"/>
        <v>2025-32</v>
      </c>
      <c r="F1699" s="2" t="str">
        <f t="shared" si="106"/>
        <v>Week 32</v>
      </c>
      <c r="G1699" s="2" t="str">
        <f t="shared" si="107"/>
        <v>Week 32-2025</v>
      </c>
      <c r="O1699"/>
      <c r="Q1699"/>
    </row>
    <row r="1700" spans="1:17" hidden="1" x14ac:dyDescent="0.2">
      <c r="A1700" s="3">
        <v>45873</v>
      </c>
      <c r="B1700" s="2" t="s">
        <v>14</v>
      </c>
      <c r="C1700" s="2">
        <v>5</v>
      </c>
      <c r="D1700" s="2">
        <f t="shared" si="104"/>
        <v>2025</v>
      </c>
      <c r="E1700" s="2" t="str">
        <f t="shared" si="105"/>
        <v>2025-32</v>
      </c>
      <c r="F1700" s="2" t="str">
        <f t="shared" si="106"/>
        <v>Week 32</v>
      </c>
      <c r="G1700" s="2" t="str">
        <f t="shared" si="107"/>
        <v>Week 32-2025</v>
      </c>
      <c r="O1700"/>
      <c r="Q1700"/>
    </row>
    <row r="1701" spans="1:17" hidden="1" x14ac:dyDescent="0.2">
      <c r="A1701" s="3">
        <v>45873</v>
      </c>
      <c r="B1701" s="2" t="s">
        <v>10</v>
      </c>
      <c r="C1701" s="2">
        <v>4</v>
      </c>
      <c r="D1701" s="2">
        <f t="shared" si="104"/>
        <v>2025</v>
      </c>
      <c r="E1701" s="2" t="str">
        <f t="shared" si="105"/>
        <v>2025-32</v>
      </c>
      <c r="F1701" s="2" t="str">
        <f t="shared" si="106"/>
        <v>Week 32</v>
      </c>
      <c r="G1701" s="2" t="str">
        <f t="shared" si="107"/>
        <v>Week 32-2025</v>
      </c>
      <c r="O1701"/>
      <c r="Q1701"/>
    </row>
    <row r="1702" spans="1:17" hidden="1" x14ac:dyDescent="0.2">
      <c r="A1702" s="3">
        <v>45873</v>
      </c>
      <c r="B1702" s="2" t="s">
        <v>9</v>
      </c>
      <c r="C1702" s="2">
        <v>2</v>
      </c>
      <c r="D1702" s="2">
        <f t="shared" si="104"/>
        <v>2025</v>
      </c>
      <c r="E1702" s="2" t="str">
        <f t="shared" si="105"/>
        <v>2025-32</v>
      </c>
      <c r="F1702" s="2" t="str">
        <f t="shared" si="106"/>
        <v>Week 32</v>
      </c>
      <c r="G1702" s="2" t="str">
        <f t="shared" si="107"/>
        <v>Week 32-2025</v>
      </c>
      <c r="O1702"/>
      <c r="Q1702"/>
    </row>
    <row r="1703" spans="1:17" hidden="1" x14ac:dyDescent="0.2">
      <c r="A1703" s="3">
        <v>45873</v>
      </c>
      <c r="B1703" s="2" t="s">
        <v>9</v>
      </c>
      <c r="C1703" s="2">
        <v>2</v>
      </c>
      <c r="D1703" s="2">
        <f t="shared" si="104"/>
        <v>2025</v>
      </c>
      <c r="E1703" s="2" t="str">
        <f t="shared" si="105"/>
        <v>2025-32</v>
      </c>
      <c r="F1703" s="2" t="str">
        <f t="shared" si="106"/>
        <v>Week 32</v>
      </c>
      <c r="G1703" s="2" t="str">
        <f t="shared" si="107"/>
        <v>Week 32-2025</v>
      </c>
      <c r="O1703"/>
      <c r="Q1703"/>
    </row>
    <row r="1704" spans="1:17" hidden="1" x14ac:dyDescent="0.2">
      <c r="A1704" s="3">
        <v>45873</v>
      </c>
      <c r="B1704" s="2" t="s">
        <v>14</v>
      </c>
      <c r="C1704" s="2">
        <v>4</v>
      </c>
      <c r="D1704" s="2">
        <f t="shared" si="104"/>
        <v>2025</v>
      </c>
      <c r="E1704" s="2" t="str">
        <f t="shared" si="105"/>
        <v>2025-32</v>
      </c>
      <c r="F1704" s="2" t="str">
        <f t="shared" si="106"/>
        <v>Week 32</v>
      </c>
      <c r="G1704" s="2" t="str">
        <f t="shared" si="107"/>
        <v>Week 32-2025</v>
      </c>
      <c r="O1704"/>
      <c r="Q1704"/>
    </row>
    <row r="1705" spans="1:17" hidden="1" x14ac:dyDescent="0.2">
      <c r="A1705" s="3">
        <v>45873</v>
      </c>
      <c r="B1705" s="2" t="s">
        <v>15</v>
      </c>
      <c r="C1705" s="2">
        <v>6</v>
      </c>
      <c r="D1705" s="2">
        <f t="shared" si="104"/>
        <v>2025</v>
      </c>
      <c r="E1705" s="2" t="str">
        <f t="shared" si="105"/>
        <v>2025-32</v>
      </c>
      <c r="F1705" s="2" t="str">
        <f t="shared" si="106"/>
        <v>Week 32</v>
      </c>
      <c r="G1705" s="2" t="str">
        <f t="shared" si="107"/>
        <v>Week 32-2025</v>
      </c>
      <c r="O1705"/>
      <c r="Q1705"/>
    </row>
    <row r="1706" spans="1:17" hidden="1" x14ac:dyDescent="0.2">
      <c r="A1706" s="3">
        <v>45873</v>
      </c>
      <c r="B1706" s="2" t="s">
        <v>3</v>
      </c>
      <c r="C1706" s="2">
        <v>2</v>
      </c>
      <c r="D1706" s="2">
        <f t="shared" si="104"/>
        <v>2025</v>
      </c>
      <c r="E1706" s="2" t="str">
        <f t="shared" si="105"/>
        <v>2025-32</v>
      </c>
      <c r="F1706" s="2" t="str">
        <f t="shared" si="106"/>
        <v>Week 32</v>
      </c>
      <c r="G1706" s="2" t="str">
        <f t="shared" si="107"/>
        <v>Week 32-2025</v>
      </c>
      <c r="O1706"/>
      <c r="Q1706"/>
    </row>
    <row r="1707" spans="1:17" hidden="1" x14ac:dyDescent="0.2">
      <c r="A1707" s="3">
        <v>45873</v>
      </c>
      <c r="B1707" s="2" t="s">
        <v>5</v>
      </c>
      <c r="C1707" s="2">
        <v>2</v>
      </c>
      <c r="D1707" s="2">
        <f t="shared" si="104"/>
        <v>2025</v>
      </c>
      <c r="E1707" s="2" t="str">
        <f t="shared" si="105"/>
        <v>2025-32</v>
      </c>
      <c r="F1707" s="2" t="str">
        <f t="shared" si="106"/>
        <v>Week 32</v>
      </c>
      <c r="G1707" s="2" t="str">
        <f t="shared" si="107"/>
        <v>Week 32-2025</v>
      </c>
      <c r="O1707"/>
      <c r="Q1707"/>
    </row>
    <row r="1708" spans="1:17" hidden="1" x14ac:dyDescent="0.2">
      <c r="A1708" s="3">
        <v>45873</v>
      </c>
      <c r="B1708" s="2" t="s">
        <v>8</v>
      </c>
      <c r="C1708" s="2">
        <v>3</v>
      </c>
      <c r="D1708" s="2">
        <f t="shared" si="104"/>
        <v>2025</v>
      </c>
      <c r="E1708" s="2" t="str">
        <f t="shared" si="105"/>
        <v>2025-32</v>
      </c>
      <c r="F1708" s="2" t="str">
        <f t="shared" si="106"/>
        <v>Week 32</v>
      </c>
      <c r="G1708" s="2" t="str">
        <f t="shared" si="107"/>
        <v>Week 32-2025</v>
      </c>
      <c r="O1708"/>
      <c r="Q1708"/>
    </row>
    <row r="1709" spans="1:17" hidden="1" x14ac:dyDescent="0.2">
      <c r="A1709" s="3">
        <v>45873</v>
      </c>
      <c r="B1709" s="2" t="s">
        <v>4</v>
      </c>
      <c r="C1709" s="2">
        <v>1</v>
      </c>
      <c r="D1709" s="2">
        <f t="shared" si="104"/>
        <v>2025</v>
      </c>
      <c r="E1709" s="2" t="str">
        <f t="shared" si="105"/>
        <v>2025-32</v>
      </c>
      <c r="F1709" s="2" t="str">
        <f t="shared" si="106"/>
        <v>Week 32</v>
      </c>
      <c r="G1709" s="2" t="str">
        <f t="shared" si="107"/>
        <v>Week 32-2025</v>
      </c>
      <c r="O1709"/>
      <c r="Q1709"/>
    </row>
    <row r="1710" spans="1:17" hidden="1" x14ac:dyDescent="0.2">
      <c r="A1710" s="3">
        <v>45873</v>
      </c>
      <c r="B1710" s="2" t="s">
        <v>27</v>
      </c>
      <c r="C1710" s="2">
        <v>2</v>
      </c>
      <c r="D1710" s="2">
        <f t="shared" si="104"/>
        <v>2025</v>
      </c>
      <c r="E1710" s="2" t="str">
        <f t="shared" si="105"/>
        <v>2025-32</v>
      </c>
      <c r="F1710" s="2" t="str">
        <f t="shared" si="106"/>
        <v>Week 32</v>
      </c>
      <c r="G1710" s="2" t="str">
        <f t="shared" si="107"/>
        <v>Week 32-2025</v>
      </c>
      <c r="O1710"/>
      <c r="Q1710"/>
    </row>
    <row r="1711" spans="1:17" hidden="1" x14ac:dyDescent="0.2">
      <c r="A1711" s="3">
        <v>45873</v>
      </c>
      <c r="B1711" s="2" t="s">
        <v>15</v>
      </c>
      <c r="C1711" s="2">
        <v>2</v>
      </c>
      <c r="D1711" s="2">
        <f t="shared" si="104"/>
        <v>2025</v>
      </c>
      <c r="E1711" s="2" t="str">
        <f t="shared" si="105"/>
        <v>2025-32</v>
      </c>
      <c r="F1711" s="2" t="str">
        <f t="shared" si="106"/>
        <v>Week 32</v>
      </c>
      <c r="G1711" s="2" t="str">
        <f t="shared" si="107"/>
        <v>Week 32-2025</v>
      </c>
      <c r="O1711"/>
      <c r="Q1711"/>
    </row>
    <row r="1712" spans="1:17" hidden="1" x14ac:dyDescent="0.2">
      <c r="A1712" s="3">
        <v>45873</v>
      </c>
      <c r="B1712" s="2" t="s">
        <v>3</v>
      </c>
      <c r="C1712" s="2">
        <v>1</v>
      </c>
      <c r="D1712" s="2">
        <f t="shared" si="104"/>
        <v>2025</v>
      </c>
      <c r="E1712" s="2" t="str">
        <f t="shared" si="105"/>
        <v>2025-32</v>
      </c>
      <c r="F1712" s="2" t="str">
        <f t="shared" si="106"/>
        <v>Week 32</v>
      </c>
      <c r="G1712" s="2" t="str">
        <f t="shared" si="107"/>
        <v>Week 32-2025</v>
      </c>
      <c r="O1712"/>
      <c r="Q1712"/>
    </row>
    <row r="1713" spans="1:17" hidden="1" x14ac:dyDescent="0.2">
      <c r="A1713" s="3">
        <v>45873</v>
      </c>
      <c r="B1713" s="2" t="s">
        <v>27</v>
      </c>
      <c r="C1713" s="2">
        <v>2</v>
      </c>
      <c r="D1713" s="2">
        <f t="shared" si="104"/>
        <v>2025</v>
      </c>
      <c r="E1713" s="2" t="str">
        <f t="shared" si="105"/>
        <v>2025-32</v>
      </c>
      <c r="F1713" s="2" t="str">
        <f t="shared" si="106"/>
        <v>Week 32</v>
      </c>
      <c r="G1713" s="2" t="str">
        <f t="shared" si="107"/>
        <v>Week 32-2025</v>
      </c>
      <c r="O1713"/>
      <c r="Q1713"/>
    </row>
    <row r="1714" spans="1:17" hidden="1" x14ac:dyDescent="0.2">
      <c r="A1714" s="3">
        <v>45873</v>
      </c>
      <c r="B1714" s="2" t="s">
        <v>15</v>
      </c>
      <c r="C1714" s="2">
        <v>2</v>
      </c>
      <c r="D1714" s="2">
        <f t="shared" si="104"/>
        <v>2025</v>
      </c>
      <c r="E1714" s="2" t="str">
        <f t="shared" si="105"/>
        <v>2025-32</v>
      </c>
      <c r="F1714" s="2" t="str">
        <f t="shared" si="106"/>
        <v>Week 32</v>
      </c>
      <c r="G1714" s="2" t="str">
        <f t="shared" si="107"/>
        <v>Week 32-2025</v>
      </c>
      <c r="O1714"/>
      <c r="Q1714"/>
    </row>
    <row r="1715" spans="1:17" hidden="1" x14ac:dyDescent="0.2">
      <c r="A1715" s="3">
        <v>45873</v>
      </c>
      <c r="B1715" s="2" t="s">
        <v>15</v>
      </c>
      <c r="C1715" s="2">
        <v>2</v>
      </c>
      <c r="D1715" s="2">
        <f t="shared" si="104"/>
        <v>2025</v>
      </c>
      <c r="E1715" s="2" t="str">
        <f t="shared" si="105"/>
        <v>2025-32</v>
      </c>
      <c r="F1715" s="2" t="str">
        <f t="shared" si="106"/>
        <v>Week 32</v>
      </c>
      <c r="G1715" s="2" t="str">
        <f t="shared" si="107"/>
        <v>Week 32-2025</v>
      </c>
      <c r="O1715"/>
      <c r="Q1715"/>
    </row>
    <row r="1716" spans="1:17" hidden="1" x14ac:dyDescent="0.2">
      <c r="A1716" s="3">
        <v>45873</v>
      </c>
      <c r="B1716" s="2" t="s">
        <v>15</v>
      </c>
      <c r="C1716" s="2">
        <v>2</v>
      </c>
      <c r="D1716" s="2">
        <f t="shared" si="104"/>
        <v>2025</v>
      </c>
      <c r="E1716" s="2" t="str">
        <f t="shared" si="105"/>
        <v>2025-32</v>
      </c>
      <c r="F1716" s="2" t="str">
        <f t="shared" si="106"/>
        <v>Week 32</v>
      </c>
      <c r="G1716" s="2" t="str">
        <f t="shared" si="107"/>
        <v>Week 32-2025</v>
      </c>
      <c r="O1716"/>
      <c r="Q1716"/>
    </row>
    <row r="1717" spans="1:17" x14ac:dyDescent="0.2">
      <c r="A1717" s="3">
        <v>45873</v>
      </c>
      <c r="B1717" s="2" t="s">
        <v>24</v>
      </c>
      <c r="C1717" s="2">
        <v>2</v>
      </c>
      <c r="D1717" s="2">
        <f t="shared" si="104"/>
        <v>2025</v>
      </c>
      <c r="E1717" s="2" t="str">
        <f t="shared" si="105"/>
        <v>2025-32</v>
      </c>
      <c r="F1717" s="2" t="str">
        <f t="shared" si="106"/>
        <v>Week 32</v>
      </c>
      <c r="G1717" s="2" t="str">
        <f t="shared" si="107"/>
        <v>Week 32-2025</v>
      </c>
      <c r="O1717"/>
      <c r="Q1717"/>
    </row>
    <row r="1718" spans="1:17" hidden="1" x14ac:dyDescent="0.2">
      <c r="A1718" s="3">
        <v>45874</v>
      </c>
      <c r="B1718" s="2" t="s">
        <v>25</v>
      </c>
      <c r="C1718" s="2">
        <v>7</v>
      </c>
      <c r="D1718" s="2">
        <f t="shared" si="104"/>
        <v>2025</v>
      </c>
      <c r="E1718" s="2" t="str">
        <f t="shared" si="105"/>
        <v>2025-32</v>
      </c>
      <c r="F1718" s="2" t="str">
        <f t="shared" si="106"/>
        <v>Week 32</v>
      </c>
      <c r="G1718" s="2" t="str">
        <f t="shared" si="107"/>
        <v>Week 32-2025</v>
      </c>
      <c r="O1718"/>
      <c r="Q1718"/>
    </row>
    <row r="1719" spans="1:17" hidden="1" x14ac:dyDescent="0.2">
      <c r="A1719" s="3">
        <v>45874</v>
      </c>
      <c r="B1719" s="2" t="s">
        <v>17</v>
      </c>
      <c r="C1719" s="2">
        <v>24</v>
      </c>
      <c r="D1719" s="2">
        <f t="shared" si="104"/>
        <v>2025</v>
      </c>
      <c r="E1719" s="2" t="str">
        <f t="shared" si="105"/>
        <v>2025-32</v>
      </c>
      <c r="F1719" s="2" t="str">
        <f t="shared" si="106"/>
        <v>Week 32</v>
      </c>
      <c r="G1719" s="2" t="str">
        <f t="shared" si="107"/>
        <v>Week 32-2025</v>
      </c>
      <c r="O1719"/>
      <c r="Q1719"/>
    </row>
    <row r="1720" spans="1:17" hidden="1" x14ac:dyDescent="0.2">
      <c r="A1720" s="3">
        <v>45874</v>
      </c>
      <c r="B1720" s="2" t="s">
        <v>4</v>
      </c>
      <c r="C1720" s="2">
        <v>8</v>
      </c>
      <c r="D1720" s="2">
        <f t="shared" si="104"/>
        <v>2025</v>
      </c>
      <c r="E1720" s="2" t="str">
        <f t="shared" si="105"/>
        <v>2025-32</v>
      </c>
      <c r="F1720" s="2" t="str">
        <f t="shared" si="106"/>
        <v>Week 32</v>
      </c>
      <c r="G1720" s="2" t="str">
        <f t="shared" si="107"/>
        <v>Week 32-2025</v>
      </c>
      <c r="O1720"/>
      <c r="Q1720"/>
    </row>
    <row r="1721" spans="1:17" hidden="1" x14ac:dyDescent="0.2">
      <c r="A1721" s="3">
        <v>45874</v>
      </c>
      <c r="B1721" s="2" t="s">
        <v>13</v>
      </c>
      <c r="C1721" s="2">
        <v>10</v>
      </c>
      <c r="D1721" s="2">
        <f t="shared" si="104"/>
        <v>2025</v>
      </c>
      <c r="E1721" s="2" t="str">
        <f t="shared" si="105"/>
        <v>2025-32</v>
      </c>
      <c r="F1721" s="2" t="str">
        <f t="shared" si="106"/>
        <v>Week 32</v>
      </c>
      <c r="G1721" s="2" t="str">
        <f t="shared" si="107"/>
        <v>Week 32-2025</v>
      </c>
      <c r="O1721"/>
      <c r="Q1721"/>
    </row>
    <row r="1722" spans="1:17" hidden="1" x14ac:dyDescent="0.2">
      <c r="A1722" s="3">
        <v>45874</v>
      </c>
      <c r="B1722" s="2" t="s">
        <v>3</v>
      </c>
      <c r="C1722" s="2">
        <v>8</v>
      </c>
      <c r="D1722" s="2">
        <f t="shared" si="104"/>
        <v>2025</v>
      </c>
      <c r="E1722" s="2" t="str">
        <f t="shared" si="105"/>
        <v>2025-32</v>
      </c>
      <c r="F1722" s="2" t="str">
        <f t="shared" si="106"/>
        <v>Week 32</v>
      </c>
      <c r="G1722" s="2" t="str">
        <f t="shared" si="107"/>
        <v>Week 32-2025</v>
      </c>
      <c r="O1722"/>
      <c r="Q1722"/>
    </row>
    <row r="1723" spans="1:17" hidden="1" x14ac:dyDescent="0.2">
      <c r="A1723" s="3">
        <v>45874</v>
      </c>
      <c r="B1723" s="2" t="s">
        <v>33</v>
      </c>
      <c r="C1723" s="2">
        <v>3</v>
      </c>
      <c r="D1723" s="2">
        <f t="shared" si="104"/>
        <v>2025</v>
      </c>
      <c r="E1723" s="2" t="str">
        <f t="shared" si="105"/>
        <v>2025-32</v>
      </c>
      <c r="F1723" s="2" t="str">
        <f t="shared" si="106"/>
        <v>Week 32</v>
      </c>
      <c r="G1723" s="2" t="str">
        <f t="shared" si="107"/>
        <v>Week 32-2025</v>
      </c>
      <c r="O1723"/>
      <c r="Q1723"/>
    </row>
    <row r="1724" spans="1:17" hidden="1" x14ac:dyDescent="0.2">
      <c r="A1724" s="3">
        <v>45874</v>
      </c>
      <c r="B1724" s="2" t="s">
        <v>21</v>
      </c>
      <c r="C1724" s="2">
        <v>3</v>
      </c>
      <c r="D1724" s="2">
        <f t="shared" si="104"/>
        <v>2025</v>
      </c>
      <c r="E1724" s="2" t="str">
        <f t="shared" si="105"/>
        <v>2025-32</v>
      </c>
      <c r="F1724" s="2" t="str">
        <f t="shared" si="106"/>
        <v>Week 32</v>
      </c>
      <c r="G1724" s="2" t="str">
        <f t="shared" si="107"/>
        <v>Week 32-2025</v>
      </c>
      <c r="O1724"/>
      <c r="Q1724"/>
    </row>
    <row r="1725" spans="1:17" hidden="1" x14ac:dyDescent="0.2">
      <c r="A1725" s="3">
        <v>45874</v>
      </c>
      <c r="B1725" s="2" t="s">
        <v>19</v>
      </c>
      <c r="C1725" s="2">
        <v>4</v>
      </c>
      <c r="D1725" s="2">
        <f t="shared" si="104"/>
        <v>2025</v>
      </c>
      <c r="E1725" s="2" t="str">
        <f t="shared" si="105"/>
        <v>2025-32</v>
      </c>
      <c r="F1725" s="2" t="str">
        <f t="shared" si="106"/>
        <v>Week 32</v>
      </c>
      <c r="G1725" s="2" t="str">
        <f t="shared" si="107"/>
        <v>Week 32-2025</v>
      </c>
      <c r="O1725"/>
      <c r="Q1725"/>
    </row>
    <row r="1726" spans="1:17" hidden="1" x14ac:dyDescent="0.2">
      <c r="A1726" s="3">
        <v>45874</v>
      </c>
      <c r="B1726" s="2" t="s">
        <v>13</v>
      </c>
      <c r="C1726" s="2">
        <v>6</v>
      </c>
      <c r="D1726" s="2">
        <f t="shared" si="104"/>
        <v>2025</v>
      </c>
      <c r="E1726" s="2" t="str">
        <f t="shared" si="105"/>
        <v>2025-32</v>
      </c>
      <c r="F1726" s="2" t="str">
        <f t="shared" si="106"/>
        <v>Week 32</v>
      </c>
      <c r="G1726" s="2" t="str">
        <f t="shared" si="107"/>
        <v>Week 32-2025</v>
      </c>
      <c r="O1726"/>
      <c r="Q1726"/>
    </row>
    <row r="1727" spans="1:17" hidden="1" x14ac:dyDescent="0.2">
      <c r="A1727" s="3">
        <v>45874</v>
      </c>
      <c r="B1727" s="2" t="s">
        <v>34</v>
      </c>
      <c r="C1727" s="2">
        <v>8</v>
      </c>
      <c r="D1727" s="2">
        <f t="shared" si="104"/>
        <v>2025</v>
      </c>
      <c r="E1727" s="2" t="str">
        <f t="shared" si="105"/>
        <v>2025-32</v>
      </c>
      <c r="F1727" s="2" t="str">
        <f t="shared" si="106"/>
        <v>Week 32</v>
      </c>
      <c r="G1727" s="2" t="str">
        <f t="shared" si="107"/>
        <v>Week 32-2025</v>
      </c>
      <c r="O1727"/>
      <c r="Q1727"/>
    </row>
    <row r="1728" spans="1:17" hidden="1" x14ac:dyDescent="0.2">
      <c r="A1728" s="3">
        <v>45874</v>
      </c>
      <c r="B1728" s="2" t="s">
        <v>28</v>
      </c>
      <c r="C1728" s="2">
        <v>8</v>
      </c>
      <c r="D1728" s="2">
        <f t="shared" si="104"/>
        <v>2025</v>
      </c>
      <c r="E1728" s="2" t="str">
        <f t="shared" si="105"/>
        <v>2025-32</v>
      </c>
      <c r="F1728" s="2" t="str">
        <f t="shared" si="106"/>
        <v>Week 32</v>
      </c>
      <c r="G1728" s="2" t="str">
        <f t="shared" si="107"/>
        <v>Week 32-2025</v>
      </c>
      <c r="O1728"/>
      <c r="Q1728"/>
    </row>
    <row r="1729" spans="1:17" hidden="1" x14ac:dyDescent="0.2">
      <c r="A1729" s="3">
        <v>45874</v>
      </c>
      <c r="B1729" s="2" t="s">
        <v>12</v>
      </c>
      <c r="C1729" s="2">
        <v>2</v>
      </c>
      <c r="D1729" s="2">
        <f t="shared" si="104"/>
        <v>2025</v>
      </c>
      <c r="E1729" s="2" t="str">
        <f t="shared" si="105"/>
        <v>2025-32</v>
      </c>
      <c r="F1729" s="2" t="str">
        <f t="shared" si="106"/>
        <v>Week 32</v>
      </c>
      <c r="G1729" s="2" t="str">
        <f t="shared" si="107"/>
        <v>Week 32-2025</v>
      </c>
      <c r="O1729"/>
      <c r="Q1729"/>
    </row>
    <row r="1730" spans="1:17" hidden="1" x14ac:dyDescent="0.2">
      <c r="A1730" s="3">
        <v>45874</v>
      </c>
      <c r="B1730" s="2" t="s">
        <v>9</v>
      </c>
      <c r="C1730" s="2">
        <v>2</v>
      </c>
      <c r="D1730" s="2">
        <f t="shared" ref="D1730:D1793" si="108">YEAR(A1730)</f>
        <v>2025</v>
      </c>
      <c r="E1730" s="2" t="str">
        <f t="shared" ref="E1730:E1793" si="109">YEAR(A1730)&amp;"-"&amp;_xlfn.ISOWEEKNUM(A1730)</f>
        <v>2025-32</v>
      </c>
      <c r="F1730" s="2" t="str">
        <f t="shared" ref="F1730:F1793" si="110">_xlfn.CONCAT("Week "&amp;WEEKNUM(A1730))</f>
        <v>Week 32</v>
      </c>
      <c r="G1730" s="2" t="str">
        <f t="shared" ref="G1730:G1793" si="111">_xlfn.CONCAT(F1730,"-",D1730)</f>
        <v>Week 32-2025</v>
      </c>
      <c r="O1730"/>
      <c r="Q1730"/>
    </row>
    <row r="1731" spans="1:17" hidden="1" x14ac:dyDescent="0.2">
      <c r="A1731" s="3">
        <v>45874</v>
      </c>
      <c r="B1731" s="2" t="s">
        <v>30</v>
      </c>
      <c r="C1731" s="2">
        <v>4</v>
      </c>
      <c r="D1731" s="2">
        <f t="shared" si="108"/>
        <v>2025</v>
      </c>
      <c r="E1731" s="2" t="str">
        <f t="shared" si="109"/>
        <v>2025-32</v>
      </c>
      <c r="F1731" s="2" t="str">
        <f t="shared" si="110"/>
        <v>Week 32</v>
      </c>
      <c r="G1731" s="2" t="str">
        <f t="shared" si="111"/>
        <v>Week 32-2025</v>
      </c>
      <c r="O1731"/>
      <c r="Q1731"/>
    </row>
    <row r="1732" spans="1:17" hidden="1" x14ac:dyDescent="0.2">
      <c r="A1732" s="3">
        <v>45874</v>
      </c>
      <c r="B1732" s="2" t="s">
        <v>6</v>
      </c>
      <c r="C1732" s="2">
        <v>2</v>
      </c>
      <c r="D1732" s="2">
        <f t="shared" si="108"/>
        <v>2025</v>
      </c>
      <c r="E1732" s="2" t="str">
        <f t="shared" si="109"/>
        <v>2025-32</v>
      </c>
      <c r="F1732" s="2" t="str">
        <f t="shared" si="110"/>
        <v>Week 32</v>
      </c>
      <c r="G1732" s="2" t="str">
        <f t="shared" si="111"/>
        <v>Week 32-2025</v>
      </c>
      <c r="O1732"/>
      <c r="Q1732"/>
    </row>
    <row r="1733" spans="1:17" hidden="1" x14ac:dyDescent="0.2">
      <c r="A1733" s="3">
        <v>45874</v>
      </c>
      <c r="B1733" s="2" t="s">
        <v>14</v>
      </c>
      <c r="C1733" s="2">
        <v>3</v>
      </c>
      <c r="D1733" s="2">
        <f t="shared" si="108"/>
        <v>2025</v>
      </c>
      <c r="E1733" s="2" t="str">
        <f t="shared" si="109"/>
        <v>2025-32</v>
      </c>
      <c r="F1733" s="2" t="str">
        <f t="shared" si="110"/>
        <v>Week 32</v>
      </c>
      <c r="G1733" s="2" t="str">
        <f t="shared" si="111"/>
        <v>Week 32-2025</v>
      </c>
      <c r="O1733"/>
      <c r="Q1733"/>
    </row>
    <row r="1734" spans="1:17" hidden="1" x14ac:dyDescent="0.2">
      <c r="A1734" s="3">
        <v>45874</v>
      </c>
      <c r="B1734" s="2" t="s">
        <v>15</v>
      </c>
      <c r="C1734" s="2">
        <v>6</v>
      </c>
      <c r="D1734" s="2">
        <f t="shared" si="108"/>
        <v>2025</v>
      </c>
      <c r="E1734" s="2" t="str">
        <f t="shared" si="109"/>
        <v>2025-32</v>
      </c>
      <c r="F1734" s="2" t="str">
        <f t="shared" si="110"/>
        <v>Week 32</v>
      </c>
      <c r="G1734" s="2" t="str">
        <f t="shared" si="111"/>
        <v>Week 32-2025</v>
      </c>
      <c r="O1734"/>
      <c r="Q1734"/>
    </row>
    <row r="1735" spans="1:17" hidden="1" x14ac:dyDescent="0.2">
      <c r="A1735" s="3">
        <v>45874</v>
      </c>
      <c r="B1735" s="2" t="s">
        <v>29</v>
      </c>
      <c r="C1735" s="2">
        <v>2</v>
      </c>
      <c r="D1735" s="2">
        <f t="shared" si="108"/>
        <v>2025</v>
      </c>
      <c r="E1735" s="2" t="str">
        <f t="shared" si="109"/>
        <v>2025-32</v>
      </c>
      <c r="F1735" s="2" t="str">
        <f t="shared" si="110"/>
        <v>Week 32</v>
      </c>
      <c r="G1735" s="2" t="str">
        <f t="shared" si="111"/>
        <v>Week 32-2025</v>
      </c>
      <c r="O1735"/>
      <c r="Q1735"/>
    </row>
    <row r="1736" spans="1:17" hidden="1" x14ac:dyDescent="0.2">
      <c r="A1736" s="3">
        <v>45874</v>
      </c>
      <c r="B1736" s="2" t="s">
        <v>37</v>
      </c>
      <c r="C1736" s="2">
        <v>2</v>
      </c>
      <c r="D1736" s="2">
        <f t="shared" si="108"/>
        <v>2025</v>
      </c>
      <c r="E1736" s="2" t="str">
        <f t="shared" si="109"/>
        <v>2025-32</v>
      </c>
      <c r="F1736" s="2" t="str">
        <f t="shared" si="110"/>
        <v>Week 32</v>
      </c>
      <c r="G1736" s="2" t="str">
        <f t="shared" si="111"/>
        <v>Week 32-2025</v>
      </c>
      <c r="O1736"/>
      <c r="Q1736"/>
    </row>
    <row r="1737" spans="1:17" hidden="1" x14ac:dyDescent="0.2">
      <c r="A1737" s="3">
        <v>45874</v>
      </c>
      <c r="B1737" s="2" t="s">
        <v>37</v>
      </c>
      <c r="C1737" s="2">
        <v>2</v>
      </c>
      <c r="D1737" s="2">
        <f t="shared" si="108"/>
        <v>2025</v>
      </c>
      <c r="E1737" s="2" t="str">
        <f t="shared" si="109"/>
        <v>2025-32</v>
      </c>
      <c r="F1737" s="2" t="str">
        <f t="shared" si="110"/>
        <v>Week 32</v>
      </c>
      <c r="G1737" s="2" t="str">
        <f t="shared" si="111"/>
        <v>Week 32-2025</v>
      </c>
      <c r="O1737"/>
      <c r="Q1737"/>
    </row>
    <row r="1738" spans="1:17" hidden="1" x14ac:dyDescent="0.2">
      <c r="A1738" s="3">
        <v>45875</v>
      </c>
      <c r="B1738" s="2" t="s">
        <v>5</v>
      </c>
      <c r="C1738" s="2">
        <v>33</v>
      </c>
      <c r="D1738" s="2">
        <f t="shared" si="108"/>
        <v>2025</v>
      </c>
      <c r="E1738" s="2" t="str">
        <f t="shared" si="109"/>
        <v>2025-32</v>
      </c>
      <c r="F1738" s="2" t="str">
        <f t="shared" si="110"/>
        <v>Week 32</v>
      </c>
      <c r="G1738" s="2" t="str">
        <f t="shared" si="111"/>
        <v>Week 32-2025</v>
      </c>
      <c r="O1738"/>
      <c r="Q1738"/>
    </row>
    <row r="1739" spans="1:17" hidden="1" x14ac:dyDescent="0.2">
      <c r="A1739" s="3">
        <v>45875</v>
      </c>
      <c r="B1739" s="2" t="s">
        <v>14</v>
      </c>
      <c r="C1739" s="2">
        <v>22</v>
      </c>
      <c r="D1739" s="2">
        <f t="shared" si="108"/>
        <v>2025</v>
      </c>
      <c r="E1739" s="2" t="str">
        <f t="shared" si="109"/>
        <v>2025-32</v>
      </c>
      <c r="F1739" s="2" t="str">
        <f t="shared" si="110"/>
        <v>Week 32</v>
      </c>
      <c r="G1739" s="2" t="str">
        <f t="shared" si="111"/>
        <v>Week 32-2025</v>
      </c>
      <c r="O1739"/>
      <c r="Q1739"/>
    </row>
    <row r="1740" spans="1:17" hidden="1" x14ac:dyDescent="0.2">
      <c r="A1740" s="3">
        <v>45875</v>
      </c>
      <c r="B1740" s="2" t="s">
        <v>3</v>
      </c>
      <c r="C1740" s="2">
        <v>10</v>
      </c>
      <c r="D1740" s="2">
        <f t="shared" si="108"/>
        <v>2025</v>
      </c>
      <c r="E1740" s="2" t="str">
        <f t="shared" si="109"/>
        <v>2025-32</v>
      </c>
      <c r="F1740" s="2" t="str">
        <f t="shared" si="110"/>
        <v>Week 32</v>
      </c>
      <c r="G1740" s="2" t="str">
        <f t="shared" si="111"/>
        <v>Week 32-2025</v>
      </c>
      <c r="O1740"/>
      <c r="Q1740"/>
    </row>
    <row r="1741" spans="1:17" hidden="1" x14ac:dyDescent="0.2">
      <c r="A1741" s="3">
        <v>45875</v>
      </c>
      <c r="B1741" s="2" t="s">
        <v>7</v>
      </c>
      <c r="C1741" s="2">
        <v>8</v>
      </c>
      <c r="D1741" s="2">
        <f t="shared" si="108"/>
        <v>2025</v>
      </c>
      <c r="E1741" s="2" t="str">
        <f t="shared" si="109"/>
        <v>2025-32</v>
      </c>
      <c r="F1741" s="2" t="str">
        <f t="shared" si="110"/>
        <v>Week 32</v>
      </c>
      <c r="G1741" s="2" t="str">
        <f t="shared" si="111"/>
        <v>Week 32-2025</v>
      </c>
      <c r="O1741"/>
      <c r="Q1741"/>
    </row>
    <row r="1742" spans="1:17" hidden="1" x14ac:dyDescent="0.2">
      <c r="A1742" s="3">
        <v>45875</v>
      </c>
      <c r="B1742" s="2" t="s">
        <v>9</v>
      </c>
      <c r="C1742" s="2">
        <v>8</v>
      </c>
      <c r="D1742" s="2">
        <f t="shared" si="108"/>
        <v>2025</v>
      </c>
      <c r="E1742" s="2" t="str">
        <f t="shared" si="109"/>
        <v>2025-32</v>
      </c>
      <c r="F1742" s="2" t="str">
        <f t="shared" si="110"/>
        <v>Week 32</v>
      </c>
      <c r="G1742" s="2" t="str">
        <f t="shared" si="111"/>
        <v>Week 32-2025</v>
      </c>
      <c r="O1742"/>
      <c r="Q1742"/>
    </row>
    <row r="1743" spans="1:17" hidden="1" x14ac:dyDescent="0.2">
      <c r="A1743" s="3">
        <v>45875</v>
      </c>
      <c r="B1743" s="2" t="s">
        <v>17</v>
      </c>
      <c r="C1743" s="2">
        <v>10</v>
      </c>
      <c r="D1743" s="2">
        <f t="shared" si="108"/>
        <v>2025</v>
      </c>
      <c r="E1743" s="2" t="str">
        <f t="shared" si="109"/>
        <v>2025-32</v>
      </c>
      <c r="F1743" s="2" t="str">
        <f t="shared" si="110"/>
        <v>Week 32</v>
      </c>
      <c r="G1743" s="2" t="str">
        <f t="shared" si="111"/>
        <v>Week 32-2025</v>
      </c>
      <c r="O1743"/>
      <c r="Q1743"/>
    </row>
    <row r="1744" spans="1:17" hidden="1" x14ac:dyDescent="0.2">
      <c r="A1744" s="3">
        <v>45875</v>
      </c>
      <c r="B1744" s="2" t="s">
        <v>29</v>
      </c>
      <c r="C1744" s="2">
        <v>8</v>
      </c>
      <c r="D1744" s="2">
        <f t="shared" si="108"/>
        <v>2025</v>
      </c>
      <c r="E1744" s="2" t="str">
        <f t="shared" si="109"/>
        <v>2025-32</v>
      </c>
      <c r="F1744" s="2" t="str">
        <f t="shared" si="110"/>
        <v>Week 32</v>
      </c>
      <c r="G1744" s="2" t="str">
        <f t="shared" si="111"/>
        <v>Week 32-2025</v>
      </c>
      <c r="O1744"/>
      <c r="Q1744"/>
    </row>
    <row r="1745" spans="1:17" hidden="1" x14ac:dyDescent="0.2">
      <c r="A1745" s="3">
        <v>45875</v>
      </c>
      <c r="B1745" s="2" t="s">
        <v>9</v>
      </c>
      <c r="C1745" s="2">
        <v>6</v>
      </c>
      <c r="D1745" s="2">
        <f t="shared" si="108"/>
        <v>2025</v>
      </c>
      <c r="E1745" s="2" t="str">
        <f t="shared" si="109"/>
        <v>2025-32</v>
      </c>
      <c r="F1745" s="2" t="str">
        <f t="shared" si="110"/>
        <v>Week 32</v>
      </c>
      <c r="G1745" s="2" t="str">
        <f t="shared" si="111"/>
        <v>Week 32-2025</v>
      </c>
      <c r="O1745"/>
      <c r="Q1745"/>
    </row>
    <row r="1746" spans="1:17" hidden="1" x14ac:dyDescent="0.2">
      <c r="A1746" s="3">
        <v>45875</v>
      </c>
      <c r="B1746" s="2" t="s">
        <v>30</v>
      </c>
      <c r="C1746" s="2">
        <v>12</v>
      </c>
      <c r="D1746" s="2">
        <f t="shared" si="108"/>
        <v>2025</v>
      </c>
      <c r="E1746" s="2" t="str">
        <f t="shared" si="109"/>
        <v>2025-32</v>
      </c>
      <c r="F1746" s="2" t="str">
        <f t="shared" si="110"/>
        <v>Week 32</v>
      </c>
      <c r="G1746" s="2" t="str">
        <f t="shared" si="111"/>
        <v>Week 32-2025</v>
      </c>
      <c r="O1746"/>
      <c r="Q1746"/>
    </row>
    <row r="1747" spans="1:17" hidden="1" x14ac:dyDescent="0.2">
      <c r="A1747" s="3">
        <v>45875</v>
      </c>
      <c r="B1747" s="2" t="s">
        <v>29</v>
      </c>
      <c r="C1747" s="2">
        <v>6</v>
      </c>
      <c r="D1747" s="2">
        <f t="shared" si="108"/>
        <v>2025</v>
      </c>
      <c r="E1747" s="2" t="str">
        <f t="shared" si="109"/>
        <v>2025-32</v>
      </c>
      <c r="F1747" s="2" t="str">
        <f t="shared" si="110"/>
        <v>Week 32</v>
      </c>
      <c r="G1747" s="2" t="str">
        <f t="shared" si="111"/>
        <v>Week 32-2025</v>
      </c>
      <c r="O1747"/>
      <c r="Q1747"/>
    </row>
    <row r="1748" spans="1:17" hidden="1" x14ac:dyDescent="0.2">
      <c r="A1748" s="3">
        <v>45875</v>
      </c>
      <c r="B1748" s="2" t="s">
        <v>5</v>
      </c>
      <c r="C1748" s="2">
        <v>7</v>
      </c>
      <c r="D1748" s="2">
        <f t="shared" si="108"/>
        <v>2025</v>
      </c>
      <c r="E1748" s="2" t="str">
        <f t="shared" si="109"/>
        <v>2025-32</v>
      </c>
      <c r="F1748" s="2" t="str">
        <f t="shared" si="110"/>
        <v>Week 32</v>
      </c>
      <c r="G1748" s="2" t="str">
        <f t="shared" si="111"/>
        <v>Week 32-2025</v>
      </c>
      <c r="O1748"/>
      <c r="Q1748"/>
    </row>
    <row r="1749" spans="1:17" hidden="1" x14ac:dyDescent="0.2">
      <c r="A1749" s="3">
        <v>45875</v>
      </c>
      <c r="B1749" s="2" t="s">
        <v>3</v>
      </c>
      <c r="C1749" s="2">
        <v>6</v>
      </c>
      <c r="D1749" s="2">
        <f t="shared" si="108"/>
        <v>2025</v>
      </c>
      <c r="E1749" s="2" t="str">
        <f t="shared" si="109"/>
        <v>2025-32</v>
      </c>
      <c r="F1749" s="2" t="str">
        <f t="shared" si="110"/>
        <v>Week 32</v>
      </c>
      <c r="G1749" s="2" t="str">
        <f t="shared" si="111"/>
        <v>Week 32-2025</v>
      </c>
      <c r="O1749"/>
      <c r="Q1749"/>
    </row>
    <row r="1750" spans="1:17" hidden="1" x14ac:dyDescent="0.2">
      <c r="A1750" s="3">
        <v>45875</v>
      </c>
      <c r="B1750" s="2" t="s">
        <v>19</v>
      </c>
      <c r="C1750" s="2">
        <v>4</v>
      </c>
      <c r="D1750" s="2">
        <f t="shared" si="108"/>
        <v>2025</v>
      </c>
      <c r="E1750" s="2" t="str">
        <f t="shared" si="109"/>
        <v>2025-32</v>
      </c>
      <c r="F1750" s="2" t="str">
        <f t="shared" si="110"/>
        <v>Week 32</v>
      </c>
      <c r="G1750" s="2" t="str">
        <f t="shared" si="111"/>
        <v>Week 32-2025</v>
      </c>
      <c r="O1750"/>
      <c r="Q1750"/>
    </row>
    <row r="1751" spans="1:17" hidden="1" x14ac:dyDescent="0.2">
      <c r="A1751" s="3">
        <v>45875</v>
      </c>
      <c r="B1751" s="2" t="s">
        <v>6</v>
      </c>
      <c r="C1751" s="2">
        <v>4</v>
      </c>
      <c r="D1751" s="2">
        <f t="shared" si="108"/>
        <v>2025</v>
      </c>
      <c r="E1751" s="2" t="str">
        <f t="shared" si="109"/>
        <v>2025-32</v>
      </c>
      <c r="F1751" s="2" t="str">
        <f t="shared" si="110"/>
        <v>Week 32</v>
      </c>
      <c r="G1751" s="2" t="str">
        <f t="shared" si="111"/>
        <v>Week 32-2025</v>
      </c>
      <c r="O1751"/>
      <c r="Q1751"/>
    </row>
    <row r="1752" spans="1:17" hidden="1" x14ac:dyDescent="0.2">
      <c r="A1752" s="3">
        <v>45875</v>
      </c>
      <c r="B1752" s="2" t="s">
        <v>30</v>
      </c>
      <c r="C1752" s="2">
        <v>10</v>
      </c>
      <c r="D1752" s="2">
        <f t="shared" si="108"/>
        <v>2025</v>
      </c>
      <c r="E1752" s="2" t="str">
        <f t="shared" si="109"/>
        <v>2025-32</v>
      </c>
      <c r="F1752" s="2" t="str">
        <f t="shared" si="110"/>
        <v>Week 32</v>
      </c>
      <c r="G1752" s="2" t="str">
        <f t="shared" si="111"/>
        <v>Week 32-2025</v>
      </c>
      <c r="O1752"/>
      <c r="Q1752"/>
    </row>
    <row r="1753" spans="1:17" hidden="1" x14ac:dyDescent="0.2">
      <c r="A1753" s="3">
        <v>45875</v>
      </c>
      <c r="B1753" s="2" t="s">
        <v>7</v>
      </c>
      <c r="C1753" s="2">
        <v>4</v>
      </c>
      <c r="D1753" s="2">
        <f t="shared" si="108"/>
        <v>2025</v>
      </c>
      <c r="E1753" s="2" t="str">
        <f t="shared" si="109"/>
        <v>2025-32</v>
      </c>
      <c r="F1753" s="2" t="str">
        <f t="shared" si="110"/>
        <v>Week 32</v>
      </c>
      <c r="G1753" s="2" t="str">
        <f t="shared" si="111"/>
        <v>Week 32-2025</v>
      </c>
      <c r="O1753"/>
      <c r="Q1753"/>
    </row>
    <row r="1754" spans="1:17" hidden="1" x14ac:dyDescent="0.2">
      <c r="A1754" s="3">
        <v>45875</v>
      </c>
      <c r="B1754" s="2" t="s">
        <v>7</v>
      </c>
      <c r="C1754" s="2">
        <v>4</v>
      </c>
      <c r="D1754" s="2">
        <f t="shared" si="108"/>
        <v>2025</v>
      </c>
      <c r="E1754" s="2" t="str">
        <f t="shared" si="109"/>
        <v>2025-32</v>
      </c>
      <c r="F1754" s="2" t="str">
        <f t="shared" si="110"/>
        <v>Week 32</v>
      </c>
      <c r="G1754" s="2" t="str">
        <f t="shared" si="111"/>
        <v>Week 32-2025</v>
      </c>
      <c r="O1754"/>
      <c r="Q1754"/>
    </row>
    <row r="1755" spans="1:17" hidden="1" x14ac:dyDescent="0.2">
      <c r="A1755" s="3">
        <v>45875</v>
      </c>
      <c r="B1755" s="2" t="s">
        <v>4</v>
      </c>
      <c r="C1755" s="2">
        <v>4</v>
      </c>
      <c r="D1755" s="2">
        <f t="shared" si="108"/>
        <v>2025</v>
      </c>
      <c r="E1755" s="2" t="str">
        <f t="shared" si="109"/>
        <v>2025-32</v>
      </c>
      <c r="F1755" s="2" t="str">
        <f t="shared" si="110"/>
        <v>Week 32</v>
      </c>
      <c r="G1755" s="2" t="str">
        <f t="shared" si="111"/>
        <v>Week 32-2025</v>
      </c>
      <c r="O1755"/>
      <c r="Q1755"/>
    </row>
    <row r="1756" spans="1:17" hidden="1" x14ac:dyDescent="0.2">
      <c r="A1756" s="3">
        <v>45875</v>
      </c>
      <c r="B1756" s="2" t="s">
        <v>10</v>
      </c>
      <c r="C1756" s="2">
        <v>6</v>
      </c>
      <c r="D1756" s="2">
        <f t="shared" si="108"/>
        <v>2025</v>
      </c>
      <c r="E1756" s="2" t="str">
        <f t="shared" si="109"/>
        <v>2025-32</v>
      </c>
      <c r="F1756" s="2" t="str">
        <f t="shared" si="110"/>
        <v>Week 32</v>
      </c>
      <c r="G1756" s="2" t="str">
        <f t="shared" si="111"/>
        <v>Week 32-2025</v>
      </c>
      <c r="O1756"/>
      <c r="Q1756"/>
    </row>
    <row r="1757" spans="1:17" hidden="1" x14ac:dyDescent="0.2">
      <c r="A1757" s="3">
        <v>45875</v>
      </c>
      <c r="B1757" s="2" t="s">
        <v>9</v>
      </c>
      <c r="C1757" s="2">
        <v>4</v>
      </c>
      <c r="D1757" s="2">
        <f t="shared" si="108"/>
        <v>2025</v>
      </c>
      <c r="E1757" s="2" t="str">
        <f t="shared" si="109"/>
        <v>2025-32</v>
      </c>
      <c r="F1757" s="2" t="str">
        <f t="shared" si="110"/>
        <v>Week 32</v>
      </c>
      <c r="G1757" s="2" t="str">
        <f t="shared" si="111"/>
        <v>Week 32-2025</v>
      </c>
      <c r="O1757"/>
      <c r="Q1757"/>
    </row>
    <row r="1758" spans="1:17" hidden="1" x14ac:dyDescent="0.2">
      <c r="A1758" s="3">
        <v>45875</v>
      </c>
      <c r="B1758" s="2" t="s">
        <v>4</v>
      </c>
      <c r="C1758" s="2">
        <v>4</v>
      </c>
      <c r="D1758" s="2">
        <f t="shared" si="108"/>
        <v>2025</v>
      </c>
      <c r="E1758" s="2" t="str">
        <f t="shared" si="109"/>
        <v>2025-32</v>
      </c>
      <c r="F1758" s="2" t="str">
        <f t="shared" si="110"/>
        <v>Week 32</v>
      </c>
      <c r="G1758" s="2" t="str">
        <f t="shared" si="111"/>
        <v>Week 32-2025</v>
      </c>
      <c r="O1758"/>
      <c r="Q1758"/>
    </row>
    <row r="1759" spans="1:17" hidden="1" x14ac:dyDescent="0.2">
      <c r="A1759" s="3">
        <v>45875</v>
      </c>
      <c r="B1759" s="2" t="s">
        <v>3</v>
      </c>
      <c r="C1759" s="2">
        <v>4</v>
      </c>
      <c r="D1759" s="2">
        <f t="shared" si="108"/>
        <v>2025</v>
      </c>
      <c r="E1759" s="2" t="str">
        <f t="shared" si="109"/>
        <v>2025-32</v>
      </c>
      <c r="F1759" s="2" t="str">
        <f t="shared" si="110"/>
        <v>Week 32</v>
      </c>
      <c r="G1759" s="2" t="str">
        <f t="shared" si="111"/>
        <v>Week 32-2025</v>
      </c>
      <c r="O1759"/>
      <c r="Q1759"/>
    </row>
    <row r="1760" spans="1:17" hidden="1" x14ac:dyDescent="0.2">
      <c r="A1760" s="3">
        <v>45875</v>
      </c>
      <c r="B1760" s="2" t="s">
        <v>9</v>
      </c>
      <c r="C1760" s="2">
        <v>4</v>
      </c>
      <c r="D1760" s="2">
        <f t="shared" si="108"/>
        <v>2025</v>
      </c>
      <c r="E1760" s="2" t="str">
        <f t="shared" si="109"/>
        <v>2025-32</v>
      </c>
      <c r="F1760" s="2" t="str">
        <f t="shared" si="110"/>
        <v>Week 32</v>
      </c>
      <c r="G1760" s="2" t="str">
        <f t="shared" si="111"/>
        <v>Week 32-2025</v>
      </c>
      <c r="O1760"/>
      <c r="Q1760"/>
    </row>
    <row r="1761" spans="1:17" hidden="1" x14ac:dyDescent="0.2">
      <c r="A1761" s="3">
        <v>45875</v>
      </c>
      <c r="B1761" s="2" t="s">
        <v>14</v>
      </c>
      <c r="C1761" s="2">
        <v>6</v>
      </c>
      <c r="D1761" s="2">
        <f t="shared" si="108"/>
        <v>2025</v>
      </c>
      <c r="E1761" s="2" t="str">
        <f t="shared" si="109"/>
        <v>2025-32</v>
      </c>
      <c r="F1761" s="2" t="str">
        <f t="shared" si="110"/>
        <v>Week 32</v>
      </c>
      <c r="G1761" s="2" t="str">
        <f t="shared" si="111"/>
        <v>Week 32-2025</v>
      </c>
      <c r="O1761"/>
      <c r="Q1761"/>
    </row>
    <row r="1762" spans="1:17" hidden="1" x14ac:dyDescent="0.2">
      <c r="A1762" s="3">
        <v>45875</v>
      </c>
      <c r="B1762" s="2" t="s">
        <v>5</v>
      </c>
      <c r="C1762" s="2">
        <v>4</v>
      </c>
      <c r="D1762" s="2">
        <f t="shared" si="108"/>
        <v>2025</v>
      </c>
      <c r="E1762" s="2" t="str">
        <f t="shared" si="109"/>
        <v>2025-32</v>
      </c>
      <c r="F1762" s="2" t="str">
        <f t="shared" si="110"/>
        <v>Week 32</v>
      </c>
      <c r="G1762" s="2" t="str">
        <f t="shared" si="111"/>
        <v>Week 32-2025</v>
      </c>
      <c r="O1762"/>
      <c r="Q1762"/>
    </row>
    <row r="1763" spans="1:17" hidden="1" x14ac:dyDescent="0.2">
      <c r="A1763" s="3">
        <v>45875</v>
      </c>
      <c r="B1763" s="2" t="s">
        <v>6</v>
      </c>
      <c r="C1763" s="2">
        <v>2</v>
      </c>
      <c r="D1763" s="2">
        <f t="shared" si="108"/>
        <v>2025</v>
      </c>
      <c r="E1763" s="2" t="str">
        <f t="shared" si="109"/>
        <v>2025-32</v>
      </c>
      <c r="F1763" s="2" t="str">
        <f t="shared" si="110"/>
        <v>Week 32</v>
      </c>
      <c r="G1763" s="2" t="str">
        <f t="shared" si="111"/>
        <v>Week 32-2025</v>
      </c>
      <c r="O1763"/>
      <c r="Q1763"/>
    </row>
    <row r="1764" spans="1:17" hidden="1" x14ac:dyDescent="0.2">
      <c r="A1764" s="3">
        <v>45875</v>
      </c>
      <c r="B1764" s="2" t="s">
        <v>5</v>
      </c>
      <c r="C1764" s="2">
        <v>3</v>
      </c>
      <c r="D1764" s="2">
        <f t="shared" si="108"/>
        <v>2025</v>
      </c>
      <c r="E1764" s="2" t="str">
        <f t="shared" si="109"/>
        <v>2025-32</v>
      </c>
      <c r="F1764" s="2" t="str">
        <f t="shared" si="110"/>
        <v>Week 32</v>
      </c>
      <c r="G1764" s="2" t="str">
        <f t="shared" si="111"/>
        <v>Week 32-2025</v>
      </c>
      <c r="O1764"/>
      <c r="Q1764"/>
    </row>
    <row r="1765" spans="1:17" hidden="1" x14ac:dyDescent="0.2">
      <c r="A1765" s="3">
        <v>45875</v>
      </c>
      <c r="B1765" s="2" t="s">
        <v>7</v>
      </c>
      <c r="C1765" s="2">
        <v>2</v>
      </c>
      <c r="D1765" s="2">
        <f t="shared" si="108"/>
        <v>2025</v>
      </c>
      <c r="E1765" s="2" t="str">
        <f t="shared" si="109"/>
        <v>2025-32</v>
      </c>
      <c r="F1765" s="2" t="str">
        <f t="shared" si="110"/>
        <v>Week 32</v>
      </c>
      <c r="G1765" s="2" t="str">
        <f t="shared" si="111"/>
        <v>Week 32-2025</v>
      </c>
      <c r="O1765"/>
      <c r="Q1765"/>
    </row>
    <row r="1766" spans="1:17" hidden="1" x14ac:dyDescent="0.2">
      <c r="A1766" s="3">
        <v>45875</v>
      </c>
      <c r="B1766" s="2" t="s">
        <v>14</v>
      </c>
      <c r="C1766" s="2">
        <v>4</v>
      </c>
      <c r="D1766" s="2">
        <f t="shared" si="108"/>
        <v>2025</v>
      </c>
      <c r="E1766" s="2" t="str">
        <f t="shared" si="109"/>
        <v>2025-32</v>
      </c>
      <c r="F1766" s="2" t="str">
        <f t="shared" si="110"/>
        <v>Week 32</v>
      </c>
      <c r="G1766" s="2" t="str">
        <f t="shared" si="111"/>
        <v>Week 32-2025</v>
      </c>
      <c r="O1766"/>
      <c r="Q1766"/>
    </row>
    <row r="1767" spans="1:17" hidden="1" x14ac:dyDescent="0.2">
      <c r="A1767" s="3">
        <v>45875</v>
      </c>
      <c r="B1767" s="2" t="s">
        <v>4</v>
      </c>
      <c r="C1767" s="2">
        <v>2</v>
      </c>
      <c r="D1767" s="2">
        <f t="shared" si="108"/>
        <v>2025</v>
      </c>
      <c r="E1767" s="2" t="str">
        <f t="shared" si="109"/>
        <v>2025-32</v>
      </c>
      <c r="F1767" s="2" t="str">
        <f t="shared" si="110"/>
        <v>Week 32</v>
      </c>
      <c r="G1767" s="2" t="str">
        <f t="shared" si="111"/>
        <v>Week 32-2025</v>
      </c>
      <c r="O1767"/>
      <c r="Q1767"/>
    </row>
    <row r="1768" spans="1:17" hidden="1" x14ac:dyDescent="0.2">
      <c r="A1768" s="3">
        <v>45875</v>
      </c>
      <c r="B1768" s="2" t="s">
        <v>3</v>
      </c>
      <c r="C1768" s="2">
        <v>2</v>
      </c>
      <c r="D1768" s="2">
        <f t="shared" si="108"/>
        <v>2025</v>
      </c>
      <c r="E1768" s="2" t="str">
        <f t="shared" si="109"/>
        <v>2025-32</v>
      </c>
      <c r="F1768" s="2" t="str">
        <f t="shared" si="110"/>
        <v>Week 32</v>
      </c>
      <c r="G1768" s="2" t="str">
        <f t="shared" si="111"/>
        <v>Week 32-2025</v>
      </c>
      <c r="O1768"/>
      <c r="Q1768"/>
    </row>
    <row r="1769" spans="1:17" hidden="1" x14ac:dyDescent="0.2">
      <c r="A1769" s="3">
        <v>45875</v>
      </c>
      <c r="B1769" s="2" t="s">
        <v>29</v>
      </c>
      <c r="C1769" s="2">
        <v>2</v>
      </c>
      <c r="D1769" s="2">
        <f t="shared" si="108"/>
        <v>2025</v>
      </c>
      <c r="E1769" s="2" t="str">
        <f t="shared" si="109"/>
        <v>2025-32</v>
      </c>
      <c r="F1769" s="2" t="str">
        <f t="shared" si="110"/>
        <v>Week 32</v>
      </c>
      <c r="G1769" s="2" t="str">
        <f t="shared" si="111"/>
        <v>Week 32-2025</v>
      </c>
      <c r="O1769"/>
      <c r="Q1769"/>
    </row>
    <row r="1770" spans="1:17" hidden="1" x14ac:dyDescent="0.2">
      <c r="A1770" s="3">
        <v>45875</v>
      </c>
      <c r="B1770" s="2" t="s">
        <v>5</v>
      </c>
      <c r="C1770" s="2">
        <v>2</v>
      </c>
      <c r="D1770" s="2">
        <f t="shared" si="108"/>
        <v>2025</v>
      </c>
      <c r="E1770" s="2" t="str">
        <f t="shared" si="109"/>
        <v>2025-32</v>
      </c>
      <c r="F1770" s="2" t="str">
        <f t="shared" si="110"/>
        <v>Week 32</v>
      </c>
      <c r="G1770" s="2" t="str">
        <f t="shared" si="111"/>
        <v>Week 32-2025</v>
      </c>
      <c r="O1770"/>
      <c r="Q1770"/>
    </row>
    <row r="1771" spans="1:17" hidden="1" x14ac:dyDescent="0.2">
      <c r="A1771" s="3">
        <v>45875</v>
      </c>
      <c r="B1771" s="2" t="s">
        <v>5</v>
      </c>
      <c r="C1771" s="2">
        <v>2</v>
      </c>
      <c r="D1771" s="2">
        <f t="shared" si="108"/>
        <v>2025</v>
      </c>
      <c r="E1771" s="2" t="str">
        <f t="shared" si="109"/>
        <v>2025-32</v>
      </c>
      <c r="F1771" s="2" t="str">
        <f t="shared" si="110"/>
        <v>Week 32</v>
      </c>
      <c r="G1771" s="2" t="str">
        <f t="shared" si="111"/>
        <v>Week 32-2025</v>
      </c>
      <c r="O1771"/>
      <c r="Q1771"/>
    </row>
    <row r="1772" spans="1:17" hidden="1" x14ac:dyDescent="0.2">
      <c r="A1772" s="3">
        <v>45875</v>
      </c>
      <c r="B1772" s="2" t="s">
        <v>3</v>
      </c>
      <c r="C1772" s="2">
        <v>2</v>
      </c>
      <c r="D1772" s="2">
        <f t="shared" si="108"/>
        <v>2025</v>
      </c>
      <c r="E1772" s="2" t="str">
        <f t="shared" si="109"/>
        <v>2025-32</v>
      </c>
      <c r="F1772" s="2" t="str">
        <f t="shared" si="110"/>
        <v>Week 32</v>
      </c>
      <c r="G1772" s="2" t="str">
        <f t="shared" si="111"/>
        <v>Week 32-2025</v>
      </c>
      <c r="O1772"/>
      <c r="Q1772"/>
    </row>
    <row r="1773" spans="1:17" hidden="1" x14ac:dyDescent="0.2">
      <c r="A1773" s="3">
        <v>45875</v>
      </c>
      <c r="B1773" s="2" t="s">
        <v>10</v>
      </c>
      <c r="C1773" s="2">
        <v>2</v>
      </c>
      <c r="D1773" s="2">
        <f t="shared" si="108"/>
        <v>2025</v>
      </c>
      <c r="E1773" s="2" t="str">
        <f t="shared" si="109"/>
        <v>2025-32</v>
      </c>
      <c r="F1773" s="2" t="str">
        <f t="shared" si="110"/>
        <v>Week 32</v>
      </c>
      <c r="G1773" s="2" t="str">
        <f t="shared" si="111"/>
        <v>Week 32-2025</v>
      </c>
      <c r="O1773"/>
      <c r="Q1773"/>
    </row>
    <row r="1774" spans="1:17" hidden="1" x14ac:dyDescent="0.2">
      <c r="A1774" s="3">
        <v>45875</v>
      </c>
      <c r="B1774" s="2" t="s">
        <v>10</v>
      </c>
      <c r="C1774" s="2">
        <v>2</v>
      </c>
      <c r="D1774" s="2">
        <f t="shared" si="108"/>
        <v>2025</v>
      </c>
      <c r="E1774" s="2" t="str">
        <f t="shared" si="109"/>
        <v>2025-32</v>
      </c>
      <c r="F1774" s="2" t="str">
        <f t="shared" si="110"/>
        <v>Week 32</v>
      </c>
      <c r="G1774" s="2" t="str">
        <f t="shared" si="111"/>
        <v>Week 32-2025</v>
      </c>
      <c r="O1774"/>
      <c r="Q1774"/>
    </row>
    <row r="1775" spans="1:17" hidden="1" x14ac:dyDescent="0.2">
      <c r="A1775" s="3">
        <v>45875</v>
      </c>
      <c r="B1775" s="2" t="s">
        <v>14</v>
      </c>
      <c r="C1775" s="2">
        <v>1</v>
      </c>
      <c r="D1775" s="2">
        <f t="shared" si="108"/>
        <v>2025</v>
      </c>
      <c r="E1775" s="2" t="str">
        <f t="shared" si="109"/>
        <v>2025-32</v>
      </c>
      <c r="F1775" s="2" t="str">
        <f t="shared" si="110"/>
        <v>Week 32</v>
      </c>
      <c r="G1775" s="2" t="str">
        <f t="shared" si="111"/>
        <v>Week 32-2025</v>
      </c>
      <c r="O1775"/>
      <c r="Q1775"/>
    </row>
    <row r="1776" spans="1:17" hidden="1" x14ac:dyDescent="0.2">
      <c r="A1776" s="3">
        <v>45875</v>
      </c>
      <c r="B1776" s="2" t="s">
        <v>14</v>
      </c>
      <c r="C1776" s="2">
        <v>1</v>
      </c>
      <c r="D1776" s="2">
        <f t="shared" si="108"/>
        <v>2025</v>
      </c>
      <c r="E1776" s="2" t="str">
        <f t="shared" si="109"/>
        <v>2025-32</v>
      </c>
      <c r="F1776" s="2" t="str">
        <f t="shared" si="110"/>
        <v>Week 32</v>
      </c>
      <c r="G1776" s="2" t="str">
        <f t="shared" si="111"/>
        <v>Week 32-2025</v>
      </c>
      <c r="O1776"/>
      <c r="Q1776"/>
    </row>
    <row r="1777" spans="1:17" hidden="1" x14ac:dyDescent="0.2">
      <c r="A1777" s="3">
        <v>45878</v>
      </c>
      <c r="B1777" s="2" t="s">
        <v>14</v>
      </c>
      <c r="C1777" s="2">
        <v>12</v>
      </c>
      <c r="D1777" s="2">
        <f t="shared" si="108"/>
        <v>2025</v>
      </c>
      <c r="E1777" s="2" t="str">
        <f t="shared" si="109"/>
        <v>2025-32</v>
      </c>
      <c r="F1777" s="2" t="str">
        <f t="shared" si="110"/>
        <v>Week 32</v>
      </c>
      <c r="G1777" s="2" t="str">
        <f t="shared" si="111"/>
        <v>Week 32-2025</v>
      </c>
      <c r="O1777"/>
      <c r="Q1777"/>
    </row>
    <row r="1778" spans="1:17" hidden="1" x14ac:dyDescent="0.2">
      <c r="A1778" s="3">
        <v>45878</v>
      </c>
      <c r="B1778" s="2" t="s">
        <v>8</v>
      </c>
      <c r="C1778" s="2">
        <v>6</v>
      </c>
      <c r="D1778" s="2">
        <f t="shared" si="108"/>
        <v>2025</v>
      </c>
      <c r="E1778" s="2" t="str">
        <f t="shared" si="109"/>
        <v>2025-32</v>
      </c>
      <c r="F1778" s="2" t="str">
        <f t="shared" si="110"/>
        <v>Week 32</v>
      </c>
      <c r="G1778" s="2" t="str">
        <f t="shared" si="111"/>
        <v>Week 32-2025</v>
      </c>
      <c r="O1778"/>
      <c r="Q1778"/>
    </row>
    <row r="1779" spans="1:17" hidden="1" x14ac:dyDescent="0.2">
      <c r="A1779" s="3">
        <v>45878</v>
      </c>
      <c r="B1779" s="2" t="s">
        <v>37</v>
      </c>
      <c r="C1779" s="2">
        <v>2</v>
      </c>
      <c r="D1779" s="2">
        <f t="shared" si="108"/>
        <v>2025</v>
      </c>
      <c r="E1779" s="2" t="str">
        <f t="shared" si="109"/>
        <v>2025-32</v>
      </c>
      <c r="F1779" s="2" t="str">
        <f t="shared" si="110"/>
        <v>Week 32</v>
      </c>
      <c r="G1779" s="2" t="str">
        <f t="shared" si="111"/>
        <v>Week 32-2025</v>
      </c>
      <c r="O1779"/>
      <c r="Q1779"/>
    </row>
    <row r="1780" spans="1:17" hidden="1" x14ac:dyDescent="0.2">
      <c r="A1780" s="3">
        <v>45879</v>
      </c>
      <c r="B1780" s="2" t="s">
        <v>12</v>
      </c>
      <c r="C1780" s="2">
        <v>11</v>
      </c>
      <c r="D1780" s="2">
        <f t="shared" si="108"/>
        <v>2025</v>
      </c>
      <c r="E1780" s="2" t="str">
        <f t="shared" si="109"/>
        <v>2025-32</v>
      </c>
      <c r="F1780" s="2" t="str">
        <f t="shared" si="110"/>
        <v>Week 33</v>
      </c>
      <c r="G1780" s="2" t="str">
        <f t="shared" si="111"/>
        <v>Week 33-2025</v>
      </c>
      <c r="O1780"/>
      <c r="Q1780"/>
    </row>
    <row r="1781" spans="1:17" hidden="1" x14ac:dyDescent="0.2">
      <c r="A1781" s="3">
        <v>45879</v>
      </c>
      <c r="B1781" s="2" t="s">
        <v>6</v>
      </c>
      <c r="C1781" s="2">
        <v>8</v>
      </c>
      <c r="D1781" s="2">
        <f t="shared" si="108"/>
        <v>2025</v>
      </c>
      <c r="E1781" s="2" t="str">
        <f t="shared" si="109"/>
        <v>2025-32</v>
      </c>
      <c r="F1781" s="2" t="str">
        <f t="shared" si="110"/>
        <v>Week 33</v>
      </c>
      <c r="G1781" s="2" t="str">
        <f t="shared" si="111"/>
        <v>Week 33-2025</v>
      </c>
      <c r="O1781"/>
      <c r="Q1781"/>
    </row>
    <row r="1782" spans="1:17" hidden="1" x14ac:dyDescent="0.2">
      <c r="A1782" s="3">
        <v>45879</v>
      </c>
      <c r="B1782" s="2" t="s">
        <v>12</v>
      </c>
      <c r="C1782" s="2">
        <v>5</v>
      </c>
      <c r="D1782" s="2">
        <f t="shared" si="108"/>
        <v>2025</v>
      </c>
      <c r="E1782" s="2" t="str">
        <f t="shared" si="109"/>
        <v>2025-32</v>
      </c>
      <c r="F1782" s="2" t="str">
        <f t="shared" si="110"/>
        <v>Week 33</v>
      </c>
      <c r="G1782" s="2" t="str">
        <f t="shared" si="111"/>
        <v>Week 33-2025</v>
      </c>
      <c r="O1782"/>
      <c r="Q1782"/>
    </row>
    <row r="1783" spans="1:17" hidden="1" x14ac:dyDescent="0.2">
      <c r="A1783" s="3">
        <v>45879</v>
      </c>
      <c r="B1783" s="2" t="s">
        <v>17</v>
      </c>
      <c r="C1783" s="2">
        <v>8</v>
      </c>
      <c r="D1783" s="2">
        <f t="shared" si="108"/>
        <v>2025</v>
      </c>
      <c r="E1783" s="2" t="str">
        <f t="shared" si="109"/>
        <v>2025-32</v>
      </c>
      <c r="F1783" s="2" t="str">
        <f t="shared" si="110"/>
        <v>Week 33</v>
      </c>
      <c r="G1783" s="2" t="str">
        <f t="shared" si="111"/>
        <v>Week 33-2025</v>
      </c>
      <c r="O1783"/>
      <c r="Q1783"/>
    </row>
    <row r="1784" spans="1:17" hidden="1" x14ac:dyDescent="0.2">
      <c r="A1784" s="3">
        <v>45879</v>
      </c>
      <c r="B1784" s="2" t="s">
        <v>3</v>
      </c>
      <c r="C1784" s="2">
        <v>4</v>
      </c>
      <c r="D1784" s="2">
        <f t="shared" si="108"/>
        <v>2025</v>
      </c>
      <c r="E1784" s="2" t="str">
        <f t="shared" si="109"/>
        <v>2025-32</v>
      </c>
      <c r="F1784" s="2" t="str">
        <f t="shared" si="110"/>
        <v>Week 33</v>
      </c>
      <c r="G1784" s="2" t="str">
        <f t="shared" si="111"/>
        <v>Week 33-2025</v>
      </c>
      <c r="O1784"/>
      <c r="Q1784"/>
    </row>
    <row r="1785" spans="1:17" hidden="1" x14ac:dyDescent="0.2">
      <c r="A1785" s="3">
        <v>45880</v>
      </c>
      <c r="B1785" s="2" t="s">
        <v>9</v>
      </c>
      <c r="C1785" s="2">
        <v>16</v>
      </c>
      <c r="D1785" s="2">
        <f t="shared" si="108"/>
        <v>2025</v>
      </c>
      <c r="E1785" s="2" t="str">
        <f t="shared" si="109"/>
        <v>2025-33</v>
      </c>
      <c r="F1785" s="2" t="str">
        <f t="shared" si="110"/>
        <v>Week 33</v>
      </c>
      <c r="G1785" s="2" t="str">
        <f t="shared" si="111"/>
        <v>Week 33-2025</v>
      </c>
      <c r="O1785"/>
      <c r="Q1785"/>
    </row>
    <row r="1786" spans="1:17" hidden="1" x14ac:dyDescent="0.2">
      <c r="A1786" s="3">
        <v>45880</v>
      </c>
      <c r="B1786" s="2" t="s">
        <v>5</v>
      </c>
      <c r="C1786" s="2">
        <v>16</v>
      </c>
      <c r="D1786" s="2">
        <f t="shared" si="108"/>
        <v>2025</v>
      </c>
      <c r="E1786" s="2" t="str">
        <f t="shared" si="109"/>
        <v>2025-33</v>
      </c>
      <c r="F1786" s="2" t="str">
        <f t="shared" si="110"/>
        <v>Week 33</v>
      </c>
      <c r="G1786" s="2" t="str">
        <f t="shared" si="111"/>
        <v>Week 33-2025</v>
      </c>
      <c r="O1786"/>
      <c r="Q1786"/>
    </row>
    <row r="1787" spans="1:17" hidden="1" x14ac:dyDescent="0.2">
      <c r="A1787" s="3">
        <v>45880</v>
      </c>
      <c r="B1787" s="2" t="s">
        <v>3</v>
      </c>
      <c r="C1787" s="2">
        <v>11</v>
      </c>
      <c r="D1787" s="2">
        <f t="shared" si="108"/>
        <v>2025</v>
      </c>
      <c r="E1787" s="2" t="str">
        <f t="shared" si="109"/>
        <v>2025-33</v>
      </c>
      <c r="F1787" s="2" t="str">
        <f t="shared" si="110"/>
        <v>Week 33</v>
      </c>
      <c r="G1787" s="2" t="str">
        <f t="shared" si="111"/>
        <v>Week 33-2025</v>
      </c>
      <c r="O1787"/>
      <c r="Q1787"/>
    </row>
    <row r="1788" spans="1:17" hidden="1" x14ac:dyDescent="0.2">
      <c r="A1788" s="3">
        <v>45880</v>
      </c>
      <c r="B1788" s="2" t="s">
        <v>9</v>
      </c>
      <c r="C1788" s="2">
        <v>8</v>
      </c>
      <c r="D1788" s="2">
        <f t="shared" si="108"/>
        <v>2025</v>
      </c>
      <c r="E1788" s="2" t="str">
        <f t="shared" si="109"/>
        <v>2025-33</v>
      </c>
      <c r="F1788" s="2" t="str">
        <f t="shared" si="110"/>
        <v>Week 33</v>
      </c>
      <c r="G1788" s="2" t="str">
        <f t="shared" si="111"/>
        <v>Week 33-2025</v>
      </c>
      <c r="O1788"/>
      <c r="Q1788"/>
    </row>
    <row r="1789" spans="1:17" hidden="1" x14ac:dyDescent="0.2">
      <c r="A1789" s="3">
        <v>45880</v>
      </c>
      <c r="B1789" s="2" t="s">
        <v>3</v>
      </c>
      <c r="C1789" s="2">
        <v>8</v>
      </c>
      <c r="D1789" s="2">
        <f t="shared" si="108"/>
        <v>2025</v>
      </c>
      <c r="E1789" s="2" t="str">
        <f t="shared" si="109"/>
        <v>2025-33</v>
      </c>
      <c r="F1789" s="2" t="str">
        <f t="shared" si="110"/>
        <v>Week 33</v>
      </c>
      <c r="G1789" s="2" t="str">
        <f t="shared" si="111"/>
        <v>Week 33-2025</v>
      </c>
      <c r="O1789"/>
      <c r="Q1789"/>
    </row>
    <row r="1790" spans="1:17" hidden="1" x14ac:dyDescent="0.2">
      <c r="A1790" s="3">
        <v>45880</v>
      </c>
      <c r="B1790" s="2" t="s">
        <v>14</v>
      </c>
      <c r="C1790" s="2">
        <v>12</v>
      </c>
      <c r="D1790" s="2">
        <f t="shared" si="108"/>
        <v>2025</v>
      </c>
      <c r="E1790" s="2" t="str">
        <f t="shared" si="109"/>
        <v>2025-33</v>
      </c>
      <c r="F1790" s="2" t="str">
        <f t="shared" si="110"/>
        <v>Week 33</v>
      </c>
      <c r="G1790" s="2" t="str">
        <f t="shared" si="111"/>
        <v>Week 33-2025</v>
      </c>
      <c r="O1790"/>
      <c r="Q1790"/>
    </row>
    <row r="1791" spans="1:17" hidden="1" x14ac:dyDescent="0.2">
      <c r="A1791" s="3">
        <v>45880</v>
      </c>
      <c r="B1791" s="2" t="s">
        <v>14</v>
      </c>
      <c r="C1791" s="2">
        <v>10</v>
      </c>
      <c r="D1791" s="2">
        <f t="shared" si="108"/>
        <v>2025</v>
      </c>
      <c r="E1791" s="2" t="str">
        <f t="shared" si="109"/>
        <v>2025-33</v>
      </c>
      <c r="F1791" s="2" t="str">
        <f t="shared" si="110"/>
        <v>Week 33</v>
      </c>
      <c r="G1791" s="2" t="str">
        <f t="shared" si="111"/>
        <v>Week 33-2025</v>
      </c>
      <c r="O1791"/>
      <c r="Q1791"/>
    </row>
    <row r="1792" spans="1:17" hidden="1" x14ac:dyDescent="0.2">
      <c r="A1792" s="3">
        <v>45880</v>
      </c>
      <c r="B1792" s="2" t="s">
        <v>5</v>
      </c>
      <c r="C1792" s="2">
        <v>8</v>
      </c>
      <c r="D1792" s="2">
        <f t="shared" si="108"/>
        <v>2025</v>
      </c>
      <c r="E1792" s="2" t="str">
        <f t="shared" si="109"/>
        <v>2025-33</v>
      </c>
      <c r="F1792" s="2" t="str">
        <f t="shared" si="110"/>
        <v>Week 33</v>
      </c>
      <c r="G1792" s="2" t="str">
        <f t="shared" si="111"/>
        <v>Week 33-2025</v>
      </c>
      <c r="O1792"/>
      <c r="Q1792"/>
    </row>
    <row r="1793" spans="1:17" hidden="1" x14ac:dyDescent="0.2">
      <c r="A1793" s="3">
        <v>45880</v>
      </c>
      <c r="B1793" s="2" t="s">
        <v>5</v>
      </c>
      <c r="C1793" s="2">
        <v>6</v>
      </c>
      <c r="D1793" s="2">
        <f t="shared" si="108"/>
        <v>2025</v>
      </c>
      <c r="E1793" s="2" t="str">
        <f t="shared" si="109"/>
        <v>2025-33</v>
      </c>
      <c r="F1793" s="2" t="str">
        <f t="shared" si="110"/>
        <v>Week 33</v>
      </c>
      <c r="G1793" s="2" t="str">
        <f t="shared" si="111"/>
        <v>Week 33-2025</v>
      </c>
      <c r="O1793"/>
      <c r="Q1793"/>
    </row>
    <row r="1794" spans="1:17" hidden="1" x14ac:dyDescent="0.2">
      <c r="A1794" s="3">
        <v>45880</v>
      </c>
      <c r="B1794" s="2" t="s">
        <v>7</v>
      </c>
      <c r="C1794" s="2">
        <v>4</v>
      </c>
      <c r="D1794" s="2">
        <f t="shared" ref="D1794:D1857" si="112">YEAR(A1794)</f>
        <v>2025</v>
      </c>
      <c r="E1794" s="2" t="str">
        <f t="shared" ref="E1794:E1857" si="113">YEAR(A1794)&amp;"-"&amp;_xlfn.ISOWEEKNUM(A1794)</f>
        <v>2025-33</v>
      </c>
      <c r="F1794" s="2" t="str">
        <f t="shared" ref="F1794:F1857" si="114">_xlfn.CONCAT("Week "&amp;WEEKNUM(A1794))</f>
        <v>Week 33</v>
      </c>
      <c r="G1794" s="2" t="str">
        <f t="shared" ref="G1794:G1857" si="115">_xlfn.CONCAT(F1794,"-",D1794)</f>
        <v>Week 33-2025</v>
      </c>
      <c r="O1794"/>
      <c r="Q1794"/>
    </row>
    <row r="1795" spans="1:17" hidden="1" x14ac:dyDescent="0.2">
      <c r="A1795" s="3">
        <v>45880</v>
      </c>
      <c r="B1795" s="2" t="s">
        <v>3</v>
      </c>
      <c r="C1795" s="2">
        <v>5</v>
      </c>
      <c r="D1795" s="2">
        <f t="shared" si="112"/>
        <v>2025</v>
      </c>
      <c r="E1795" s="2" t="str">
        <f t="shared" si="113"/>
        <v>2025-33</v>
      </c>
      <c r="F1795" s="2" t="str">
        <f t="shared" si="114"/>
        <v>Week 33</v>
      </c>
      <c r="G1795" s="2" t="str">
        <f t="shared" si="115"/>
        <v>Week 33-2025</v>
      </c>
      <c r="O1795"/>
      <c r="Q1795"/>
    </row>
    <row r="1796" spans="1:17" hidden="1" x14ac:dyDescent="0.2">
      <c r="A1796" s="3">
        <v>45880</v>
      </c>
      <c r="B1796" s="2" t="s">
        <v>31</v>
      </c>
      <c r="C1796" s="2">
        <v>6</v>
      </c>
      <c r="D1796" s="2">
        <f t="shared" si="112"/>
        <v>2025</v>
      </c>
      <c r="E1796" s="2" t="str">
        <f t="shared" si="113"/>
        <v>2025-33</v>
      </c>
      <c r="F1796" s="2" t="str">
        <f t="shared" si="114"/>
        <v>Week 33</v>
      </c>
      <c r="G1796" s="2" t="str">
        <f t="shared" si="115"/>
        <v>Week 33-2025</v>
      </c>
      <c r="O1796"/>
      <c r="Q1796"/>
    </row>
    <row r="1797" spans="1:17" hidden="1" x14ac:dyDescent="0.2">
      <c r="A1797" s="3">
        <v>45880</v>
      </c>
      <c r="B1797" s="2" t="s">
        <v>10</v>
      </c>
      <c r="C1797" s="2">
        <v>4</v>
      </c>
      <c r="D1797" s="2">
        <f t="shared" si="112"/>
        <v>2025</v>
      </c>
      <c r="E1797" s="2" t="str">
        <f t="shared" si="113"/>
        <v>2025-33</v>
      </c>
      <c r="F1797" s="2" t="str">
        <f t="shared" si="114"/>
        <v>Week 33</v>
      </c>
      <c r="G1797" s="2" t="str">
        <f t="shared" si="115"/>
        <v>Week 33-2025</v>
      </c>
      <c r="O1797"/>
      <c r="Q1797"/>
    </row>
    <row r="1798" spans="1:17" hidden="1" x14ac:dyDescent="0.2">
      <c r="A1798" s="3">
        <v>45880</v>
      </c>
      <c r="B1798" s="2" t="s">
        <v>14</v>
      </c>
      <c r="C1798" s="2">
        <v>4</v>
      </c>
      <c r="D1798" s="2">
        <f t="shared" si="112"/>
        <v>2025</v>
      </c>
      <c r="E1798" s="2" t="str">
        <f t="shared" si="113"/>
        <v>2025-33</v>
      </c>
      <c r="F1798" s="2" t="str">
        <f t="shared" si="114"/>
        <v>Week 33</v>
      </c>
      <c r="G1798" s="2" t="str">
        <f t="shared" si="115"/>
        <v>Week 33-2025</v>
      </c>
      <c r="O1798"/>
      <c r="Q1798"/>
    </row>
    <row r="1799" spans="1:17" hidden="1" x14ac:dyDescent="0.2">
      <c r="A1799" s="3">
        <v>45880</v>
      </c>
      <c r="B1799" s="2" t="s">
        <v>15</v>
      </c>
      <c r="C1799" s="2">
        <v>6</v>
      </c>
      <c r="D1799" s="2">
        <f t="shared" si="112"/>
        <v>2025</v>
      </c>
      <c r="E1799" s="2" t="str">
        <f t="shared" si="113"/>
        <v>2025-33</v>
      </c>
      <c r="F1799" s="2" t="str">
        <f t="shared" si="114"/>
        <v>Week 33</v>
      </c>
      <c r="G1799" s="2" t="str">
        <f t="shared" si="115"/>
        <v>Week 33-2025</v>
      </c>
      <c r="O1799"/>
      <c r="Q1799"/>
    </row>
    <row r="1800" spans="1:17" hidden="1" x14ac:dyDescent="0.2">
      <c r="A1800" s="3">
        <v>45880</v>
      </c>
      <c r="B1800" s="2" t="s">
        <v>36</v>
      </c>
      <c r="C1800" s="2">
        <v>6</v>
      </c>
      <c r="D1800" s="2">
        <f t="shared" si="112"/>
        <v>2025</v>
      </c>
      <c r="E1800" s="2" t="str">
        <f t="shared" si="113"/>
        <v>2025-33</v>
      </c>
      <c r="F1800" s="2" t="str">
        <f t="shared" si="114"/>
        <v>Week 33</v>
      </c>
      <c r="G1800" s="2" t="str">
        <f t="shared" si="115"/>
        <v>Week 33-2025</v>
      </c>
      <c r="O1800"/>
      <c r="Q1800"/>
    </row>
    <row r="1801" spans="1:17" x14ac:dyDescent="0.2">
      <c r="A1801" s="3">
        <v>45880</v>
      </c>
      <c r="B1801" s="2" t="s">
        <v>24</v>
      </c>
      <c r="C1801" s="2">
        <v>6</v>
      </c>
      <c r="D1801" s="2">
        <f t="shared" si="112"/>
        <v>2025</v>
      </c>
      <c r="E1801" s="2" t="str">
        <f t="shared" si="113"/>
        <v>2025-33</v>
      </c>
      <c r="F1801" s="2" t="str">
        <f t="shared" si="114"/>
        <v>Week 33</v>
      </c>
      <c r="G1801" s="2" t="str">
        <f t="shared" si="115"/>
        <v>Week 33-2025</v>
      </c>
      <c r="O1801"/>
      <c r="Q1801"/>
    </row>
    <row r="1802" spans="1:17" hidden="1" x14ac:dyDescent="0.2">
      <c r="A1802" s="3">
        <v>45880</v>
      </c>
      <c r="B1802" s="2" t="s">
        <v>17</v>
      </c>
      <c r="C1802" s="2">
        <v>2</v>
      </c>
      <c r="D1802" s="2">
        <f t="shared" si="112"/>
        <v>2025</v>
      </c>
      <c r="E1802" s="2" t="str">
        <f t="shared" si="113"/>
        <v>2025-33</v>
      </c>
      <c r="F1802" s="2" t="str">
        <f t="shared" si="114"/>
        <v>Week 33</v>
      </c>
      <c r="G1802" s="2" t="str">
        <f t="shared" si="115"/>
        <v>Week 33-2025</v>
      </c>
      <c r="O1802"/>
      <c r="Q1802"/>
    </row>
    <row r="1803" spans="1:17" hidden="1" x14ac:dyDescent="0.2">
      <c r="A1803" s="3">
        <v>45880</v>
      </c>
      <c r="B1803" s="2" t="s">
        <v>31</v>
      </c>
      <c r="C1803" s="2">
        <v>2</v>
      </c>
      <c r="D1803" s="2">
        <f t="shared" si="112"/>
        <v>2025</v>
      </c>
      <c r="E1803" s="2" t="str">
        <f t="shared" si="113"/>
        <v>2025-33</v>
      </c>
      <c r="F1803" s="2" t="str">
        <f t="shared" si="114"/>
        <v>Week 33</v>
      </c>
      <c r="G1803" s="2" t="str">
        <f t="shared" si="115"/>
        <v>Week 33-2025</v>
      </c>
      <c r="O1803"/>
      <c r="Q1803"/>
    </row>
    <row r="1804" spans="1:17" hidden="1" x14ac:dyDescent="0.2">
      <c r="A1804" s="3">
        <v>45880</v>
      </c>
      <c r="B1804" s="2" t="s">
        <v>8</v>
      </c>
      <c r="C1804" s="2">
        <v>2</v>
      </c>
      <c r="D1804" s="2">
        <f t="shared" si="112"/>
        <v>2025</v>
      </c>
      <c r="E1804" s="2" t="str">
        <f t="shared" si="113"/>
        <v>2025-33</v>
      </c>
      <c r="F1804" s="2" t="str">
        <f t="shared" si="114"/>
        <v>Week 33</v>
      </c>
      <c r="G1804" s="2" t="str">
        <f t="shared" si="115"/>
        <v>Week 33-2025</v>
      </c>
      <c r="O1804"/>
      <c r="Q1804"/>
    </row>
    <row r="1805" spans="1:17" hidden="1" x14ac:dyDescent="0.2">
      <c r="A1805" s="3">
        <v>45880</v>
      </c>
      <c r="B1805" s="2" t="s">
        <v>27</v>
      </c>
      <c r="C1805" s="2">
        <v>2</v>
      </c>
      <c r="D1805" s="2">
        <f t="shared" si="112"/>
        <v>2025</v>
      </c>
      <c r="E1805" s="2" t="str">
        <f t="shared" si="113"/>
        <v>2025-33</v>
      </c>
      <c r="F1805" s="2" t="str">
        <f t="shared" si="114"/>
        <v>Week 33</v>
      </c>
      <c r="G1805" s="2" t="str">
        <f t="shared" si="115"/>
        <v>Week 33-2025</v>
      </c>
      <c r="O1805"/>
      <c r="Q1805"/>
    </row>
    <row r="1806" spans="1:17" hidden="1" x14ac:dyDescent="0.2">
      <c r="A1806" s="3">
        <v>45881</v>
      </c>
      <c r="B1806" s="2" t="s">
        <v>14</v>
      </c>
      <c r="C1806" s="2">
        <v>2</v>
      </c>
      <c r="D1806" s="2">
        <f t="shared" si="112"/>
        <v>2025</v>
      </c>
      <c r="E1806" s="2" t="str">
        <f t="shared" si="113"/>
        <v>2025-33</v>
      </c>
      <c r="F1806" s="2" t="str">
        <f t="shared" si="114"/>
        <v>Week 33</v>
      </c>
      <c r="G1806" s="2" t="str">
        <f t="shared" si="115"/>
        <v>Week 33-2025</v>
      </c>
      <c r="O1806"/>
      <c r="Q1806"/>
    </row>
    <row r="1807" spans="1:17" hidden="1" x14ac:dyDescent="0.2">
      <c r="A1807" s="3">
        <v>45883</v>
      </c>
      <c r="B1807" s="2" t="s">
        <v>14</v>
      </c>
      <c r="C1807" s="2">
        <v>40</v>
      </c>
      <c r="D1807" s="2">
        <f t="shared" si="112"/>
        <v>2025</v>
      </c>
      <c r="E1807" s="2" t="str">
        <f t="shared" si="113"/>
        <v>2025-33</v>
      </c>
      <c r="F1807" s="2" t="str">
        <f t="shared" si="114"/>
        <v>Week 33</v>
      </c>
      <c r="G1807" s="2" t="str">
        <f t="shared" si="115"/>
        <v>Week 33-2025</v>
      </c>
      <c r="O1807"/>
      <c r="Q1807"/>
    </row>
    <row r="1808" spans="1:17" hidden="1" x14ac:dyDescent="0.2">
      <c r="A1808" s="3">
        <v>45883</v>
      </c>
      <c r="B1808" s="2" t="s">
        <v>5</v>
      </c>
      <c r="C1808" s="2">
        <v>14</v>
      </c>
      <c r="D1808" s="2">
        <f t="shared" si="112"/>
        <v>2025</v>
      </c>
      <c r="E1808" s="2" t="str">
        <f t="shared" si="113"/>
        <v>2025-33</v>
      </c>
      <c r="F1808" s="2" t="str">
        <f t="shared" si="114"/>
        <v>Week 33</v>
      </c>
      <c r="G1808" s="2" t="str">
        <f t="shared" si="115"/>
        <v>Week 33-2025</v>
      </c>
      <c r="O1808"/>
      <c r="Q1808"/>
    </row>
    <row r="1809" spans="1:17" hidden="1" x14ac:dyDescent="0.2">
      <c r="A1809" s="3">
        <v>45883</v>
      </c>
      <c r="B1809" s="2" t="s">
        <v>5</v>
      </c>
      <c r="C1809" s="2">
        <v>8</v>
      </c>
      <c r="D1809" s="2">
        <f t="shared" si="112"/>
        <v>2025</v>
      </c>
      <c r="E1809" s="2" t="str">
        <f t="shared" si="113"/>
        <v>2025-33</v>
      </c>
      <c r="F1809" s="2" t="str">
        <f t="shared" si="114"/>
        <v>Week 33</v>
      </c>
      <c r="G1809" s="2" t="str">
        <f t="shared" si="115"/>
        <v>Week 33-2025</v>
      </c>
      <c r="O1809"/>
      <c r="Q1809"/>
    </row>
    <row r="1810" spans="1:17" hidden="1" x14ac:dyDescent="0.2">
      <c r="A1810" s="3">
        <v>45883</v>
      </c>
      <c r="B1810" s="2" t="s">
        <v>3</v>
      </c>
      <c r="C1810" s="2">
        <v>4</v>
      </c>
      <c r="D1810" s="2">
        <f t="shared" si="112"/>
        <v>2025</v>
      </c>
      <c r="E1810" s="2" t="str">
        <f t="shared" si="113"/>
        <v>2025-33</v>
      </c>
      <c r="F1810" s="2" t="str">
        <f t="shared" si="114"/>
        <v>Week 33</v>
      </c>
      <c r="G1810" s="2" t="str">
        <f t="shared" si="115"/>
        <v>Week 33-2025</v>
      </c>
      <c r="O1810"/>
      <c r="Q1810"/>
    </row>
    <row r="1811" spans="1:17" hidden="1" x14ac:dyDescent="0.2">
      <c r="A1811" s="3">
        <v>45883</v>
      </c>
      <c r="B1811" s="2" t="s">
        <v>15</v>
      </c>
      <c r="C1811" s="2">
        <v>8</v>
      </c>
      <c r="D1811" s="2">
        <f t="shared" si="112"/>
        <v>2025</v>
      </c>
      <c r="E1811" s="2" t="str">
        <f t="shared" si="113"/>
        <v>2025-33</v>
      </c>
      <c r="F1811" s="2" t="str">
        <f t="shared" si="114"/>
        <v>Week 33</v>
      </c>
      <c r="G1811" s="2" t="str">
        <f t="shared" si="115"/>
        <v>Week 33-2025</v>
      </c>
      <c r="O1811"/>
      <c r="Q1811"/>
    </row>
    <row r="1812" spans="1:17" hidden="1" x14ac:dyDescent="0.2">
      <c r="A1812" s="3">
        <v>45883</v>
      </c>
      <c r="B1812" s="2" t="s">
        <v>27</v>
      </c>
      <c r="C1812" s="2">
        <v>6</v>
      </c>
      <c r="D1812" s="2">
        <f t="shared" si="112"/>
        <v>2025</v>
      </c>
      <c r="E1812" s="2" t="str">
        <f t="shared" si="113"/>
        <v>2025-33</v>
      </c>
      <c r="F1812" s="2" t="str">
        <f t="shared" si="114"/>
        <v>Week 33</v>
      </c>
      <c r="G1812" s="2" t="str">
        <f t="shared" si="115"/>
        <v>Week 33-2025</v>
      </c>
      <c r="O1812"/>
      <c r="Q1812"/>
    </row>
    <row r="1813" spans="1:17" hidden="1" x14ac:dyDescent="0.2">
      <c r="A1813" s="3">
        <v>45883</v>
      </c>
      <c r="B1813" s="2" t="s">
        <v>36</v>
      </c>
      <c r="C1813" s="2">
        <v>6</v>
      </c>
      <c r="D1813" s="2">
        <f t="shared" si="112"/>
        <v>2025</v>
      </c>
      <c r="E1813" s="2" t="str">
        <f t="shared" si="113"/>
        <v>2025-33</v>
      </c>
      <c r="F1813" s="2" t="str">
        <f t="shared" si="114"/>
        <v>Week 33</v>
      </c>
      <c r="G1813" s="2" t="str">
        <f t="shared" si="115"/>
        <v>Week 33-2025</v>
      </c>
      <c r="O1813"/>
      <c r="Q1813"/>
    </row>
    <row r="1814" spans="1:17" hidden="1" x14ac:dyDescent="0.2">
      <c r="A1814" s="3">
        <v>45885</v>
      </c>
      <c r="B1814" s="2" t="s">
        <v>4</v>
      </c>
      <c r="C1814" s="2">
        <v>8</v>
      </c>
      <c r="D1814" s="2">
        <f t="shared" si="112"/>
        <v>2025</v>
      </c>
      <c r="E1814" s="2" t="str">
        <f t="shared" si="113"/>
        <v>2025-33</v>
      </c>
      <c r="F1814" s="2" t="str">
        <f t="shared" si="114"/>
        <v>Week 33</v>
      </c>
      <c r="G1814" s="2" t="str">
        <f t="shared" si="115"/>
        <v>Week 33-2025</v>
      </c>
      <c r="O1814"/>
      <c r="Q1814"/>
    </row>
    <row r="1815" spans="1:17" hidden="1" x14ac:dyDescent="0.2">
      <c r="A1815" s="3">
        <v>45885</v>
      </c>
      <c r="B1815" s="2" t="s">
        <v>4</v>
      </c>
      <c r="C1815" s="2">
        <v>7</v>
      </c>
      <c r="D1815" s="2">
        <f t="shared" si="112"/>
        <v>2025</v>
      </c>
      <c r="E1815" s="2" t="str">
        <f t="shared" si="113"/>
        <v>2025-33</v>
      </c>
      <c r="F1815" s="2" t="str">
        <f t="shared" si="114"/>
        <v>Week 33</v>
      </c>
      <c r="G1815" s="2" t="str">
        <f t="shared" si="115"/>
        <v>Week 33-2025</v>
      </c>
      <c r="O1815"/>
      <c r="Q1815"/>
    </row>
    <row r="1816" spans="1:17" hidden="1" x14ac:dyDescent="0.2">
      <c r="A1816" s="3">
        <v>45885</v>
      </c>
      <c r="B1816" s="2" t="s">
        <v>9</v>
      </c>
      <c r="C1816" s="2">
        <v>6</v>
      </c>
      <c r="D1816" s="2">
        <f t="shared" si="112"/>
        <v>2025</v>
      </c>
      <c r="E1816" s="2" t="str">
        <f t="shared" si="113"/>
        <v>2025-33</v>
      </c>
      <c r="F1816" s="2" t="str">
        <f t="shared" si="114"/>
        <v>Week 33</v>
      </c>
      <c r="G1816" s="2" t="str">
        <f t="shared" si="115"/>
        <v>Week 33-2025</v>
      </c>
      <c r="O1816"/>
      <c r="Q1816"/>
    </row>
    <row r="1817" spans="1:17" hidden="1" x14ac:dyDescent="0.2">
      <c r="A1817" s="3">
        <v>45885</v>
      </c>
      <c r="B1817" s="2" t="s">
        <v>4</v>
      </c>
      <c r="C1817" s="2">
        <v>5</v>
      </c>
      <c r="D1817" s="2">
        <f t="shared" si="112"/>
        <v>2025</v>
      </c>
      <c r="E1817" s="2" t="str">
        <f t="shared" si="113"/>
        <v>2025-33</v>
      </c>
      <c r="F1817" s="2" t="str">
        <f t="shared" si="114"/>
        <v>Week 33</v>
      </c>
      <c r="G1817" s="2" t="str">
        <f t="shared" si="115"/>
        <v>Week 33-2025</v>
      </c>
      <c r="O1817"/>
      <c r="Q1817"/>
    </row>
    <row r="1818" spans="1:17" hidden="1" x14ac:dyDescent="0.2">
      <c r="A1818" s="3">
        <v>45885</v>
      </c>
      <c r="B1818" s="2" t="s">
        <v>7</v>
      </c>
      <c r="C1818" s="2">
        <v>4</v>
      </c>
      <c r="D1818" s="2">
        <f t="shared" si="112"/>
        <v>2025</v>
      </c>
      <c r="E1818" s="2" t="str">
        <f t="shared" si="113"/>
        <v>2025-33</v>
      </c>
      <c r="F1818" s="2" t="str">
        <f t="shared" si="114"/>
        <v>Week 33</v>
      </c>
      <c r="G1818" s="2" t="str">
        <f t="shared" si="115"/>
        <v>Week 33-2025</v>
      </c>
      <c r="O1818"/>
      <c r="Q1818"/>
    </row>
    <row r="1819" spans="1:17" hidden="1" x14ac:dyDescent="0.2">
      <c r="A1819" s="3">
        <v>45885</v>
      </c>
      <c r="B1819" s="2" t="s">
        <v>5</v>
      </c>
      <c r="C1819" s="2">
        <v>6</v>
      </c>
      <c r="D1819" s="2">
        <f t="shared" si="112"/>
        <v>2025</v>
      </c>
      <c r="E1819" s="2" t="str">
        <f t="shared" si="113"/>
        <v>2025-33</v>
      </c>
      <c r="F1819" s="2" t="str">
        <f t="shared" si="114"/>
        <v>Week 33</v>
      </c>
      <c r="G1819" s="2" t="str">
        <f t="shared" si="115"/>
        <v>Week 33-2025</v>
      </c>
      <c r="O1819"/>
      <c r="Q1819"/>
    </row>
    <row r="1820" spans="1:17" hidden="1" x14ac:dyDescent="0.2">
      <c r="A1820" s="3">
        <v>45885</v>
      </c>
      <c r="B1820" s="2" t="s">
        <v>14</v>
      </c>
      <c r="C1820" s="2">
        <v>8</v>
      </c>
      <c r="D1820" s="2">
        <f t="shared" si="112"/>
        <v>2025</v>
      </c>
      <c r="E1820" s="2" t="str">
        <f t="shared" si="113"/>
        <v>2025-33</v>
      </c>
      <c r="F1820" s="2" t="str">
        <f t="shared" si="114"/>
        <v>Week 33</v>
      </c>
      <c r="G1820" s="2" t="str">
        <f t="shared" si="115"/>
        <v>Week 33-2025</v>
      </c>
      <c r="O1820"/>
      <c r="Q1820"/>
    </row>
    <row r="1821" spans="1:17" hidden="1" x14ac:dyDescent="0.2">
      <c r="A1821" s="3">
        <v>45885</v>
      </c>
      <c r="B1821" s="2" t="s">
        <v>5</v>
      </c>
      <c r="C1821" s="2">
        <v>4</v>
      </c>
      <c r="D1821" s="2">
        <f t="shared" si="112"/>
        <v>2025</v>
      </c>
      <c r="E1821" s="2" t="str">
        <f t="shared" si="113"/>
        <v>2025-33</v>
      </c>
      <c r="F1821" s="2" t="str">
        <f t="shared" si="114"/>
        <v>Week 33</v>
      </c>
      <c r="G1821" s="2" t="str">
        <f t="shared" si="115"/>
        <v>Week 33-2025</v>
      </c>
      <c r="O1821"/>
      <c r="Q1821"/>
    </row>
    <row r="1822" spans="1:17" hidden="1" x14ac:dyDescent="0.2">
      <c r="A1822" s="3">
        <v>45885</v>
      </c>
      <c r="B1822" s="2" t="s">
        <v>28</v>
      </c>
      <c r="C1822" s="2">
        <v>4</v>
      </c>
      <c r="D1822" s="2">
        <f t="shared" si="112"/>
        <v>2025</v>
      </c>
      <c r="E1822" s="2" t="str">
        <f t="shared" si="113"/>
        <v>2025-33</v>
      </c>
      <c r="F1822" s="2" t="str">
        <f t="shared" si="114"/>
        <v>Week 33</v>
      </c>
      <c r="G1822" s="2" t="str">
        <f t="shared" si="115"/>
        <v>Week 33-2025</v>
      </c>
      <c r="O1822"/>
      <c r="Q1822"/>
    </row>
    <row r="1823" spans="1:17" hidden="1" x14ac:dyDescent="0.2">
      <c r="A1823" s="3">
        <v>45885</v>
      </c>
      <c r="B1823" s="2" t="s">
        <v>5</v>
      </c>
      <c r="C1823" s="2">
        <v>2</v>
      </c>
      <c r="D1823" s="2">
        <f t="shared" si="112"/>
        <v>2025</v>
      </c>
      <c r="E1823" s="2" t="str">
        <f t="shared" si="113"/>
        <v>2025-33</v>
      </c>
      <c r="F1823" s="2" t="str">
        <f t="shared" si="114"/>
        <v>Week 33</v>
      </c>
      <c r="G1823" s="2" t="str">
        <f t="shared" si="115"/>
        <v>Week 33-2025</v>
      </c>
      <c r="O1823"/>
      <c r="Q1823"/>
    </row>
    <row r="1824" spans="1:17" hidden="1" x14ac:dyDescent="0.2">
      <c r="A1824" s="3">
        <v>45885</v>
      </c>
      <c r="B1824" s="2" t="s">
        <v>36</v>
      </c>
      <c r="C1824" s="2">
        <v>4</v>
      </c>
      <c r="D1824" s="2">
        <f t="shared" si="112"/>
        <v>2025</v>
      </c>
      <c r="E1824" s="2" t="str">
        <f t="shared" si="113"/>
        <v>2025-33</v>
      </c>
      <c r="F1824" s="2" t="str">
        <f t="shared" si="114"/>
        <v>Week 33</v>
      </c>
      <c r="G1824" s="2" t="str">
        <f t="shared" si="115"/>
        <v>Week 33-2025</v>
      </c>
      <c r="O1824"/>
      <c r="Q1824"/>
    </row>
    <row r="1825" spans="1:17" hidden="1" x14ac:dyDescent="0.2">
      <c r="A1825" s="3">
        <v>45885</v>
      </c>
      <c r="B1825" s="2" t="s">
        <v>14</v>
      </c>
      <c r="C1825" s="2">
        <v>2</v>
      </c>
      <c r="D1825" s="2">
        <f t="shared" si="112"/>
        <v>2025</v>
      </c>
      <c r="E1825" s="2" t="str">
        <f t="shared" si="113"/>
        <v>2025-33</v>
      </c>
      <c r="F1825" s="2" t="str">
        <f t="shared" si="114"/>
        <v>Week 33</v>
      </c>
      <c r="G1825" s="2" t="str">
        <f t="shared" si="115"/>
        <v>Week 33-2025</v>
      </c>
      <c r="O1825"/>
      <c r="Q1825"/>
    </row>
    <row r="1826" spans="1:17" hidden="1" x14ac:dyDescent="0.2">
      <c r="A1826" s="3">
        <v>45885</v>
      </c>
      <c r="B1826" s="2" t="s">
        <v>14</v>
      </c>
      <c r="C1826" s="2">
        <v>2</v>
      </c>
      <c r="D1826" s="2">
        <f t="shared" si="112"/>
        <v>2025</v>
      </c>
      <c r="E1826" s="2" t="str">
        <f t="shared" si="113"/>
        <v>2025-33</v>
      </c>
      <c r="F1826" s="2" t="str">
        <f t="shared" si="114"/>
        <v>Week 33</v>
      </c>
      <c r="G1826" s="2" t="str">
        <f t="shared" si="115"/>
        <v>Week 33-2025</v>
      </c>
      <c r="O1826"/>
      <c r="Q1826"/>
    </row>
    <row r="1827" spans="1:17" hidden="1" x14ac:dyDescent="0.2">
      <c r="A1827" s="3">
        <v>45885</v>
      </c>
      <c r="B1827" s="2" t="s">
        <v>15</v>
      </c>
      <c r="C1827" s="2">
        <v>2</v>
      </c>
      <c r="D1827" s="2">
        <f t="shared" si="112"/>
        <v>2025</v>
      </c>
      <c r="E1827" s="2" t="str">
        <f t="shared" si="113"/>
        <v>2025-33</v>
      </c>
      <c r="F1827" s="2" t="str">
        <f t="shared" si="114"/>
        <v>Week 33</v>
      </c>
      <c r="G1827" s="2" t="str">
        <f t="shared" si="115"/>
        <v>Week 33-2025</v>
      </c>
      <c r="O1827"/>
      <c r="Q1827"/>
    </row>
    <row r="1828" spans="1:17" x14ac:dyDescent="0.2">
      <c r="A1828" s="3">
        <v>45885</v>
      </c>
      <c r="B1828" s="2" t="s">
        <v>24</v>
      </c>
      <c r="C1828" s="2">
        <v>1</v>
      </c>
      <c r="D1828" s="2">
        <f t="shared" si="112"/>
        <v>2025</v>
      </c>
      <c r="E1828" s="2" t="str">
        <f t="shared" si="113"/>
        <v>2025-33</v>
      </c>
      <c r="F1828" s="2" t="str">
        <f t="shared" si="114"/>
        <v>Week 33</v>
      </c>
      <c r="G1828" s="2" t="str">
        <f t="shared" si="115"/>
        <v>Week 33-2025</v>
      </c>
      <c r="O1828"/>
      <c r="Q1828"/>
    </row>
    <row r="1829" spans="1:17" hidden="1" x14ac:dyDescent="0.2">
      <c r="A1829" s="3">
        <v>45886</v>
      </c>
      <c r="B1829" s="2" t="s">
        <v>5</v>
      </c>
      <c r="C1829" s="2">
        <v>16</v>
      </c>
      <c r="D1829" s="2">
        <f t="shared" si="112"/>
        <v>2025</v>
      </c>
      <c r="E1829" s="2" t="str">
        <f t="shared" si="113"/>
        <v>2025-33</v>
      </c>
      <c r="F1829" s="2" t="str">
        <f t="shared" si="114"/>
        <v>Week 34</v>
      </c>
      <c r="G1829" s="2" t="str">
        <f t="shared" si="115"/>
        <v>Week 34-2025</v>
      </c>
      <c r="O1829"/>
      <c r="Q1829"/>
    </row>
    <row r="1830" spans="1:17" hidden="1" x14ac:dyDescent="0.2">
      <c r="A1830" s="3">
        <v>45886</v>
      </c>
      <c r="B1830" s="2" t="s">
        <v>3</v>
      </c>
      <c r="C1830" s="2">
        <v>6</v>
      </c>
      <c r="D1830" s="2">
        <f t="shared" si="112"/>
        <v>2025</v>
      </c>
      <c r="E1830" s="2" t="str">
        <f t="shared" si="113"/>
        <v>2025-33</v>
      </c>
      <c r="F1830" s="2" t="str">
        <f t="shared" si="114"/>
        <v>Week 34</v>
      </c>
      <c r="G1830" s="2" t="str">
        <f t="shared" si="115"/>
        <v>Week 34-2025</v>
      </c>
      <c r="O1830"/>
      <c r="Q1830"/>
    </row>
    <row r="1831" spans="1:17" hidden="1" x14ac:dyDescent="0.2">
      <c r="A1831" s="3">
        <v>45886</v>
      </c>
      <c r="B1831" s="2" t="s">
        <v>4</v>
      </c>
      <c r="C1831" s="2">
        <v>4</v>
      </c>
      <c r="D1831" s="2">
        <f t="shared" si="112"/>
        <v>2025</v>
      </c>
      <c r="E1831" s="2" t="str">
        <f t="shared" si="113"/>
        <v>2025-33</v>
      </c>
      <c r="F1831" s="2" t="str">
        <f t="shared" si="114"/>
        <v>Week 34</v>
      </c>
      <c r="G1831" s="2" t="str">
        <f t="shared" si="115"/>
        <v>Week 34-2025</v>
      </c>
      <c r="O1831"/>
      <c r="Q1831"/>
    </row>
    <row r="1832" spans="1:17" hidden="1" x14ac:dyDescent="0.2">
      <c r="A1832" s="3">
        <v>45886</v>
      </c>
      <c r="B1832" s="2" t="s">
        <v>9</v>
      </c>
      <c r="C1832" s="2">
        <v>2</v>
      </c>
      <c r="D1832" s="2">
        <f t="shared" si="112"/>
        <v>2025</v>
      </c>
      <c r="E1832" s="2" t="str">
        <f t="shared" si="113"/>
        <v>2025-33</v>
      </c>
      <c r="F1832" s="2" t="str">
        <f t="shared" si="114"/>
        <v>Week 34</v>
      </c>
      <c r="G1832" s="2" t="str">
        <f t="shared" si="115"/>
        <v>Week 34-2025</v>
      </c>
      <c r="O1832"/>
      <c r="Q1832"/>
    </row>
    <row r="1833" spans="1:17" hidden="1" x14ac:dyDescent="0.2">
      <c r="A1833" s="3">
        <v>45887</v>
      </c>
      <c r="B1833" s="2" t="s">
        <v>5</v>
      </c>
      <c r="C1833" s="2">
        <v>8</v>
      </c>
      <c r="D1833" s="2">
        <f t="shared" si="112"/>
        <v>2025</v>
      </c>
      <c r="E1833" s="2" t="str">
        <f t="shared" si="113"/>
        <v>2025-34</v>
      </c>
      <c r="F1833" s="2" t="str">
        <f t="shared" si="114"/>
        <v>Week 34</v>
      </c>
      <c r="G1833" s="2" t="str">
        <f t="shared" si="115"/>
        <v>Week 34-2025</v>
      </c>
      <c r="O1833"/>
      <c r="Q1833"/>
    </row>
    <row r="1834" spans="1:17" hidden="1" x14ac:dyDescent="0.2">
      <c r="A1834" s="3">
        <v>45887</v>
      </c>
      <c r="B1834" s="2" t="s">
        <v>7</v>
      </c>
      <c r="C1834" s="2">
        <v>4</v>
      </c>
      <c r="D1834" s="2">
        <f t="shared" si="112"/>
        <v>2025</v>
      </c>
      <c r="E1834" s="2" t="str">
        <f t="shared" si="113"/>
        <v>2025-34</v>
      </c>
      <c r="F1834" s="2" t="str">
        <f t="shared" si="114"/>
        <v>Week 34</v>
      </c>
      <c r="G1834" s="2" t="str">
        <f t="shared" si="115"/>
        <v>Week 34-2025</v>
      </c>
      <c r="O1834"/>
      <c r="Q1834"/>
    </row>
    <row r="1835" spans="1:17" hidden="1" x14ac:dyDescent="0.2">
      <c r="A1835" s="3">
        <v>45887</v>
      </c>
      <c r="B1835" s="2" t="s">
        <v>18</v>
      </c>
      <c r="C1835" s="2">
        <v>2</v>
      </c>
      <c r="D1835" s="2">
        <f t="shared" si="112"/>
        <v>2025</v>
      </c>
      <c r="E1835" s="2" t="str">
        <f t="shared" si="113"/>
        <v>2025-34</v>
      </c>
      <c r="F1835" s="2" t="str">
        <f t="shared" si="114"/>
        <v>Week 34</v>
      </c>
      <c r="G1835" s="2" t="str">
        <f t="shared" si="115"/>
        <v>Week 34-2025</v>
      </c>
      <c r="O1835"/>
      <c r="Q1835"/>
    </row>
    <row r="1836" spans="1:17" x14ac:dyDescent="0.2">
      <c r="A1836" s="3">
        <v>45887</v>
      </c>
      <c r="B1836" s="2" t="s">
        <v>24</v>
      </c>
      <c r="C1836" s="2">
        <v>1</v>
      </c>
      <c r="D1836" s="2">
        <f t="shared" si="112"/>
        <v>2025</v>
      </c>
      <c r="E1836" s="2" t="str">
        <f t="shared" si="113"/>
        <v>2025-34</v>
      </c>
      <c r="F1836" s="2" t="str">
        <f t="shared" si="114"/>
        <v>Week 34</v>
      </c>
      <c r="G1836" s="2" t="str">
        <f t="shared" si="115"/>
        <v>Week 34-2025</v>
      </c>
      <c r="O1836"/>
      <c r="Q1836"/>
    </row>
    <row r="1837" spans="1:17" hidden="1" x14ac:dyDescent="0.2">
      <c r="A1837" s="3">
        <v>45888</v>
      </c>
      <c r="B1837" s="2" t="s">
        <v>4</v>
      </c>
      <c r="C1837" s="2">
        <v>16</v>
      </c>
      <c r="D1837" s="2">
        <f t="shared" si="112"/>
        <v>2025</v>
      </c>
      <c r="E1837" s="2" t="str">
        <f t="shared" si="113"/>
        <v>2025-34</v>
      </c>
      <c r="F1837" s="2" t="str">
        <f t="shared" si="114"/>
        <v>Week 34</v>
      </c>
      <c r="G1837" s="2" t="str">
        <f t="shared" si="115"/>
        <v>Week 34-2025</v>
      </c>
      <c r="O1837"/>
      <c r="Q1837"/>
    </row>
    <row r="1838" spans="1:17" hidden="1" x14ac:dyDescent="0.2">
      <c r="A1838" s="3">
        <v>45888</v>
      </c>
      <c r="B1838" s="2" t="s">
        <v>3</v>
      </c>
      <c r="C1838" s="2">
        <v>16</v>
      </c>
      <c r="D1838" s="2">
        <f t="shared" si="112"/>
        <v>2025</v>
      </c>
      <c r="E1838" s="2" t="str">
        <f t="shared" si="113"/>
        <v>2025-34</v>
      </c>
      <c r="F1838" s="2" t="str">
        <f t="shared" si="114"/>
        <v>Week 34</v>
      </c>
      <c r="G1838" s="2" t="str">
        <f t="shared" si="115"/>
        <v>Week 34-2025</v>
      </c>
      <c r="O1838"/>
      <c r="Q1838"/>
    </row>
    <row r="1839" spans="1:17" hidden="1" x14ac:dyDescent="0.2">
      <c r="A1839" s="3">
        <v>45888</v>
      </c>
      <c r="B1839" s="2" t="s">
        <v>3</v>
      </c>
      <c r="C1839" s="2">
        <v>23</v>
      </c>
      <c r="D1839" s="2">
        <f t="shared" si="112"/>
        <v>2025</v>
      </c>
      <c r="E1839" s="2" t="str">
        <f t="shared" si="113"/>
        <v>2025-34</v>
      </c>
      <c r="F1839" s="2" t="str">
        <f t="shared" si="114"/>
        <v>Week 34</v>
      </c>
      <c r="G1839" s="2" t="str">
        <f t="shared" si="115"/>
        <v>Week 34-2025</v>
      </c>
      <c r="O1839"/>
      <c r="Q1839"/>
    </row>
    <row r="1840" spans="1:17" hidden="1" x14ac:dyDescent="0.2">
      <c r="A1840" s="3">
        <v>45888</v>
      </c>
      <c r="B1840" s="2" t="s">
        <v>9</v>
      </c>
      <c r="C1840" s="2">
        <v>10</v>
      </c>
      <c r="D1840" s="2">
        <f t="shared" si="112"/>
        <v>2025</v>
      </c>
      <c r="E1840" s="2" t="str">
        <f t="shared" si="113"/>
        <v>2025-34</v>
      </c>
      <c r="F1840" s="2" t="str">
        <f t="shared" si="114"/>
        <v>Week 34</v>
      </c>
      <c r="G1840" s="2" t="str">
        <f t="shared" si="115"/>
        <v>Week 34-2025</v>
      </c>
      <c r="O1840"/>
      <c r="Q1840"/>
    </row>
    <row r="1841" spans="1:17" hidden="1" x14ac:dyDescent="0.2">
      <c r="A1841" s="3">
        <v>45888</v>
      </c>
      <c r="B1841" s="2" t="s">
        <v>5</v>
      </c>
      <c r="C1841" s="2">
        <v>12</v>
      </c>
      <c r="D1841" s="2">
        <f t="shared" si="112"/>
        <v>2025</v>
      </c>
      <c r="E1841" s="2" t="str">
        <f t="shared" si="113"/>
        <v>2025-34</v>
      </c>
      <c r="F1841" s="2" t="str">
        <f t="shared" si="114"/>
        <v>Week 34</v>
      </c>
      <c r="G1841" s="2" t="str">
        <f t="shared" si="115"/>
        <v>Week 34-2025</v>
      </c>
      <c r="O1841"/>
      <c r="Q1841"/>
    </row>
    <row r="1842" spans="1:17" hidden="1" x14ac:dyDescent="0.2">
      <c r="A1842" s="3">
        <v>45888</v>
      </c>
      <c r="B1842" s="2" t="s">
        <v>9</v>
      </c>
      <c r="C1842" s="2">
        <v>13</v>
      </c>
      <c r="D1842" s="2">
        <f t="shared" si="112"/>
        <v>2025</v>
      </c>
      <c r="E1842" s="2" t="str">
        <f t="shared" si="113"/>
        <v>2025-34</v>
      </c>
      <c r="F1842" s="2" t="str">
        <f t="shared" si="114"/>
        <v>Week 34</v>
      </c>
      <c r="G1842" s="2" t="str">
        <f t="shared" si="115"/>
        <v>Week 34-2025</v>
      </c>
      <c r="O1842"/>
      <c r="Q1842"/>
    </row>
    <row r="1843" spans="1:17" hidden="1" x14ac:dyDescent="0.2">
      <c r="A1843" s="3">
        <v>45888</v>
      </c>
      <c r="B1843" s="2" t="s">
        <v>6</v>
      </c>
      <c r="C1843" s="2">
        <v>8</v>
      </c>
      <c r="D1843" s="2">
        <f t="shared" si="112"/>
        <v>2025</v>
      </c>
      <c r="E1843" s="2" t="str">
        <f t="shared" si="113"/>
        <v>2025-34</v>
      </c>
      <c r="F1843" s="2" t="str">
        <f t="shared" si="114"/>
        <v>Week 34</v>
      </c>
      <c r="G1843" s="2" t="str">
        <f t="shared" si="115"/>
        <v>Week 34-2025</v>
      </c>
      <c r="O1843"/>
      <c r="Q1843"/>
    </row>
    <row r="1844" spans="1:17" hidden="1" x14ac:dyDescent="0.2">
      <c r="A1844" s="3">
        <v>45888</v>
      </c>
      <c r="B1844" s="2" t="s">
        <v>18</v>
      </c>
      <c r="C1844" s="2">
        <v>6</v>
      </c>
      <c r="D1844" s="2">
        <f t="shared" si="112"/>
        <v>2025</v>
      </c>
      <c r="E1844" s="2" t="str">
        <f t="shared" si="113"/>
        <v>2025-34</v>
      </c>
      <c r="F1844" s="2" t="str">
        <f t="shared" si="114"/>
        <v>Week 34</v>
      </c>
      <c r="G1844" s="2" t="str">
        <f t="shared" si="115"/>
        <v>Week 34-2025</v>
      </c>
      <c r="O1844"/>
      <c r="Q1844"/>
    </row>
    <row r="1845" spans="1:17" hidden="1" x14ac:dyDescent="0.2">
      <c r="A1845" s="3">
        <v>45888</v>
      </c>
      <c r="B1845" s="2" t="s">
        <v>5</v>
      </c>
      <c r="C1845" s="2">
        <v>13</v>
      </c>
      <c r="D1845" s="2">
        <f t="shared" si="112"/>
        <v>2025</v>
      </c>
      <c r="E1845" s="2" t="str">
        <f t="shared" si="113"/>
        <v>2025-34</v>
      </c>
      <c r="F1845" s="2" t="str">
        <f t="shared" si="114"/>
        <v>Week 34</v>
      </c>
      <c r="G1845" s="2" t="str">
        <f t="shared" si="115"/>
        <v>Week 34-2025</v>
      </c>
      <c r="O1845"/>
      <c r="Q1845"/>
    </row>
    <row r="1846" spans="1:17" hidden="1" x14ac:dyDescent="0.2">
      <c r="A1846" s="3">
        <v>45888</v>
      </c>
      <c r="B1846" s="2" t="s">
        <v>30</v>
      </c>
      <c r="C1846" s="2">
        <v>14</v>
      </c>
      <c r="D1846" s="2">
        <f t="shared" si="112"/>
        <v>2025</v>
      </c>
      <c r="E1846" s="2" t="str">
        <f t="shared" si="113"/>
        <v>2025-34</v>
      </c>
      <c r="F1846" s="2" t="str">
        <f t="shared" si="114"/>
        <v>Week 34</v>
      </c>
      <c r="G1846" s="2" t="str">
        <f t="shared" si="115"/>
        <v>Week 34-2025</v>
      </c>
      <c r="O1846"/>
      <c r="Q1846"/>
    </row>
    <row r="1847" spans="1:17" hidden="1" x14ac:dyDescent="0.2">
      <c r="A1847" s="3">
        <v>45888</v>
      </c>
      <c r="B1847" s="2" t="s">
        <v>7</v>
      </c>
      <c r="C1847" s="2">
        <v>8</v>
      </c>
      <c r="D1847" s="2">
        <f t="shared" si="112"/>
        <v>2025</v>
      </c>
      <c r="E1847" s="2" t="str">
        <f t="shared" si="113"/>
        <v>2025-34</v>
      </c>
      <c r="F1847" s="2" t="str">
        <f t="shared" si="114"/>
        <v>Week 34</v>
      </c>
      <c r="G1847" s="2" t="str">
        <f t="shared" si="115"/>
        <v>Week 34-2025</v>
      </c>
      <c r="O1847"/>
      <c r="Q1847"/>
    </row>
    <row r="1848" spans="1:17" hidden="1" x14ac:dyDescent="0.2">
      <c r="A1848" s="3">
        <v>45888</v>
      </c>
      <c r="B1848" s="2" t="s">
        <v>4</v>
      </c>
      <c r="C1848" s="2">
        <v>8</v>
      </c>
      <c r="D1848" s="2">
        <f t="shared" si="112"/>
        <v>2025</v>
      </c>
      <c r="E1848" s="2" t="str">
        <f t="shared" si="113"/>
        <v>2025-34</v>
      </c>
      <c r="F1848" s="2" t="str">
        <f t="shared" si="114"/>
        <v>Week 34</v>
      </c>
      <c r="G1848" s="2" t="str">
        <f t="shared" si="115"/>
        <v>Week 34-2025</v>
      </c>
      <c r="O1848"/>
      <c r="Q1848"/>
    </row>
    <row r="1849" spans="1:17" hidden="1" x14ac:dyDescent="0.2">
      <c r="A1849" s="3">
        <v>45888</v>
      </c>
      <c r="B1849" s="2" t="s">
        <v>7</v>
      </c>
      <c r="C1849" s="2">
        <v>5</v>
      </c>
      <c r="D1849" s="2">
        <f t="shared" si="112"/>
        <v>2025</v>
      </c>
      <c r="E1849" s="2" t="str">
        <f t="shared" si="113"/>
        <v>2025-34</v>
      </c>
      <c r="F1849" s="2" t="str">
        <f t="shared" si="114"/>
        <v>Week 34</v>
      </c>
      <c r="G1849" s="2" t="str">
        <f t="shared" si="115"/>
        <v>Week 34-2025</v>
      </c>
      <c r="O1849"/>
      <c r="Q1849"/>
    </row>
    <row r="1850" spans="1:17" hidden="1" x14ac:dyDescent="0.2">
      <c r="A1850" s="3">
        <v>45888</v>
      </c>
      <c r="B1850" s="2" t="s">
        <v>5</v>
      </c>
      <c r="C1850" s="2">
        <v>8</v>
      </c>
      <c r="D1850" s="2">
        <f t="shared" si="112"/>
        <v>2025</v>
      </c>
      <c r="E1850" s="2" t="str">
        <f t="shared" si="113"/>
        <v>2025-34</v>
      </c>
      <c r="F1850" s="2" t="str">
        <f t="shared" si="114"/>
        <v>Week 34</v>
      </c>
      <c r="G1850" s="2" t="str">
        <f t="shared" si="115"/>
        <v>Week 34-2025</v>
      </c>
      <c r="O1850"/>
      <c r="Q1850"/>
    </row>
    <row r="1851" spans="1:17" hidden="1" x14ac:dyDescent="0.2">
      <c r="A1851" s="3">
        <v>45888</v>
      </c>
      <c r="B1851" s="2" t="s">
        <v>4</v>
      </c>
      <c r="C1851" s="2">
        <v>5</v>
      </c>
      <c r="D1851" s="2">
        <f t="shared" si="112"/>
        <v>2025</v>
      </c>
      <c r="E1851" s="2" t="str">
        <f t="shared" si="113"/>
        <v>2025-34</v>
      </c>
      <c r="F1851" s="2" t="str">
        <f t="shared" si="114"/>
        <v>Week 34</v>
      </c>
      <c r="G1851" s="2" t="str">
        <f t="shared" si="115"/>
        <v>Week 34-2025</v>
      </c>
      <c r="O1851"/>
      <c r="Q1851"/>
    </row>
    <row r="1852" spans="1:17" hidden="1" x14ac:dyDescent="0.2">
      <c r="A1852" s="3">
        <v>45888</v>
      </c>
      <c r="B1852" s="2" t="s">
        <v>17</v>
      </c>
      <c r="C1852" s="2">
        <v>8</v>
      </c>
      <c r="D1852" s="2">
        <f t="shared" si="112"/>
        <v>2025</v>
      </c>
      <c r="E1852" s="2" t="str">
        <f t="shared" si="113"/>
        <v>2025-34</v>
      </c>
      <c r="F1852" s="2" t="str">
        <f t="shared" si="114"/>
        <v>Week 34</v>
      </c>
      <c r="G1852" s="2" t="str">
        <f t="shared" si="115"/>
        <v>Week 34-2025</v>
      </c>
      <c r="O1852"/>
      <c r="Q1852"/>
    </row>
    <row r="1853" spans="1:17" hidden="1" x14ac:dyDescent="0.2">
      <c r="A1853" s="3">
        <v>45888</v>
      </c>
      <c r="B1853" s="2" t="s">
        <v>4</v>
      </c>
      <c r="C1853" s="2">
        <v>4</v>
      </c>
      <c r="D1853" s="2">
        <f t="shared" si="112"/>
        <v>2025</v>
      </c>
      <c r="E1853" s="2" t="str">
        <f t="shared" si="113"/>
        <v>2025-34</v>
      </c>
      <c r="F1853" s="2" t="str">
        <f t="shared" si="114"/>
        <v>Week 34</v>
      </c>
      <c r="G1853" s="2" t="str">
        <f t="shared" si="115"/>
        <v>Week 34-2025</v>
      </c>
      <c r="O1853"/>
      <c r="Q1853"/>
    </row>
    <row r="1854" spans="1:17" hidden="1" x14ac:dyDescent="0.2">
      <c r="A1854" s="3">
        <v>45888</v>
      </c>
      <c r="B1854" s="2" t="s">
        <v>9</v>
      </c>
      <c r="C1854" s="2">
        <v>4</v>
      </c>
      <c r="D1854" s="2">
        <f t="shared" si="112"/>
        <v>2025</v>
      </c>
      <c r="E1854" s="2" t="str">
        <f t="shared" si="113"/>
        <v>2025-34</v>
      </c>
      <c r="F1854" s="2" t="str">
        <f t="shared" si="114"/>
        <v>Week 34</v>
      </c>
      <c r="G1854" s="2" t="str">
        <f t="shared" si="115"/>
        <v>Week 34-2025</v>
      </c>
      <c r="O1854"/>
      <c r="Q1854"/>
    </row>
    <row r="1855" spans="1:17" hidden="1" x14ac:dyDescent="0.2">
      <c r="A1855" s="3">
        <v>45888</v>
      </c>
      <c r="B1855" s="2" t="s">
        <v>3</v>
      </c>
      <c r="C1855" s="2">
        <v>5</v>
      </c>
      <c r="D1855" s="2">
        <f t="shared" si="112"/>
        <v>2025</v>
      </c>
      <c r="E1855" s="2" t="str">
        <f t="shared" si="113"/>
        <v>2025-34</v>
      </c>
      <c r="F1855" s="2" t="str">
        <f t="shared" si="114"/>
        <v>Week 34</v>
      </c>
      <c r="G1855" s="2" t="str">
        <f t="shared" si="115"/>
        <v>Week 34-2025</v>
      </c>
      <c r="O1855"/>
      <c r="Q1855"/>
    </row>
    <row r="1856" spans="1:17" hidden="1" x14ac:dyDescent="0.2">
      <c r="A1856" s="3">
        <v>45888</v>
      </c>
      <c r="B1856" s="2" t="s">
        <v>4</v>
      </c>
      <c r="C1856" s="2">
        <v>3</v>
      </c>
      <c r="D1856" s="2">
        <f t="shared" si="112"/>
        <v>2025</v>
      </c>
      <c r="E1856" s="2" t="str">
        <f t="shared" si="113"/>
        <v>2025-34</v>
      </c>
      <c r="F1856" s="2" t="str">
        <f t="shared" si="114"/>
        <v>Week 34</v>
      </c>
      <c r="G1856" s="2" t="str">
        <f t="shared" si="115"/>
        <v>Week 34-2025</v>
      </c>
      <c r="O1856"/>
      <c r="Q1856"/>
    </row>
    <row r="1857" spans="1:17" hidden="1" x14ac:dyDescent="0.2">
      <c r="A1857" s="3">
        <v>45888</v>
      </c>
      <c r="B1857" s="2" t="s">
        <v>19</v>
      </c>
      <c r="C1857" s="2">
        <v>2</v>
      </c>
      <c r="D1857" s="2">
        <f t="shared" si="112"/>
        <v>2025</v>
      </c>
      <c r="E1857" s="2" t="str">
        <f t="shared" si="113"/>
        <v>2025-34</v>
      </c>
      <c r="F1857" s="2" t="str">
        <f t="shared" si="114"/>
        <v>Week 34</v>
      </c>
      <c r="G1857" s="2" t="str">
        <f t="shared" si="115"/>
        <v>Week 34-2025</v>
      </c>
      <c r="O1857"/>
      <c r="Q1857"/>
    </row>
    <row r="1858" spans="1:17" hidden="1" x14ac:dyDescent="0.2">
      <c r="A1858" s="3">
        <v>45888</v>
      </c>
      <c r="B1858" s="2" t="s">
        <v>5</v>
      </c>
      <c r="C1858" s="2">
        <v>4</v>
      </c>
      <c r="D1858" s="2">
        <f t="shared" ref="D1858:D1921" si="116">YEAR(A1858)</f>
        <v>2025</v>
      </c>
      <c r="E1858" s="2" t="str">
        <f t="shared" ref="E1858:E1921" si="117">YEAR(A1858)&amp;"-"&amp;_xlfn.ISOWEEKNUM(A1858)</f>
        <v>2025-34</v>
      </c>
      <c r="F1858" s="2" t="str">
        <f t="shared" ref="F1858:F1921" si="118">_xlfn.CONCAT("Week "&amp;WEEKNUM(A1858))</f>
        <v>Week 34</v>
      </c>
      <c r="G1858" s="2" t="str">
        <f t="shared" ref="G1858:G1921" si="119">_xlfn.CONCAT(F1858,"-",D1858)</f>
        <v>Week 34-2025</v>
      </c>
      <c r="O1858"/>
      <c r="Q1858"/>
    </row>
    <row r="1859" spans="1:17" hidden="1" x14ac:dyDescent="0.2">
      <c r="A1859" s="3">
        <v>45888</v>
      </c>
      <c r="B1859" s="2" t="s">
        <v>15</v>
      </c>
      <c r="C1859" s="2">
        <v>8</v>
      </c>
      <c r="D1859" s="2">
        <f t="shared" si="116"/>
        <v>2025</v>
      </c>
      <c r="E1859" s="2" t="str">
        <f t="shared" si="117"/>
        <v>2025-34</v>
      </c>
      <c r="F1859" s="2" t="str">
        <f t="shared" si="118"/>
        <v>Week 34</v>
      </c>
      <c r="G1859" s="2" t="str">
        <f t="shared" si="119"/>
        <v>Week 34-2025</v>
      </c>
      <c r="O1859"/>
      <c r="Q1859"/>
    </row>
    <row r="1860" spans="1:17" hidden="1" x14ac:dyDescent="0.2">
      <c r="A1860" s="3">
        <v>45888</v>
      </c>
      <c r="B1860" s="2" t="s">
        <v>17</v>
      </c>
      <c r="C1860" s="2">
        <v>2</v>
      </c>
      <c r="D1860" s="2">
        <f t="shared" si="116"/>
        <v>2025</v>
      </c>
      <c r="E1860" s="2" t="str">
        <f t="shared" si="117"/>
        <v>2025-34</v>
      </c>
      <c r="F1860" s="2" t="str">
        <f t="shared" si="118"/>
        <v>Week 34</v>
      </c>
      <c r="G1860" s="2" t="str">
        <f t="shared" si="119"/>
        <v>Week 34-2025</v>
      </c>
      <c r="O1860"/>
      <c r="Q1860"/>
    </row>
    <row r="1861" spans="1:17" hidden="1" x14ac:dyDescent="0.2">
      <c r="A1861" s="3">
        <v>45888</v>
      </c>
      <c r="B1861" s="2" t="s">
        <v>27</v>
      </c>
      <c r="C1861" s="2">
        <v>4</v>
      </c>
      <c r="D1861" s="2">
        <f t="shared" si="116"/>
        <v>2025</v>
      </c>
      <c r="E1861" s="2" t="str">
        <f t="shared" si="117"/>
        <v>2025-34</v>
      </c>
      <c r="F1861" s="2" t="str">
        <f t="shared" si="118"/>
        <v>Week 34</v>
      </c>
      <c r="G1861" s="2" t="str">
        <f t="shared" si="119"/>
        <v>Week 34-2025</v>
      </c>
      <c r="O1861"/>
      <c r="Q1861"/>
    </row>
    <row r="1862" spans="1:17" hidden="1" x14ac:dyDescent="0.2">
      <c r="A1862" s="3">
        <v>45888</v>
      </c>
      <c r="B1862" s="2" t="s">
        <v>42</v>
      </c>
      <c r="C1862" s="2">
        <v>4</v>
      </c>
      <c r="D1862" s="2">
        <f t="shared" si="116"/>
        <v>2025</v>
      </c>
      <c r="E1862" s="2" t="str">
        <f t="shared" si="117"/>
        <v>2025-34</v>
      </c>
      <c r="F1862" s="2" t="str">
        <f t="shared" si="118"/>
        <v>Week 34</v>
      </c>
      <c r="G1862" s="2" t="str">
        <f t="shared" si="119"/>
        <v>Week 34-2025</v>
      </c>
      <c r="O1862"/>
      <c r="Q1862"/>
    </row>
    <row r="1863" spans="1:17" hidden="1" x14ac:dyDescent="0.2">
      <c r="A1863" s="3">
        <v>45888</v>
      </c>
      <c r="B1863" s="2" t="s">
        <v>17</v>
      </c>
      <c r="C1863" s="2">
        <v>2</v>
      </c>
      <c r="D1863" s="2">
        <f t="shared" si="116"/>
        <v>2025</v>
      </c>
      <c r="E1863" s="2" t="str">
        <f t="shared" si="117"/>
        <v>2025-34</v>
      </c>
      <c r="F1863" s="2" t="str">
        <f t="shared" si="118"/>
        <v>Week 34</v>
      </c>
      <c r="G1863" s="2" t="str">
        <f t="shared" si="119"/>
        <v>Week 34-2025</v>
      </c>
      <c r="O1863"/>
      <c r="Q1863"/>
    </row>
    <row r="1864" spans="1:17" hidden="1" x14ac:dyDescent="0.2">
      <c r="A1864" s="3">
        <v>45888</v>
      </c>
      <c r="B1864" s="2" t="s">
        <v>10</v>
      </c>
      <c r="C1864" s="2">
        <v>2</v>
      </c>
      <c r="D1864" s="2">
        <f t="shared" si="116"/>
        <v>2025</v>
      </c>
      <c r="E1864" s="2" t="str">
        <f t="shared" si="117"/>
        <v>2025-34</v>
      </c>
      <c r="F1864" s="2" t="str">
        <f t="shared" si="118"/>
        <v>Week 34</v>
      </c>
      <c r="G1864" s="2" t="str">
        <f t="shared" si="119"/>
        <v>Week 34-2025</v>
      </c>
      <c r="O1864"/>
      <c r="Q1864"/>
    </row>
    <row r="1865" spans="1:17" hidden="1" x14ac:dyDescent="0.2">
      <c r="A1865" s="3">
        <v>45888</v>
      </c>
      <c r="B1865" s="2" t="s">
        <v>27</v>
      </c>
      <c r="C1865" s="2">
        <v>3</v>
      </c>
      <c r="D1865" s="2">
        <f t="shared" si="116"/>
        <v>2025</v>
      </c>
      <c r="E1865" s="2" t="str">
        <f t="shared" si="117"/>
        <v>2025-34</v>
      </c>
      <c r="F1865" s="2" t="str">
        <f t="shared" si="118"/>
        <v>Week 34</v>
      </c>
      <c r="G1865" s="2" t="str">
        <f t="shared" si="119"/>
        <v>Week 34-2025</v>
      </c>
      <c r="O1865"/>
      <c r="Q1865"/>
    </row>
    <row r="1866" spans="1:17" hidden="1" x14ac:dyDescent="0.2">
      <c r="A1866" s="3">
        <v>45888</v>
      </c>
      <c r="B1866" s="2" t="s">
        <v>29</v>
      </c>
      <c r="C1866" s="2">
        <v>1</v>
      </c>
      <c r="D1866" s="2">
        <f t="shared" si="116"/>
        <v>2025</v>
      </c>
      <c r="E1866" s="2" t="str">
        <f t="shared" si="117"/>
        <v>2025-34</v>
      </c>
      <c r="F1866" s="2" t="str">
        <f t="shared" si="118"/>
        <v>Week 34</v>
      </c>
      <c r="G1866" s="2" t="str">
        <f t="shared" si="119"/>
        <v>Week 34-2025</v>
      </c>
      <c r="O1866"/>
      <c r="Q1866"/>
    </row>
    <row r="1867" spans="1:17" hidden="1" x14ac:dyDescent="0.2">
      <c r="A1867" s="3">
        <v>45888</v>
      </c>
      <c r="B1867" s="2" t="s">
        <v>38</v>
      </c>
      <c r="C1867" s="2">
        <v>2</v>
      </c>
      <c r="D1867" s="2">
        <f t="shared" si="116"/>
        <v>2025</v>
      </c>
      <c r="E1867" s="2" t="str">
        <f t="shared" si="117"/>
        <v>2025-34</v>
      </c>
      <c r="F1867" s="2" t="str">
        <f t="shared" si="118"/>
        <v>Week 34</v>
      </c>
      <c r="G1867" s="2" t="str">
        <f t="shared" si="119"/>
        <v>Week 34-2025</v>
      </c>
      <c r="O1867"/>
      <c r="Q1867"/>
    </row>
    <row r="1868" spans="1:17" hidden="1" x14ac:dyDescent="0.2">
      <c r="A1868" s="3">
        <v>45888</v>
      </c>
      <c r="B1868" s="2" t="s">
        <v>5</v>
      </c>
      <c r="C1868" s="2">
        <v>1</v>
      </c>
      <c r="D1868" s="2">
        <f t="shared" si="116"/>
        <v>2025</v>
      </c>
      <c r="E1868" s="2" t="str">
        <f t="shared" si="117"/>
        <v>2025-34</v>
      </c>
      <c r="F1868" s="2" t="str">
        <f t="shared" si="118"/>
        <v>Week 34</v>
      </c>
      <c r="G1868" s="2" t="str">
        <f t="shared" si="119"/>
        <v>Week 34-2025</v>
      </c>
      <c r="O1868"/>
      <c r="Q1868"/>
    </row>
    <row r="1869" spans="1:17" hidden="1" x14ac:dyDescent="0.2">
      <c r="A1869" s="3">
        <v>45888</v>
      </c>
      <c r="B1869" s="2" t="s">
        <v>3</v>
      </c>
      <c r="C1869" s="2">
        <v>1</v>
      </c>
      <c r="D1869" s="2">
        <f t="shared" si="116"/>
        <v>2025</v>
      </c>
      <c r="E1869" s="2" t="str">
        <f t="shared" si="117"/>
        <v>2025-34</v>
      </c>
      <c r="F1869" s="2" t="str">
        <f t="shared" si="118"/>
        <v>Week 34</v>
      </c>
      <c r="G1869" s="2" t="str">
        <f t="shared" si="119"/>
        <v>Week 34-2025</v>
      </c>
      <c r="O1869"/>
      <c r="Q1869"/>
    </row>
    <row r="1870" spans="1:17" hidden="1" x14ac:dyDescent="0.2">
      <c r="A1870" s="3">
        <v>45888</v>
      </c>
      <c r="B1870" s="2" t="s">
        <v>13</v>
      </c>
      <c r="C1870" s="2">
        <v>1</v>
      </c>
      <c r="D1870" s="2">
        <f t="shared" si="116"/>
        <v>2025</v>
      </c>
      <c r="E1870" s="2" t="str">
        <f t="shared" si="117"/>
        <v>2025-34</v>
      </c>
      <c r="F1870" s="2" t="str">
        <f t="shared" si="118"/>
        <v>Week 34</v>
      </c>
      <c r="G1870" s="2" t="str">
        <f t="shared" si="119"/>
        <v>Week 34-2025</v>
      </c>
      <c r="O1870"/>
      <c r="Q1870"/>
    </row>
    <row r="1871" spans="1:17" hidden="1" x14ac:dyDescent="0.2">
      <c r="A1871" s="3">
        <v>45888</v>
      </c>
      <c r="B1871" s="2" t="s">
        <v>35</v>
      </c>
      <c r="C1871" s="2">
        <v>1</v>
      </c>
      <c r="D1871" s="2">
        <f t="shared" si="116"/>
        <v>2025</v>
      </c>
      <c r="E1871" s="2" t="str">
        <f t="shared" si="117"/>
        <v>2025-34</v>
      </c>
      <c r="F1871" s="2" t="str">
        <f t="shared" si="118"/>
        <v>Week 34</v>
      </c>
      <c r="G1871" s="2" t="str">
        <f t="shared" si="119"/>
        <v>Week 34-2025</v>
      </c>
      <c r="O1871"/>
      <c r="Q1871"/>
    </row>
    <row r="1872" spans="1:17" hidden="1" x14ac:dyDescent="0.2">
      <c r="A1872" s="3">
        <v>45888</v>
      </c>
      <c r="B1872" s="2" t="s">
        <v>27</v>
      </c>
      <c r="C1872" s="2">
        <v>1</v>
      </c>
      <c r="D1872" s="2">
        <f t="shared" si="116"/>
        <v>2025</v>
      </c>
      <c r="E1872" s="2" t="str">
        <f t="shared" si="117"/>
        <v>2025-34</v>
      </c>
      <c r="F1872" s="2" t="str">
        <f t="shared" si="118"/>
        <v>Week 34</v>
      </c>
      <c r="G1872" s="2" t="str">
        <f t="shared" si="119"/>
        <v>Week 34-2025</v>
      </c>
      <c r="O1872"/>
      <c r="Q1872"/>
    </row>
    <row r="1873" spans="1:17" hidden="1" x14ac:dyDescent="0.2">
      <c r="A1873" s="3">
        <v>45888</v>
      </c>
      <c r="B1873" s="2" t="s">
        <v>42</v>
      </c>
      <c r="C1873" s="2">
        <v>1</v>
      </c>
      <c r="D1873" s="2">
        <f t="shared" si="116"/>
        <v>2025</v>
      </c>
      <c r="E1873" s="2" t="str">
        <f t="shared" si="117"/>
        <v>2025-34</v>
      </c>
      <c r="F1873" s="2" t="str">
        <f t="shared" si="118"/>
        <v>Week 34</v>
      </c>
      <c r="G1873" s="2" t="str">
        <f t="shared" si="119"/>
        <v>Week 34-2025</v>
      </c>
      <c r="O1873"/>
      <c r="Q1873"/>
    </row>
    <row r="1874" spans="1:17" hidden="1" x14ac:dyDescent="0.2">
      <c r="A1874" s="3">
        <v>45889</v>
      </c>
      <c r="B1874" s="2" t="s">
        <v>12</v>
      </c>
      <c r="C1874" s="2">
        <v>21</v>
      </c>
      <c r="D1874" s="2">
        <f t="shared" si="116"/>
        <v>2025</v>
      </c>
      <c r="E1874" s="2" t="str">
        <f t="shared" si="117"/>
        <v>2025-34</v>
      </c>
      <c r="F1874" s="2" t="str">
        <f t="shared" si="118"/>
        <v>Week 34</v>
      </c>
      <c r="G1874" s="2" t="str">
        <f t="shared" si="119"/>
        <v>Week 34-2025</v>
      </c>
      <c r="O1874"/>
      <c r="Q1874"/>
    </row>
    <row r="1875" spans="1:17" hidden="1" x14ac:dyDescent="0.2">
      <c r="A1875" s="3">
        <v>45889</v>
      </c>
      <c r="B1875" s="2" t="s">
        <v>12</v>
      </c>
      <c r="C1875" s="2">
        <v>13</v>
      </c>
      <c r="D1875" s="2">
        <f t="shared" si="116"/>
        <v>2025</v>
      </c>
      <c r="E1875" s="2" t="str">
        <f t="shared" si="117"/>
        <v>2025-34</v>
      </c>
      <c r="F1875" s="2" t="str">
        <f t="shared" si="118"/>
        <v>Week 34</v>
      </c>
      <c r="G1875" s="2" t="str">
        <f t="shared" si="119"/>
        <v>Week 34-2025</v>
      </c>
      <c r="O1875"/>
      <c r="Q1875"/>
    </row>
    <row r="1876" spans="1:17" hidden="1" x14ac:dyDescent="0.2">
      <c r="A1876" s="3">
        <v>45889</v>
      </c>
      <c r="B1876" s="2" t="s">
        <v>21</v>
      </c>
      <c r="C1876" s="2">
        <v>10</v>
      </c>
      <c r="D1876" s="2">
        <f t="shared" si="116"/>
        <v>2025</v>
      </c>
      <c r="E1876" s="2" t="str">
        <f t="shared" si="117"/>
        <v>2025-34</v>
      </c>
      <c r="F1876" s="2" t="str">
        <f t="shared" si="118"/>
        <v>Week 34</v>
      </c>
      <c r="G1876" s="2" t="str">
        <f t="shared" si="119"/>
        <v>Week 34-2025</v>
      </c>
      <c r="O1876"/>
      <c r="Q1876"/>
    </row>
    <row r="1877" spans="1:17" hidden="1" x14ac:dyDescent="0.2">
      <c r="A1877" s="3">
        <v>45889</v>
      </c>
      <c r="B1877" s="2" t="s">
        <v>21</v>
      </c>
      <c r="C1877" s="2">
        <v>10</v>
      </c>
      <c r="D1877" s="2">
        <f t="shared" si="116"/>
        <v>2025</v>
      </c>
      <c r="E1877" s="2" t="str">
        <f t="shared" si="117"/>
        <v>2025-34</v>
      </c>
      <c r="F1877" s="2" t="str">
        <f t="shared" si="118"/>
        <v>Week 34</v>
      </c>
      <c r="G1877" s="2" t="str">
        <f t="shared" si="119"/>
        <v>Week 34-2025</v>
      </c>
      <c r="O1877"/>
      <c r="Q1877"/>
    </row>
    <row r="1878" spans="1:17" hidden="1" x14ac:dyDescent="0.2">
      <c r="A1878" s="3">
        <v>45889</v>
      </c>
      <c r="B1878" s="2" t="s">
        <v>12</v>
      </c>
      <c r="C1878" s="2">
        <v>8</v>
      </c>
      <c r="D1878" s="2">
        <f t="shared" si="116"/>
        <v>2025</v>
      </c>
      <c r="E1878" s="2" t="str">
        <f t="shared" si="117"/>
        <v>2025-34</v>
      </c>
      <c r="F1878" s="2" t="str">
        <f t="shared" si="118"/>
        <v>Week 34</v>
      </c>
      <c r="G1878" s="2" t="str">
        <f t="shared" si="119"/>
        <v>Week 34-2025</v>
      </c>
      <c r="O1878"/>
      <c r="Q1878"/>
    </row>
    <row r="1879" spans="1:17" hidden="1" x14ac:dyDescent="0.2">
      <c r="A1879" s="3">
        <v>45889</v>
      </c>
      <c r="B1879" s="2" t="s">
        <v>17</v>
      </c>
      <c r="C1879" s="2">
        <v>17</v>
      </c>
      <c r="D1879" s="2">
        <f t="shared" si="116"/>
        <v>2025</v>
      </c>
      <c r="E1879" s="2" t="str">
        <f t="shared" si="117"/>
        <v>2025-34</v>
      </c>
      <c r="F1879" s="2" t="str">
        <f t="shared" si="118"/>
        <v>Week 34</v>
      </c>
      <c r="G1879" s="2" t="str">
        <f t="shared" si="119"/>
        <v>Week 34-2025</v>
      </c>
      <c r="O1879"/>
      <c r="Q1879"/>
    </row>
    <row r="1880" spans="1:17" hidden="1" x14ac:dyDescent="0.2">
      <c r="A1880" s="3">
        <v>45889</v>
      </c>
      <c r="B1880" s="2" t="s">
        <v>29</v>
      </c>
      <c r="C1880" s="2">
        <v>12</v>
      </c>
      <c r="D1880" s="2">
        <f t="shared" si="116"/>
        <v>2025</v>
      </c>
      <c r="E1880" s="2" t="str">
        <f t="shared" si="117"/>
        <v>2025-34</v>
      </c>
      <c r="F1880" s="2" t="str">
        <f t="shared" si="118"/>
        <v>Week 34</v>
      </c>
      <c r="G1880" s="2" t="str">
        <f t="shared" si="119"/>
        <v>Week 34-2025</v>
      </c>
      <c r="O1880"/>
      <c r="Q1880"/>
    </row>
    <row r="1881" spans="1:17" hidden="1" x14ac:dyDescent="0.2">
      <c r="A1881" s="3">
        <v>45889</v>
      </c>
      <c r="B1881" s="2" t="s">
        <v>11</v>
      </c>
      <c r="C1881" s="2">
        <v>5</v>
      </c>
      <c r="D1881" s="2">
        <f t="shared" si="116"/>
        <v>2025</v>
      </c>
      <c r="E1881" s="2" t="str">
        <f t="shared" si="117"/>
        <v>2025-34</v>
      </c>
      <c r="F1881" s="2" t="str">
        <f t="shared" si="118"/>
        <v>Week 34</v>
      </c>
      <c r="G1881" s="2" t="str">
        <f t="shared" si="119"/>
        <v>Week 34-2025</v>
      </c>
      <c r="O1881"/>
      <c r="Q1881"/>
    </row>
    <row r="1882" spans="1:17" hidden="1" x14ac:dyDescent="0.2">
      <c r="A1882" s="3">
        <v>45889</v>
      </c>
      <c r="B1882" s="2" t="s">
        <v>11</v>
      </c>
      <c r="C1882" s="2">
        <v>5</v>
      </c>
      <c r="D1882" s="2">
        <f t="shared" si="116"/>
        <v>2025</v>
      </c>
      <c r="E1882" s="2" t="str">
        <f t="shared" si="117"/>
        <v>2025-34</v>
      </c>
      <c r="F1882" s="2" t="str">
        <f t="shared" si="118"/>
        <v>Week 34</v>
      </c>
      <c r="G1882" s="2" t="str">
        <f t="shared" si="119"/>
        <v>Week 34-2025</v>
      </c>
      <c r="O1882"/>
      <c r="Q1882"/>
    </row>
    <row r="1883" spans="1:17" hidden="1" x14ac:dyDescent="0.2">
      <c r="A1883" s="3">
        <v>45889</v>
      </c>
      <c r="B1883" s="2" t="s">
        <v>19</v>
      </c>
      <c r="C1883" s="2">
        <v>7</v>
      </c>
      <c r="D1883" s="2">
        <f t="shared" si="116"/>
        <v>2025</v>
      </c>
      <c r="E1883" s="2" t="str">
        <f t="shared" si="117"/>
        <v>2025-34</v>
      </c>
      <c r="F1883" s="2" t="str">
        <f t="shared" si="118"/>
        <v>Week 34</v>
      </c>
      <c r="G1883" s="2" t="str">
        <f t="shared" si="119"/>
        <v>Week 34-2025</v>
      </c>
      <c r="O1883"/>
      <c r="Q1883"/>
    </row>
    <row r="1884" spans="1:17" hidden="1" x14ac:dyDescent="0.2">
      <c r="A1884" s="3">
        <v>45889</v>
      </c>
      <c r="B1884" s="2" t="s">
        <v>19</v>
      </c>
      <c r="C1884" s="2">
        <v>7</v>
      </c>
      <c r="D1884" s="2">
        <f t="shared" si="116"/>
        <v>2025</v>
      </c>
      <c r="E1884" s="2" t="str">
        <f t="shared" si="117"/>
        <v>2025-34</v>
      </c>
      <c r="F1884" s="2" t="str">
        <f t="shared" si="118"/>
        <v>Week 34</v>
      </c>
      <c r="G1884" s="2" t="str">
        <f t="shared" si="119"/>
        <v>Week 34-2025</v>
      </c>
      <c r="O1884"/>
      <c r="Q1884"/>
    </row>
    <row r="1885" spans="1:17" hidden="1" x14ac:dyDescent="0.2">
      <c r="A1885" s="3">
        <v>45889</v>
      </c>
      <c r="B1885" s="2" t="s">
        <v>6</v>
      </c>
      <c r="C1885" s="2">
        <v>6</v>
      </c>
      <c r="D1885" s="2">
        <f t="shared" si="116"/>
        <v>2025</v>
      </c>
      <c r="E1885" s="2" t="str">
        <f t="shared" si="117"/>
        <v>2025-34</v>
      </c>
      <c r="F1885" s="2" t="str">
        <f t="shared" si="118"/>
        <v>Week 34</v>
      </c>
      <c r="G1885" s="2" t="str">
        <f t="shared" si="119"/>
        <v>Week 34-2025</v>
      </c>
      <c r="O1885"/>
      <c r="Q1885"/>
    </row>
    <row r="1886" spans="1:17" hidden="1" x14ac:dyDescent="0.2">
      <c r="A1886" s="3">
        <v>45889</v>
      </c>
      <c r="B1886" s="2" t="s">
        <v>37</v>
      </c>
      <c r="C1886" s="2">
        <v>12</v>
      </c>
      <c r="D1886" s="2">
        <f t="shared" si="116"/>
        <v>2025</v>
      </c>
      <c r="E1886" s="2" t="str">
        <f t="shared" si="117"/>
        <v>2025-34</v>
      </c>
      <c r="F1886" s="2" t="str">
        <f t="shared" si="118"/>
        <v>Week 34</v>
      </c>
      <c r="G1886" s="2" t="str">
        <f t="shared" si="119"/>
        <v>Week 34-2025</v>
      </c>
      <c r="O1886"/>
      <c r="Q1886"/>
    </row>
    <row r="1887" spans="1:17" hidden="1" x14ac:dyDescent="0.2">
      <c r="A1887" s="3">
        <v>45889</v>
      </c>
      <c r="B1887" s="2" t="s">
        <v>37</v>
      </c>
      <c r="C1887" s="2">
        <v>12</v>
      </c>
      <c r="D1887" s="2">
        <f t="shared" si="116"/>
        <v>2025</v>
      </c>
      <c r="E1887" s="2" t="str">
        <f t="shared" si="117"/>
        <v>2025-34</v>
      </c>
      <c r="F1887" s="2" t="str">
        <f t="shared" si="118"/>
        <v>Week 34</v>
      </c>
      <c r="G1887" s="2" t="str">
        <f t="shared" si="119"/>
        <v>Week 34-2025</v>
      </c>
      <c r="O1887"/>
      <c r="Q1887"/>
    </row>
    <row r="1888" spans="1:17" hidden="1" x14ac:dyDescent="0.2">
      <c r="A1888" s="3">
        <v>45889</v>
      </c>
      <c r="B1888" s="2" t="s">
        <v>18</v>
      </c>
      <c r="C1888" s="2">
        <v>5</v>
      </c>
      <c r="D1888" s="2">
        <f t="shared" si="116"/>
        <v>2025</v>
      </c>
      <c r="E1888" s="2" t="str">
        <f t="shared" si="117"/>
        <v>2025-34</v>
      </c>
      <c r="F1888" s="2" t="str">
        <f t="shared" si="118"/>
        <v>Week 34</v>
      </c>
      <c r="G1888" s="2" t="str">
        <f t="shared" si="119"/>
        <v>Week 34-2025</v>
      </c>
      <c r="O1888"/>
      <c r="Q1888"/>
    </row>
    <row r="1889" spans="1:17" hidden="1" x14ac:dyDescent="0.2">
      <c r="A1889" s="3">
        <v>45889</v>
      </c>
      <c r="B1889" s="2" t="s">
        <v>18</v>
      </c>
      <c r="C1889" s="2">
        <v>5</v>
      </c>
      <c r="D1889" s="2">
        <f t="shared" si="116"/>
        <v>2025</v>
      </c>
      <c r="E1889" s="2" t="str">
        <f t="shared" si="117"/>
        <v>2025-34</v>
      </c>
      <c r="F1889" s="2" t="str">
        <f t="shared" si="118"/>
        <v>Week 34</v>
      </c>
      <c r="G1889" s="2" t="str">
        <f t="shared" si="119"/>
        <v>Week 34-2025</v>
      </c>
      <c r="O1889"/>
      <c r="Q1889"/>
    </row>
    <row r="1890" spans="1:17" hidden="1" x14ac:dyDescent="0.2">
      <c r="A1890" s="3">
        <v>45889</v>
      </c>
      <c r="B1890" s="2" t="s">
        <v>9</v>
      </c>
      <c r="C1890" s="2">
        <v>5</v>
      </c>
      <c r="D1890" s="2">
        <f t="shared" si="116"/>
        <v>2025</v>
      </c>
      <c r="E1890" s="2" t="str">
        <f t="shared" si="117"/>
        <v>2025-34</v>
      </c>
      <c r="F1890" s="2" t="str">
        <f t="shared" si="118"/>
        <v>Week 34</v>
      </c>
      <c r="G1890" s="2" t="str">
        <f t="shared" si="119"/>
        <v>Week 34-2025</v>
      </c>
      <c r="O1890"/>
      <c r="Q1890"/>
    </row>
    <row r="1891" spans="1:17" hidden="1" x14ac:dyDescent="0.2">
      <c r="A1891" s="3">
        <v>45889</v>
      </c>
      <c r="B1891" s="2" t="s">
        <v>23</v>
      </c>
      <c r="C1891" s="2">
        <v>3</v>
      </c>
      <c r="D1891" s="2">
        <f t="shared" si="116"/>
        <v>2025</v>
      </c>
      <c r="E1891" s="2" t="str">
        <f t="shared" si="117"/>
        <v>2025-34</v>
      </c>
      <c r="F1891" s="2" t="str">
        <f t="shared" si="118"/>
        <v>Week 34</v>
      </c>
      <c r="G1891" s="2" t="str">
        <f t="shared" si="119"/>
        <v>Week 34-2025</v>
      </c>
      <c r="O1891"/>
      <c r="Q1891"/>
    </row>
    <row r="1892" spans="1:17" hidden="1" x14ac:dyDescent="0.2">
      <c r="A1892" s="3">
        <v>45889</v>
      </c>
      <c r="B1892" s="2" t="s">
        <v>23</v>
      </c>
      <c r="C1892" s="2">
        <v>3</v>
      </c>
      <c r="D1892" s="2">
        <f t="shared" si="116"/>
        <v>2025</v>
      </c>
      <c r="E1892" s="2" t="str">
        <f t="shared" si="117"/>
        <v>2025-34</v>
      </c>
      <c r="F1892" s="2" t="str">
        <f t="shared" si="118"/>
        <v>Week 34</v>
      </c>
      <c r="G1892" s="2" t="str">
        <f t="shared" si="119"/>
        <v>Week 34-2025</v>
      </c>
      <c r="O1892"/>
      <c r="Q1892"/>
    </row>
    <row r="1893" spans="1:17" hidden="1" x14ac:dyDescent="0.2">
      <c r="A1893" s="3">
        <v>45889</v>
      </c>
      <c r="B1893" s="2" t="s">
        <v>10</v>
      </c>
      <c r="C1893" s="2">
        <v>6</v>
      </c>
      <c r="D1893" s="2">
        <f t="shared" si="116"/>
        <v>2025</v>
      </c>
      <c r="E1893" s="2" t="str">
        <f t="shared" si="117"/>
        <v>2025-34</v>
      </c>
      <c r="F1893" s="2" t="str">
        <f t="shared" si="118"/>
        <v>Week 34</v>
      </c>
      <c r="G1893" s="2" t="str">
        <f t="shared" si="119"/>
        <v>Week 34-2025</v>
      </c>
      <c r="O1893"/>
      <c r="Q1893"/>
    </row>
    <row r="1894" spans="1:17" hidden="1" x14ac:dyDescent="0.2">
      <c r="A1894" s="3">
        <v>45889</v>
      </c>
      <c r="B1894" s="2" t="s">
        <v>38</v>
      </c>
      <c r="C1894" s="2">
        <v>7</v>
      </c>
      <c r="D1894" s="2">
        <f t="shared" si="116"/>
        <v>2025</v>
      </c>
      <c r="E1894" s="2" t="str">
        <f t="shared" si="117"/>
        <v>2025-34</v>
      </c>
      <c r="F1894" s="2" t="str">
        <f t="shared" si="118"/>
        <v>Week 34</v>
      </c>
      <c r="G1894" s="2" t="str">
        <f t="shared" si="119"/>
        <v>Week 34-2025</v>
      </c>
      <c r="O1894"/>
      <c r="Q1894"/>
    </row>
    <row r="1895" spans="1:17" hidden="1" x14ac:dyDescent="0.2">
      <c r="A1895" s="3">
        <v>45889</v>
      </c>
      <c r="B1895" s="2" t="s">
        <v>29</v>
      </c>
      <c r="C1895" s="2">
        <v>4</v>
      </c>
      <c r="D1895" s="2">
        <f t="shared" si="116"/>
        <v>2025</v>
      </c>
      <c r="E1895" s="2" t="str">
        <f t="shared" si="117"/>
        <v>2025-34</v>
      </c>
      <c r="F1895" s="2" t="str">
        <f t="shared" si="118"/>
        <v>Week 34</v>
      </c>
      <c r="G1895" s="2" t="str">
        <f t="shared" si="119"/>
        <v>Week 34-2025</v>
      </c>
      <c r="O1895"/>
      <c r="Q1895"/>
    </row>
    <row r="1896" spans="1:17" hidden="1" x14ac:dyDescent="0.2">
      <c r="A1896" s="3">
        <v>45889</v>
      </c>
      <c r="B1896" s="2" t="s">
        <v>9</v>
      </c>
      <c r="C1896" s="2">
        <v>3</v>
      </c>
      <c r="D1896" s="2">
        <f t="shared" si="116"/>
        <v>2025</v>
      </c>
      <c r="E1896" s="2" t="str">
        <f t="shared" si="117"/>
        <v>2025-34</v>
      </c>
      <c r="F1896" s="2" t="str">
        <f t="shared" si="118"/>
        <v>Week 34</v>
      </c>
      <c r="G1896" s="2" t="str">
        <f t="shared" si="119"/>
        <v>Week 34-2025</v>
      </c>
      <c r="O1896"/>
      <c r="Q1896"/>
    </row>
    <row r="1897" spans="1:17" hidden="1" x14ac:dyDescent="0.2">
      <c r="A1897" s="3">
        <v>45889</v>
      </c>
      <c r="B1897" s="2" t="s">
        <v>29</v>
      </c>
      <c r="C1897" s="2">
        <v>3</v>
      </c>
      <c r="D1897" s="2">
        <f t="shared" si="116"/>
        <v>2025</v>
      </c>
      <c r="E1897" s="2" t="str">
        <f t="shared" si="117"/>
        <v>2025-34</v>
      </c>
      <c r="F1897" s="2" t="str">
        <f t="shared" si="118"/>
        <v>Week 34</v>
      </c>
      <c r="G1897" s="2" t="str">
        <f t="shared" si="119"/>
        <v>Week 34-2025</v>
      </c>
      <c r="O1897"/>
      <c r="Q1897"/>
    </row>
    <row r="1898" spans="1:17" hidden="1" x14ac:dyDescent="0.2">
      <c r="A1898" s="3">
        <v>45889</v>
      </c>
      <c r="B1898" s="2" t="s">
        <v>5</v>
      </c>
      <c r="C1898" s="2">
        <v>3</v>
      </c>
      <c r="D1898" s="2">
        <f t="shared" si="116"/>
        <v>2025</v>
      </c>
      <c r="E1898" s="2" t="str">
        <f t="shared" si="117"/>
        <v>2025-34</v>
      </c>
      <c r="F1898" s="2" t="str">
        <f t="shared" si="118"/>
        <v>Week 34</v>
      </c>
      <c r="G1898" s="2" t="str">
        <f t="shared" si="119"/>
        <v>Week 34-2025</v>
      </c>
      <c r="O1898"/>
      <c r="Q1898"/>
    </row>
    <row r="1899" spans="1:17" hidden="1" x14ac:dyDescent="0.2">
      <c r="A1899" s="3">
        <v>45889</v>
      </c>
      <c r="B1899" s="2" t="s">
        <v>7</v>
      </c>
      <c r="C1899" s="2">
        <v>2</v>
      </c>
      <c r="D1899" s="2">
        <f t="shared" si="116"/>
        <v>2025</v>
      </c>
      <c r="E1899" s="2" t="str">
        <f t="shared" si="117"/>
        <v>2025-34</v>
      </c>
      <c r="F1899" s="2" t="str">
        <f t="shared" si="118"/>
        <v>Week 34</v>
      </c>
      <c r="G1899" s="2" t="str">
        <f t="shared" si="119"/>
        <v>Week 34-2025</v>
      </c>
      <c r="O1899"/>
      <c r="Q1899"/>
    </row>
    <row r="1900" spans="1:17" hidden="1" x14ac:dyDescent="0.2">
      <c r="A1900" s="3">
        <v>45889</v>
      </c>
      <c r="B1900" s="2" t="s">
        <v>7</v>
      </c>
      <c r="C1900" s="2">
        <v>2</v>
      </c>
      <c r="D1900" s="2">
        <f t="shared" si="116"/>
        <v>2025</v>
      </c>
      <c r="E1900" s="2" t="str">
        <f t="shared" si="117"/>
        <v>2025-34</v>
      </c>
      <c r="F1900" s="2" t="str">
        <f t="shared" si="118"/>
        <v>Week 34</v>
      </c>
      <c r="G1900" s="2" t="str">
        <f t="shared" si="119"/>
        <v>Week 34-2025</v>
      </c>
      <c r="O1900"/>
      <c r="Q1900"/>
    </row>
    <row r="1901" spans="1:17" hidden="1" x14ac:dyDescent="0.2">
      <c r="A1901" s="3">
        <v>45889</v>
      </c>
      <c r="B1901" s="2" t="s">
        <v>9</v>
      </c>
      <c r="C1901" s="2">
        <v>2</v>
      </c>
      <c r="D1901" s="2">
        <f t="shared" si="116"/>
        <v>2025</v>
      </c>
      <c r="E1901" s="2" t="str">
        <f t="shared" si="117"/>
        <v>2025-34</v>
      </c>
      <c r="F1901" s="2" t="str">
        <f t="shared" si="118"/>
        <v>Week 34</v>
      </c>
      <c r="G1901" s="2" t="str">
        <f t="shared" si="119"/>
        <v>Week 34-2025</v>
      </c>
      <c r="O1901"/>
      <c r="Q1901"/>
    </row>
    <row r="1902" spans="1:17" hidden="1" x14ac:dyDescent="0.2">
      <c r="A1902" s="3">
        <v>45889</v>
      </c>
      <c r="B1902" s="2" t="s">
        <v>3</v>
      </c>
      <c r="C1902" s="2">
        <v>2</v>
      </c>
      <c r="D1902" s="2">
        <f t="shared" si="116"/>
        <v>2025</v>
      </c>
      <c r="E1902" s="2" t="str">
        <f t="shared" si="117"/>
        <v>2025-34</v>
      </c>
      <c r="F1902" s="2" t="str">
        <f t="shared" si="118"/>
        <v>Week 34</v>
      </c>
      <c r="G1902" s="2" t="str">
        <f t="shared" si="119"/>
        <v>Week 34-2025</v>
      </c>
      <c r="O1902"/>
      <c r="Q1902"/>
    </row>
    <row r="1903" spans="1:17" hidden="1" x14ac:dyDescent="0.2">
      <c r="A1903" s="3">
        <v>45889</v>
      </c>
      <c r="B1903" s="2" t="s">
        <v>3</v>
      </c>
      <c r="C1903" s="2">
        <v>2</v>
      </c>
      <c r="D1903" s="2">
        <f t="shared" si="116"/>
        <v>2025</v>
      </c>
      <c r="E1903" s="2" t="str">
        <f t="shared" si="117"/>
        <v>2025-34</v>
      </c>
      <c r="F1903" s="2" t="str">
        <f t="shared" si="118"/>
        <v>Week 34</v>
      </c>
      <c r="G1903" s="2" t="str">
        <f t="shared" si="119"/>
        <v>Week 34-2025</v>
      </c>
      <c r="O1903"/>
      <c r="Q1903"/>
    </row>
    <row r="1904" spans="1:17" hidden="1" x14ac:dyDescent="0.2">
      <c r="A1904" s="3">
        <v>45889</v>
      </c>
      <c r="B1904" s="2" t="s">
        <v>29</v>
      </c>
      <c r="C1904" s="2">
        <v>2</v>
      </c>
      <c r="D1904" s="2">
        <f t="shared" si="116"/>
        <v>2025</v>
      </c>
      <c r="E1904" s="2" t="str">
        <f t="shared" si="117"/>
        <v>2025-34</v>
      </c>
      <c r="F1904" s="2" t="str">
        <f t="shared" si="118"/>
        <v>Week 34</v>
      </c>
      <c r="G1904" s="2" t="str">
        <f t="shared" si="119"/>
        <v>Week 34-2025</v>
      </c>
      <c r="O1904"/>
      <c r="Q1904"/>
    </row>
    <row r="1905" spans="1:17" hidden="1" x14ac:dyDescent="0.2">
      <c r="A1905" s="3">
        <v>45889</v>
      </c>
      <c r="B1905" s="2" t="s">
        <v>17</v>
      </c>
      <c r="C1905" s="2">
        <v>2</v>
      </c>
      <c r="D1905" s="2">
        <f t="shared" si="116"/>
        <v>2025</v>
      </c>
      <c r="E1905" s="2" t="str">
        <f t="shared" si="117"/>
        <v>2025-34</v>
      </c>
      <c r="F1905" s="2" t="str">
        <f t="shared" si="118"/>
        <v>Week 34</v>
      </c>
      <c r="G1905" s="2" t="str">
        <f t="shared" si="119"/>
        <v>Week 34-2025</v>
      </c>
      <c r="O1905"/>
      <c r="Q1905"/>
    </row>
    <row r="1906" spans="1:17" hidden="1" x14ac:dyDescent="0.2">
      <c r="A1906" s="3">
        <v>45889</v>
      </c>
      <c r="B1906" s="2" t="s">
        <v>6</v>
      </c>
      <c r="C1906" s="2">
        <v>1</v>
      </c>
      <c r="D1906" s="2">
        <f t="shared" si="116"/>
        <v>2025</v>
      </c>
      <c r="E1906" s="2" t="str">
        <f t="shared" si="117"/>
        <v>2025-34</v>
      </c>
      <c r="F1906" s="2" t="str">
        <f t="shared" si="118"/>
        <v>Week 34</v>
      </c>
      <c r="G1906" s="2" t="str">
        <f t="shared" si="119"/>
        <v>Week 34-2025</v>
      </c>
      <c r="O1906"/>
      <c r="Q1906"/>
    </row>
    <row r="1907" spans="1:17" hidden="1" x14ac:dyDescent="0.2">
      <c r="A1907" s="3">
        <v>45889</v>
      </c>
      <c r="B1907" s="2" t="s">
        <v>14</v>
      </c>
      <c r="C1907" s="2">
        <v>2</v>
      </c>
      <c r="D1907" s="2">
        <f t="shared" si="116"/>
        <v>2025</v>
      </c>
      <c r="E1907" s="2" t="str">
        <f t="shared" si="117"/>
        <v>2025-34</v>
      </c>
      <c r="F1907" s="2" t="str">
        <f t="shared" si="118"/>
        <v>Week 34</v>
      </c>
      <c r="G1907" s="2" t="str">
        <f t="shared" si="119"/>
        <v>Week 34-2025</v>
      </c>
      <c r="O1907"/>
      <c r="Q1907"/>
    </row>
    <row r="1908" spans="1:17" hidden="1" x14ac:dyDescent="0.2">
      <c r="A1908" s="3">
        <v>45889</v>
      </c>
      <c r="B1908" s="2" t="s">
        <v>14</v>
      </c>
      <c r="C1908" s="2">
        <v>2</v>
      </c>
      <c r="D1908" s="2">
        <f t="shared" si="116"/>
        <v>2025</v>
      </c>
      <c r="E1908" s="2" t="str">
        <f t="shared" si="117"/>
        <v>2025-34</v>
      </c>
      <c r="F1908" s="2" t="str">
        <f t="shared" si="118"/>
        <v>Week 34</v>
      </c>
      <c r="G1908" s="2" t="str">
        <f t="shared" si="119"/>
        <v>Week 34-2025</v>
      </c>
      <c r="O1908"/>
      <c r="Q1908"/>
    </row>
    <row r="1909" spans="1:17" hidden="1" x14ac:dyDescent="0.2">
      <c r="A1909" s="3">
        <v>45889</v>
      </c>
      <c r="B1909" s="2" t="s">
        <v>4</v>
      </c>
      <c r="C1909" s="2">
        <v>1</v>
      </c>
      <c r="D1909" s="2">
        <f t="shared" si="116"/>
        <v>2025</v>
      </c>
      <c r="E1909" s="2" t="str">
        <f t="shared" si="117"/>
        <v>2025-34</v>
      </c>
      <c r="F1909" s="2" t="str">
        <f t="shared" si="118"/>
        <v>Week 34</v>
      </c>
      <c r="G1909" s="2" t="str">
        <f t="shared" si="119"/>
        <v>Week 34-2025</v>
      </c>
      <c r="O1909"/>
      <c r="Q1909"/>
    </row>
    <row r="1910" spans="1:17" hidden="1" x14ac:dyDescent="0.2">
      <c r="A1910" s="3">
        <v>45889</v>
      </c>
      <c r="B1910" s="2" t="s">
        <v>8</v>
      </c>
      <c r="C1910" s="2">
        <v>2</v>
      </c>
      <c r="D1910" s="2">
        <f t="shared" si="116"/>
        <v>2025</v>
      </c>
      <c r="E1910" s="2" t="str">
        <f t="shared" si="117"/>
        <v>2025-34</v>
      </c>
      <c r="F1910" s="2" t="str">
        <f t="shared" si="118"/>
        <v>Week 34</v>
      </c>
      <c r="G1910" s="2" t="str">
        <f t="shared" si="119"/>
        <v>Week 34-2025</v>
      </c>
      <c r="O1910"/>
      <c r="Q1910"/>
    </row>
    <row r="1911" spans="1:17" hidden="1" x14ac:dyDescent="0.2">
      <c r="A1911" s="3">
        <v>45889</v>
      </c>
      <c r="B1911" s="2" t="s">
        <v>8</v>
      </c>
      <c r="C1911" s="2">
        <v>2</v>
      </c>
      <c r="D1911" s="2">
        <f t="shared" si="116"/>
        <v>2025</v>
      </c>
      <c r="E1911" s="2" t="str">
        <f t="shared" si="117"/>
        <v>2025-34</v>
      </c>
      <c r="F1911" s="2" t="str">
        <f t="shared" si="118"/>
        <v>Week 34</v>
      </c>
      <c r="G1911" s="2" t="str">
        <f t="shared" si="119"/>
        <v>Week 34-2025</v>
      </c>
      <c r="O1911"/>
      <c r="Q1911"/>
    </row>
    <row r="1912" spans="1:17" hidden="1" x14ac:dyDescent="0.2">
      <c r="A1912" s="3">
        <v>45889</v>
      </c>
      <c r="B1912" s="2" t="s">
        <v>13</v>
      </c>
      <c r="C1912" s="2">
        <v>1</v>
      </c>
      <c r="D1912" s="2">
        <f t="shared" si="116"/>
        <v>2025</v>
      </c>
      <c r="E1912" s="2" t="str">
        <f t="shared" si="117"/>
        <v>2025-34</v>
      </c>
      <c r="F1912" s="2" t="str">
        <f t="shared" si="118"/>
        <v>Week 34</v>
      </c>
      <c r="G1912" s="2" t="str">
        <f t="shared" si="119"/>
        <v>Week 34-2025</v>
      </c>
      <c r="O1912"/>
      <c r="Q1912"/>
    </row>
    <row r="1913" spans="1:17" hidden="1" x14ac:dyDescent="0.2">
      <c r="A1913" s="3">
        <v>45889</v>
      </c>
      <c r="B1913" s="2" t="s">
        <v>13</v>
      </c>
      <c r="C1913" s="2">
        <v>1</v>
      </c>
      <c r="D1913" s="2">
        <f t="shared" si="116"/>
        <v>2025</v>
      </c>
      <c r="E1913" s="2" t="str">
        <f t="shared" si="117"/>
        <v>2025-34</v>
      </c>
      <c r="F1913" s="2" t="str">
        <f t="shared" si="118"/>
        <v>Week 34</v>
      </c>
      <c r="G1913" s="2" t="str">
        <f t="shared" si="119"/>
        <v>Week 34-2025</v>
      </c>
      <c r="O1913"/>
      <c r="Q1913"/>
    </row>
    <row r="1914" spans="1:17" hidden="1" x14ac:dyDescent="0.2">
      <c r="A1914" s="3">
        <v>45889</v>
      </c>
      <c r="B1914" s="2" t="s">
        <v>14</v>
      </c>
      <c r="C1914" s="2">
        <v>1</v>
      </c>
      <c r="D1914" s="2">
        <f t="shared" si="116"/>
        <v>2025</v>
      </c>
      <c r="E1914" s="2" t="str">
        <f t="shared" si="117"/>
        <v>2025-34</v>
      </c>
      <c r="F1914" s="2" t="str">
        <f t="shared" si="118"/>
        <v>Week 34</v>
      </c>
      <c r="G1914" s="2" t="str">
        <f t="shared" si="119"/>
        <v>Week 34-2025</v>
      </c>
      <c r="O1914"/>
      <c r="Q1914"/>
    </row>
    <row r="1915" spans="1:17" hidden="1" x14ac:dyDescent="0.2">
      <c r="A1915" s="3">
        <v>45889</v>
      </c>
      <c r="B1915" s="2" t="s">
        <v>30</v>
      </c>
      <c r="C1915" s="2">
        <v>1</v>
      </c>
      <c r="D1915" s="2">
        <f t="shared" si="116"/>
        <v>2025</v>
      </c>
      <c r="E1915" s="2" t="str">
        <f t="shared" si="117"/>
        <v>2025-34</v>
      </c>
      <c r="F1915" s="2" t="str">
        <f t="shared" si="118"/>
        <v>Week 34</v>
      </c>
      <c r="G1915" s="2" t="str">
        <f t="shared" si="119"/>
        <v>Week 34-2025</v>
      </c>
      <c r="O1915"/>
      <c r="Q1915"/>
    </row>
    <row r="1916" spans="1:17" hidden="1" x14ac:dyDescent="0.2">
      <c r="A1916" s="3">
        <v>45889</v>
      </c>
      <c r="B1916" s="2" t="s">
        <v>30</v>
      </c>
      <c r="C1916" s="2">
        <v>1</v>
      </c>
      <c r="D1916" s="2">
        <f t="shared" si="116"/>
        <v>2025</v>
      </c>
      <c r="E1916" s="2" t="str">
        <f t="shared" si="117"/>
        <v>2025-34</v>
      </c>
      <c r="F1916" s="2" t="str">
        <f t="shared" si="118"/>
        <v>Week 34</v>
      </c>
      <c r="G1916" s="2" t="str">
        <f t="shared" si="119"/>
        <v>Week 34-2025</v>
      </c>
      <c r="O1916"/>
      <c r="Q1916"/>
    </row>
    <row r="1917" spans="1:17" hidden="1" x14ac:dyDescent="0.2">
      <c r="A1917" s="3">
        <v>45889</v>
      </c>
      <c r="B1917" s="2" t="s">
        <v>27</v>
      </c>
      <c r="C1917" s="2">
        <v>1</v>
      </c>
      <c r="D1917" s="2">
        <f t="shared" si="116"/>
        <v>2025</v>
      </c>
      <c r="E1917" s="2" t="str">
        <f t="shared" si="117"/>
        <v>2025-34</v>
      </c>
      <c r="F1917" s="2" t="str">
        <f t="shared" si="118"/>
        <v>Week 34</v>
      </c>
      <c r="G1917" s="2" t="str">
        <f t="shared" si="119"/>
        <v>Week 34-2025</v>
      </c>
      <c r="O1917"/>
      <c r="Q1917"/>
    </row>
    <row r="1918" spans="1:17" hidden="1" x14ac:dyDescent="0.2">
      <c r="A1918" s="3">
        <v>45889</v>
      </c>
      <c r="B1918" s="2" t="s">
        <v>36</v>
      </c>
      <c r="C1918" s="2">
        <v>1</v>
      </c>
      <c r="D1918" s="2">
        <f t="shared" si="116"/>
        <v>2025</v>
      </c>
      <c r="E1918" s="2" t="str">
        <f t="shared" si="117"/>
        <v>2025-34</v>
      </c>
      <c r="F1918" s="2" t="str">
        <f t="shared" si="118"/>
        <v>Week 34</v>
      </c>
      <c r="G1918" s="2" t="str">
        <f t="shared" si="119"/>
        <v>Week 34-2025</v>
      </c>
      <c r="O1918"/>
      <c r="Q1918"/>
    </row>
    <row r="1919" spans="1:17" hidden="1" x14ac:dyDescent="0.2">
      <c r="A1919" s="3">
        <v>45889</v>
      </c>
      <c r="B1919" s="2" t="s">
        <v>36</v>
      </c>
      <c r="C1919" s="2">
        <v>1</v>
      </c>
      <c r="D1919" s="2">
        <f t="shared" si="116"/>
        <v>2025</v>
      </c>
      <c r="E1919" s="2" t="str">
        <f t="shared" si="117"/>
        <v>2025-34</v>
      </c>
      <c r="F1919" s="2" t="str">
        <f t="shared" si="118"/>
        <v>Week 34</v>
      </c>
      <c r="G1919" s="2" t="str">
        <f t="shared" si="119"/>
        <v>Week 34-2025</v>
      </c>
      <c r="O1919"/>
      <c r="Q1919"/>
    </row>
    <row r="1920" spans="1:17" hidden="1" x14ac:dyDescent="0.2">
      <c r="A1920" s="3">
        <v>45890</v>
      </c>
      <c r="B1920" s="2" t="s">
        <v>19</v>
      </c>
      <c r="C1920" s="2">
        <v>18</v>
      </c>
      <c r="D1920" s="2">
        <f t="shared" si="116"/>
        <v>2025</v>
      </c>
      <c r="E1920" s="2" t="str">
        <f t="shared" si="117"/>
        <v>2025-34</v>
      </c>
      <c r="F1920" s="2" t="str">
        <f t="shared" si="118"/>
        <v>Week 34</v>
      </c>
      <c r="G1920" s="2" t="str">
        <f t="shared" si="119"/>
        <v>Week 34-2025</v>
      </c>
      <c r="O1920"/>
      <c r="Q1920"/>
    </row>
    <row r="1921" spans="1:17" hidden="1" x14ac:dyDescent="0.2">
      <c r="A1921" s="3">
        <v>45890</v>
      </c>
      <c r="B1921" s="2" t="s">
        <v>12</v>
      </c>
      <c r="C1921" s="2">
        <v>9</v>
      </c>
      <c r="D1921" s="2">
        <f t="shared" si="116"/>
        <v>2025</v>
      </c>
      <c r="E1921" s="2" t="str">
        <f t="shared" si="117"/>
        <v>2025-34</v>
      </c>
      <c r="F1921" s="2" t="str">
        <f t="shared" si="118"/>
        <v>Week 34</v>
      </c>
      <c r="G1921" s="2" t="str">
        <f t="shared" si="119"/>
        <v>Week 34-2025</v>
      </c>
      <c r="O1921"/>
      <c r="Q1921"/>
    </row>
    <row r="1922" spans="1:17" hidden="1" x14ac:dyDescent="0.2">
      <c r="A1922" s="3">
        <v>45890</v>
      </c>
      <c r="B1922" s="2" t="s">
        <v>6</v>
      </c>
      <c r="C1922" s="2">
        <v>10</v>
      </c>
      <c r="D1922" s="2">
        <f t="shared" ref="D1922:D1985" si="120">YEAR(A1922)</f>
        <v>2025</v>
      </c>
      <c r="E1922" s="2" t="str">
        <f t="shared" ref="E1922:E1985" si="121">YEAR(A1922)&amp;"-"&amp;_xlfn.ISOWEEKNUM(A1922)</f>
        <v>2025-34</v>
      </c>
      <c r="F1922" s="2" t="str">
        <f t="shared" ref="F1922:F1985" si="122">_xlfn.CONCAT("Week "&amp;WEEKNUM(A1922))</f>
        <v>Week 34</v>
      </c>
      <c r="G1922" s="2" t="str">
        <f t="shared" ref="G1922:G1985" si="123">_xlfn.CONCAT(F1922,"-",D1922)</f>
        <v>Week 34-2025</v>
      </c>
      <c r="O1922"/>
      <c r="Q1922"/>
    </row>
    <row r="1923" spans="1:17" hidden="1" x14ac:dyDescent="0.2">
      <c r="A1923" s="3">
        <v>45890</v>
      </c>
      <c r="B1923" s="2" t="s">
        <v>18</v>
      </c>
      <c r="C1923" s="2">
        <v>8</v>
      </c>
      <c r="D1923" s="2">
        <f t="shared" si="120"/>
        <v>2025</v>
      </c>
      <c r="E1923" s="2" t="str">
        <f t="shared" si="121"/>
        <v>2025-34</v>
      </c>
      <c r="F1923" s="2" t="str">
        <f t="shared" si="122"/>
        <v>Week 34</v>
      </c>
      <c r="G1923" s="2" t="str">
        <f t="shared" si="123"/>
        <v>Week 34-2025</v>
      </c>
      <c r="O1923"/>
      <c r="Q1923"/>
    </row>
    <row r="1924" spans="1:17" hidden="1" x14ac:dyDescent="0.2">
      <c r="A1924" s="3">
        <v>45890</v>
      </c>
      <c r="B1924" s="2" t="s">
        <v>12</v>
      </c>
      <c r="C1924" s="2">
        <v>6</v>
      </c>
      <c r="D1924" s="2">
        <f t="shared" si="120"/>
        <v>2025</v>
      </c>
      <c r="E1924" s="2" t="str">
        <f t="shared" si="121"/>
        <v>2025-34</v>
      </c>
      <c r="F1924" s="2" t="str">
        <f t="shared" si="122"/>
        <v>Week 34</v>
      </c>
      <c r="G1924" s="2" t="str">
        <f t="shared" si="123"/>
        <v>Week 34-2025</v>
      </c>
      <c r="O1924"/>
      <c r="Q1924"/>
    </row>
    <row r="1925" spans="1:17" hidden="1" x14ac:dyDescent="0.2">
      <c r="A1925" s="3">
        <v>45890</v>
      </c>
      <c r="B1925" s="2" t="s">
        <v>4</v>
      </c>
      <c r="C1925" s="2">
        <v>8</v>
      </c>
      <c r="D1925" s="2">
        <f t="shared" si="120"/>
        <v>2025</v>
      </c>
      <c r="E1925" s="2" t="str">
        <f t="shared" si="121"/>
        <v>2025-34</v>
      </c>
      <c r="F1925" s="2" t="str">
        <f t="shared" si="122"/>
        <v>Week 34</v>
      </c>
      <c r="G1925" s="2" t="str">
        <f t="shared" si="123"/>
        <v>Week 34-2025</v>
      </c>
      <c r="O1925"/>
      <c r="Q1925"/>
    </row>
    <row r="1926" spans="1:17" hidden="1" x14ac:dyDescent="0.2">
      <c r="A1926" s="3">
        <v>45890</v>
      </c>
      <c r="B1926" s="2" t="s">
        <v>9</v>
      </c>
      <c r="C1926" s="2">
        <v>9</v>
      </c>
      <c r="D1926" s="2">
        <f t="shared" si="120"/>
        <v>2025</v>
      </c>
      <c r="E1926" s="2" t="str">
        <f t="shared" si="121"/>
        <v>2025-34</v>
      </c>
      <c r="F1926" s="2" t="str">
        <f t="shared" si="122"/>
        <v>Week 34</v>
      </c>
      <c r="G1926" s="2" t="str">
        <f t="shared" si="123"/>
        <v>Week 34-2025</v>
      </c>
      <c r="O1926"/>
      <c r="Q1926"/>
    </row>
    <row r="1927" spans="1:17" hidden="1" x14ac:dyDescent="0.2">
      <c r="A1927" s="3">
        <v>45890</v>
      </c>
      <c r="B1927" s="2" t="s">
        <v>9</v>
      </c>
      <c r="C1927" s="2">
        <v>8</v>
      </c>
      <c r="D1927" s="2">
        <f t="shared" si="120"/>
        <v>2025</v>
      </c>
      <c r="E1927" s="2" t="str">
        <f t="shared" si="121"/>
        <v>2025-34</v>
      </c>
      <c r="F1927" s="2" t="str">
        <f t="shared" si="122"/>
        <v>Week 34</v>
      </c>
      <c r="G1927" s="2" t="str">
        <f t="shared" si="123"/>
        <v>Week 34-2025</v>
      </c>
      <c r="O1927"/>
      <c r="Q1927"/>
    </row>
    <row r="1928" spans="1:17" hidden="1" x14ac:dyDescent="0.2">
      <c r="A1928" s="3">
        <v>45890</v>
      </c>
      <c r="B1928" s="2" t="s">
        <v>7</v>
      </c>
      <c r="C1928" s="2">
        <v>6</v>
      </c>
      <c r="D1928" s="2">
        <f t="shared" si="120"/>
        <v>2025</v>
      </c>
      <c r="E1928" s="2" t="str">
        <f t="shared" si="121"/>
        <v>2025-34</v>
      </c>
      <c r="F1928" s="2" t="str">
        <f t="shared" si="122"/>
        <v>Week 34</v>
      </c>
      <c r="G1928" s="2" t="str">
        <f t="shared" si="123"/>
        <v>Week 34-2025</v>
      </c>
      <c r="O1928"/>
      <c r="Q1928"/>
    </row>
    <row r="1929" spans="1:17" hidden="1" x14ac:dyDescent="0.2">
      <c r="A1929" s="3">
        <v>45890</v>
      </c>
      <c r="B1929" s="2" t="s">
        <v>12</v>
      </c>
      <c r="C1929" s="2">
        <v>4</v>
      </c>
      <c r="D1929" s="2">
        <f t="shared" si="120"/>
        <v>2025</v>
      </c>
      <c r="E1929" s="2" t="str">
        <f t="shared" si="121"/>
        <v>2025-34</v>
      </c>
      <c r="F1929" s="2" t="str">
        <f t="shared" si="122"/>
        <v>Week 34</v>
      </c>
      <c r="G1929" s="2" t="str">
        <f t="shared" si="123"/>
        <v>Week 34-2025</v>
      </c>
      <c r="O1929"/>
      <c r="Q1929"/>
    </row>
    <row r="1930" spans="1:17" hidden="1" x14ac:dyDescent="0.2">
      <c r="A1930" s="3">
        <v>45890</v>
      </c>
      <c r="B1930" s="2" t="s">
        <v>4</v>
      </c>
      <c r="C1930" s="2">
        <v>6</v>
      </c>
      <c r="D1930" s="2">
        <f t="shared" si="120"/>
        <v>2025</v>
      </c>
      <c r="E1930" s="2" t="str">
        <f t="shared" si="121"/>
        <v>2025-34</v>
      </c>
      <c r="F1930" s="2" t="str">
        <f t="shared" si="122"/>
        <v>Week 34</v>
      </c>
      <c r="G1930" s="2" t="str">
        <f t="shared" si="123"/>
        <v>Week 34-2025</v>
      </c>
      <c r="O1930"/>
      <c r="Q1930"/>
    </row>
    <row r="1931" spans="1:17" hidden="1" x14ac:dyDescent="0.2">
      <c r="A1931" s="3">
        <v>45890</v>
      </c>
      <c r="B1931" s="2" t="s">
        <v>18</v>
      </c>
      <c r="C1931" s="2">
        <v>4</v>
      </c>
      <c r="D1931" s="2">
        <f t="shared" si="120"/>
        <v>2025</v>
      </c>
      <c r="E1931" s="2" t="str">
        <f t="shared" si="121"/>
        <v>2025-34</v>
      </c>
      <c r="F1931" s="2" t="str">
        <f t="shared" si="122"/>
        <v>Week 34</v>
      </c>
      <c r="G1931" s="2" t="str">
        <f t="shared" si="123"/>
        <v>Week 34-2025</v>
      </c>
      <c r="O1931"/>
      <c r="Q1931"/>
    </row>
    <row r="1932" spans="1:17" hidden="1" x14ac:dyDescent="0.2">
      <c r="A1932" s="3">
        <v>45890</v>
      </c>
      <c r="B1932" s="2" t="s">
        <v>3</v>
      </c>
      <c r="C1932" s="2">
        <v>6</v>
      </c>
      <c r="D1932" s="2">
        <f t="shared" si="120"/>
        <v>2025</v>
      </c>
      <c r="E1932" s="2" t="str">
        <f t="shared" si="121"/>
        <v>2025-34</v>
      </c>
      <c r="F1932" s="2" t="str">
        <f t="shared" si="122"/>
        <v>Week 34</v>
      </c>
      <c r="G1932" s="2" t="str">
        <f t="shared" si="123"/>
        <v>Week 34-2025</v>
      </c>
      <c r="O1932"/>
      <c r="Q1932"/>
    </row>
    <row r="1933" spans="1:17" hidden="1" x14ac:dyDescent="0.2">
      <c r="A1933" s="3">
        <v>45890</v>
      </c>
      <c r="B1933" s="2" t="s">
        <v>6</v>
      </c>
      <c r="C1933" s="2">
        <v>4</v>
      </c>
      <c r="D1933" s="2">
        <f t="shared" si="120"/>
        <v>2025</v>
      </c>
      <c r="E1933" s="2" t="str">
        <f t="shared" si="121"/>
        <v>2025-34</v>
      </c>
      <c r="F1933" s="2" t="str">
        <f t="shared" si="122"/>
        <v>Week 34</v>
      </c>
      <c r="G1933" s="2" t="str">
        <f t="shared" si="123"/>
        <v>Week 34-2025</v>
      </c>
      <c r="O1933"/>
      <c r="Q1933"/>
    </row>
    <row r="1934" spans="1:17" hidden="1" x14ac:dyDescent="0.2">
      <c r="A1934" s="3">
        <v>45890</v>
      </c>
      <c r="B1934" s="2" t="s">
        <v>18</v>
      </c>
      <c r="C1934" s="2">
        <v>4</v>
      </c>
      <c r="D1934" s="2">
        <f t="shared" si="120"/>
        <v>2025</v>
      </c>
      <c r="E1934" s="2" t="str">
        <f t="shared" si="121"/>
        <v>2025-34</v>
      </c>
      <c r="F1934" s="2" t="str">
        <f t="shared" si="122"/>
        <v>Week 34</v>
      </c>
      <c r="G1934" s="2" t="str">
        <f t="shared" si="123"/>
        <v>Week 34-2025</v>
      </c>
      <c r="O1934"/>
      <c r="Q1934"/>
    </row>
    <row r="1935" spans="1:17" hidden="1" x14ac:dyDescent="0.2">
      <c r="A1935" s="3">
        <v>45890</v>
      </c>
      <c r="B1935" s="2" t="s">
        <v>21</v>
      </c>
      <c r="C1935" s="2">
        <v>3</v>
      </c>
      <c r="D1935" s="2">
        <f t="shared" si="120"/>
        <v>2025</v>
      </c>
      <c r="E1935" s="2" t="str">
        <f t="shared" si="121"/>
        <v>2025-34</v>
      </c>
      <c r="F1935" s="2" t="str">
        <f t="shared" si="122"/>
        <v>Week 34</v>
      </c>
      <c r="G1935" s="2" t="str">
        <f t="shared" si="123"/>
        <v>Week 34-2025</v>
      </c>
      <c r="O1935"/>
      <c r="Q1935"/>
    </row>
    <row r="1936" spans="1:17" hidden="1" x14ac:dyDescent="0.2">
      <c r="A1936" s="3">
        <v>45890</v>
      </c>
      <c r="B1936" s="2" t="s">
        <v>7</v>
      </c>
      <c r="C1936" s="2">
        <v>4</v>
      </c>
      <c r="D1936" s="2">
        <f t="shared" si="120"/>
        <v>2025</v>
      </c>
      <c r="E1936" s="2" t="str">
        <f t="shared" si="121"/>
        <v>2025-34</v>
      </c>
      <c r="F1936" s="2" t="str">
        <f t="shared" si="122"/>
        <v>Week 34</v>
      </c>
      <c r="G1936" s="2" t="str">
        <f t="shared" si="123"/>
        <v>Week 34-2025</v>
      </c>
      <c r="O1936"/>
      <c r="Q1936"/>
    </row>
    <row r="1937" spans="1:17" hidden="1" x14ac:dyDescent="0.2">
      <c r="A1937" s="3">
        <v>45890</v>
      </c>
      <c r="B1937" s="2" t="s">
        <v>37</v>
      </c>
      <c r="C1937" s="2">
        <v>7</v>
      </c>
      <c r="D1937" s="2">
        <f t="shared" si="120"/>
        <v>2025</v>
      </c>
      <c r="E1937" s="2" t="str">
        <f t="shared" si="121"/>
        <v>2025-34</v>
      </c>
      <c r="F1937" s="2" t="str">
        <f t="shared" si="122"/>
        <v>Week 34</v>
      </c>
      <c r="G1937" s="2" t="str">
        <f t="shared" si="123"/>
        <v>Week 34-2025</v>
      </c>
      <c r="O1937"/>
      <c r="Q1937"/>
    </row>
    <row r="1938" spans="1:17" hidden="1" x14ac:dyDescent="0.2">
      <c r="A1938" s="3">
        <v>45890</v>
      </c>
      <c r="B1938" s="2" t="s">
        <v>11</v>
      </c>
      <c r="C1938" s="2">
        <v>2</v>
      </c>
      <c r="D1938" s="2">
        <f t="shared" si="120"/>
        <v>2025</v>
      </c>
      <c r="E1938" s="2" t="str">
        <f t="shared" si="121"/>
        <v>2025-34</v>
      </c>
      <c r="F1938" s="2" t="str">
        <f t="shared" si="122"/>
        <v>Week 34</v>
      </c>
      <c r="G1938" s="2" t="str">
        <f t="shared" si="123"/>
        <v>Week 34-2025</v>
      </c>
      <c r="O1938"/>
      <c r="Q1938"/>
    </row>
    <row r="1939" spans="1:17" hidden="1" x14ac:dyDescent="0.2">
      <c r="A1939" s="3">
        <v>45890</v>
      </c>
      <c r="B1939" s="2" t="s">
        <v>17</v>
      </c>
      <c r="C1939" s="2">
        <v>5</v>
      </c>
      <c r="D1939" s="2">
        <f t="shared" si="120"/>
        <v>2025</v>
      </c>
      <c r="E1939" s="2" t="str">
        <f t="shared" si="121"/>
        <v>2025-34</v>
      </c>
      <c r="F1939" s="2" t="str">
        <f t="shared" si="122"/>
        <v>Week 34</v>
      </c>
      <c r="G1939" s="2" t="str">
        <f t="shared" si="123"/>
        <v>Week 34-2025</v>
      </c>
      <c r="O1939"/>
      <c r="Q1939"/>
    </row>
    <row r="1940" spans="1:17" hidden="1" x14ac:dyDescent="0.2">
      <c r="A1940" s="3">
        <v>45890</v>
      </c>
      <c r="B1940" s="2" t="s">
        <v>8</v>
      </c>
      <c r="C1940" s="2">
        <v>7</v>
      </c>
      <c r="D1940" s="2">
        <f t="shared" si="120"/>
        <v>2025</v>
      </c>
      <c r="E1940" s="2" t="str">
        <f t="shared" si="121"/>
        <v>2025-34</v>
      </c>
      <c r="F1940" s="2" t="str">
        <f t="shared" si="122"/>
        <v>Week 34</v>
      </c>
      <c r="G1940" s="2" t="str">
        <f t="shared" si="123"/>
        <v>Week 34-2025</v>
      </c>
      <c r="O1940"/>
      <c r="Q1940"/>
    </row>
    <row r="1941" spans="1:17" hidden="1" x14ac:dyDescent="0.2">
      <c r="A1941" s="3">
        <v>45890</v>
      </c>
      <c r="B1941" s="2" t="s">
        <v>3</v>
      </c>
      <c r="C1941" s="2">
        <v>4</v>
      </c>
      <c r="D1941" s="2">
        <f t="shared" si="120"/>
        <v>2025</v>
      </c>
      <c r="E1941" s="2" t="str">
        <f t="shared" si="121"/>
        <v>2025-34</v>
      </c>
      <c r="F1941" s="2" t="str">
        <f t="shared" si="122"/>
        <v>Week 34</v>
      </c>
      <c r="G1941" s="2" t="str">
        <f t="shared" si="123"/>
        <v>Week 34-2025</v>
      </c>
      <c r="O1941"/>
      <c r="Q1941"/>
    </row>
    <row r="1942" spans="1:17" hidden="1" x14ac:dyDescent="0.2">
      <c r="A1942" s="3">
        <v>45890</v>
      </c>
      <c r="B1942" s="2" t="s">
        <v>18</v>
      </c>
      <c r="C1942" s="2">
        <v>2</v>
      </c>
      <c r="D1942" s="2">
        <f t="shared" si="120"/>
        <v>2025</v>
      </c>
      <c r="E1942" s="2" t="str">
        <f t="shared" si="121"/>
        <v>2025-34</v>
      </c>
      <c r="F1942" s="2" t="str">
        <f t="shared" si="122"/>
        <v>Week 34</v>
      </c>
      <c r="G1942" s="2" t="str">
        <f t="shared" si="123"/>
        <v>Week 34-2025</v>
      </c>
      <c r="O1942"/>
      <c r="Q1942"/>
    </row>
    <row r="1943" spans="1:17" hidden="1" x14ac:dyDescent="0.2">
      <c r="A1943" s="3">
        <v>45890</v>
      </c>
      <c r="B1943" s="2" t="s">
        <v>17</v>
      </c>
      <c r="C1943" s="2">
        <v>4</v>
      </c>
      <c r="D1943" s="2">
        <f t="shared" si="120"/>
        <v>2025</v>
      </c>
      <c r="E1943" s="2" t="str">
        <f t="shared" si="121"/>
        <v>2025-34</v>
      </c>
      <c r="F1943" s="2" t="str">
        <f t="shared" si="122"/>
        <v>Week 34</v>
      </c>
      <c r="G1943" s="2" t="str">
        <f t="shared" si="123"/>
        <v>Week 34-2025</v>
      </c>
      <c r="O1943"/>
      <c r="Q1943"/>
    </row>
    <row r="1944" spans="1:17" hidden="1" x14ac:dyDescent="0.2">
      <c r="A1944" s="3">
        <v>45890</v>
      </c>
      <c r="B1944" s="2" t="s">
        <v>7</v>
      </c>
      <c r="C1944" s="2">
        <v>2</v>
      </c>
      <c r="D1944" s="2">
        <f t="shared" si="120"/>
        <v>2025</v>
      </c>
      <c r="E1944" s="2" t="str">
        <f t="shared" si="121"/>
        <v>2025-34</v>
      </c>
      <c r="F1944" s="2" t="str">
        <f t="shared" si="122"/>
        <v>Week 34</v>
      </c>
      <c r="G1944" s="2" t="str">
        <f t="shared" si="123"/>
        <v>Week 34-2025</v>
      </c>
      <c r="O1944"/>
      <c r="Q1944"/>
    </row>
    <row r="1945" spans="1:17" hidden="1" x14ac:dyDescent="0.2">
      <c r="A1945" s="3">
        <v>45890</v>
      </c>
      <c r="B1945" s="2" t="s">
        <v>4</v>
      </c>
      <c r="C1945" s="2">
        <v>2</v>
      </c>
      <c r="D1945" s="2">
        <f t="shared" si="120"/>
        <v>2025</v>
      </c>
      <c r="E1945" s="2" t="str">
        <f t="shared" si="121"/>
        <v>2025-34</v>
      </c>
      <c r="F1945" s="2" t="str">
        <f t="shared" si="122"/>
        <v>Week 34</v>
      </c>
      <c r="G1945" s="2" t="str">
        <f t="shared" si="123"/>
        <v>Week 34-2025</v>
      </c>
      <c r="O1945"/>
      <c r="Q1945"/>
    </row>
    <row r="1946" spans="1:17" hidden="1" x14ac:dyDescent="0.2">
      <c r="A1946" s="3">
        <v>45890</v>
      </c>
      <c r="B1946" s="2" t="s">
        <v>4</v>
      </c>
      <c r="C1946" s="2">
        <v>2</v>
      </c>
      <c r="D1946" s="2">
        <f t="shared" si="120"/>
        <v>2025</v>
      </c>
      <c r="E1946" s="2" t="str">
        <f t="shared" si="121"/>
        <v>2025-34</v>
      </c>
      <c r="F1946" s="2" t="str">
        <f t="shared" si="122"/>
        <v>Week 34</v>
      </c>
      <c r="G1946" s="2" t="str">
        <f t="shared" si="123"/>
        <v>Week 34-2025</v>
      </c>
      <c r="O1946"/>
      <c r="Q1946"/>
    </row>
    <row r="1947" spans="1:17" hidden="1" x14ac:dyDescent="0.2">
      <c r="A1947" s="3">
        <v>45890</v>
      </c>
      <c r="B1947" s="2" t="s">
        <v>9</v>
      </c>
      <c r="C1947" s="2">
        <v>2</v>
      </c>
      <c r="D1947" s="2">
        <f t="shared" si="120"/>
        <v>2025</v>
      </c>
      <c r="E1947" s="2" t="str">
        <f t="shared" si="121"/>
        <v>2025-34</v>
      </c>
      <c r="F1947" s="2" t="str">
        <f t="shared" si="122"/>
        <v>Week 34</v>
      </c>
      <c r="G1947" s="2" t="str">
        <f t="shared" si="123"/>
        <v>Week 34-2025</v>
      </c>
      <c r="O1947"/>
      <c r="Q1947"/>
    </row>
    <row r="1948" spans="1:17" hidden="1" x14ac:dyDescent="0.2">
      <c r="A1948" s="3">
        <v>45890</v>
      </c>
      <c r="B1948" s="2" t="s">
        <v>29</v>
      </c>
      <c r="C1948" s="2">
        <v>2</v>
      </c>
      <c r="D1948" s="2">
        <f t="shared" si="120"/>
        <v>2025</v>
      </c>
      <c r="E1948" s="2" t="str">
        <f t="shared" si="121"/>
        <v>2025-34</v>
      </c>
      <c r="F1948" s="2" t="str">
        <f t="shared" si="122"/>
        <v>Week 34</v>
      </c>
      <c r="G1948" s="2" t="str">
        <f t="shared" si="123"/>
        <v>Week 34-2025</v>
      </c>
      <c r="O1948"/>
      <c r="Q1948"/>
    </row>
    <row r="1949" spans="1:17" hidden="1" x14ac:dyDescent="0.2">
      <c r="A1949" s="3">
        <v>45890</v>
      </c>
      <c r="B1949" s="2" t="s">
        <v>50</v>
      </c>
      <c r="C1949" s="2">
        <v>3</v>
      </c>
      <c r="D1949" s="2">
        <f t="shared" si="120"/>
        <v>2025</v>
      </c>
      <c r="E1949" s="2" t="str">
        <f t="shared" si="121"/>
        <v>2025-34</v>
      </c>
      <c r="F1949" s="2" t="str">
        <f t="shared" si="122"/>
        <v>Week 34</v>
      </c>
      <c r="G1949" s="2" t="str">
        <f t="shared" si="123"/>
        <v>Week 34-2025</v>
      </c>
      <c r="O1949"/>
      <c r="Q1949"/>
    </row>
    <row r="1950" spans="1:17" hidden="1" x14ac:dyDescent="0.2">
      <c r="A1950" s="3">
        <v>45890</v>
      </c>
      <c r="B1950" s="2" t="s">
        <v>23</v>
      </c>
      <c r="C1950" s="2">
        <v>1</v>
      </c>
      <c r="D1950" s="2">
        <f t="shared" si="120"/>
        <v>2025</v>
      </c>
      <c r="E1950" s="2" t="str">
        <f t="shared" si="121"/>
        <v>2025-34</v>
      </c>
      <c r="F1950" s="2" t="str">
        <f t="shared" si="122"/>
        <v>Week 34</v>
      </c>
      <c r="G1950" s="2" t="str">
        <f t="shared" si="123"/>
        <v>Week 34-2025</v>
      </c>
      <c r="O1950"/>
      <c r="Q1950"/>
    </row>
    <row r="1951" spans="1:17" hidden="1" x14ac:dyDescent="0.2">
      <c r="A1951" s="3">
        <v>45890</v>
      </c>
      <c r="B1951" s="2" t="s">
        <v>37</v>
      </c>
      <c r="C1951" s="2">
        <v>2</v>
      </c>
      <c r="D1951" s="2">
        <f t="shared" si="120"/>
        <v>2025</v>
      </c>
      <c r="E1951" s="2" t="str">
        <f t="shared" si="121"/>
        <v>2025-34</v>
      </c>
      <c r="F1951" s="2" t="str">
        <f t="shared" si="122"/>
        <v>Week 34</v>
      </c>
      <c r="G1951" s="2" t="str">
        <f t="shared" si="123"/>
        <v>Week 34-2025</v>
      </c>
      <c r="O1951"/>
      <c r="Q1951"/>
    </row>
    <row r="1952" spans="1:17" hidden="1" x14ac:dyDescent="0.2">
      <c r="A1952" s="3">
        <v>45890</v>
      </c>
      <c r="B1952" s="2" t="s">
        <v>3</v>
      </c>
      <c r="C1952" s="2">
        <v>1</v>
      </c>
      <c r="D1952" s="2">
        <f t="shared" si="120"/>
        <v>2025</v>
      </c>
      <c r="E1952" s="2" t="str">
        <f t="shared" si="121"/>
        <v>2025-34</v>
      </c>
      <c r="F1952" s="2" t="str">
        <f t="shared" si="122"/>
        <v>Week 34</v>
      </c>
      <c r="G1952" s="2" t="str">
        <f t="shared" si="123"/>
        <v>Week 34-2025</v>
      </c>
      <c r="O1952"/>
      <c r="Q1952"/>
    </row>
    <row r="1953" spans="1:17" hidden="1" x14ac:dyDescent="0.2">
      <c r="A1953" s="3">
        <v>45890</v>
      </c>
      <c r="B1953" s="2" t="s">
        <v>13</v>
      </c>
      <c r="C1953" s="2">
        <v>1</v>
      </c>
      <c r="D1953" s="2">
        <f t="shared" si="120"/>
        <v>2025</v>
      </c>
      <c r="E1953" s="2" t="str">
        <f t="shared" si="121"/>
        <v>2025-34</v>
      </c>
      <c r="F1953" s="2" t="str">
        <f t="shared" si="122"/>
        <v>Week 34</v>
      </c>
      <c r="G1953" s="2" t="str">
        <f t="shared" si="123"/>
        <v>Week 34-2025</v>
      </c>
      <c r="O1953"/>
      <c r="Q1953"/>
    </row>
    <row r="1954" spans="1:17" hidden="1" x14ac:dyDescent="0.2">
      <c r="A1954" s="3">
        <v>45890</v>
      </c>
      <c r="B1954" s="2" t="s">
        <v>8</v>
      </c>
      <c r="C1954" s="2">
        <v>1</v>
      </c>
      <c r="D1954" s="2">
        <f t="shared" si="120"/>
        <v>2025</v>
      </c>
      <c r="E1954" s="2" t="str">
        <f t="shared" si="121"/>
        <v>2025-34</v>
      </c>
      <c r="F1954" s="2" t="str">
        <f t="shared" si="122"/>
        <v>Week 34</v>
      </c>
      <c r="G1954" s="2" t="str">
        <f t="shared" si="123"/>
        <v>Week 34-2025</v>
      </c>
      <c r="O1954"/>
      <c r="Q1954"/>
    </row>
    <row r="1955" spans="1:17" hidden="1" x14ac:dyDescent="0.2">
      <c r="A1955" s="3">
        <v>45892</v>
      </c>
      <c r="B1955" s="2" t="s">
        <v>12</v>
      </c>
      <c r="C1955" s="2">
        <v>15</v>
      </c>
      <c r="D1955" s="2">
        <f t="shared" si="120"/>
        <v>2025</v>
      </c>
      <c r="E1955" s="2" t="str">
        <f t="shared" si="121"/>
        <v>2025-34</v>
      </c>
      <c r="F1955" s="2" t="str">
        <f t="shared" si="122"/>
        <v>Week 34</v>
      </c>
      <c r="G1955" s="2" t="str">
        <f t="shared" si="123"/>
        <v>Week 34-2025</v>
      </c>
      <c r="O1955"/>
      <c r="Q1955"/>
    </row>
    <row r="1956" spans="1:17" hidden="1" x14ac:dyDescent="0.2">
      <c r="A1956" s="3">
        <v>45892</v>
      </c>
      <c r="B1956" s="2" t="s">
        <v>11</v>
      </c>
      <c r="C1956" s="2">
        <v>11</v>
      </c>
      <c r="D1956" s="2">
        <f t="shared" si="120"/>
        <v>2025</v>
      </c>
      <c r="E1956" s="2" t="str">
        <f t="shared" si="121"/>
        <v>2025-34</v>
      </c>
      <c r="F1956" s="2" t="str">
        <f t="shared" si="122"/>
        <v>Week 34</v>
      </c>
      <c r="G1956" s="2" t="str">
        <f t="shared" si="123"/>
        <v>Week 34-2025</v>
      </c>
      <c r="O1956"/>
      <c r="Q1956"/>
    </row>
    <row r="1957" spans="1:17" hidden="1" x14ac:dyDescent="0.2">
      <c r="A1957" s="3">
        <v>45892</v>
      </c>
      <c r="B1957" s="2" t="s">
        <v>11</v>
      </c>
      <c r="C1957" s="2">
        <v>11</v>
      </c>
      <c r="D1957" s="2">
        <f t="shared" si="120"/>
        <v>2025</v>
      </c>
      <c r="E1957" s="2" t="str">
        <f t="shared" si="121"/>
        <v>2025-34</v>
      </c>
      <c r="F1957" s="2" t="str">
        <f t="shared" si="122"/>
        <v>Week 34</v>
      </c>
      <c r="G1957" s="2" t="str">
        <f t="shared" si="123"/>
        <v>Week 34-2025</v>
      </c>
      <c r="O1957"/>
      <c r="Q1957"/>
    </row>
    <row r="1958" spans="1:17" hidden="1" x14ac:dyDescent="0.2">
      <c r="A1958" s="3">
        <v>45892</v>
      </c>
      <c r="B1958" s="2" t="s">
        <v>9</v>
      </c>
      <c r="C1958" s="2">
        <v>20</v>
      </c>
      <c r="D1958" s="2">
        <f t="shared" si="120"/>
        <v>2025</v>
      </c>
      <c r="E1958" s="2" t="str">
        <f t="shared" si="121"/>
        <v>2025-34</v>
      </c>
      <c r="F1958" s="2" t="str">
        <f t="shared" si="122"/>
        <v>Week 34</v>
      </c>
      <c r="G1958" s="2" t="str">
        <f t="shared" si="123"/>
        <v>Week 34-2025</v>
      </c>
      <c r="O1958"/>
      <c r="Q1958"/>
    </row>
    <row r="1959" spans="1:17" hidden="1" x14ac:dyDescent="0.2">
      <c r="A1959" s="3">
        <v>45892</v>
      </c>
      <c r="B1959" s="2" t="s">
        <v>18</v>
      </c>
      <c r="C1959" s="2">
        <v>11</v>
      </c>
      <c r="D1959" s="2">
        <f t="shared" si="120"/>
        <v>2025</v>
      </c>
      <c r="E1959" s="2" t="str">
        <f t="shared" si="121"/>
        <v>2025-34</v>
      </c>
      <c r="F1959" s="2" t="str">
        <f t="shared" si="122"/>
        <v>Week 34</v>
      </c>
      <c r="G1959" s="2" t="str">
        <f t="shared" si="123"/>
        <v>Week 34-2025</v>
      </c>
      <c r="O1959"/>
      <c r="Q1959"/>
    </row>
    <row r="1960" spans="1:17" hidden="1" x14ac:dyDescent="0.2">
      <c r="A1960" s="3">
        <v>45892</v>
      </c>
      <c r="B1960" s="2" t="s">
        <v>7</v>
      </c>
      <c r="C1960" s="2">
        <v>12</v>
      </c>
      <c r="D1960" s="2">
        <f t="shared" si="120"/>
        <v>2025</v>
      </c>
      <c r="E1960" s="2" t="str">
        <f t="shared" si="121"/>
        <v>2025-34</v>
      </c>
      <c r="F1960" s="2" t="str">
        <f t="shared" si="122"/>
        <v>Week 34</v>
      </c>
      <c r="G1960" s="2" t="str">
        <f t="shared" si="123"/>
        <v>Week 34-2025</v>
      </c>
      <c r="O1960"/>
      <c r="Q1960"/>
    </row>
    <row r="1961" spans="1:17" hidden="1" x14ac:dyDescent="0.2">
      <c r="A1961" s="3">
        <v>45892</v>
      </c>
      <c r="B1961" s="2" t="s">
        <v>9</v>
      </c>
      <c r="C1961" s="2">
        <v>10</v>
      </c>
      <c r="D1961" s="2">
        <f t="shared" si="120"/>
        <v>2025</v>
      </c>
      <c r="E1961" s="2" t="str">
        <f t="shared" si="121"/>
        <v>2025-34</v>
      </c>
      <c r="F1961" s="2" t="str">
        <f t="shared" si="122"/>
        <v>Week 34</v>
      </c>
      <c r="G1961" s="2" t="str">
        <f t="shared" si="123"/>
        <v>Week 34-2025</v>
      </c>
      <c r="O1961"/>
      <c r="Q1961"/>
    </row>
    <row r="1962" spans="1:17" hidden="1" x14ac:dyDescent="0.2">
      <c r="A1962" s="3">
        <v>45892</v>
      </c>
      <c r="B1962" s="2" t="s">
        <v>21</v>
      </c>
      <c r="C1962" s="2">
        <v>6</v>
      </c>
      <c r="D1962" s="2">
        <f t="shared" si="120"/>
        <v>2025</v>
      </c>
      <c r="E1962" s="2" t="str">
        <f t="shared" si="121"/>
        <v>2025-34</v>
      </c>
      <c r="F1962" s="2" t="str">
        <f t="shared" si="122"/>
        <v>Week 34</v>
      </c>
      <c r="G1962" s="2" t="str">
        <f t="shared" si="123"/>
        <v>Week 34-2025</v>
      </c>
      <c r="O1962"/>
      <c r="Q1962"/>
    </row>
    <row r="1963" spans="1:17" hidden="1" x14ac:dyDescent="0.2">
      <c r="A1963" s="3">
        <v>45892</v>
      </c>
      <c r="B1963" s="2" t="s">
        <v>21</v>
      </c>
      <c r="C1963" s="2">
        <v>6</v>
      </c>
      <c r="D1963" s="2">
        <f t="shared" si="120"/>
        <v>2025</v>
      </c>
      <c r="E1963" s="2" t="str">
        <f t="shared" si="121"/>
        <v>2025-34</v>
      </c>
      <c r="F1963" s="2" t="str">
        <f t="shared" si="122"/>
        <v>Week 34</v>
      </c>
      <c r="G1963" s="2" t="str">
        <f t="shared" si="123"/>
        <v>Week 34-2025</v>
      </c>
      <c r="O1963"/>
      <c r="Q1963"/>
    </row>
    <row r="1964" spans="1:17" hidden="1" x14ac:dyDescent="0.2">
      <c r="A1964" s="3">
        <v>45892</v>
      </c>
      <c r="B1964" s="2" t="s">
        <v>14</v>
      </c>
      <c r="C1964" s="2">
        <v>14</v>
      </c>
      <c r="D1964" s="2">
        <f t="shared" si="120"/>
        <v>2025</v>
      </c>
      <c r="E1964" s="2" t="str">
        <f t="shared" si="121"/>
        <v>2025-34</v>
      </c>
      <c r="F1964" s="2" t="str">
        <f t="shared" si="122"/>
        <v>Week 34</v>
      </c>
      <c r="G1964" s="2" t="str">
        <f t="shared" si="123"/>
        <v>Week 34-2025</v>
      </c>
      <c r="O1964"/>
      <c r="Q1964"/>
    </row>
    <row r="1965" spans="1:17" hidden="1" x14ac:dyDescent="0.2">
      <c r="A1965" s="3">
        <v>45892</v>
      </c>
      <c r="B1965" s="2" t="s">
        <v>19</v>
      </c>
      <c r="C1965" s="2">
        <v>5</v>
      </c>
      <c r="D1965" s="2">
        <f t="shared" si="120"/>
        <v>2025</v>
      </c>
      <c r="E1965" s="2" t="str">
        <f t="shared" si="121"/>
        <v>2025-34</v>
      </c>
      <c r="F1965" s="2" t="str">
        <f t="shared" si="122"/>
        <v>Week 34</v>
      </c>
      <c r="G1965" s="2" t="str">
        <f t="shared" si="123"/>
        <v>Week 34-2025</v>
      </c>
      <c r="O1965"/>
      <c r="Q1965"/>
    </row>
    <row r="1966" spans="1:17" hidden="1" x14ac:dyDescent="0.2">
      <c r="A1966" s="3">
        <v>45892</v>
      </c>
      <c r="B1966" s="2" t="s">
        <v>5</v>
      </c>
      <c r="C1966" s="2">
        <v>8</v>
      </c>
      <c r="D1966" s="2">
        <f t="shared" si="120"/>
        <v>2025</v>
      </c>
      <c r="E1966" s="2" t="str">
        <f t="shared" si="121"/>
        <v>2025-34</v>
      </c>
      <c r="F1966" s="2" t="str">
        <f t="shared" si="122"/>
        <v>Week 34</v>
      </c>
      <c r="G1966" s="2" t="str">
        <f t="shared" si="123"/>
        <v>Week 34-2025</v>
      </c>
      <c r="O1966"/>
      <c r="Q1966"/>
    </row>
    <row r="1967" spans="1:17" hidden="1" x14ac:dyDescent="0.2">
      <c r="A1967" s="3">
        <v>45892</v>
      </c>
      <c r="B1967" s="2" t="s">
        <v>13</v>
      </c>
      <c r="C1967" s="2">
        <v>6</v>
      </c>
      <c r="D1967" s="2">
        <f t="shared" si="120"/>
        <v>2025</v>
      </c>
      <c r="E1967" s="2" t="str">
        <f t="shared" si="121"/>
        <v>2025-34</v>
      </c>
      <c r="F1967" s="2" t="str">
        <f t="shared" si="122"/>
        <v>Week 34</v>
      </c>
      <c r="G1967" s="2" t="str">
        <f t="shared" si="123"/>
        <v>Week 34-2025</v>
      </c>
      <c r="O1967"/>
      <c r="Q1967"/>
    </row>
    <row r="1968" spans="1:17" hidden="1" x14ac:dyDescent="0.2">
      <c r="A1968" s="3">
        <v>45892</v>
      </c>
      <c r="B1968" s="2" t="s">
        <v>3</v>
      </c>
      <c r="C1968" s="2">
        <v>5</v>
      </c>
      <c r="D1968" s="2">
        <f t="shared" si="120"/>
        <v>2025</v>
      </c>
      <c r="E1968" s="2" t="str">
        <f t="shared" si="121"/>
        <v>2025-34</v>
      </c>
      <c r="F1968" s="2" t="str">
        <f t="shared" si="122"/>
        <v>Week 34</v>
      </c>
      <c r="G1968" s="2" t="str">
        <f t="shared" si="123"/>
        <v>Week 34-2025</v>
      </c>
      <c r="O1968"/>
      <c r="Q1968"/>
    </row>
    <row r="1969" spans="1:17" hidden="1" x14ac:dyDescent="0.2">
      <c r="A1969" s="3">
        <v>45892</v>
      </c>
      <c r="B1969" s="2" t="s">
        <v>38</v>
      </c>
      <c r="C1969" s="2">
        <v>8</v>
      </c>
      <c r="D1969" s="2">
        <f t="shared" si="120"/>
        <v>2025</v>
      </c>
      <c r="E1969" s="2" t="str">
        <f t="shared" si="121"/>
        <v>2025-34</v>
      </c>
      <c r="F1969" s="2" t="str">
        <f t="shared" si="122"/>
        <v>Week 34</v>
      </c>
      <c r="G1969" s="2" t="str">
        <f t="shared" si="123"/>
        <v>Week 34-2025</v>
      </c>
      <c r="O1969"/>
      <c r="Q1969"/>
    </row>
    <row r="1970" spans="1:17" hidden="1" x14ac:dyDescent="0.2">
      <c r="A1970" s="3">
        <v>45892</v>
      </c>
      <c r="B1970" s="2" t="s">
        <v>46</v>
      </c>
      <c r="C1970" s="2">
        <v>8</v>
      </c>
      <c r="D1970" s="2">
        <f t="shared" si="120"/>
        <v>2025</v>
      </c>
      <c r="E1970" s="2" t="str">
        <f t="shared" si="121"/>
        <v>2025-34</v>
      </c>
      <c r="F1970" s="2" t="str">
        <f t="shared" si="122"/>
        <v>Week 34</v>
      </c>
      <c r="G1970" s="2" t="str">
        <f t="shared" si="123"/>
        <v>Week 34-2025</v>
      </c>
      <c r="O1970"/>
      <c r="Q1970"/>
    </row>
    <row r="1971" spans="1:17" hidden="1" x14ac:dyDescent="0.2">
      <c r="A1971" s="3">
        <v>45892</v>
      </c>
      <c r="B1971" s="2" t="s">
        <v>37</v>
      </c>
      <c r="C1971" s="2">
        <v>6</v>
      </c>
      <c r="D1971" s="2">
        <f t="shared" si="120"/>
        <v>2025</v>
      </c>
      <c r="E1971" s="2" t="str">
        <f t="shared" si="121"/>
        <v>2025-34</v>
      </c>
      <c r="F1971" s="2" t="str">
        <f t="shared" si="122"/>
        <v>Week 34</v>
      </c>
      <c r="G1971" s="2" t="str">
        <f t="shared" si="123"/>
        <v>Week 34-2025</v>
      </c>
      <c r="O1971"/>
      <c r="Q1971"/>
    </row>
    <row r="1972" spans="1:17" hidden="1" x14ac:dyDescent="0.2">
      <c r="A1972" s="3">
        <v>45892</v>
      </c>
      <c r="B1972" s="2" t="s">
        <v>13</v>
      </c>
      <c r="C1972" s="2">
        <v>4</v>
      </c>
      <c r="D1972" s="2">
        <f t="shared" si="120"/>
        <v>2025</v>
      </c>
      <c r="E1972" s="2" t="str">
        <f t="shared" si="121"/>
        <v>2025-34</v>
      </c>
      <c r="F1972" s="2" t="str">
        <f t="shared" si="122"/>
        <v>Week 34</v>
      </c>
      <c r="G1972" s="2" t="str">
        <f t="shared" si="123"/>
        <v>Week 34-2025</v>
      </c>
      <c r="O1972"/>
      <c r="Q1972"/>
    </row>
    <row r="1973" spans="1:17" hidden="1" x14ac:dyDescent="0.2">
      <c r="A1973" s="3">
        <v>45892</v>
      </c>
      <c r="B1973" s="2" t="s">
        <v>3</v>
      </c>
      <c r="C1973" s="2">
        <v>3</v>
      </c>
      <c r="D1973" s="2">
        <f t="shared" si="120"/>
        <v>2025</v>
      </c>
      <c r="E1973" s="2" t="str">
        <f t="shared" si="121"/>
        <v>2025-34</v>
      </c>
      <c r="F1973" s="2" t="str">
        <f t="shared" si="122"/>
        <v>Week 34</v>
      </c>
      <c r="G1973" s="2" t="str">
        <f t="shared" si="123"/>
        <v>Week 34-2025</v>
      </c>
      <c r="O1973"/>
      <c r="Q1973"/>
    </row>
    <row r="1974" spans="1:17" hidden="1" x14ac:dyDescent="0.2">
      <c r="A1974" s="3">
        <v>45892</v>
      </c>
      <c r="B1974" s="2" t="s">
        <v>6</v>
      </c>
      <c r="C1974" s="2">
        <v>2</v>
      </c>
      <c r="D1974" s="2">
        <f t="shared" si="120"/>
        <v>2025</v>
      </c>
      <c r="E1974" s="2" t="str">
        <f t="shared" si="121"/>
        <v>2025-34</v>
      </c>
      <c r="F1974" s="2" t="str">
        <f t="shared" si="122"/>
        <v>Week 34</v>
      </c>
      <c r="G1974" s="2" t="str">
        <f t="shared" si="123"/>
        <v>Week 34-2025</v>
      </c>
      <c r="O1974"/>
      <c r="Q1974"/>
    </row>
    <row r="1975" spans="1:17" hidden="1" x14ac:dyDescent="0.2">
      <c r="A1975" s="3">
        <v>45892</v>
      </c>
      <c r="B1975" s="2" t="s">
        <v>34</v>
      </c>
      <c r="C1975" s="2">
        <v>4</v>
      </c>
      <c r="D1975" s="2">
        <f t="shared" si="120"/>
        <v>2025</v>
      </c>
      <c r="E1975" s="2" t="str">
        <f t="shared" si="121"/>
        <v>2025-34</v>
      </c>
      <c r="F1975" s="2" t="str">
        <f t="shared" si="122"/>
        <v>Week 34</v>
      </c>
      <c r="G1975" s="2" t="str">
        <f t="shared" si="123"/>
        <v>Week 34-2025</v>
      </c>
      <c r="O1975"/>
      <c r="Q1975"/>
    </row>
    <row r="1976" spans="1:17" hidden="1" x14ac:dyDescent="0.2">
      <c r="A1976" s="3">
        <v>45892</v>
      </c>
      <c r="B1976" s="2" t="s">
        <v>28</v>
      </c>
      <c r="C1976" s="2">
        <v>5</v>
      </c>
      <c r="D1976" s="2">
        <f t="shared" si="120"/>
        <v>2025</v>
      </c>
      <c r="E1976" s="2" t="str">
        <f t="shared" si="121"/>
        <v>2025-34</v>
      </c>
      <c r="F1976" s="2" t="str">
        <f t="shared" si="122"/>
        <v>Week 34</v>
      </c>
      <c r="G1976" s="2" t="str">
        <f t="shared" si="123"/>
        <v>Week 34-2025</v>
      </c>
      <c r="O1976"/>
      <c r="Q1976"/>
    </row>
    <row r="1977" spans="1:17" hidden="1" x14ac:dyDescent="0.2">
      <c r="A1977" s="3">
        <v>45892</v>
      </c>
      <c r="B1977" s="2" t="s">
        <v>7</v>
      </c>
      <c r="C1977" s="2">
        <v>2</v>
      </c>
      <c r="D1977" s="2">
        <f t="shared" si="120"/>
        <v>2025</v>
      </c>
      <c r="E1977" s="2" t="str">
        <f t="shared" si="121"/>
        <v>2025-34</v>
      </c>
      <c r="F1977" s="2" t="str">
        <f t="shared" si="122"/>
        <v>Week 34</v>
      </c>
      <c r="G1977" s="2" t="str">
        <f t="shared" si="123"/>
        <v>Week 34-2025</v>
      </c>
      <c r="O1977"/>
      <c r="Q1977"/>
    </row>
    <row r="1978" spans="1:17" hidden="1" x14ac:dyDescent="0.2">
      <c r="A1978" s="3">
        <v>45892</v>
      </c>
      <c r="B1978" s="2" t="s">
        <v>17</v>
      </c>
      <c r="C1978" s="2">
        <v>3</v>
      </c>
      <c r="D1978" s="2">
        <f t="shared" si="120"/>
        <v>2025</v>
      </c>
      <c r="E1978" s="2" t="str">
        <f t="shared" si="121"/>
        <v>2025-34</v>
      </c>
      <c r="F1978" s="2" t="str">
        <f t="shared" si="122"/>
        <v>Week 34</v>
      </c>
      <c r="G1978" s="2" t="str">
        <f t="shared" si="123"/>
        <v>Week 34-2025</v>
      </c>
      <c r="O1978"/>
      <c r="Q1978"/>
    </row>
    <row r="1979" spans="1:17" hidden="1" x14ac:dyDescent="0.2">
      <c r="A1979" s="3">
        <v>45892</v>
      </c>
      <c r="B1979" s="2" t="s">
        <v>28</v>
      </c>
      <c r="C1979" s="2">
        <v>4</v>
      </c>
      <c r="D1979" s="2">
        <f t="shared" si="120"/>
        <v>2025</v>
      </c>
      <c r="E1979" s="2" t="str">
        <f t="shared" si="121"/>
        <v>2025-34</v>
      </c>
      <c r="F1979" s="2" t="str">
        <f t="shared" si="122"/>
        <v>Week 34</v>
      </c>
      <c r="G1979" s="2" t="str">
        <f t="shared" si="123"/>
        <v>Week 34-2025</v>
      </c>
      <c r="O1979"/>
      <c r="Q1979"/>
    </row>
    <row r="1980" spans="1:17" hidden="1" x14ac:dyDescent="0.2">
      <c r="A1980" s="3">
        <v>45892</v>
      </c>
      <c r="B1980" s="2" t="s">
        <v>29</v>
      </c>
      <c r="C1980" s="2">
        <v>2</v>
      </c>
      <c r="D1980" s="2">
        <f t="shared" si="120"/>
        <v>2025</v>
      </c>
      <c r="E1980" s="2" t="str">
        <f t="shared" si="121"/>
        <v>2025-34</v>
      </c>
      <c r="F1980" s="2" t="str">
        <f t="shared" si="122"/>
        <v>Week 34</v>
      </c>
      <c r="G1980" s="2" t="str">
        <f t="shared" si="123"/>
        <v>Week 34-2025</v>
      </c>
      <c r="O1980"/>
      <c r="Q1980"/>
    </row>
    <row r="1981" spans="1:17" hidden="1" x14ac:dyDescent="0.2">
      <c r="A1981" s="3">
        <v>45892</v>
      </c>
      <c r="B1981" s="2" t="s">
        <v>14</v>
      </c>
      <c r="C1981" s="2">
        <v>3</v>
      </c>
      <c r="D1981" s="2">
        <f t="shared" si="120"/>
        <v>2025</v>
      </c>
      <c r="E1981" s="2" t="str">
        <f t="shared" si="121"/>
        <v>2025-34</v>
      </c>
      <c r="F1981" s="2" t="str">
        <f t="shared" si="122"/>
        <v>Week 34</v>
      </c>
      <c r="G1981" s="2" t="str">
        <f t="shared" si="123"/>
        <v>Week 34-2025</v>
      </c>
      <c r="O1981"/>
      <c r="Q1981"/>
    </row>
    <row r="1982" spans="1:17" hidden="1" x14ac:dyDescent="0.2">
      <c r="A1982" s="3">
        <v>45892</v>
      </c>
      <c r="B1982" s="2" t="s">
        <v>27</v>
      </c>
      <c r="C1982" s="2">
        <v>4</v>
      </c>
      <c r="D1982" s="2">
        <f t="shared" si="120"/>
        <v>2025</v>
      </c>
      <c r="E1982" s="2" t="str">
        <f t="shared" si="121"/>
        <v>2025-34</v>
      </c>
      <c r="F1982" s="2" t="str">
        <f t="shared" si="122"/>
        <v>Week 34</v>
      </c>
      <c r="G1982" s="2" t="str">
        <f t="shared" si="123"/>
        <v>Week 34-2025</v>
      </c>
      <c r="O1982"/>
      <c r="Q1982"/>
    </row>
    <row r="1983" spans="1:17" hidden="1" x14ac:dyDescent="0.2">
      <c r="A1983" s="3">
        <v>45892</v>
      </c>
      <c r="B1983" s="2" t="s">
        <v>35</v>
      </c>
      <c r="C1983" s="2">
        <v>3</v>
      </c>
      <c r="D1983" s="2">
        <f t="shared" si="120"/>
        <v>2025</v>
      </c>
      <c r="E1983" s="2" t="str">
        <f t="shared" si="121"/>
        <v>2025-34</v>
      </c>
      <c r="F1983" s="2" t="str">
        <f t="shared" si="122"/>
        <v>Week 34</v>
      </c>
      <c r="G1983" s="2" t="str">
        <f t="shared" si="123"/>
        <v>Week 34-2025</v>
      </c>
      <c r="O1983"/>
      <c r="Q1983"/>
    </row>
    <row r="1984" spans="1:17" hidden="1" x14ac:dyDescent="0.2">
      <c r="A1984" s="3">
        <v>45892</v>
      </c>
      <c r="B1984" s="2" t="s">
        <v>10</v>
      </c>
      <c r="C1984" s="2">
        <v>2</v>
      </c>
      <c r="D1984" s="2">
        <f t="shared" si="120"/>
        <v>2025</v>
      </c>
      <c r="E1984" s="2" t="str">
        <f t="shared" si="121"/>
        <v>2025-34</v>
      </c>
      <c r="F1984" s="2" t="str">
        <f t="shared" si="122"/>
        <v>Week 34</v>
      </c>
      <c r="G1984" s="2" t="str">
        <f t="shared" si="123"/>
        <v>Week 34-2025</v>
      </c>
      <c r="O1984"/>
      <c r="Q1984"/>
    </row>
    <row r="1985" spans="1:17" hidden="1" x14ac:dyDescent="0.2">
      <c r="A1985" s="3">
        <v>45892</v>
      </c>
      <c r="B1985" s="2" t="s">
        <v>4</v>
      </c>
      <c r="C1985" s="2">
        <v>1</v>
      </c>
      <c r="D1985" s="2">
        <f t="shared" si="120"/>
        <v>2025</v>
      </c>
      <c r="E1985" s="2" t="str">
        <f t="shared" si="121"/>
        <v>2025-34</v>
      </c>
      <c r="F1985" s="2" t="str">
        <f t="shared" si="122"/>
        <v>Week 34</v>
      </c>
      <c r="G1985" s="2" t="str">
        <f t="shared" si="123"/>
        <v>Week 34-2025</v>
      </c>
      <c r="O1985"/>
      <c r="Q1985"/>
    </row>
    <row r="1986" spans="1:17" hidden="1" x14ac:dyDescent="0.2">
      <c r="A1986" s="3">
        <v>45892</v>
      </c>
      <c r="B1986" s="2" t="s">
        <v>8</v>
      </c>
      <c r="C1986" s="2">
        <v>2</v>
      </c>
      <c r="D1986" s="2">
        <f t="shared" ref="D1986:D2049" si="124">YEAR(A1986)</f>
        <v>2025</v>
      </c>
      <c r="E1986" s="2" t="str">
        <f t="shared" ref="E1986:E2049" si="125">YEAR(A1986)&amp;"-"&amp;_xlfn.ISOWEEKNUM(A1986)</f>
        <v>2025-34</v>
      </c>
      <c r="F1986" s="2" t="str">
        <f t="shared" ref="F1986:F2049" si="126">_xlfn.CONCAT("Week "&amp;WEEKNUM(A1986))</f>
        <v>Week 34</v>
      </c>
      <c r="G1986" s="2" t="str">
        <f t="shared" ref="G1986:G2049" si="127">_xlfn.CONCAT(F1986,"-",D1986)</f>
        <v>Week 34-2025</v>
      </c>
      <c r="O1986"/>
      <c r="Q1986"/>
    </row>
    <row r="1987" spans="1:17" hidden="1" x14ac:dyDescent="0.2">
      <c r="A1987" s="3">
        <v>45892</v>
      </c>
      <c r="B1987" s="2" t="s">
        <v>29</v>
      </c>
      <c r="C1987" s="2">
        <v>1</v>
      </c>
      <c r="D1987" s="2">
        <f t="shared" si="124"/>
        <v>2025</v>
      </c>
      <c r="E1987" s="2" t="str">
        <f t="shared" si="125"/>
        <v>2025-34</v>
      </c>
      <c r="F1987" s="2" t="str">
        <f t="shared" si="126"/>
        <v>Week 34</v>
      </c>
      <c r="G1987" s="2" t="str">
        <f t="shared" si="127"/>
        <v>Week 34-2025</v>
      </c>
      <c r="O1987"/>
      <c r="Q1987"/>
    </row>
    <row r="1988" spans="1:17" hidden="1" x14ac:dyDescent="0.2">
      <c r="A1988" s="3">
        <v>45892</v>
      </c>
      <c r="B1988" s="2" t="s">
        <v>3</v>
      </c>
      <c r="C1988" s="2">
        <v>1</v>
      </c>
      <c r="D1988" s="2">
        <f t="shared" si="124"/>
        <v>2025</v>
      </c>
      <c r="E1988" s="2" t="str">
        <f t="shared" si="125"/>
        <v>2025-34</v>
      </c>
      <c r="F1988" s="2" t="str">
        <f t="shared" si="126"/>
        <v>Week 34</v>
      </c>
      <c r="G1988" s="2" t="str">
        <f t="shared" si="127"/>
        <v>Week 34-2025</v>
      </c>
      <c r="O1988"/>
      <c r="Q1988"/>
    </row>
    <row r="1989" spans="1:17" hidden="1" x14ac:dyDescent="0.2">
      <c r="A1989" s="3">
        <v>45892</v>
      </c>
      <c r="B1989" s="2" t="s">
        <v>35</v>
      </c>
      <c r="C1989" s="2">
        <v>1</v>
      </c>
      <c r="D1989" s="2">
        <f t="shared" si="124"/>
        <v>2025</v>
      </c>
      <c r="E1989" s="2" t="str">
        <f t="shared" si="125"/>
        <v>2025-34</v>
      </c>
      <c r="F1989" s="2" t="str">
        <f t="shared" si="126"/>
        <v>Week 34</v>
      </c>
      <c r="G1989" s="2" t="str">
        <f t="shared" si="127"/>
        <v>Week 34-2025</v>
      </c>
      <c r="O1989"/>
      <c r="Q1989"/>
    </row>
    <row r="1990" spans="1:17" hidden="1" x14ac:dyDescent="0.2">
      <c r="A1990" s="3">
        <v>45893</v>
      </c>
      <c r="B1990" s="2" t="s">
        <v>9</v>
      </c>
      <c r="C1990" s="2">
        <v>9</v>
      </c>
      <c r="D1990" s="2">
        <f t="shared" si="124"/>
        <v>2025</v>
      </c>
      <c r="E1990" s="2" t="str">
        <f t="shared" si="125"/>
        <v>2025-34</v>
      </c>
      <c r="F1990" s="2" t="str">
        <f t="shared" si="126"/>
        <v>Week 35</v>
      </c>
      <c r="G1990" s="2" t="str">
        <f t="shared" si="127"/>
        <v>Week 35-2025</v>
      </c>
      <c r="O1990"/>
      <c r="Q1990"/>
    </row>
    <row r="1991" spans="1:17" hidden="1" x14ac:dyDescent="0.2">
      <c r="A1991" s="3">
        <v>45893</v>
      </c>
      <c r="B1991" s="2" t="s">
        <v>28</v>
      </c>
      <c r="C1991" s="2">
        <v>4</v>
      </c>
      <c r="D1991" s="2">
        <f t="shared" si="124"/>
        <v>2025</v>
      </c>
      <c r="E1991" s="2" t="str">
        <f t="shared" si="125"/>
        <v>2025-34</v>
      </c>
      <c r="F1991" s="2" t="str">
        <f t="shared" si="126"/>
        <v>Week 35</v>
      </c>
      <c r="G1991" s="2" t="str">
        <f t="shared" si="127"/>
        <v>Week 35-2025</v>
      </c>
      <c r="O1991"/>
      <c r="Q1991"/>
    </row>
    <row r="1992" spans="1:17" hidden="1" x14ac:dyDescent="0.2">
      <c r="A1992" s="3">
        <v>45895</v>
      </c>
      <c r="B1992" s="2" t="s">
        <v>3</v>
      </c>
      <c r="C1992" s="2">
        <v>42</v>
      </c>
      <c r="D1992" s="2">
        <f t="shared" si="124"/>
        <v>2025</v>
      </c>
      <c r="E1992" s="2" t="str">
        <f t="shared" si="125"/>
        <v>2025-35</v>
      </c>
      <c r="F1992" s="2" t="str">
        <f t="shared" si="126"/>
        <v>Week 35</v>
      </c>
      <c r="G1992" s="2" t="str">
        <f t="shared" si="127"/>
        <v>Week 35-2025</v>
      </c>
      <c r="O1992"/>
      <c r="Q1992"/>
    </row>
    <row r="1993" spans="1:17" hidden="1" x14ac:dyDescent="0.2">
      <c r="A1993" s="3">
        <v>45895</v>
      </c>
      <c r="B1993" s="2" t="s">
        <v>10</v>
      </c>
      <c r="C1993" s="2">
        <v>36</v>
      </c>
      <c r="D1993" s="2">
        <f t="shared" si="124"/>
        <v>2025</v>
      </c>
      <c r="E1993" s="2" t="str">
        <f t="shared" si="125"/>
        <v>2025-35</v>
      </c>
      <c r="F1993" s="2" t="str">
        <f t="shared" si="126"/>
        <v>Week 35</v>
      </c>
      <c r="G1993" s="2" t="str">
        <f t="shared" si="127"/>
        <v>Week 35-2025</v>
      </c>
      <c r="O1993"/>
      <c r="Q1993"/>
    </row>
    <row r="1994" spans="1:17" hidden="1" x14ac:dyDescent="0.2">
      <c r="A1994" s="3">
        <v>45895</v>
      </c>
      <c r="B1994" s="2" t="s">
        <v>4</v>
      </c>
      <c r="C1994" s="2">
        <v>16</v>
      </c>
      <c r="D1994" s="2">
        <f t="shared" si="124"/>
        <v>2025</v>
      </c>
      <c r="E1994" s="2" t="str">
        <f t="shared" si="125"/>
        <v>2025-35</v>
      </c>
      <c r="F1994" s="2" t="str">
        <f t="shared" si="126"/>
        <v>Week 35</v>
      </c>
      <c r="G1994" s="2" t="str">
        <f t="shared" si="127"/>
        <v>Week 35-2025</v>
      </c>
      <c r="O1994"/>
      <c r="Q1994"/>
    </row>
    <row r="1995" spans="1:17" hidden="1" x14ac:dyDescent="0.2">
      <c r="A1995" s="3">
        <v>45895</v>
      </c>
      <c r="B1995" s="2" t="s">
        <v>5</v>
      </c>
      <c r="C1995" s="2">
        <v>16</v>
      </c>
      <c r="D1995" s="2">
        <f t="shared" si="124"/>
        <v>2025</v>
      </c>
      <c r="E1995" s="2" t="str">
        <f t="shared" si="125"/>
        <v>2025-35</v>
      </c>
      <c r="F1995" s="2" t="str">
        <f t="shared" si="126"/>
        <v>Week 35</v>
      </c>
      <c r="G1995" s="2" t="str">
        <f t="shared" si="127"/>
        <v>Week 35-2025</v>
      </c>
      <c r="O1995"/>
      <c r="Q1995"/>
    </row>
    <row r="1996" spans="1:17" hidden="1" x14ac:dyDescent="0.2">
      <c r="A1996" s="3">
        <v>45895</v>
      </c>
      <c r="B1996" s="2" t="s">
        <v>3</v>
      </c>
      <c r="C1996" s="2">
        <v>12</v>
      </c>
      <c r="D1996" s="2">
        <f t="shared" si="124"/>
        <v>2025</v>
      </c>
      <c r="E1996" s="2" t="str">
        <f t="shared" si="125"/>
        <v>2025-35</v>
      </c>
      <c r="F1996" s="2" t="str">
        <f t="shared" si="126"/>
        <v>Week 35</v>
      </c>
      <c r="G1996" s="2" t="str">
        <f t="shared" si="127"/>
        <v>Week 35-2025</v>
      </c>
      <c r="O1996"/>
      <c r="Q1996"/>
    </row>
    <row r="1997" spans="1:17" hidden="1" x14ac:dyDescent="0.2">
      <c r="A1997" s="3">
        <v>45895</v>
      </c>
      <c r="B1997" s="2" t="s">
        <v>15</v>
      </c>
      <c r="C1997" s="2">
        <v>24</v>
      </c>
      <c r="D1997" s="2">
        <f t="shared" si="124"/>
        <v>2025</v>
      </c>
      <c r="E1997" s="2" t="str">
        <f t="shared" si="125"/>
        <v>2025-35</v>
      </c>
      <c r="F1997" s="2" t="str">
        <f t="shared" si="126"/>
        <v>Week 35</v>
      </c>
      <c r="G1997" s="2" t="str">
        <f t="shared" si="127"/>
        <v>Week 35-2025</v>
      </c>
      <c r="O1997"/>
      <c r="Q1997"/>
    </row>
    <row r="1998" spans="1:17" hidden="1" x14ac:dyDescent="0.2">
      <c r="A1998" s="3">
        <v>45895</v>
      </c>
      <c r="B1998" s="2" t="s">
        <v>10</v>
      </c>
      <c r="C1998" s="2">
        <v>12</v>
      </c>
      <c r="D1998" s="2">
        <f t="shared" si="124"/>
        <v>2025</v>
      </c>
      <c r="E1998" s="2" t="str">
        <f t="shared" si="125"/>
        <v>2025-35</v>
      </c>
      <c r="F1998" s="2" t="str">
        <f t="shared" si="126"/>
        <v>Week 35</v>
      </c>
      <c r="G1998" s="2" t="str">
        <f t="shared" si="127"/>
        <v>Week 35-2025</v>
      </c>
      <c r="O1998"/>
      <c r="Q1998"/>
    </row>
    <row r="1999" spans="1:17" hidden="1" x14ac:dyDescent="0.2">
      <c r="A1999" s="3">
        <v>45895</v>
      </c>
      <c r="B1999" s="2" t="s">
        <v>10</v>
      </c>
      <c r="C1999" s="2">
        <v>12</v>
      </c>
      <c r="D1999" s="2">
        <f t="shared" si="124"/>
        <v>2025</v>
      </c>
      <c r="E1999" s="2" t="str">
        <f t="shared" si="125"/>
        <v>2025-35</v>
      </c>
      <c r="F1999" s="2" t="str">
        <f t="shared" si="126"/>
        <v>Week 35</v>
      </c>
      <c r="G1999" s="2" t="str">
        <f t="shared" si="127"/>
        <v>Week 35-2025</v>
      </c>
      <c r="O1999"/>
      <c r="Q1999"/>
    </row>
    <row r="2000" spans="1:17" hidden="1" x14ac:dyDescent="0.2">
      <c r="A2000" s="3">
        <v>45895</v>
      </c>
      <c r="B2000" s="2" t="s">
        <v>15</v>
      </c>
      <c r="C2000" s="2">
        <v>20</v>
      </c>
      <c r="D2000" s="2">
        <f t="shared" si="124"/>
        <v>2025</v>
      </c>
      <c r="E2000" s="2" t="str">
        <f t="shared" si="125"/>
        <v>2025-35</v>
      </c>
      <c r="F2000" s="2" t="str">
        <f t="shared" si="126"/>
        <v>Week 35</v>
      </c>
      <c r="G2000" s="2" t="str">
        <f t="shared" si="127"/>
        <v>Week 35-2025</v>
      </c>
      <c r="O2000"/>
      <c r="Q2000"/>
    </row>
    <row r="2001" spans="1:17" hidden="1" x14ac:dyDescent="0.2">
      <c r="A2001" s="3">
        <v>45895</v>
      </c>
      <c r="B2001" s="2" t="s">
        <v>5</v>
      </c>
      <c r="C2001" s="2">
        <v>10</v>
      </c>
      <c r="D2001" s="2">
        <f t="shared" si="124"/>
        <v>2025</v>
      </c>
      <c r="E2001" s="2" t="str">
        <f t="shared" si="125"/>
        <v>2025-35</v>
      </c>
      <c r="F2001" s="2" t="str">
        <f t="shared" si="126"/>
        <v>Week 35</v>
      </c>
      <c r="G2001" s="2" t="str">
        <f t="shared" si="127"/>
        <v>Week 35-2025</v>
      </c>
      <c r="O2001"/>
      <c r="Q2001"/>
    </row>
    <row r="2002" spans="1:17" hidden="1" x14ac:dyDescent="0.2">
      <c r="A2002" s="3">
        <v>45895</v>
      </c>
      <c r="B2002" s="2" t="s">
        <v>10</v>
      </c>
      <c r="C2002" s="2">
        <v>10</v>
      </c>
      <c r="D2002" s="2">
        <f t="shared" si="124"/>
        <v>2025</v>
      </c>
      <c r="E2002" s="2" t="str">
        <f t="shared" si="125"/>
        <v>2025-35</v>
      </c>
      <c r="F2002" s="2" t="str">
        <f t="shared" si="126"/>
        <v>Week 35</v>
      </c>
      <c r="G2002" s="2" t="str">
        <f t="shared" si="127"/>
        <v>Week 35-2025</v>
      </c>
      <c r="O2002"/>
      <c r="Q2002"/>
    </row>
    <row r="2003" spans="1:17" hidden="1" x14ac:dyDescent="0.2">
      <c r="A2003" s="3">
        <v>45895</v>
      </c>
      <c r="B2003" s="2" t="s">
        <v>5</v>
      </c>
      <c r="C2003" s="2">
        <v>8</v>
      </c>
      <c r="D2003" s="2">
        <f t="shared" si="124"/>
        <v>2025</v>
      </c>
      <c r="E2003" s="2" t="str">
        <f t="shared" si="125"/>
        <v>2025-35</v>
      </c>
      <c r="F2003" s="2" t="str">
        <f t="shared" si="126"/>
        <v>Week 35</v>
      </c>
      <c r="G2003" s="2" t="str">
        <f t="shared" si="127"/>
        <v>Week 35-2025</v>
      </c>
      <c r="O2003"/>
      <c r="Q2003"/>
    </row>
    <row r="2004" spans="1:17" hidden="1" x14ac:dyDescent="0.2">
      <c r="A2004" s="3">
        <v>45895</v>
      </c>
      <c r="B2004" s="2" t="s">
        <v>5</v>
      </c>
      <c r="C2004" s="2">
        <v>8</v>
      </c>
      <c r="D2004" s="2">
        <f t="shared" si="124"/>
        <v>2025</v>
      </c>
      <c r="E2004" s="2" t="str">
        <f t="shared" si="125"/>
        <v>2025-35</v>
      </c>
      <c r="F2004" s="2" t="str">
        <f t="shared" si="126"/>
        <v>Week 35</v>
      </c>
      <c r="G2004" s="2" t="str">
        <f t="shared" si="127"/>
        <v>Week 35-2025</v>
      </c>
      <c r="O2004"/>
      <c r="Q2004"/>
    </row>
    <row r="2005" spans="1:17" hidden="1" x14ac:dyDescent="0.2">
      <c r="A2005" s="3">
        <v>45895</v>
      </c>
      <c r="B2005" s="2" t="s">
        <v>18</v>
      </c>
      <c r="C2005" s="2">
        <v>4</v>
      </c>
      <c r="D2005" s="2">
        <f t="shared" si="124"/>
        <v>2025</v>
      </c>
      <c r="E2005" s="2" t="str">
        <f t="shared" si="125"/>
        <v>2025-35</v>
      </c>
      <c r="F2005" s="2" t="str">
        <f t="shared" si="126"/>
        <v>Week 35</v>
      </c>
      <c r="G2005" s="2" t="str">
        <f t="shared" si="127"/>
        <v>Week 35-2025</v>
      </c>
      <c r="O2005"/>
      <c r="Q2005"/>
    </row>
    <row r="2006" spans="1:17" hidden="1" x14ac:dyDescent="0.2">
      <c r="A2006" s="3">
        <v>45895</v>
      </c>
      <c r="B2006" s="2" t="s">
        <v>30</v>
      </c>
      <c r="C2006" s="2">
        <v>12</v>
      </c>
      <c r="D2006" s="2">
        <f t="shared" si="124"/>
        <v>2025</v>
      </c>
      <c r="E2006" s="2" t="str">
        <f t="shared" si="125"/>
        <v>2025-35</v>
      </c>
      <c r="F2006" s="2" t="str">
        <f t="shared" si="126"/>
        <v>Week 35</v>
      </c>
      <c r="G2006" s="2" t="str">
        <f t="shared" si="127"/>
        <v>Week 35-2025</v>
      </c>
      <c r="O2006"/>
      <c r="Q2006"/>
    </row>
    <row r="2007" spans="1:17" hidden="1" x14ac:dyDescent="0.2">
      <c r="A2007" s="3">
        <v>45895</v>
      </c>
      <c r="B2007" s="2" t="s">
        <v>15</v>
      </c>
      <c r="C2007" s="2">
        <v>10</v>
      </c>
      <c r="D2007" s="2">
        <f t="shared" si="124"/>
        <v>2025</v>
      </c>
      <c r="E2007" s="2" t="str">
        <f t="shared" si="125"/>
        <v>2025-35</v>
      </c>
      <c r="F2007" s="2" t="str">
        <f t="shared" si="126"/>
        <v>Week 35</v>
      </c>
      <c r="G2007" s="2" t="str">
        <f t="shared" si="127"/>
        <v>Week 35-2025</v>
      </c>
      <c r="O2007"/>
      <c r="Q2007"/>
    </row>
    <row r="2008" spans="1:17" hidden="1" x14ac:dyDescent="0.2">
      <c r="A2008" s="3">
        <v>45895</v>
      </c>
      <c r="B2008" s="2" t="s">
        <v>3</v>
      </c>
      <c r="C2008" s="2">
        <v>4</v>
      </c>
      <c r="D2008" s="2">
        <f t="shared" si="124"/>
        <v>2025</v>
      </c>
      <c r="E2008" s="2" t="str">
        <f t="shared" si="125"/>
        <v>2025-35</v>
      </c>
      <c r="F2008" s="2" t="str">
        <f t="shared" si="126"/>
        <v>Week 35</v>
      </c>
      <c r="G2008" s="2" t="str">
        <f t="shared" si="127"/>
        <v>Week 35-2025</v>
      </c>
      <c r="O2008"/>
      <c r="Q2008"/>
    </row>
    <row r="2009" spans="1:17" hidden="1" x14ac:dyDescent="0.2">
      <c r="A2009" s="3">
        <v>45895</v>
      </c>
      <c r="B2009" s="2" t="s">
        <v>9</v>
      </c>
      <c r="C2009" s="2">
        <v>2</v>
      </c>
      <c r="D2009" s="2">
        <f t="shared" si="124"/>
        <v>2025</v>
      </c>
      <c r="E2009" s="2" t="str">
        <f t="shared" si="125"/>
        <v>2025-35</v>
      </c>
      <c r="F2009" s="2" t="str">
        <f t="shared" si="126"/>
        <v>Week 35</v>
      </c>
      <c r="G2009" s="2" t="str">
        <f t="shared" si="127"/>
        <v>Week 35-2025</v>
      </c>
      <c r="O2009"/>
      <c r="Q2009"/>
    </row>
    <row r="2010" spans="1:17" hidden="1" x14ac:dyDescent="0.2">
      <c r="A2010" s="3">
        <v>45895</v>
      </c>
      <c r="B2010" s="2" t="s">
        <v>3</v>
      </c>
      <c r="C2010" s="2">
        <v>2</v>
      </c>
      <c r="D2010" s="2">
        <f t="shared" si="124"/>
        <v>2025</v>
      </c>
      <c r="E2010" s="2" t="str">
        <f t="shared" si="125"/>
        <v>2025-35</v>
      </c>
      <c r="F2010" s="2" t="str">
        <f t="shared" si="126"/>
        <v>Week 35</v>
      </c>
      <c r="G2010" s="2" t="str">
        <f t="shared" si="127"/>
        <v>Week 35-2025</v>
      </c>
      <c r="O2010"/>
      <c r="Q2010"/>
    </row>
    <row r="2011" spans="1:17" hidden="1" x14ac:dyDescent="0.2">
      <c r="A2011" s="3">
        <v>45895</v>
      </c>
      <c r="B2011" s="2" t="s">
        <v>3</v>
      </c>
      <c r="C2011" s="2">
        <v>2</v>
      </c>
      <c r="D2011" s="2">
        <f t="shared" si="124"/>
        <v>2025</v>
      </c>
      <c r="E2011" s="2" t="str">
        <f t="shared" si="125"/>
        <v>2025-35</v>
      </c>
      <c r="F2011" s="2" t="str">
        <f t="shared" si="126"/>
        <v>Week 35</v>
      </c>
      <c r="G2011" s="2" t="str">
        <f t="shared" si="127"/>
        <v>Week 35-2025</v>
      </c>
      <c r="O2011"/>
      <c r="Q2011"/>
    </row>
    <row r="2012" spans="1:17" hidden="1" x14ac:dyDescent="0.2">
      <c r="A2012" s="3">
        <v>45895</v>
      </c>
      <c r="B2012" s="2" t="s">
        <v>17</v>
      </c>
      <c r="C2012" s="2">
        <v>2</v>
      </c>
      <c r="D2012" s="2">
        <f t="shared" si="124"/>
        <v>2025</v>
      </c>
      <c r="E2012" s="2" t="str">
        <f t="shared" si="125"/>
        <v>2025-35</v>
      </c>
      <c r="F2012" s="2" t="str">
        <f t="shared" si="126"/>
        <v>Week 35</v>
      </c>
      <c r="G2012" s="2" t="str">
        <f t="shared" si="127"/>
        <v>Week 35-2025</v>
      </c>
      <c r="O2012"/>
      <c r="Q2012"/>
    </row>
    <row r="2013" spans="1:17" x14ac:dyDescent="0.2">
      <c r="A2013" s="3">
        <v>45895</v>
      </c>
      <c r="B2013" s="2" t="s">
        <v>24</v>
      </c>
      <c r="C2013" s="2">
        <v>4</v>
      </c>
      <c r="D2013" s="2">
        <f t="shared" si="124"/>
        <v>2025</v>
      </c>
      <c r="E2013" s="2" t="str">
        <f t="shared" si="125"/>
        <v>2025-35</v>
      </c>
      <c r="F2013" s="2" t="str">
        <f t="shared" si="126"/>
        <v>Week 35</v>
      </c>
      <c r="G2013" s="2" t="str">
        <f t="shared" si="127"/>
        <v>Week 35-2025</v>
      </c>
      <c r="O2013"/>
      <c r="Q2013"/>
    </row>
    <row r="2014" spans="1:17" hidden="1" x14ac:dyDescent="0.2">
      <c r="A2014" s="3">
        <v>45895</v>
      </c>
      <c r="B2014" s="2" t="s">
        <v>7</v>
      </c>
      <c r="C2014" s="2">
        <v>1</v>
      </c>
      <c r="D2014" s="2">
        <f t="shared" si="124"/>
        <v>2025</v>
      </c>
      <c r="E2014" s="2" t="str">
        <f t="shared" si="125"/>
        <v>2025-35</v>
      </c>
      <c r="F2014" s="2" t="str">
        <f t="shared" si="126"/>
        <v>Week 35</v>
      </c>
      <c r="G2014" s="2" t="str">
        <f t="shared" si="127"/>
        <v>Week 35-2025</v>
      </c>
      <c r="O2014"/>
      <c r="Q2014"/>
    </row>
    <row r="2015" spans="1:17" hidden="1" x14ac:dyDescent="0.2">
      <c r="A2015" s="3">
        <v>45895</v>
      </c>
      <c r="B2015" s="2" t="s">
        <v>14</v>
      </c>
      <c r="C2015" s="2">
        <v>2</v>
      </c>
      <c r="D2015" s="2">
        <f t="shared" si="124"/>
        <v>2025</v>
      </c>
      <c r="E2015" s="2" t="str">
        <f t="shared" si="125"/>
        <v>2025-35</v>
      </c>
      <c r="F2015" s="2" t="str">
        <f t="shared" si="126"/>
        <v>Week 35</v>
      </c>
      <c r="G2015" s="2" t="str">
        <f t="shared" si="127"/>
        <v>Week 35-2025</v>
      </c>
      <c r="O2015"/>
      <c r="Q2015"/>
    </row>
    <row r="2016" spans="1:17" hidden="1" x14ac:dyDescent="0.2">
      <c r="A2016" s="3">
        <v>45895</v>
      </c>
      <c r="B2016" s="2" t="s">
        <v>27</v>
      </c>
      <c r="C2016" s="2">
        <v>2</v>
      </c>
      <c r="D2016" s="2">
        <f t="shared" si="124"/>
        <v>2025</v>
      </c>
      <c r="E2016" s="2" t="str">
        <f t="shared" si="125"/>
        <v>2025-35</v>
      </c>
      <c r="F2016" s="2" t="str">
        <f t="shared" si="126"/>
        <v>Week 35</v>
      </c>
      <c r="G2016" s="2" t="str">
        <f t="shared" si="127"/>
        <v>Week 35-2025</v>
      </c>
      <c r="O2016"/>
      <c r="Q2016"/>
    </row>
    <row r="2017" spans="1:17" hidden="1" x14ac:dyDescent="0.2">
      <c r="A2017" s="3">
        <v>45896</v>
      </c>
      <c r="B2017" s="2" t="s">
        <v>25</v>
      </c>
      <c r="C2017" s="2">
        <v>5</v>
      </c>
      <c r="D2017" s="2">
        <f t="shared" si="124"/>
        <v>2025</v>
      </c>
      <c r="E2017" s="2" t="str">
        <f t="shared" si="125"/>
        <v>2025-35</v>
      </c>
      <c r="F2017" s="2" t="str">
        <f t="shared" si="126"/>
        <v>Week 35</v>
      </c>
      <c r="G2017" s="2" t="str">
        <f t="shared" si="127"/>
        <v>Week 35-2025</v>
      </c>
      <c r="O2017"/>
      <c r="Q2017"/>
    </row>
    <row r="2018" spans="1:17" hidden="1" x14ac:dyDescent="0.2">
      <c r="A2018" s="3">
        <v>45896</v>
      </c>
      <c r="B2018" s="2" t="s">
        <v>12</v>
      </c>
      <c r="C2018" s="2">
        <v>9</v>
      </c>
      <c r="D2018" s="2">
        <f t="shared" si="124"/>
        <v>2025</v>
      </c>
      <c r="E2018" s="2" t="str">
        <f t="shared" si="125"/>
        <v>2025-35</v>
      </c>
      <c r="F2018" s="2" t="str">
        <f t="shared" si="126"/>
        <v>Week 35</v>
      </c>
      <c r="G2018" s="2" t="str">
        <f t="shared" si="127"/>
        <v>Week 35-2025</v>
      </c>
      <c r="O2018"/>
      <c r="Q2018"/>
    </row>
    <row r="2019" spans="1:17" hidden="1" x14ac:dyDescent="0.2">
      <c r="A2019" s="3">
        <v>45896</v>
      </c>
      <c r="B2019" s="2" t="s">
        <v>19</v>
      </c>
      <c r="C2019" s="2">
        <v>11</v>
      </c>
      <c r="D2019" s="2">
        <f t="shared" si="124"/>
        <v>2025</v>
      </c>
      <c r="E2019" s="2" t="str">
        <f t="shared" si="125"/>
        <v>2025-35</v>
      </c>
      <c r="F2019" s="2" t="str">
        <f t="shared" si="126"/>
        <v>Week 35</v>
      </c>
      <c r="G2019" s="2" t="str">
        <f t="shared" si="127"/>
        <v>Week 35-2025</v>
      </c>
      <c r="O2019"/>
      <c r="Q2019"/>
    </row>
    <row r="2020" spans="1:17" hidden="1" x14ac:dyDescent="0.2">
      <c r="A2020" s="3">
        <v>45896</v>
      </c>
      <c r="B2020" s="2" t="s">
        <v>17</v>
      </c>
      <c r="C2020" s="2">
        <v>17</v>
      </c>
      <c r="D2020" s="2">
        <f t="shared" si="124"/>
        <v>2025</v>
      </c>
      <c r="E2020" s="2" t="str">
        <f t="shared" si="125"/>
        <v>2025-35</v>
      </c>
      <c r="F2020" s="2" t="str">
        <f t="shared" si="126"/>
        <v>Week 35</v>
      </c>
      <c r="G2020" s="2" t="str">
        <f t="shared" si="127"/>
        <v>Week 35-2025</v>
      </c>
      <c r="O2020"/>
      <c r="Q2020"/>
    </row>
    <row r="2021" spans="1:17" hidden="1" x14ac:dyDescent="0.2">
      <c r="A2021" s="3">
        <v>45896</v>
      </c>
      <c r="B2021" s="2" t="s">
        <v>11</v>
      </c>
      <c r="C2021" s="2">
        <v>5</v>
      </c>
      <c r="D2021" s="2">
        <f t="shared" si="124"/>
        <v>2025</v>
      </c>
      <c r="E2021" s="2" t="str">
        <f t="shared" si="125"/>
        <v>2025-35</v>
      </c>
      <c r="F2021" s="2" t="str">
        <f t="shared" si="126"/>
        <v>Week 35</v>
      </c>
      <c r="G2021" s="2" t="str">
        <f t="shared" si="127"/>
        <v>Week 35-2025</v>
      </c>
      <c r="O2021"/>
      <c r="Q2021"/>
    </row>
    <row r="2022" spans="1:17" hidden="1" x14ac:dyDescent="0.2">
      <c r="A2022" s="3">
        <v>45896</v>
      </c>
      <c r="B2022" s="2" t="s">
        <v>19</v>
      </c>
      <c r="C2022" s="2">
        <v>7</v>
      </c>
      <c r="D2022" s="2">
        <f t="shared" si="124"/>
        <v>2025</v>
      </c>
      <c r="E2022" s="2" t="str">
        <f t="shared" si="125"/>
        <v>2025-35</v>
      </c>
      <c r="F2022" s="2" t="str">
        <f t="shared" si="126"/>
        <v>Week 35</v>
      </c>
      <c r="G2022" s="2" t="str">
        <f t="shared" si="127"/>
        <v>Week 35-2025</v>
      </c>
      <c r="O2022"/>
      <c r="Q2022"/>
    </row>
    <row r="2023" spans="1:17" hidden="1" x14ac:dyDescent="0.2">
      <c r="A2023" s="3">
        <v>45896</v>
      </c>
      <c r="B2023" s="2" t="s">
        <v>33</v>
      </c>
      <c r="C2023" s="2">
        <v>4</v>
      </c>
      <c r="D2023" s="2">
        <f t="shared" si="124"/>
        <v>2025</v>
      </c>
      <c r="E2023" s="2" t="str">
        <f t="shared" si="125"/>
        <v>2025-35</v>
      </c>
      <c r="F2023" s="2" t="str">
        <f t="shared" si="126"/>
        <v>Week 35</v>
      </c>
      <c r="G2023" s="2" t="str">
        <f t="shared" si="127"/>
        <v>Week 35-2025</v>
      </c>
      <c r="O2023"/>
      <c r="Q2023"/>
    </row>
    <row r="2024" spans="1:17" hidden="1" x14ac:dyDescent="0.2">
      <c r="A2024" s="3">
        <v>45896</v>
      </c>
      <c r="B2024" s="2" t="s">
        <v>6</v>
      </c>
      <c r="C2024" s="2">
        <v>6</v>
      </c>
      <c r="D2024" s="2">
        <f t="shared" si="124"/>
        <v>2025</v>
      </c>
      <c r="E2024" s="2" t="str">
        <f t="shared" si="125"/>
        <v>2025-35</v>
      </c>
      <c r="F2024" s="2" t="str">
        <f t="shared" si="126"/>
        <v>Week 35</v>
      </c>
      <c r="G2024" s="2" t="str">
        <f t="shared" si="127"/>
        <v>Week 35-2025</v>
      </c>
      <c r="O2024"/>
      <c r="Q2024"/>
    </row>
    <row r="2025" spans="1:17" hidden="1" x14ac:dyDescent="0.2">
      <c r="A2025" s="3">
        <v>45896</v>
      </c>
      <c r="B2025" s="2" t="s">
        <v>17</v>
      </c>
      <c r="C2025" s="2">
        <v>10</v>
      </c>
      <c r="D2025" s="2">
        <f t="shared" si="124"/>
        <v>2025</v>
      </c>
      <c r="E2025" s="2" t="str">
        <f t="shared" si="125"/>
        <v>2025-35</v>
      </c>
      <c r="F2025" s="2" t="str">
        <f t="shared" si="126"/>
        <v>Week 35</v>
      </c>
      <c r="G2025" s="2" t="str">
        <f t="shared" si="127"/>
        <v>Week 35-2025</v>
      </c>
      <c r="O2025"/>
      <c r="Q2025"/>
    </row>
    <row r="2026" spans="1:17" hidden="1" x14ac:dyDescent="0.2">
      <c r="A2026" s="3">
        <v>45896</v>
      </c>
      <c r="B2026" s="2" t="s">
        <v>9</v>
      </c>
      <c r="C2026" s="2">
        <v>5</v>
      </c>
      <c r="D2026" s="2">
        <f t="shared" si="124"/>
        <v>2025</v>
      </c>
      <c r="E2026" s="2" t="str">
        <f t="shared" si="125"/>
        <v>2025-35</v>
      </c>
      <c r="F2026" s="2" t="str">
        <f t="shared" si="126"/>
        <v>Week 35</v>
      </c>
      <c r="G2026" s="2" t="str">
        <f t="shared" si="127"/>
        <v>Week 35-2025</v>
      </c>
      <c r="O2026"/>
      <c r="Q2026"/>
    </row>
    <row r="2027" spans="1:17" hidden="1" x14ac:dyDescent="0.2">
      <c r="A2027" s="3">
        <v>45896</v>
      </c>
      <c r="B2027" s="2" t="s">
        <v>29</v>
      </c>
      <c r="C2027" s="2">
        <v>5</v>
      </c>
      <c r="D2027" s="2">
        <f t="shared" si="124"/>
        <v>2025</v>
      </c>
      <c r="E2027" s="2" t="str">
        <f t="shared" si="125"/>
        <v>2025-35</v>
      </c>
      <c r="F2027" s="2" t="str">
        <f t="shared" si="126"/>
        <v>Week 35</v>
      </c>
      <c r="G2027" s="2" t="str">
        <f t="shared" si="127"/>
        <v>Week 35-2025</v>
      </c>
      <c r="O2027"/>
      <c r="Q2027"/>
    </row>
    <row r="2028" spans="1:17" hidden="1" x14ac:dyDescent="0.2">
      <c r="A2028" s="3">
        <v>45896</v>
      </c>
      <c r="B2028" s="2" t="s">
        <v>34</v>
      </c>
      <c r="C2028" s="2">
        <v>7</v>
      </c>
      <c r="D2028" s="2">
        <f t="shared" si="124"/>
        <v>2025</v>
      </c>
      <c r="E2028" s="2" t="str">
        <f t="shared" si="125"/>
        <v>2025-35</v>
      </c>
      <c r="F2028" s="2" t="str">
        <f t="shared" si="126"/>
        <v>Week 35</v>
      </c>
      <c r="G2028" s="2" t="str">
        <f t="shared" si="127"/>
        <v>Week 35-2025</v>
      </c>
      <c r="O2028"/>
      <c r="Q2028"/>
    </row>
    <row r="2029" spans="1:17" hidden="1" x14ac:dyDescent="0.2">
      <c r="A2029" s="3">
        <v>45896</v>
      </c>
      <c r="B2029" s="2" t="s">
        <v>46</v>
      </c>
      <c r="C2029" s="2">
        <v>8</v>
      </c>
      <c r="D2029" s="2">
        <f t="shared" si="124"/>
        <v>2025</v>
      </c>
      <c r="E2029" s="2" t="str">
        <f t="shared" si="125"/>
        <v>2025-35</v>
      </c>
      <c r="F2029" s="2" t="str">
        <f t="shared" si="126"/>
        <v>Week 35</v>
      </c>
      <c r="G2029" s="2" t="str">
        <f t="shared" si="127"/>
        <v>Week 35-2025</v>
      </c>
      <c r="O2029"/>
      <c r="Q2029"/>
    </row>
    <row r="2030" spans="1:17" hidden="1" x14ac:dyDescent="0.2">
      <c r="A2030" s="3">
        <v>45896</v>
      </c>
      <c r="B2030" s="2" t="s">
        <v>38</v>
      </c>
      <c r="C2030" s="2">
        <v>7</v>
      </c>
      <c r="D2030" s="2">
        <f t="shared" si="124"/>
        <v>2025</v>
      </c>
      <c r="E2030" s="2" t="str">
        <f t="shared" si="125"/>
        <v>2025-35</v>
      </c>
      <c r="F2030" s="2" t="str">
        <f t="shared" si="126"/>
        <v>Week 35</v>
      </c>
      <c r="G2030" s="2" t="str">
        <f t="shared" si="127"/>
        <v>Week 35-2025</v>
      </c>
      <c r="O2030"/>
      <c r="Q2030"/>
    </row>
    <row r="2031" spans="1:17" hidden="1" x14ac:dyDescent="0.2">
      <c r="A2031" s="3">
        <v>45896</v>
      </c>
      <c r="B2031" s="2" t="s">
        <v>21</v>
      </c>
      <c r="C2031" s="2">
        <v>2</v>
      </c>
      <c r="D2031" s="2">
        <f t="shared" si="124"/>
        <v>2025</v>
      </c>
      <c r="E2031" s="2" t="str">
        <f t="shared" si="125"/>
        <v>2025-35</v>
      </c>
      <c r="F2031" s="2" t="str">
        <f t="shared" si="126"/>
        <v>Week 35</v>
      </c>
      <c r="G2031" s="2" t="str">
        <f t="shared" si="127"/>
        <v>Week 35-2025</v>
      </c>
      <c r="O2031"/>
      <c r="Q2031"/>
    </row>
    <row r="2032" spans="1:17" hidden="1" x14ac:dyDescent="0.2">
      <c r="A2032" s="3">
        <v>45896</v>
      </c>
      <c r="B2032" s="2" t="s">
        <v>18</v>
      </c>
      <c r="C2032" s="2">
        <v>2</v>
      </c>
      <c r="D2032" s="2">
        <f t="shared" si="124"/>
        <v>2025</v>
      </c>
      <c r="E2032" s="2" t="str">
        <f t="shared" si="125"/>
        <v>2025-35</v>
      </c>
      <c r="F2032" s="2" t="str">
        <f t="shared" si="126"/>
        <v>Week 35</v>
      </c>
      <c r="G2032" s="2" t="str">
        <f t="shared" si="127"/>
        <v>Week 35-2025</v>
      </c>
      <c r="O2032"/>
      <c r="Q2032"/>
    </row>
    <row r="2033" spans="1:17" hidden="1" x14ac:dyDescent="0.2">
      <c r="A2033" s="3">
        <v>45896</v>
      </c>
      <c r="B2033" s="2" t="s">
        <v>10</v>
      </c>
      <c r="C2033" s="2">
        <v>4</v>
      </c>
      <c r="D2033" s="2">
        <f t="shared" si="124"/>
        <v>2025</v>
      </c>
      <c r="E2033" s="2" t="str">
        <f t="shared" si="125"/>
        <v>2025-35</v>
      </c>
      <c r="F2033" s="2" t="str">
        <f t="shared" si="126"/>
        <v>Week 35</v>
      </c>
      <c r="G2033" s="2" t="str">
        <f t="shared" si="127"/>
        <v>Week 35-2025</v>
      </c>
      <c r="O2033"/>
      <c r="Q2033"/>
    </row>
    <row r="2034" spans="1:17" hidden="1" x14ac:dyDescent="0.2">
      <c r="A2034" s="3">
        <v>45896</v>
      </c>
      <c r="B2034" s="2" t="s">
        <v>34</v>
      </c>
      <c r="C2034" s="2">
        <v>4</v>
      </c>
      <c r="D2034" s="2">
        <f t="shared" si="124"/>
        <v>2025</v>
      </c>
      <c r="E2034" s="2" t="str">
        <f t="shared" si="125"/>
        <v>2025-35</v>
      </c>
      <c r="F2034" s="2" t="str">
        <f t="shared" si="126"/>
        <v>Week 35</v>
      </c>
      <c r="G2034" s="2" t="str">
        <f t="shared" si="127"/>
        <v>Week 35-2025</v>
      </c>
      <c r="O2034"/>
      <c r="Q2034"/>
    </row>
    <row r="2035" spans="1:17" hidden="1" x14ac:dyDescent="0.2">
      <c r="A2035" s="3">
        <v>45896</v>
      </c>
      <c r="B2035" s="2" t="s">
        <v>7</v>
      </c>
      <c r="C2035" s="2">
        <v>2</v>
      </c>
      <c r="D2035" s="2">
        <f t="shared" si="124"/>
        <v>2025</v>
      </c>
      <c r="E2035" s="2" t="str">
        <f t="shared" si="125"/>
        <v>2025-35</v>
      </c>
      <c r="F2035" s="2" t="str">
        <f t="shared" si="126"/>
        <v>Week 35</v>
      </c>
      <c r="G2035" s="2" t="str">
        <f t="shared" si="127"/>
        <v>Week 35-2025</v>
      </c>
      <c r="O2035"/>
      <c r="Q2035"/>
    </row>
    <row r="2036" spans="1:17" hidden="1" x14ac:dyDescent="0.2">
      <c r="A2036" s="3">
        <v>45896</v>
      </c>
      <c r="B2036" s="2" t="s">
        <v>17</v>
      </c>
      <c r="C2036" s="2">
        <v>3</v>
      </c>
      <c r="D2036" s="2">
        <f t="shared" si="124"/>
        <v>2025</v>
      </c>
      <c r="E2036" s="2" t="str">
        <f t="shared" si="125"/>
        <v>2025-35</v>
      </c>
      <c r="F2036" s="2" t="str">
        <f t="shared" si="126"/>
        <v>Week 35</v>
      </c>
      <c r="G2036" s="2" t="str">
        <f t="shared" si="127"/>
        <v>Week 35-2025</v>
      </c>
      <c r="O2036"/>
      <c r="Q2036"/>
    </row>
    <row r="2037" spans="1:17" hidden="1" x14ac:dyDescent="0.2">
      <c r="A2037" s="3">
        <v>45896</v>
      </c>
      <c r="B2037" s="2" t="s">
        <v>35</v>
      </c>
      <c r="C2037" s="2">
        <v>4</v>
      </c>
      <c r="D2037" s="2">
        <f t="shared" si="124"/>
        <v>2025</v>
      </c>
      <c r="E2037" s="2" t="str">
        <f t="shared" si="125"/>
        <v>2025-35</v>
      </c>
      <c r="F2037" s="2" t="str">
        <f t="shared" si="126"/>
        <v>Week 35</v>
      </c>
      <c r="G2037" s="2" t="str">
        <f t="shared" si="127"/>
        <v>Week 35-2025</v>
      </c>
      <c r="O2037"/>
      <c r="Q2037"/>
    </row>
    <row r="2038" spans="1:17" hidden="1" x14ac:dyDescent="0.2">
      <c r="A2038" s="3">
        <v>45896</v>
      </c>
      <c r="B2038" s="2" t="s">
        <v>28</v>
      </c>
      <c r="C2038" s="2">
        <v>4</v>
      </c>
      <c r="D2038" s="2">
        <f t="shared" si="124"/>
        <v>2025</v>
      </c>
      <c r="E2038" s="2" t="str">
        <f t="shared" si="125"/>
        <v>2025-35</v>
      </c>
      <c r="F2038" s="2" t="str">
        <f t="shared" si="126"/>
        <v>Week 35</v>
      </c>
      <c r="G2038" s="2" t="str">
        <f t="shared" si="127"/>
        <v>Week 35-2025</v>
      </c>
      <c r="O2038"/>
      <c r="Q2038"/>
    </row>
    <row r="2039" spans="1:17" hidden="1" x14ac:dyDescent="0.2">
      <c r="A2039" s="3">
        <v>45896</v>
      </c>
      <c r="B2039" s="2" t="s">
        <v>14</v>
      </c>
      <c r="C2039" s="2">
        <v>3</v>
      </c>
      <c r="D2039" s="2">
        <f t="shared" si="124"/>
        <v>2025</v>
      </c>
      <c r="E2039" s="2" t="str">
        <f t="shared" si="125"/>
        <v>2025-35</v>
      </c>
      <c r="F2039" s="2" t="str">
        <f t="shared" si="126"/>
        <v>Week 35</v>
      </c>
      <c r="G2039" s="2" t="str">
        <f t="shared" si="127"/>
        <v>Week 35-2025</v>
      </c>
      <c r="O2039"/>
      <c r="Q2039"/>
    </row>
    <row r="2040" spans="1:17" hidden="1" x14ac:dyDescent="0.2">
      <c r="A2040" s="3">
        <v>45896</v>
      </c>
      <c r="B2040" s="2" t="s">
        <v>5</v>
      </c>
      <c r="C2040" s="2">
        <v>2</v>
      </c>
      <c r="D2040" s="2">
        <f t="shared" si="124"/>
        <v>2025</v>
      </c>
      <c r="E2040" s="2" t="str">
        <f t="shared" si="125"/>
        <v>2025-35</v>
      </c>
      <c r="F2040" s="2" t="str">
        <f t="shared" si="126"/>
        <v>Week 35</v>
      </c>
      <c r="G2040" s="2" t="str">
        <f t="shared" si="127"/>
        <v>Week 35-2025</v>
      </c>
      <c r="O2040"/>
      <c r="Q2040"/>
    </row>
    <row r="2041" spans="1:17" hidden="1" x14ac:dyDescent="0.2">
      <c r="A2041" s="3">
        <v>45896</v>
      </c>
      <c r="B2041" s="2" t="s">
        <v>23</v>
      </c>
      <c r="C2041" s="2">
        <v>1</v>
      </c>
      <c r="D2041" s="2">
        <f t="shared" si="124"/>
        <v>2025</v>
      </c>
      <c r="E2041" s="2" t="str">
        <f t="shared" si="125"/>
        <v>2025-35</v>
      </c>
      <c r="F2041" s="2" t="str">
        <f t="shared" si="126"/>
        <v>Week 35</v>
      </c>
      <c r="G2041" s="2" t="str">
        <f t="shared" si="127"/>
        <v>Week 35-2025</v>
      </c>
      <c r="O2041"/>
      <c r="Q2041"/>
    </row>
    <row r="2042" spans="1:17" hidden="1" x14ac:dyDescent="0.2">
      <c r="A2042" s="3">
        <v>45896</v>
      </c>
      <c r="B2042" s="2" t="s">
        <v>10</v>
      </c>
      <c r="C2042" s="2">
        <v>2</v>
      </c>
      <c r="D2042" s="2">
        <f t="shared" si="124"/>
        <v>2025</v>
      </c>
      <c r="E2042" s="2" t="str">
        <f t="shared" si="125"/>
        <v>2025-35</v>
      </c>
      <c r="F2042" s="2" t="str">
        <f t="shared" si="126"/>
        <v>Week 35</v>
      </c>
      <c r="G2042" s="2" t="str">
        <f t="shared" si="127"/>
        <v>Week 35-2025</v>
      </c>
      <c r="O2042"/>
      <c r="Q2042"/>
    </row>
    <row r="2043" spans="1:17" hidden="1" x14ac:dyDescent="0.2">
      <c r="A2043" s="3">
        <v>45896</v>
      </c>
      <c r="B2043" s="2" t="s">
        <v>37</v>
      </c>
      <c r="C2043" s="2">
        <v>2</v>
      </c>
      <c r="D2043" s="2">
        <f t="shared" si="124"/>
        <v>2025</v>
      </c>
      <c r="E2043" s="2" t="str">
        <f t="shared" si="125"/>
        <v>2025-35</v>
      </c>
      <c r="F2043" s="2" t="str">
        <f t="shared" si="126"/>
        <v>Week 35</v>
      </c>
      <c r="G2043" s="2" t="str">
        <f t="shared" si="127"/>
        <v>Week 35-2025</v>
      </c>
      <c r="O2043"/>
      <c r="Q2043"/>
    </row>
    <row r="2044" spans="1:17" hidden="1" x14ac:dyDescent="0.2">
      <c r="A2044" s="3">
        <v>45896</v>
      </c>
      <c r="B2044" s="2" t="s">
        <v>34</v>
      </c>
      <c r="C2044" s="2">
        <v>2</v>
      </c>
      <c r="D2044" s="2">
        <f t="shared" si="124"/>
        <v>2025</v>
      </c>
      <c r="E2044" s="2" t="str">
        <f t="shared" si="125"/>
        <v>2025-35</v>
      </c>
      <c r="F2044" s="2" t="str">
        <f t="shared" si="126"/>
        <v>Week 35</v>
      </c>
      <c r="G2044" s="2" t="str">
        <f t="shared" si="127"/>
        <v>Week 35-2025</v>
      </c>
      <c r="O2044"/>
      <c r="Q2044"/>
    </row>
    <row r="2045" spans="1:17" hidden="1" x14ac:dyDescent="0.2">
      <c r="A2045" s="3">
        <v>45896</v>
      </c>
      <c r="B2045" s="2" t="s">
        <v>31</v>
      </c>
      <c r="C2045" s="2">
        <v>2</v>
      </c>
      <c r="D2045" s="2">
        <f t="shared" si="124"/>
        <v>2025</v>
      </c>
      <c r="E2045" s="2" t="str">
        <f t="shared" si="125"/>
        <v>2025-35</v>
      </c>
      <c r="F2045" s="2" t="str">
        <f t="shared" si="126"/>
        <v>Week 35</v>
      </c>
      <c r="G2045" s="2" t="str">
        <f t="shared" si="127"/>
        <v>Week 35-2025</v>
      </c>
      <c r="O2045"/>
      <c r="Q2045"/>
    </row>
    <row r="2046" spans="1:17" hidden="1" x14ac:dyDescent="0.2">
      <c r="A2046" s="3">
        <v>45896</v>
      </c>
      <c r="B2046" s="2" t="s">
        <v>4</v>
      </c>
      <c r="C2046" s="2">
        <v>1</v>
      </c>
      <c r="D2046" s="2">
        <f t="shared" si="124"/>
        <v>2025</v>
      </c>
      <c r="E2046" s="2" t="str">
        <f t="shared" si="125"/>
        <v>2025-35</v>
      </c>
      <c r="F2046" s="2" t="str">
        <f t="shared" si="126"/>
        <v>Week 35</v>
      </c>
      <c r="G2046" s="2" t="str">
        <f t="shared" si="127"/>
        <v>Week 35-2025</v>
      </c>
      <c r="O2046"/>
      <c r="Q2046"/>
    </row>
    <row r="2047" spans="1:17" hidden="1" x14ac:dyDescent="0.2">
      <c r="A2047" s="3">
        <v>45896</v>
      </c>
      <c r="B2047" s="2" t="s">
        <v>3</v>
      </c>
      <c r="C2047" s="2">
        <v>1</v>
      </c>
      <c r="D2047" s="2">
        <f t="shared" si="124"/>
        <v>2025</v>
      </c>
      <c r="E2047" s="2" t="str">
        <f t="shared" si="125"/>
        <v>2025-35</v>
      </c>
      <c r="F2047" s="2" t="str">
        <f t="shared" si="126"/>
        <v>Week 35</v>
      </c>
      <c r="G2047" s="2" t="str">
        <f t="shared" si="127"/>
        <v>Week 35-2025</v>
      </c>
      <c r="O2047"/>
      <c r="Q2047"/>
    </row>
    <row r="2048" spans="1:17" hidden="1" x14ac:dyDescent="0.2">
      <c r="A2048" s="3">
        <v>45896</v>
      </c>
      <c r="B2048" s="2" t="s">
        <v>13</v>
      </c>
      <c r="C2048" s="2">
        <v>1</v>
      </c>
      <c r="D2048" s="2">
        <f t="shared" si="124"/>
        <v>2025</v>
      </c>
      <c r="E2048" s="2" t="str">
        <f t="shared" si="125"/>
        <v>2025-35</v>
      </c>
      <c r="F2048" s="2" t="str">
        <f t="shared" si="126"/>
        <v>Week 35</v>
      </c>
      <c r="G2048" s="2" t="str">
        <f t="shared" si="127"/>
        <v>Week 35-2025</v>
      </c>
      <c r="O2048"/>
      <c r="Q2048"/>
    </row>
    <row r="2049" spans="1:17" hidden="1" x14ac:dyDescent="0.2">
      <c r="A2049" s="3">
        <v>45896</v>
      </c>
      <c r="B2049" s="2" t="s">
        <v>36</v>
      </c>
      <c r="C2049" s="2">
        <v>2</v>
      </c>
      <c r="D2049" s="2">
        <f t="shared" si="124"/>
        <v>2025</v>
      </c>
      <c r="E2049" s="2" t="str">
        <f t="shared" si="125"/>
        <v>2025-35</v>
      </c>
      <c r="F2049" s="2" t="str">
        <f t="shared" si="126"/>
        <v>Week 35</v>
      </c>
      <c r="G2049" s="2" t="str">
        <f t="shared" si="127"/>
        <v>Week 35-2025</v>
      </c>
      <c r="O2049"/>
      <c r="Q2049"/>
    </row>
    <row r="2050" spans="1:17" hidden="1" x14ac:dyDescent="0.2">
      <c r="A2050" s="3">
        <v>45896</v>
      </c>
      <c r="B2050" s="2" t="s">
        <v>39</v>
      </c>
      <c r="C2050" s="2">
        <v>1</v>
      </c>
      <c r="D2050" s="2">
        <f t="shared" ref="D2050:D2113" si="128">YEAR(A2050)</f>
        <v>2025</v>
      </c>
      <c r="E2050" s="2" t="str">
        <f t="shared" ref="E2050:E2113" si="129">YEAR(A2050)&amp;"-"&amp;_xlfn.ISOWEEKNUM(A2050)</f>
        <v>2025-35</v>
      </c>
      <c r="F2050" s="2" t="str">
        <f t="shared" ref="F2050:F2113" si="130">_xlfn.CONCAT("Week "&amp;WEEKNUM(A2050))</f>
        <v>Week 35</v>
      </c>
      <c r="G2050" s="2" t="str">
        <f t="shared" ref="G2050:G2113" si="131">_xlfn.CONCAT(F2050,"-",D2050)</f>
        <v>Week 35-2025</v>
      </c>
      <c r="O2050"/>
      <c r="Q2050"/>
    </row>
    <row r="2051" spans="1:17" hidden="1" x14ac:dyDescent="0.2">
      <c r="A2051" s="3">
        <v>45896</v>
      </c>
      <c r="B2051" s="2" t="s">
        <v>14</v>
      </c>
      <c r="C2051" s="2">
        <v>1</v>
      </c>
      <c r="D2051" s="2">
        <f t="shared" si="128"/>
        <v>2025</v>
      </c>
      <c r="E2051" s="2" t="str">
        <f t="shared" si="129"/>
        <v>2025-35</v>
      </c>
      <c r="F2051" s="2" t="str">
        <f t="shared" si="130"/>
        <v>Week 35</v>
      </c>
      <c r="G2051" s="2" t="str">
        <f t="shared" si="131"/>
        <v>Week 35-2025</v>
      </c>
      <c r="O2051"/>
      <c r="Q2051"/>
    </row>
    <row r="2052" spans="1:17" hidden="1" x14ac:dyDescent="0.2">
      <c r="A2052" s="3">
        <v>45896</v>
      </c>
      <c r="B2052" s="2" t="s">
        <v>8</v>
      </c>
      <c r="C2052" s="2">
        <v>1</v>
      </c>
      <c r="D2052" s="2">
        <f t="shared" si="128"/>
        <v>2025</v>
      </c>
      <c r="E2052" s="2" t="str">
        <f t="shared" si="129"/>
        <v>2025-35</v>
      </c>
      <c r="F2052" s="2" t="str">
        <f t="shared" si="130"/>
        <v>Week 35</v>
      </c>
      <c r="G2052" s="2" t="str">
        <f t="shared" si="131"/>
        <v>Week 35-2025</v>
      </c>
      <c r="O2052"/>
      <c r="Q2052"/>
    </row>
    <row r="2053" spans="1:17" hidden="1" x14ac:dyDescent="0.2">
      <c r="A2053" s="3">
        <v>45896</v>
      </c>
      <c r="B2053" s="2" t="s">
        <v>27</v>
      </c>
      <c r="C2053" s="2">
        <v>1</v>
      </c>
      <c r="D2053" s="2">
        <f t="shared" si="128"/>
        <v>2025</v>
      </c>
      <c r="E2053" s="2" t="str">
        <f t="shared" si="129"/>
        <v>2025-35</v>
      </c>
      <c r="F2053" s="2" t="str">
        <f t="shared" si="130"/>
        <v>Week 35</v>
      </c>
      <c r="G2053" s="2" t="str">
        <f t="shared" si="131"/>
        <v>Week 35-2025</v>
      </c>
      <c r="O2053"/>
      <c r="Q2053"/>
    </row>
    <row r="2054" spans="1:17" hidden="1" x14ac:dyDescent="0.2">
      <c r="A2054" s="3">
        <v>45896</v>
      </c>
      <c r="B2054" s="2" t="s">
        <v>15</v>
      </c>
      <c r="C2054" s="2">
        <v>1</v>
      </c>
      <c r="D2054" s="2">
        <f t="shared" si="128"/>
        <v>2025</v>
      </c>
      <c r="E2054" s="2" t="str">
        <f t="shared" si="129"/>
        <v>2025-35</v>
      </c>
      <c r="F2054" s="2" t="str">
        <f t="shared" si="130"/>
        <v>Week 35</v>
      </c>
      <c r="G2054" s="2" t="str">
        <f t="shared" si="131"/>
        <v>Week 35-2025</v>
      </c>
      <c r="O2054"/>
      <c r="Q2054"/>
    </row>
    <row r="2055" spans="1:17" hidden="1" x14ac:dyDescent="0.2">
      <c r="A2055" s="3">
        <v>45898</v>
      </c>
      <c r="B2055" s="2" t="s">
        <v>3</v>
      </c>
      <c r="C2055" s="2">
        <v>12</v>
      </c>
      <c r="D2055" s="2">
        <f t="shared" si="128"/>
        <v>2025</v>
      </c>
      <c r="E2055" s="2" t="str">
        <f t="shared" si="129"/>
        <v>2025-35</v>
      </c>
      <c r="F2055" s="2" t="str">
        <f t="shared" si="130"/>
        <v>Week 35</v>
      </c>
      <c r="G2055" s="2" t="str">
        <f t="shared" si="131"/>
        <v>Week 35-2025</v>
      </c>
      <c r="O2055"/>
      <c r="Q2055"/>
    </row>
    <row r="2056" spans="1:17" hidden="1" x14ac:dyDescent="0.2">
      <c r="A2056" s="3">
        <v>45898</v>
      </c>
      <c r="B2056" s="2" t="s">
        <v>9</v>
      </c>
      <c r="C2056" s="2">
        <v>2</v>
      </c>
      <c r="D2056" s="2">
        <f t="shared" si="128"/>
        <v>2025</v>
      </c>
      <c r="E2056" s="2" t="str">
        <f t="shared" si="129"/>
        <v>2025-35</v>
      </c>
      <c r="F2056" s="2" t="str">
        <f t="shared" si="130"/>
        <v>Week 35</v>
      </c>
      <c r="G2056" s="2" t="str">
        <f t="shared" si="131"/>
        <v>Week 35-2025</v>
      </c>
      <c r="O2056"/>
      <c r="Q2056"/>
    </row>
    <row r="2057" spans="1:17" hidden="1" x14ac:dyDescent="0.2">
      <c r="A2057" s="3">
        <v>45900</v>
      </c>
      <c r="B2057" s="2" t="s">
        <v>3</v>
      </c>
      <c r="C2057" s="2">
        <v>36</v>
      </c>
      <c r="D2057" s="2">
        <f t="shared" si="128"/>
        <v>2025</v>
      </c>
      <c r="E2057" s="2" t="str">
        <f t="shared" si="129"/>
        <v>2025-35</v>
      </c>
      <c r="F2057" s="2" t="str">
        <f t="shared" si="130"/>
        <v>Week 36</v>
      </c>
      <c r="G2057" s="2" t="str">
        <f t="shared" si="131"/>
        <v>Week 36-2025</v>
      </c>
      <c r="O2057"/>
      <c r="Q2057"/>
    </row>
    <row r="2058" spans="1:17" hidden="1" x14ac:dyDescent="0.2">
      <c r="A2058" s="3">
        <v>45900</v>
      </c>
      <c r="B2058" s="2" t="s">
        <v>7</v>
      </c>
      <c r="C2058" s="2">
        <v>13</v>
      </c>
      <c r="D2058" s="2">
        <f t="shared" si="128"/>
        <v>2025</v>
      </c>
      <c r="E2058" s="2" t="str">
        <f t="shared" si="129"/>
        <v>2025-35</v>
      </c>
      <c r="F2058" s="2" t="str">
        <f t="shared" si="130"/>
        <v>Week 36</v>
      </c>
      <c r="G2058" s="2" t="str">
        <f t="shared" si="131"/>
        <v>Week 36-2025</v>
      </c>
      <c r="O2058"/>
      <c r="Q2058"/>
    </row>
    <row r="2059" spans="1:17" hidden="1" x14ac:dyDescent="0.2">
      <c r="A2059" s="3">
        <v>45900</v>
      </c>
      <c r="B2059" s="2" t="s">
        <v>29</v>
      </c>
      <c r="C2059" s="2">
        <v>9</v>
      </c>
      <c r="D2059" s="2">
        <f t="shared" si="128"/>
        <v>2025</v>
      </c>
      <c r="E2059" s="2" t="str">
        <f t="shared" si="129"/>
        <v>2025-35</v>
      </c>
      <c r="F2059" s="2" t="str">
        <f t="shared" si="130"/>
        <v>Week 36</v>
      </c>
      <c r="G2059" s="2" t="str">
        <f t="shared" si="131"/>
        <v>Week 36-2025</v>
      </c>
      <c r="O2059"/>
      <c r="Q2059"/>
    </row>
    <row r="2060" spans="1:17" hidden="1" x14ac:dyDescent="0.2">
      <c r="A2060" s="3">
        <v>45900</v>
      </c>
      <c r="B2060" s="2" t="s">
        <v>4</v>
      </c>
      <c r="C2060" s="2">
        <v>4</v>
      </c>
      <c r="D2060" s="2">
        <f t="shared" si="128"/>
        <v>2025</v>
      </c>
      <c r="E2060" s="2" t="str">
        <f t="shared" si="129"/>
        <v>2025-35</v>
      </c>
      <c r="F2060" s="2" t="str">
        <f t="shared" si="130"/>
        <v>Week 36</v>
      </c>
      <c r="G2060" s="2" t="str">
        <f t="shared" si="131"/>
        <v>Week 36-2025</v>
      </c>
      <c r="O2060"/>
      <c r="Q2060"/>
    </row>
    <row r="2061" spans="1:17" hidden="1" x14ac:dyDescent="0.2">
      <c r="A2061" s="3">
        <v>45900</v>
      </c>
      <c r="B2061" s="2" t="s">
        <v>10</v>
      </c>
      <c r="C2061" s="2">
        <v>3</v>
      </c>
      <c r="D2061" s="2">
        <f t="shared" si="128"/>
        <v>2025</v>
      </c>
      <c r="E2061" s="2" t="str">
        <f t="shared" si="129"/>
        <v>2025-35</v>
      </c>
      <c r="F2061" s="2" t="str">
        <f t="shared" si="130"/>
        <v>Week 36</v>
      </c>
      <c r="G2061" s="2" t="str">
        <f t="shared" si="131"/>
        <v>Week 36-2025</v>
      </c>
      <c r="O2061"/>
      <c r="Q2061"/>
    </row>
    <row r="2062" spans="1:17" hidden="1" x14ac:dyDescent="0.2">
      <c r="A2062" s="3">
        <v>45900</v>
      </c>
      <c r="B2062" s="2" t="s">
        <v>38</v>
      </c>
      <c r="C2062" s="2">
        <v>2</v>
      </c>
      <c r="D2062" s="2">
        <f t="shared" si="128"/>
        <v>2025</v>
      </c>
      <c r="E2062" s="2" t="str">
        <f t="shared" si="129"/>
        <v>2025-35</v>
      </c>
      <c r="F2062" s="2" t="str">
        <f t="shared" si="130"/>
        <v>Week 36</v>
      </c>
      <c r="G2062" s="2" t="str">
        <f t="shared" si="131"/>
        <v>Week 36-2025</v>
      </c>
      <c r="O2062"/>
      <c r="Q2062"/>
    </row>
    <row r="2063" spans="1:17" hidden="1" x14ac:dyDescent="0.2">
      <c r="A2063" s="3">
        <v>45900</v>
      </c>
      <c r="B2063" s="2" t="s">
        <v>29</v>
      </c>
      <c r="C2063" s="2">
        <v>1</v>
      </c>
      <c r="D2063" s="2">
        <f t="shared" si="128"/>
        <v>2025</v>
      </c>
      <c r="E2063" s="2" t="str">
        <f t="shared" si="129"/>
        <v>2025-35</v>
      </c>
      <c r="F2063" s="2" t="str">
        <f t="shared" si="130"/>
        <v>Week 36</v>
      </c>
      <c r="G2063" s="2" t="str">
        <f t="shared" si="131"/>
        <v>Week 36-2025</v>
      </c>
      <c r="O2063"/>
      <c r="Q2063"/>
    </row>
    <row r="2064" spans="1:17" hidden="1" x14ac:dyDescent="0.2">
      <c r="A2064" s="3">
        <v>45900</v>
      </c>
      <c r="B2064" s="2" t="s">
        <v>10</v>
      </c>
      <c r="C2064" s="2">
        <v>1</v>
      </c>
      <c r="D2064" s="2">
        <f t="shared" si="128"/>
        <v>2025</v>
      </c>
      <c r="E2064" s="2" t="str">
        <f t="shared" si="129"/>
        <v>2025-35</v>
      </c>
      <c r="F2064" s="2" t="str">
        <f t="shared" si="130"/>
        <v>Week 36</v>
      </c>
      <c r="G2064" s="2" t="str">
        <f t="shared" si="131"/>
        <v>Week 36-2025</v>
      </c>
      <c r="O2064"/>
      <c r="Q2064"/>
    </row>
    <row r="2065" spans="1:17" hidden="1" x14ac:dyDescent="0.2">
      <c r="A2065" s="3">
        <v>45902</v>
      </c>
      <c r="B2065" s="2" t="s">
        <v>9</v>
      </c>
      <c r="C2065" s="2">
        <v>8</v>
      </c>
      <c r="D2065" s="2">
        <f t="shared" si="128"/>
        <v>2025</v>
      </c>
      <c r="E2065" s="2" t="str">
        <f t="shared" si="129"/>
        <v>2025-36</v>
      </c>
      <c r="F2065" s="2" t="str">
        <f t="shared" si="130"/>
        <v>Week 36</v>
      </c>
      <c r="G2065" s="2" t="str">
        <f t="shared" si="131"/>
        <v>Week 36-2025</v>
      </c>
      <c r="O2065"/>
      <c r="Q2065"/>
    </row>
    <row r="2066" spans="1:17" hidden="1" x14ac:dyDescent="0.2">
      <c r="A2066" s="3">
        <v>45902</v>
      </c>
      <c r="B2066" s="2" t="s">
        <v>23</v>
      </c>
      <c r="C2066" s="2">
        <v>4</v>
      </c>
      <c r="D2066" s="2">
        <f t="shared" si="128"/>
        <v>2025</v>
      </c>
      <c r="E2066" s="2" t="str">
        <f t="shared" si="129"/>
        <v>2025-36</v>
      </c>
      <c r="F2066" s="2" t="str">
        <f t="shared" si="130"/>
        <v>Week 36</v>
      </c>
      <c r="G2066" s="2" t="str">
        <f t="shared" si="131"/>
        <v>Week 36-2025</v>
      </c>
      <c r="O2066"/>
      <c r="Q2066"/>
    </row>
    <row r="2067" spans="1:17" hidden="1" x14ac:dyDescent="0.2">
      <c r="A2067" s="3">
        <v>45902</v>
      </c>
      <c r="B2067" s="2" t="s">
        <v>5</v>
      </c>
      <c r="C2067" s="2">
        <v>6</v>
      </c>
      <c r="D2067" s="2">
        <f t="shared" si="128"/>
        <v>2025</v>
      </c>
      <c r="E2067" s="2" t="str">
        <f t="shared" si="129"/>
        <v>2025-36</v>
      </c>
      <c r="F2067" s="2" t="str">
        <f t="shared" si="130"/>
        <v>Week 36</v>
      </c>
      <c r="G2067" s="2" t="str">
        <f t="shared" si="131"/>
        <v>Week 36-2025</v>
      </c>
      <c r="O2067"/>
      <c r="Q2067"/>
    </row>
    <row r="2068" spans="1:17" hidden="1" x14ac:dyDescent="0.2">
      <c r="A2068" s="3">
        <v>45902</v>
      </c>
      <c r="B2068" s="2" t="s">
        <v>7</v>
      </c>
      <c r="C2068" s="2">
        <v>4</v>
      </c>
      <c r="D2068" s="2">
        <f t="shared" si="128"/>
        <v>2025</v>
      </c>
      <c r="E2068" s="2" t="str">
        <f t="shared" si="129"/>
        <v>2025-36</v>
      </c>
      <c r="F2068" s="2" t="str">
        <f t="shared" si="130"/>
        <v>Week 36</v>
      </c>
      <c r="G2068" s="2" t="str">
        <f t="shared" si="131"/>
        <v>Week 36-2025</v>
      </c>
      <c r="O2068"/>
      <c r="Q2068"/>
    </row>
    <row r="2069" spans="1:17" hidden="1" x14ac:dyDescent="0.2">
      <c r="A2069" s="3">
        <v>45902</v>
      </c>
      <c r="B2069" s="2" t="s">
        <v>5</v>
      </c>
      <c r="C2069" s="2">
        <v>4</v>
      </c>
      <c r="D2069" s="2">
        <f t="shared" si="128"/>
        <v>2025</v>
      </c>
      <c r="E2069" s="2" t="str">
        <f t="shared" si="129"/>
        <v>2025-36</v>
      </c>
      <c r="F2069" s="2" t="str">
        <f t="shared" si="130"/>
        <v>Week 36</v>
      </c>
      <c r="G2069" s="2" t="str">
        <f t="shared" si="131"/>
        <v>Week 36-2025</v>
      </c>
      <c r="O2069"/>
      <c r="Q2069"/>
    </row>
    <row r="2070" spans="1:17" hidden="1" x14ac:dyDescent="0.2">
      <c r="A2070" s="3">
        <v>45902</v>
      </c>
      <c r="B2070" s="2" t="s">
        <v>14</v>
      </c>
      <c r="C2070" s="2">
        <v>4</v>
      </c>
      <c r="D2070" s="2">
        <f t="shared" si="128"/>
        <v>2025</v>
      </c>
      <c r="E2070" s="2" t="str">
        <f t="shared" si="129"/>
        <v>2025-36</v>
      </c>
      <c r="F2070" s="2" t="str">
        <f t="shared" si="130"/>
        <v>Week 36</v>
      </c>
      <c r="G2070" s="2" t="str">
        <f t="shared" si="131"/>
        <v>Week 36-2025</v>
      </c>
      <c r="O2070"/>
      <c r="Q2070"/>
    </row>
    <row r="2071" spans="1:17" hidden="1" x14ac:dyDescent="0.2">
      <c r="A2071" s="3">
        <v>45903</v>
      </c>
      <c r="B2071" s="2" t="s">
        <v>9</v>
      </c>
      <c r="C2071" s="2">
        <v>4</v>
      </c>
      <c r="D2071" s="2">
        <f t="shared" si="128"/>
        <v>2025</v>
      </c>
      <c r="E2071" s="2" t="str">
        <f t="shared" si="129"/>
        <v>2025-36</v>
      </c>
      <c r="F2071" s="2" t="str">
        <f t="shared" si="130"/>
        <v>Week 36</v>
      </c>
      <c r="G2071" s="2" t="str">
        <f t="shared" si="131"/>
        <v>Week 36-2025</v>
      </c>
      <c r="O2071"/>
      <c r="Q2071"/>
    </row>
    <row r="2072" spans="1:17" hidden="1" x14ac:dyDescent="0.2">
      <c r="A2072" s="3">
        <v>45903</v>
      </c>
      <c r="B2072" s="2" t="s">
        <v>5</v>
      </c>
      <c r="C2072" s="2">
        <v>4</v>
      </c>
      <c r="D2072" s="2">
        <f t="shared" si="128"/>
        <v>2025</v>
      </c>
      <c r="E2072" s="2" t="str">
        <f t="shared" si="129"/>
        <v>2025-36</v>
      </c>
      <c r="F2072" s="2" t="str">
        <f t="shared" si="130"/>
        <v>Week 36</v>
      </c>
      <c r="G2072" s="2" t="str">
        <f t="shared" si="131"/>
        <v>Week 36-2025</v>
      </c>
      <c r="O2072"/>
      <c r="Q2072"/>
    </row>
    <row r="2073" spans="1:17" hidden="1" x14ac:dyDescent="0.2">
      <c r="A2073" s="3">
        <v>45903</v>
      </c>
      <c r="B2073" s="2" t="s">
        <v>6</v>
      </c>
      <c r="C2073" s="2">
        <v>2</v>
      </c>
      <c r="D2073" s="2">
        <f t="shared" si="128"/>
        <v>2025</v>
      </c>
      <c r="E2073" s="2" t="str">
        <f t="shared" si="129"/>
        <v>2025-36</v>
      </c>
      <c r="F2073" s="2" t="str">
        <f t="shared" si="130"/>
        <v>Week 36</v>
      </c>
      <c r="G2073" s="2" t="str">
        <f t="shared" si="131"/>
        <v>Week 36-2025</v>
      </c>
      <c r="O2073"/>
      <c r="Q2073"/>
    </row>
    <row r="2074" spans="1:17" hidden="1" x14ac:dyDescent="0.2">
      <c r="A2074" s="3">
        <v>45904</v>
      </c>
      <c r="B2074" s="2" t="s">
        <v>30</v>
      </c>
      <c r="C2074" s="2">
        <v>14</v>
      </c>
      <c r="D2074" s="2">
        <f t="shared" si="128"/>
        <v>2025</v>
      </c>
      <c r="E2074" s="2" t="str">
        <f t="shared" si="129"/>
        <v>2025-36</v>
      </c>
      <c r="F2074" s="2" t="str">
        <f t="shared" si="130"/>
        <v>Week 36</v>
      </c>
      <c r="G2074" s="2" t="str">
        <f t="shared" si="131"/>
        <v>Week 36-2025</v>
      </c>
      <c r="O2074"/>
      <c r="Q2074"/>
    </row>
    <row r="2075" spans="1:17" hidden="1" x14ac:dyDescent="0.2">
      <c r="A2075" s="3">
        <v>45904</v>
      </c>
      <c r="B2075" s="2" t="s">
        <v>18</v>
      </c>
      <c r="C2075" s="2">
        <v>4</v>
      </c>
      <c r="D2075" s="2">
        <f t="shared" si="128"/>
        <v>2025</v>
      </c>
      <c r="E2075" s="2" t="str">
        <f t="shared" si="129"/>
        <v>2025-36</v>
      </c>
      <c r="F2075" s="2" t="str">
        <f t="shared" si="130"/>
        <v>Week 36</v>
      </c>
      <c r="G2075" s="2" t="str">
        <f t="shared" si="131"/>
        <v>Week 36-2025</v>
      </c>
      <c r="O2075"/>
      <c r="Q2075"/>
    </row>
    <row r="2076" spans="1:17" hidden="1" x14ac:dyDescent="0.2">
      <c r="A2076" s="3">
        <v>45904</v>
      </c>
      <c r="B2076" s="2" t="s">
        <v>5</v>
      </c>
      <c r="C2076" s="2">
        <v>6</v>
      </c>
      <c r="D2076" s="2">
        <f t="shared" si="128"/>
        <v>2025</v>
      </c>
      <c r="E2076" s="2" t="str">
        <f t="shared" si="129"/>
        <v>2025-36</v>
      </c>
      <c r="F2076" s="2" t="str">
        <f t="shared" si="130"/>
        <v>Week 36</v>
      </c>
      <c r="G2076" s="2" t="str">
        <f t="shared" si="131"/>
        <v>Week 36-2025</v>
      </c>
      <c r="O2076"/>
      <c r="Q2076"/>
    </row>
    <row r="2077" spans="1:17" hidden="1" x14ac:dyDescent="0.2">
      <c r="A2077" s="3">
        <v>45904</v>
      </c>
      <c r="B2077" s="2" t="s">
        <v>14</v>
      </c>
      <c r="C2077" s="2">
        <v>6</v>
      </c>
      <c r="D2077" s="2">
        <f t="shared" si="128"/>
        <v>2025</v>
      </c>
      <c r="E2077" s="2" t="str">
        <f t="shared" si="129"/>
        <v>2025-36</v>
      </c>
      <c r="F2077" s="2" t="str">
        <f t="shared" si="130"/>
        <v>Week 36</v>
      </c>
      <c r="G2077" s="2" t="str">
        <f t="shared" si="131"/>
        <v>Week 36-2025</v>
      </c>
      <c r="O2077"/>
      <c r="Q2077"/>
    </row>
    <row r="2078" spans="1:17" hidden="1" x14ac:dyDescent="0.2">
      <c r="A2078" s="3">
        <v>45904</v>
      </c>
      <c r="B2078" s="2" t="s">
        <v>14</v>
      </c>
      <c r="C2078" s="2">
        <v>8</v>
      </c>
      <c r="D2078" s="2">
        <f t="shared" si="128"/>
        <v>2025</v>
      </c>
      <c r="E2078" s="2" t="str">
        <f t="shared" si="129"/>
        <v>2025-36</v>
      </c>
      <c r="F2078" s="2" t="str">
        <f t="shared" si="130"/>
        <v>Week 36</v>
      </c>
      <c r="G2078" s="2" t="str">
        <f t="shared" si="131"/>
        <v>Week 36-2025</v>
      </c>
      <c r="O2078"/>
      <c r="Q2078"/>
    </row>
    <row r="2079" spans="1:17" hidden="1" x14ac:dyDescent="0.2">
      <c r="A2079" s="3">
        <v>45904</v>
      </c>
      <c r="B2079" s="2" t="s">
        <v>4</v>
      </c>
      <c r="C2079" s="2">
        <v>4</v>
      </c>
      <c r="D2079" s="2">
        <f t="shared" si="128"/>
        <v>2025</v>
      </c>
      <c r="E2079" s="2" t="str">
        <f t="shared" si="129"/>
        <v>2025-36</v>
      </c>
      <c r="F2079" s="2" t="str">
        <f t="shared" si="130"/>
        <v>Week 36</v>
      </c>
      <c r="G2079" s="2" t="str">
        <f t="shared" si="131"/>
        <v>Week 36-2025</v>
      </c>
      <c r="O2079"/>
      <c r="Q2079"/>
    </row>
    <row r="2080" spans="1:17" hidden="1" x14ac:dyDescent="0.2">
      <c r="A2080" s="3">
        <v>45904</v>
      </c>
      <c r="B2080" s="2" t="s">
        <v>3</v>
      </c>
      <c r="C2080" s="2">
        <v>5</v>
      </c>
      <c r="D2080" s="2">
        <f t="shared" si="128"/>
        <v>2025</v>
      </c>
      <c r="E2080" s="2" t="str">
        <f t="shared" si="129"/>
        <v>2025-36</v>
      </c>
      <c r="F2080" s="2" t="str">
        <f t="shared" si="130"/>
        <v>Week 36</v>
      </c>
      <c r="G2080" s="2" t="str">
        <f t="shared" si="131"/>
        <v>Week 36-2025</v>
      </c>
      <c r="O2080"/>
      <c r="Q2080"/>
    </row>
    <row r="2081" spans="1:17" hidden="1" x14ac:dyDescent="0.2">
      <c r="A2081" s="3">
        <v>45904</v>
      </c>
      <c r="B2081" s="2" t="s">
        <v>14</v>
      </c>
      <c r="C2081" s="2">
        <v>6</v>
      </c>
      <c r="D2081" s="2">
        <f t="shared" si="128"/>
        <v>2025</v>
      </c>
      <c r="E2081" s="2" t="str">
        <f t="shared" si="129"/>
        <v>2025-36</v>
      </c>
      <c r="F2081" s="2" t="str">
        <f t="shared" si="130"/>
        <v>Week 36</v>
      </c>
      <c r="G2081" s="2" t="str">
        <f t="shared" si="131"/>
        <v>Week 36-2025</v>
      </c>
      <c r="O2081"/>
      <c r="Q2081"/>
    </row>
    <row r="2082" spans="1:17" hidden="1" x14ac:dyDescent="0.2">
      <c r="A2082" s="3">
        <v>45904</v>
      </c>
      <c r="B2082" s="2" t="s">
        <v>14</v>
      </c>
      <c r="C2082" s="2">
        <v>4</v>
      </c>
      <c r="D2082" s="2">
        <f t="shared" si="128"/>
        <v>2025</v>
      </c>
      <c r="E2082" s="2" t="str">
        <f t="shared" si="129"/>
        <v>2025-36</v>
      </c>
      <c r="F2082" s="2" t="str">
        <f t="shared" si="130"/>
        <v>Week 36</v>
      </c>
      <c r="G2082" s="2" t="str">
        <f t="shared" si="131"/>
        <v>Week 36-2025</v>
      </c>
      <c r="O2082"/>
      <c r="Q2082"/>
    </row>
    <row r="2083" spans="1:17" hidden="1" x14ac:dyDescent="0.2">
      <c r="A2083" s="3">
        <v>45904</v>
      </c>
      <c r="B2083" s="2" t="s">
        <v>9</v>
      </c>
      <c r="C2083" s="2">
        <v>2</v>
      </c>
      <c r="D2083" s="2">
        <f t="shared" si="128"/>
        <v>2025</v>
      </c>
      <c r="E2083" s="2" t="str">
        <f t="shared" si="129"/>
        <v>2025-36</v>
      </c>
      <c r="F2083" s="2" t="str">
        <f t="shared" si="130"/>
        <v>Week 36</v>
      </c>
      <c r="G2083" s="2" t="str">
        <f t="shared" si="131"/>
        <v>Week 36-2025</v>
      </c>
      <c r="O2083"/>
      <c r="Q2083"/>
    </row>
    <row r="2084" spans="1:17" hidden="1" x14ac:dyDescent="0.2">
      <c r="A2084" s="3">
        <v>45904</v>
      </c>
      <c r="B2084" s="2" t="s">
        <v>30</v>
      </c>
      <c r="C2084" s="2">
        <v>4</v>
      </c>
      <c r="D2084" s="2">
        <f t="shared" si="128"/>
        <v>2025</v>
      </c>
      <c r="E2084" s="2" t="str">
        <f t="shared" si="129"/>
        <v>2025-36</v>
      </c>
      <c r="F2084" s="2" t="str">
        <f t="shared" si="130"/>
        <v>Week 36</v>
      </c>
      <c r="G2084" s="2" t="str">
        <f t="shared" si="131"/>
        <v>Week 36-2025</v>
      </c>
      <c r="O2084"/>
      <c r="Q2084"/>
    </row>
    <row r="2085" spans="1:17" hidden="1" x14ac:dyDescent="0.2">
      <c r="A2085" s="3">
        <v>45904</v>
      </c>
      <c r="B2085" s="2" t="s">
        <v>14</v>
      </c>
      <c r="C2085" s="2">
        <v>2</v>
      </c>
      <c r="D2085" s="2">
        <f t="shared" si="128"/>
        <v>2025</v>
      </c>
      <c r="E2085" s="2" t="str">
        <f t="shared" si="129"/>
        <v>2025-36</v>
      </c>
      <c r="F2085" s="2" t="str">
        <f t="shared" si="130"/>
        <v>Week 36</v>
      </c>
      <c r="G2085" s="2" t="str">
        <f t="shared" si="131"/>
        <v>Week 36-2025</v>
      </c>
      <c r="O2085"/>
      <c r="Q2085"/>
    </row>
    <row r="2086" spans="1:17" hidden="1" x14ac:dyDescent="0.2">
      <c r="A2086" s="3">
        <v>45904</v>
      </c>
      <c r="B2086" s="2" t="s">
        <v>15</v>
      </c>
      <c r="C2086" s="2">
        <v>4</v>
      </c>
      <c r="D2086" s="2">
        <f t="shared" si="128"/>
        <v>2025</v>
      </c>
      <c r="E2086" s="2" t="str">
        <f t="shared" si="129"/>
        <v>2025-36</v>
      </c>
      <c r="F2086" s="2" t="str">
        <f t="shared" si="130"/>
        <v>Week 36</v>
      </c>
      <c r="G2086" s="2" t="str">
        <f t="shared" si="131"/>
        <v>Week 36-2025</v>
      </c>
      <c r="O2086"/>
      <c r="Q2086"/>
    </row>
    <row r="2087" spans="1:17" hidden="1" x14ac:dyDescent="0.2">
      <c r="A2087" s="3">
        <v>45904</v>
      </c>
      <c r="B2087" s="2" t="s">
        <v>10</v>
      </c>
      <c r="C2087" s="2">
        <v>2</v>
      </c>
      <c r="D2087" s="2">
        <f t="shared" si="128"/>
        <v>2025</v>
      </c>
      <c r="E2087" s="2" t="str">
        <f t="shared" si="129"/>
        <v>2025-36</v>
      </c>
      <c r="F2087" s="2" t="str">
        <f t="shared" si="130"/>
        <v>Week 36</v>
      </c>
      <c r="G2087" s="2" t="str">
        <f t="shared" si="131"/>
        <v>Week 36-2025</v>
      </c>
      <c r="O2087"/>
      <c r="Q2087"/>
    </row>
    <row r="2088" spans="1:17" hidden="1" x14ac:dyDescent="0.2">
      <c r="A2088" s="3">
        <v>45904</v>
      </c>
      <c r="B2088" s="2" t="s">
        <v>14</v>
      </c>
      <c r="C2088" s="2">
        <v>2</v>
      </c>
      <c r="D2088" s="2">
        <f t="shared" si="128"/>
        <v>2025</v>
      </c>
      <c r="E2088" s="2" t="str">
        <f t="shared" si="129"/>
        <v>2025-36</v>
      </c>
      <c r="F2088" s="2" t="str">
        <f t="shared" si="130"/>
        <v>Week 36</v>
      </c>
      <c r="G2088" s="2" t="str">
        <f t="shared" si="131"/>
        <v>Week 36-2025</v>
      </c>
      <c r="O2088"/>
      <c r="Q2088"/>
    </row>
    <row r="2089" spans="1:17" hidden="1" x14ac:dyDescent="0.2">
      <c r="A2089" s="3">
        <v>45904</v>
      </c>
      <c r="B2089" s="2" t="s">
        <v>3</v>
      </c>
      <c r="C2089" s="2">
        <v>1</v>
      </c>
      <c r="D2089" s="2">
        <f t="shared" si="128"/>
        <v>2025</v>
      </c>
      <c r="E2089" s="2" t="str">
        <f t="shared" si="129"/>
        <v>2025-36</v>
      </c>
      <c r="F2089" s="2" t="str">
        <f t="shared" si="130"/>
        <v>Week 36</v>
      </c>
      <c r="G2089" s="2" t="str">
        <f t="shared" si="131"/>
        <v>Week 36-2025</v>
      </c>
      <c r="O2089"/>
      <c r="Q2089"/>
    </row>
    <row r="2090" spans="1:17" hidden="1" x14ac:dyDescent="0.2">
      <c r="A2090" s="3">
        <v>45905</v>
      </c>
      <c r="B2090" s="2" t="s">
        <v>6</v>
      </c>
      <c r="C2090" s="2">
        <v>8</v>
      </c>
      <c r="D2090" s="2">
        <f t="shared" si="128"/>
        <v>2025</v>
      </c>
      <c r="E2090" s="2" t="str">
        <f t="shared" si="129"/>
        <v>2025-36</v>
      </c>
      <c r="F2090" s="2" t="str">
        <f t="shared" si="130"/>
        <v>Week 36</v>
      </c>
      <c r="G2090" s="2" t="str">
        <f t="shared" si="131"/>
        <v>Week 36-2025</v>
      </c>
      <c r="O2090"/>
      <c r="Q2090"/>
    </row>
    <row r="2091" spans="1:17" hidden="1" x14ac:dyDescent="0.2">
      <c r="A2091" s="3">
        <v>45905</v>
      </c>
      <c r="B2091" s="2" t="s">
        <v>19</v>
      </c>
      <c r="C2091" s="2">
        <v>8</v>
      </c>
      <c r="D2091" s="2">
        <f t="shared" si="128"/>
        <v>2025</v>
      </c>
      <c r="E2091" s="2" t="str">
        <f t="shared" si="129"/>
        <v>2025-36</v>
      </c>
      <c r="F2091" s="2" t="str">
        <f t="shared" si="130"/>
        <v>Week 36</v>
      </c>
      <c r="G2091" s="2" t="str">
        <f t="shared" si="131"/>
        <v>Week 36-2025</v>
      </c>
      <c r="O2091"/>
      <c r="Q2091"/>
    </row>
    <row r="2092" spans="1:17" hidden="1" x14ac:dyDescent="0.2">
      <c r="A2092" s="3">
        <v>45905</v>
      </c>
      <c r="B2092" s="2" t="s">
        <v>5</v>
      </c>
      <c r="C2092" s="2">
        <v>8</v>
      </c>
      <c r="D2092" s="2">
        <f t="shared" si="128"/>
        <v>2025</v>
      </c>
      <c r="E2092" s="2" t="str">
        <f t="shared" si="129"/>
        <v>2025-36</v>
      </c>
      <c r="F2092" s="2" t="str">
        <f t="shared" si="130"/>
        <v>Week 36</v>
      </c>
      <c r="G2092" s="2" t="str">
        <f t="shared" si="131"/>
        <v>Week 36-2025</v>
      </c>
      <c r="O2092"/>
      <c r="Q2092"/>
    </row>
    <row r="2093" spans="1:17" hidden="1" x14ac:dyDescent="0.2">
      <c r="A2093" s="3">
        <v>45905</v>
      </c>
      <c r="B2093" s="2" t="s">
        <v>5</v>
      </c>
      <c r="C2093" s="2">
        <v>8</v>
      </c>
      <c r="D2093" s="2">
        <f t="shared" si="128"/>
        <v>2025</v>
      </c>
      <c r="E2093" s="2" t="str">
        <f t="shared" si="129"/>
        <v>2025-36</v>
      </c>
      <c r="F2093" s="2" t="str">
        <f t="shared" si="130"/>
        <v>Week 36</v>
      </c>
      <c r="G2093" s="2" t="str">
        <f t="shared" si="131"/>
        <v>Week 36-2025</v>
      </c>
      <c r="O2093"/>
      <c r="Q2093"/>
    </row>
    <row r="2094" spans="1:17" hidden="1" x14ac:dyDescent="0.2">
      <c r="A2094" s="3">
        <v>45905</v>
      </c>
      <c r="B2094" s="2" t="s">
        <v>3</v>
      </c>
      <c r="C2094" s="2">
        <v>8</v>
      </c>
      <c r="D2094" s="2">
        <f t="shared" si="128"/>
        <v>2025</v>
      </c>
      <c r="E2094" s="2" t="str">
        <f t="shared" si="129"/>
        <v>2025-36</v>
      </c>
      <c r="F2094" s="2" t="str">
        <f t="shared" si="130"/>
        <v>Week 36</v>
      </c>
      <c r="G2094" s="2" t="str">
        <f t="shared" si="131"/>
        <v>Week 36-2025</v>
      </c>
      <c r="O2094"/>
      <c r="Q2094"/>
    </row>
    <row r="2095" spans="1:17" hidden="1" x14ac:dyDescent="0.2">
      <c r="A2095" s="3">
        <v>45905</v>
      </c>
      <c r="B2095" s="2" t="s">
        <v>17</v>
      </c>
      <c r="C2095" s="2">
        <v>8</v>
      </c>
      <c r="D2095" s="2">
        <f t="shared" si="128"/>
        <v>2025</v>
      </c>
      <c r="E2095" s="2" t="str">
        <f t="shared" si="129"/>
        <v>2025-36</v>
      </c>
      <c r="F2095" s="2" t="str">
        <f t="shared" si="130"/>
        <v>Week 36</v>
      </c>
      <c r="G2095" s="2" t="str">
        <f t="shared" si="131"/>
        <v>Week 36-2025</v>
      </c>
      <c r="O2095"/>
      <c r="Q2095"/>
    </row>
    <row r="2096" spans="1:17" hidden="1" x14ac:dyDescent="0.2">
      <c r="A2096" s="3">
        <v>45905</v>
      </c>
      <c r="B2096" s="2" t="s">
        <v>18</v>
      </c>
      <c r="C2096" s="2">
        <v>4</v>
      </c>
      <c r="D2096" s="2">
        <f t="shared" si="128"/>
        <v>2025</v>
      </c>
      <c r="E2096" s="2" t="str">
        <f t="shared" si="129"/>
        <v>2025-36</v>
      </c>
      <c r="F2096" s="2" t="str">
        <f t="shared" si="130"/>
        <v>Week 36</v>
      </c>
      <c r="G2096" s="2" t="str">
        <f t="shared" si="131"/>
        <v>Week 36-2025</v>
      </c>
      <c r="O2096"/>
      <c r="Q2096"/>
    </row>
    <row r="2097" spans="1:17" hidden="1" x14ac:dyDescent="0.2">
      <c r="A2097" s="3">
        <v>45905</v>
      </c>
      <c r="B2097" s="2" t="s">
        <v>5</v>
      </c>
      <c r="C2097" s="2">
        <v>8</v>
      </c>
      <c r="D2097" s="2">
        <f t="shared" si="128"/>
        <v>2025</v>
      </c>
      <c r="E2097" s="2" t="str">
        <f t="shared" si="129"/>
        <v>2025-36</v>
      </c>
      <c r="F2097" s="2" t="str">
        <f t="shared" si="130"/>
        <v>Week 36</v>
      </c>
      <c r="G2097" s="2" t="str">
        <f t="shared" si="131"/>
        <v>Week 36-2025</v>
      </c>
      <c r="O2097"/>
      <c r="Q2097"/>
    </row>
    <row r="2098" spans="1:17" hidden="1" x14ac:dyDescent="0.2">
      <c r="A2098" s="3">
        <v>45905</v>
      </c>
      <c r="B2098" s="2" t="s">
        <v>7</v>
      </c>
      <c r="C2098" s="2">
        <v>4</v>
      </c>
      <c r="D2098" s="2">
        <f t="shared" si="128"/>
        <v>2025</v>
      </c>
      <c r="E2098" s="2" t="str">
        <f t="shared" si="129"/>
        <v>2025-36</v>
      </c>
      <c r="F2098" s="2" t="str">
        <f t="shared" si="130"/>
        <v>Week 36</v>
      </c>
      <c r="G2098" s="2" t="str">
        <f t="shared" si="131"/>
        <v>Week 36-2025</v>
      </c>
      <c r="O2098"/>
      <c r="Q2098"/>
    </row>
    <row r="2099" spans="1:17" hidden="1" x14ac:dyDescent="0.2">
      <c r="A2099" s="3">
        <v>45905</v>
      </c>
      <c r="B2099" s="2" t="s">
        <v>18</v>
      </c>
      <c r="C2099" s="2">
        <v>3</v>
      </c>
      <c r="D2099" s="2">
        <f t="shared" si="128"/>
        <v>2025</v>
      </c>
      <c r="E2099" s="2" t="str">
        <f t="shared" si="129"/>
        <v>2025-36</v>
      </c>
      <c r="F2099" s="2" t="str">
        <f t="shared" si="130"/>
        <v>Week 36</v>
      </c>
      <c r="G2099" s="2" t="str">
        <f t="shared" si="131"/>
        <v>Week 36-2025</v>
      </c>
      <c r="O2099"/>
      <c r="Q2099"/>
    </row>
    <row r="2100" spans="1:17" hidden="1" x14ac:dyDescent="0.2">
      <c r="A2100" s="3">
        <v>45905</v>
      </c>
      <c r="B2100" s="2" t="s">
        <v>18</v>
      </c>
      <c r="C2100" s="2">
        <v>3</v>
      </c>
      <c r="D2100" s="2">
        <f t="shared" si="128"/>
        <v>2025</v>
      </c>
      <c r="E2100" s="2" t="str">
        <f t="shared" si="129"/>
        <v>2025-36</v>
      </c>
      <c r="F2100" s="2" t="str">
        <f t="shared" si="130"/>
        <v>Week 36</v>
      </c>
      <c r="G2100" s="2" t="str">
        <f t="shared" si="131"/>
        <v>Week 36-2025</v>
      </c>
      <c r="O2100"/>
      <c r="Q2100"/>
    </row>
    <row r="2101" spans="1:17" hidden="1" x14ac:dyDescent="0.2">
      <c r="A2101" s="3">
        <v>45905</v>
      </c>
      <c r="B2101" s="2" t="s">
        <v>7</v>
      </c>
      <c r="C2101" s="2">
        <v>3</v>
      </c>
      <c r="D2101" s="2">
        <f t="shared" si="128"/>
        <v>2025</v>
      </c>
      <c r="E2101" s="2" t="str">
        <f t="shared" si="129"/>
        <v>2025-36</v>
      </c>
      <c r="F2101" s="2" t="str">
        <f t="shared" si="130"/>
        <v>Week 36</v>
      </c>
      <c r="G2101" s="2" t="str">
        <f t="shared" si="131"/>
        <v>Week 36-2025</v>
      </c>
      <c r="O2101"/>
      <c r="Q2101"/>
    </row>
    <row r="2102" spans="1:17" hidden="1" x14ac:dyDescent="0.2">
      <c r="A2102" s="3">
        <v>45905</v>
      </c>
      <c r="B2102" s="2" t="s">
        <v>9</v>
      </c>
      <c r="C2102" s="2">
        <v>4</v>
      </c>
      <c r="D2102" s="2">
        <f t="shared" si="128"/>
        <v>2025</v>
      </c>
      <c r="E2102" s="2" t="str">
        <f t="shared" si="129"/>
        <v>2025-36</v>
      </c>
      <c r="F2102" s="2" t="str">
        <f t="shared" si="130"/>
        <v>Week 36</v>
      </c>
      <c r="G2102" s="2" t="str">
        <f t="shared" si="131"/>
        <v>Week 36-2025</v>
      </c>
      <c r="O2102"/>
      <c r="Q2102"/>
    </row>
    <row r="2103" spans="1:17" hidden="1" x14ac:dyDescent="0.2">
      <c r="A2103" s="3">
        <v>45905</v>
      </c>
      <c r="B2103" s="2" t="s">
        <v>5</v>
      </c>
      <c r="C2103" s="2">
        <v>4</v>
      </c>
      <c r="D2103" s="2">
        <f t="shared" si="128"/>
        <v>2025</v>
      </c>
      <c r="E2103" s="2" t="str">
        <f t="shared" si="129"/>
        <v>2025-36</v>
      </c>
      <c r="F2103" s="2" t="str">
        <f t="shared" si="130"/>
        <v>Week 36</v>
      </c>
      <c r="G2103" s="2" t="str">
        <f t="shared" si="131"/>
        <v>Week 36-2025</v>
      </c>
      <c r="O2103"/>
      <c r="Q2103"/>
    </row>
    <row r="2104" spans="1:17" hidden="1" x14ac:dyDescent="0.2">
      <c r="A2104" s="3">
        <v>45905</v>
      </c>
      <c r="B2104" s="2" t="s">
        <v>3</v>
      </c>
      <c r="C2104" s="2">
        <v>4</v>
      </c>
      <c r="D2104" s="2">
        <f t="shared" si="128"/>
        <v>2025</v>
      </c>
      <c r="E2104" s="2" t="str">
        <f t="shared" si="129"/>
        <v>2025-36</v>
      </c>
      <c r="F2104" s="2" t="str">
        <f t="shared" si="130"/>
        <v>Week 36</v>
      </c>
      <c r="G2104" s="2" t="str">
        <f t="shared" si="131"/>
        <v>Week 36-2025</v>
      </c>
      <c r="O2104"/>
      <c r="Q2104"/>
    </row>
    <row r="2105" spans="1:17" hidden="1" x14ac:dyDescent="0.2">
      <c r="A2105" s="3">
        <v>45905</v>
      </c>
      <c r="B2105" s="2" t="s">
        <v>18</v>
      </c>
      <c r="C2105" s="2">
        <v>2</v>
      </c>
      <c r="D2105" s="2">
        <f t="shared" si="128"/>
        <v>2025</v>
      </c>
      <c r="E2105" s="2" t="str">
        <f t="shared" si="129"/>
        <v>2025-36</v>
      </c>
      <c r="F2105" s="2" t="str">
        <f t="shared" si="130"/>
        <v>Week 36</v>
      </c>
      <c r="G2105" s="2" t="str">
        <f t="shared" si="131"/>
        <v>Week 36-2025</v>
      </c>
      <c r="O2105"/>
      <c r="Q2105"/>
    </row>
    <row r="2106" spans="1:17" hidden="1" x14ac:dyDescent="0.2">
      <c r="A2106" s="3">
        <v>45905</v>
      </c>
      <c r="B2106" s="2" t="s">
        <v>9</v>
      </c>
      <c r="C2106" s="2">
        <v>2</v>
      </c>
      <c r="D2106" s="2">
        <f t="shared" si="128"/>
        <v>2025</v>
      </c>
      <c r="E2106" s="2" t="str">
        <f t="shared" si="129"/>
        <v>2025-36</v>
      </c>
      <c r="F2106" s="2" t="str">
        <f t="shared" si="130"/>
        <v>Week 36</v>
      </c>
      <c r="G2106" s="2" t="str">
        <f t="shared" si="131"/>
        <v>Week 36-2025</v>
      </c>
      <c r="O2106"/>
      <c r="Q2106"/>
    </row>
    <row r="2107" spans="1:17" hidden="1" x14ac:dyDescent="0.2">
      <c r="A2107" s="3">
        <v>45905</v>
      </c>
      <c r="B2107" s="2" t="s">
        <v>15</v>
      </c>
      <c r="C2107" s="2">
        <v>4</v>
      </c>
      <c r="D2107" s="2">
        <f t="shared" si="128"/>
        <v>2025</v>
      </c>
      <c r="E2107" s="2" t="str">
        <f t="shared" si="129"/>
        <v>2025-36</v>
      </c>
      <c r="F2107" s="2" t="str">
        <f t="shared" si="130"/>
        <v>Week 36</v>
      </c>
      <c r="G2107" s="2" t="str">
        <f t="shared" si="131"/>
        <v>Week 36-2025</v>
      </c>
      <c r="O2107"/>
      <c r="Q2107"/>
    </row>
    <row r="2108" spans="1:17" hidden="1" x14ac:dyDescent="0.2">
      <c r="A2108" s="3">
        <v>45905</v>
      </c>
      <c r="B2108" s="2" t="s">
        <v>7</v>
      </c>
      <c r="C2108" s="2">
        <v>1</v>
      </c>
      <c r="D2108" s="2">
        <f t="shared" si="128"/>
        <v>2025</v>
      </c>
      <c r="E2108" s="2" t="str">
        <f t="shared" si="129"/>
        <v>2025-36</v>
      </c>
      <c r="F2108" s="2" t="str">
        <f t="shared" si="130"/>
        <v>Week 36</v>
      </c>
      <c r="G2108" s="2" t="str">
        <f t="shared" si="131"/>
        <v>Week 36-2025</v>
      </c>
      <c r="O2108"/>
      <c r="Q2108"/>
    </row>
    <row r="2109" spans="1:17" x14ac:dyDescent="0.2">
      <c r="A2109" s="3">
        <v>45905</v>
      </c>
      <c r="B2109" s="2" t="s">
        <v>24</v>
      </c>
      <c r="C2109" s="2">
        <v>2</v>
      </c>
      <c r="D2109" s="2">
        <f t="shared" si="128"/>
        <v>2025</v>
      </c>
      <c r="E2109" s="2" t="str">
        <f t="shared" si="129"/>
        <v>2025-36</v>
      </c>
      <c r="F2109" s="2" t="str">
        <f t="shared" si="130"/>
        <v>Week 36</v>
      </c>
      <c r="G2109" s="2" t="str">
        <f t="shared" si="131"/>
        <v>Week 36-2025</v>
      </c>
      <c r="O2109"/>
      <c r="Q2109"/>
    </row>
    <row r="2110" spans="1:17" hidden="1" x14ac:dyDescent="0.2">
      <c r="A2110" s="3">
        <v>45905</v>
      </c>
      <c r="B2110" s="2" t="s">
        <v>31</v>
      </c>
      <c r="C2110" s="2">
        <v>1</v>
      </c>
      <c r="D2110" s="2">
        <f t="shared" si="128"/>
        <v>2025</v>
      </c>
      <c r="E2110" s="2" t="str">
        <f t="shared" si="129"/>
        <v>2025-36</v>
      </c>
      <c r="F2110" s="2" t="str">
        <f t="shared" si="130"/>
        <v>Week 36</v>
      </c>
      <c r="G2110" s="2" t="str">
        <f t="shared" si="131"/>
        <v>Week 36-2025</v>
      </c>
      <c r="O2110"/>
      <c r="Q2110"/>
    </row>
    <row r="2111" spans="1:17" hidden="1" x14ac:dyDescent="0.2">
      <c r="A2111" s="3">
        <v>45906</v>
      </c>
      <c r="B2111" s="2" t="s">
        <v>6</v>
      </c>
      <c r="C2111" s="2">
        <v>10</v>
      </c>
      <c r="D2111" s="2">
        <f t="shared" si="128"/>
        <v>2025</v>
      </c>
      <c r="E2111" s="2" t="str">
        <f t="shared" si="129"/>
        <v>2025-36</v>
      </c>
      <c r="F2111" s="2" t="str">
        <f t="shared" si="130"/>
        <v>Week 36</v>
      </c>
      <c r="G2111" s="2" t="str">
        <f t="shared" si="131"/>
        <v>Week 36-2025</v>
      </c>
      <c r="O2111"/>
      <c r="Q2111"/>
    </row>
    <row r="2112" spans="1:17" hidden="1" x14ac:dyDescent="0.2">
      <c r="A2112" s="3">
        <v>45906</v>
      </c>
      <c r="B2112" s="2" t="s">
        <v>9</v>
      </c>
      <c r="C2112" s="2">
        <v>8</v>
      </c>
      <c r="D2112" s="2">
        <f t="shared" si="128"/>
        <v>2025</v>
      </c>
      <c r="E2112" s="2" t="str">
        <f t="shared" si="129"/>
        <v>2025-36</v>
      </c>
      <c r="F2112" s="2" t="str">
        <f t="shared" si="130"/>
        <v>Week 36</v>
      </c>
      <c r="G2112" s="2" t="str">
        <f t="shared" si="131"/>
        <v>Week 36-2025</v>
      </c>
      <c r="O2112"/>
      <c r="Q2112"/>
    </row>
    <row r="2113" spans="1:17" hidden="1" x14ac:dyDescent="0.2">
      <c r="A2113" s="3">
        <v>45906</v>
      </c>
      <c r="B2113" s="2" t="s">
        <v>34</v>
      </c>
      <c r="C2113" s="2">
        <v>12</v>
      </c>
      <c r="D2113" s="2">
        <f t="shared" si="128"/>
        <v>2025</v>
      </c>
      <c r="E2113" s="2" t="str">
        <f t="shared" si="129"/>
        <v>2025-36</v>
      </c>
      <c r="F2113" s="2" t="str">
        <f t="shared" si="130"/>
        <v>Week 36</v>
      </c>
      <c r="G2113" s="2" t="str">
        <f t="shared" si="131"/>
        <v>Week 36-2025</v>
      </c>
      <c r="O2113"/>
      <c r="Q2113"/>
    </row>
    <row r="2114" spans="1:17" hidden="1" x14ac:dyDescent="0.2">
      <c r="A2114" s="3">
        <v>45906</v>
      </c>
      <c r="B2114" s="2" t="s">
        <v>10</v>
      </c>
      <c r="C2114" s="2">
        <v>8</v>
      </c>
      <c r="D2114" s="2">
        <f t="shared" ref="D2114:D2177" si="132">YEAR(A2114)</f>
        <v>2025</v>
      </c>
      <c r="E2114" s="2" t="str">
        <f t="shared" ref="E2114:E2177" si="133">YEAR(A2114)&amp;"-"&amp;_xlfn.ISOWEEKNUM(A2114)</f>
        <v>2025-36</v>
      </c>
      <c r="F2114" s="2" t="str">
        <f t="shared" ref="F2114:F2177" si="134">_xlfn.CONCAT("Week "&amp;WEEKNUM(A2114))</f>
        <v>Week 36</v>
      </c>
      <c r="G2114" s="2" t="str">
        <f t="shared" ref="G2114:G2177" si="135">_xlfn.CONCAT(F2114,"-",D2114)</f>
        <v>Week 36-2025</v>
      </c>
      <c r="O2114"/>
      <c r="Q2114"/>
    </row>
    <row r="2115" spans="1:17" hidden="1" x14ac:dyDescent="0.2">
      <c r="A2115" s="3">
        <v>45906</v>
      </c>
      <c r="B2115" s="2" t="s">
        <v>19</v>
      </c>
      <c r="C2115" s="2">
        <v>4</v>
      </c>
      <c r="D2115" s="2">
        <f t="shared" si="132"/>
        <v>2025</v>
      </c>
      <c r="E2115" s="2" t="str">
        <f t="shared" si="133"/>
        <v>2025-36</v>
      </c>
      <c r="F2115" s="2" t="str">
        <f t="shared" si="134"/>
        <v>Week 36</v>
      </c>
      <c r="G2115" s="2" t="str">
        <f t="shared" si="135"/>
        <v>Week 36-2025</v>
      </c>
      <c r="O2115"/>
      <c r="Q2115"/>
    </row>
    <row r="2116" spans="1:17" hidden="1" x14ac:dyDescent="0.2">
      <c r="A2116" s="3">
        <v>45906</v>
      </c>
      <c r="B2116" s="2" t="s">
        <v>9</v>
      </c>
      <c r="C2116" s="2">
        <v>4</v>
      </c>
      <c r="D2116" s="2">
        <f t="shared" si="132"/>
        <v>2025</v>
      </c>
      <c r="E2116" s="2" t="str">
        <f t="shared" si="133"/>
        <v>2025-36</v>
      </c>
      <c r="F2116" s="2" t="str">
        <f t="shared" si="134"/>
        <v>Week 36</v>
      </c>
      <c r="G2116" s="2" t="str">
        <f t="shared" si="135"/>
        <v>Week 36-2025</v>
      </c>
      <c r="O2116"/>
      <c r="Q2116"/>
    </row>
    <row r="2117" spans="1:17" hidden="1" x14ac:dyDescent="0.2">
      <c r="A2117" s="3">
        <v>45906</v>
      </c>
      <c r="B2117" s="2" t="s">
        <v>8</v>
      </c>
      <c r="C2117" s="2">
        <v>7</v>
      </c>
      <c r="D2117" s="2">
        <f t="shared" si="132"/>
        <v>2025</v>
      </c>
      <c r="E2117" s="2" t="str">
        <f t="shared" si="133"/>
        <v>2025-36</v>
      </c>
      <c r="F2117" s="2" t="str">
        <f t="shared" si="134"/>
        <v>Week 36</v>
      </c>
      <c r="G2117" s="2" t="str">
        <f t="shared" si="135"/>
        <v>Week 36-2025</v>
      </c>
      <c r="O2117"/>
      <c r="Q2117"/>
    </row>
    <row r="2118" spans="1:17" hidden="1" x14ac:dyDescent="0.2">
      <c r="A2118" s="3">
        <v>45906</v>
      </c>
      <c r="B2118" s="2" t="s">
        <v>6</v>
      </c>
      <c r="C2118" s="2">
        <v>2</v>
      </c>
      <c r="D2118" s="2">
        <f t="shared" si="132"/>
        <v>2025</v>
      </c>
      <c r="E2118" s="2" t="str">
        <f t="shared" si="133"/>
        <v>2025-36</v>
      </c>
      <c r="F2118" s="2" t="str">
        <f t="shared" si="134"/>
        <v>Week 36</v>
      </c>
      <c r="G2118" s="2" t="str">
        <f t="shared" si="135"/>
        <v>Week 36-2025</v>
      </c>
      <c r="O2118"/>
      <c r="Q2118"/>
    </row>
    <row r="2119" spans="1:17" hidden="1" x14ac:dyDescent="0.2">
      <c r="A2119" s="3">
        <v>45906</v>
      </c>
      <c r="B2119" s="2" t="s">
        <v>37</v>
      </c>
      <c r="C2119" s="2">
        <v>4</v>
      </c>
      <c r="D2119" s="2">
        <f t="shared" si="132"/>
        <v>2025</v>
      </c>
      <c r="E2119" s="2" t="str">
        <f t="shared" si="133"/>
        <v>2025-36</v>
      </c>
      <c r="F2119" s="2" t="str">
        <f t="shared" si="134"/>
        <v>Week 36</v>
      </c>
      <c r="G2119" s="2" t="str">
        <f t="shared" si="135"/>
        <v>Week 36-2025</v>
      </c>
      <c r="O2119"/>
      <c r="Q2119"/>
    </row>
    <row r="2120" spans="1:17" hidden="1" x14ac:dyDescent="0.2">
      <c r="A2120" s="3">
        <v>45906</v>
      </c>
      <c r="B2120" s="2" t="s">
        <v>35</v>
      </c>
      <c r="C2120" s="2">
        <v>4</v>
      </c>
      <c r="D2120" s="2">
        <f t="shared" si="132"/>
        <v>2025</v>
      </c>
      <c r="E2120" s="2" t="str">
        <f t="shared" si="133"/>
        <v>2025-36</v>
      </c>
      <c r="F2120" s="2" t="str">
        <f t="shared" si="134"/>
        <v>Week 36</v>
      </c>
      <c r="G2120" s="2" t="str">
        <f t="shared" si="135"/>
        <v>Week 36-2025</v>
      </c>
      <c r="O2120"/>
      <c r="Q2120"/>
    </row>
    <row r="2121" spans="1:17" hidden="1" x14ac:dyDescent="0.2">
      <c r="A2121" s="3">
        <v>45906</v>
      </c>
      <c r="B2121" s="2" t="s">
        <v>29</v>
      </c>
      <c r="C2121" s="2">
        <v>2</v>
      </c>
      <c r="D2121" s="2">
        <f t="shared" si="132"/>
        <v>2025</v>
      </c>
      <c r="E2121" s="2" t="str">
        <f t="shared" si="133"/>
        <v>2025-36</v>
      </c>
      <c r="F2121" s="2" t="str">
        <f t="shared" si="134"/>
        <v>Week 36</v>
      </c>
      <c r="G2121" s="2" t="str">
        <f t="shared" si="135"/>
        <v>Week 36-2025</v>
      </c>
      <c r="O2121"/>
      <c r="Q2121"/>
    </row>
    <row r="2122" spans="1:17" hidden="1" x14ac:dyDescent="0.2">
      <c r="A2122" s="3">
        <v>45906</v>
      </c>
      <c r="B2122" s="2" t="s">
        <v>38</v>
      </c>
      <c r="C2122" s="2">
        <v>1</v>
      </c>
      <c r="D2122" s="2">
        <f t="shared" si="132"/>
        <v>2025</v>
      </c>
      <c r="E2122" s="2" t="str">
        <f t="shared" si="133"/>
        <v>2025-36</v>
      </c>
      <c r="F2122" s="2" t="str">
        <f t="shared" si="134"/>
        <v>Week 36</v>
      </c>
      <c r="G2122" s="2" t="str">
        <f t="shared" si="135"/>
        <v>Week 36-2025</v>
      </c>
      <c r="O2122"/>
      <c r="Q2122"/>
    </row>
    <row r="2123" spans="1:17" hidden="1" x14ac:dyDescent="0.2">
      <c r="A2123" s="3">
        <v>45906</v>
      </c>
      <c r="B2123" s="2" t="s">
        <v>28</v>
      </c>
      <c r="C2123" s="2">
        <v>1</v>
      </c>
      <c r="D2123" s="2">
        <f t="shared" si="132"/>
        <v>2025</v>
      </c>
      <c r="E2123" s="2" t="str">
        <f t="shared" si="133"/>
        <v>2025-36</v>
      </c>
      <c r="F2123" s="2" t="str">
        <f t="shared" si="134"/>
        <v>Week 36</v>
      </c>
      <c r="G2123" s="2" t="str">
        <f t="shared" si="135"/>
        <v>Week 36-2025</v>
      </c>
      <c r="O2123"/>
      <c r="Q2123"/>
    </row>
    <row r="2124" spans="1:17" hidden="1" x14ac:dyDescent="0.2">
      <c r="A2124" s="3">
        <v>45906</v>
      </c>
      <c r="B2124" s="2" t="s">
        <v>30</v>
      </c>
      <c r="C2124" s="2">
        <v>1</v>
      </c>
      <c r="D2124" s="2">
        <f t="shared" si="132"/>
        <v>2025</v>
      </c>
      <c r="E2124" s="2" t="str">
        <f t="shared" si="133"/>
        <v>2025-36</v>
      </c>
      <c r="F2124" s="2" t="str">
        <f t="shared" si="134"/>
        <v>Week 36</v>
      </c>
      <c r="G2124" s="2" t="str">
        <f t="shared" si="135"/>
        <v>Week 36-2025</v>
      </c>
      <c r="O2124"/>
      <c r="Q2124"/>
    </row>
    <row r="2125" spans="1:17" hidden="1" x14ac:dyDescent="0.2">
      <c r="A2125" s="3">
        <v>45907</v>
      </c>
      <c r="B2125" s="2" t="s">
        <v>5</v>
      </c>
      <c r="C2125" s="2">
        <v>10</v>
      </c>
      <c r="D2125" s="2">
        <f t="shared" si="132"/>
        <v>2025</v>
      </c>
      <c r="E2125" s="2" t="str">
        <f t="shared" si="133"/>
        <v>2025-36</v>
      </c>
      <c r="F2125" s="2" t="str">
        <f t="shared" si="134"/>
        <v>Week 37</v>
      </c>
      <c r="G2125" s="2" t="str">
        <f t="shared" si="135"/>
        <v>Week 37-2025</v>
      </c>
      <c r="O2125"/>
      <c r="Q2125"/>
    </row>
    <row r="2126" spans="1:17" hidden="1" x14ac:dyDescent="0.2">
      <c r="A2126" s="3">
        <v>45907</v>
      </c>
      <c r="B2126" s="2" t="s">
        <v>3</v>
      </c>
      <c r="C2126" s="2">
        <v>8</v>
      </c>
      <c r="D2126" s="2">
        <f t="shared" si="132"/>
        <v>2025</v>
      </c>
      <c r="E2126" s="2" t="str">
        <f t="shared" si="133"/>
        <v>2025-36</v>
      </c>
      <c r="F2126" s="2" t="str">
        <f t="shared" si="134"/>
        <v>Week 37</v>
      </c>
      <c r="G2126" s="2" t="str">
        <f t="shared" si="135"/>
        <v>Week 37-2025</v>
      </c>
      <c r="O2126"/>
      <c r="Q2126"/>
    </row>
    <row r="2127" spans="1:17" hidden="1" x14ac:dyDescent="0.2">
      <c r="A2127" s="3">
        <v>45908</v>
      </c>
      <c r="B2127" s="2" t="s">
        <v>19</v>
      </c>
      <c r="C2127" s="2">
        <v>2</v>
      </c>
      <c r="D2127" s="2">
        <f t="shared" si="132"/>
        <v>2025</v>
      </c>
      <c r="E2127" s="2" t="str">
        <f t="shared" si="133"/>
        <v>2025-37</v>
      </c>
      <c r="F2127" s="2" t="str">
        <f t="shared" si="134"/>
        <v>Week 37</v>
      </c>
      <c r="G2127" s="2" t="str">
        <f t="shared" si="135"/>
        <v>Week 37-2025</v>
      </c>
      <c r="O2127"/>
      <c r="Q2127"/>
    </row>
    <row r="2128" spans="1:17" hidden="1" x14ac:dyDescent="0.2">
      <c r="A2128" s="3">
        <v>45910</v>
      </c>
      <c r="B2128" s="2" t="s">
        <v>7</v>
      </c>
      <c r="C2128" s="2">
        <v>8</v>
      </c>
      <c r="D2128" s="2">
        <f t="shared" si="132"/>
        <v>2025</v>
      </c>
      <c r="E2128" s="2" t="str">
        <f t="shared" si="133"/>
        <v>2025-37</v>
      </c>
      <c r="F2128" s="2" t="str">
        <f t="shared" si="134"/>
        <v>Week 37</v>
      </c>
      <c r="G2128" s="2" t="str">
        <f t="shared" si="135"/>
        <v>Week 37-2025</v>
      </c>
      <c r="O2128"/>
      <c r="Q2128"/>
    </row>
    <row r="2129" spans="1:17" hidden="1" x14ac:dyDescent="0.2">
      <c r="A2129" s="3">
        <v>45910</v>
      </c>
      <c r="B2129" s="2" t="s">
        <v>3</v>
      </c>
      <c r="C2129" s="2">
        <v>8</v>
      </c>
      <c r="D2129" s="2">
        <f t="shared" si="132"/>
        <v>2025</v>
      </c>
      <c r="E2129" s="2" t="str">
        <f t="shared" si="133"/>
        <v>2025-37</v>
      </c>
      <c r="F2129" s="2" t="str">
        <f t="shared" si="134"/>
        <v>Week 37</v>
      </c>
      <c r="G2129" s="2" t="str">
        <f t="shared" si="135"/>
        <v>Week 37-2025</v>
      </c>
      <c r="O2129"/>
      <c r="Q2129"/>
    </row>
    <row r="2130" spans="1:17" hidden="1" x14ac:dyDescent="0.2">
      <c r="A2130" s="3">
        <v>45910</v>
      </c>
      <c r="B2130" s="2" t="s">
        <v>18</v>
      </c>
      <c r="C2130" s="2">
        <v>4</v>
      </c>
      <c r="D2130" s="2">
        <f t="shared" si="132"/>
        <v>2025</v>
      </c>
      <c r="E2130" s="2" t="str">
        <f t="shared" si="133"/>
        <v>2025-37</v>
      </c>
      <c r="F2130" s="2" t="str">
        <f t="shared" si="134"/>
        <v>Week 37</v>
      </c>
      <c r="G2130" s="2" t="str">
        <f t="shared" si="135"/>
        <v>Week 37-2025</v>
      </c>
      <c r="O2130"/>
      <c r="Q2130"/>
    </row>
    <row r="2131" spans="1:17" hidden="1" x14ac:dyDescent="0.2">
      <c r="A2131" s="3">
        <v>45910</v>
      </c>
      <c r="B2131" s="2" t="s">
        <v>6</v>
      </c>
      <c r="C2131" s="2">
        <v>4</v>
      </c>
      <c r="D2131" s="2">
        <f t="shared" si="132"/>
        <v>2025</v>
      </c>
      <c r="E2131" s="2" t="str">
        <f t="shared" si="133"/>
        <v>2025-37</v>
      </c>
      <c r="F2131" s="2" t="str">
        <f t="shared" si="134"/>
        <v>Week 37</v>
      </c>
      <c r="G2131" s="2" t="str">
        <f t="shared" si="135"/>
        <v>Week 37-2025</v>
      </c>
      <c r="O2131"/>
      <c r="Q2131"/>
    </row>
    <row r="2132" spans="1:17" hidden="1" x14ac:dyDescent="0.2">
      <c r="A2132" s="3">
        <v>45910</v>
      </c>
      <c r="B2132" s="2" t="s">
        <v>10</v>
      </c>
      <c r="C2132" s="2">
        <v>6</v>
      </c>
      <c r="D2132" s="2">
        <f t="shared" si="132"/>
        <v>2025</v>
      </c>
      <c r="E2132" s="2" t="str">
        <f t="shared" si="133"/>
        <v>2025-37</v>
      </c>
      <c r="F2132" s="2" t="str">
        <f t="shared" si="134"/>
        <v>Week 37</v>
      </c>
      <c r="G2132" s="2" t="str">
        <f t="shared" si="135"/>
        <v>Week 37-2025</v>
      </c>
      <c r="O2132"/>
      <c r="Q2132"/>
    </row>
    <row r="2133" spans="1:17" hidden="1" x14ac:dyDescent="0.2">
      <c r="A2133" s="3">
        <v>45910</v>
      </c>
      <c r="B2133" s="2" t="s">
        <v>12</v>
      </c>
      <c r="C2133" s="2">
        <v>2</v>
      </c>
      <c r="D2133" s="2">
        <f t="shared" si="132"/>
        <v>2025</v>
      </c>
      <c r="E2133" s="2" t="str">
        <f t="shared" si="133"/>
        <v>2025-37</v>
      </c>
      <c r="F2133" s="2" t="str">
        <f t="shared" si="134"/>
        <v>Week 37</v>
      </c>
      <c r="G2133" s="2" t="str">
        <f t="shared" si="135"/>
        <v>Week 37-2025</v>
      </c>
      <c r="O2133"/>
      <c r="Q2133"/>
    </row>
    <row r="2134" spans="1:17" hidden="1" x14ac:dyDescent="0.2">
      <c r="A2134" s="3">
        <v>45910</v>
      </c>
      <c r="B2134" s="2" t="s">
        <v>14</v>
      </c>
      <c r="C2134" s="2">
        <v>6</v>
      </c>
      <c r="D2134" s="2">
        <f t="shared" si="132"/>
        <v>2025</v>
      </c>
      <c r="E2134" s="2" t="str">
        <f t="shared" si="133"/>
        <v>2025-37</v>
      </c>
      <c r="F2134" s="2" t="str">
        <f t="shared" si="134"/>
        <v>Week 37</v>
      </c>
      <c r="G2134" s="2" t="str">
        <f t="shared" si="135"/>
        <v>Week 37-2025</v>
      </c>
      <c r="O2134"/>
      <c r="Q2134"/>
    </row>
    <row r="2135" spans="1:17" hidden="1" x14ac:dyDescent="0.2">
      <c r="A2135" s="3">
        <v>45910</v>
      </c>
      <c r="B2135" s="2" t="s">
        <v>39</v>
      </c>
      <c r="C2135" s="2">
        <v>4</v>
      </c>
      <c r="D2135" s="2">
        <f t="shared" si="132"/>
        <v>2025</v>
      </c>
      <c r="E2135" s="2" t="str">
        <f t="shared" si="133"/>
        <v>2025-37</v>
      </c>
      <c r="F2135" s="2" t="str">
        <f t="shared" si="134"/>
        <v>Week 37</v>
      </c>
      <c r="G2135" s="2" t="str">
        <f t="shared" si="135"/>
        <v>Week 37-2025</v>
      </c>
      <c r="O2135"/>
      <c r="Q2135"/>
    </row>
    <row r="2136" spans="1:17" hidden="1" x14ac:dyDescent="0.2">
      <c r="A2136" s="3">
        <v>45910</v>
      </c>
      <c r="B2136" s="2" t="s">
        <v>17</v>
      </c>
      <c r="C2136" s="2">
        <v>2</v>
      </c>
      <c r="D2136" s="2">
        <f t="shared" si="132"/>
        <v>2025</v>
      </c>
      <c r="E2136" s="2" t="str">
        <f t="shared" si="133"/>
        <v>2025-37</v>
      </c>
      <c r="F2136" s="2" t="str">
        <f t="shared" si="134"/>
        <v>Week 37</v>
      </c>
      <c r="G2136" s="2" t="str">
        <f t="shared" si="135"/>
        <v>Week 37-2025</v>
      </c>
      <c r="O2136"/>
      <c r="Q2136"/>
    </row>
    <row r="2137" spans="1:17" hidden="1" x14ac:dyDescent="0.2">
      <c r="A2137" s="3">
        <v>45911</v>
      </c>
      <c r="B2137" s="2" t="s">
        <v>6</v>
      </c>
      <c r="C2137" s="2">
        <v>14</v>
      </c>
      <c r="D2137" s="2">
        <f t="shared" si="132"/>
        <v>2025</v>
      </c>
      <c r="E2137" s="2" t="str">
        <f t="shared" si="133"/>
        <v>2025-37</v>
      </c>
      <c r="F2137" s="2" t="str">
        <f t="shared" si="134"/>
        <v>Week 37</v>
      </c>
      <c r="G2137" s="2" t="str">
        <f t="shared" si="135"/>
        <v>Week 37-2025</v>
      </c>
      <c r="O2137"/>
      <c r="Q2137"/>
    </row>
    <row r="2138" spans="1:17" hidden="1" x14ac:dyDescent="0.2">
      <c r="A2138" s="3">
        <v>45911</v>
      </c>
      <c r="B2138" s="2" t="s">
        <v>6</v>
      </c>
      <c r="C2138" s="2">
        <v>10</v>
      </c>
      <c r="D2138" s="2">
        <f t="shared" si="132"/>
        <v>2025</v>
      </c>
      <c r="E2138" s="2" t="str">
        <f t="shared" si="133"/>
        <v>2025-37</v>
      </c>
      <c r="F2138" s="2" t="str">
        <f t="shared" si="134"/>
        <v>Week 37</v>
      </c>
      <c r="G2138" s="2" t="str">
        <f t="shared" si="135"/>
        <v>Week 37-2025</v>
      </c>
      <c r="O2138"/>
      <c r="Q2138"/>
    </row>
    <row r="2139" spans="1:17" hidden="1" x14ac:dyDescent="0.2">
      <c r="A2139" s="3">
        <v>45911</v>
      </c>
      <c r="B2139" s="2" t="s">
        <v>6</v>
      </c>
      <c r="C2139" s="2">
        <v>6</v>
      </c>
      <c r="D2139" s="2">
        <f t="shared" si="132"/>
        <v>2025</v>
      </c>
      <c r="E2139" s="2" t="str">
        <f t="shared" si="133"/>
        <v>2025-37</v>
      </c>
      <c r="F2139" s="2" t="str">
        <f t="shared" si="134"/>
        <v>Week 37</v>
      </c>
      <c r="G2139" s="2" t="str">
        <f t="shared" si="135"/>
        <v>Week 37-2025</v>
      </c>
      <c r="O2139"/>
      <c r="Q2139"/>
    </row>
    <row r="2140" spans="1:17" hidden="1" x14ac:dyDescent="0.2">
      <c r="A2140" s="3">
        <v>45911</v>
      </c>
      <c r="B2140" s="2" t="s">
        <v>34</v>
      </c>
      <c r="C2140" s="2">
        <v>12</v>
      </c>
      <c r="D2140" s="2">
        <f t="shared" si="132"/>
        <v>2025</v>
      </c>
      <c r="E2140" s="2" t="str">
        <f t="shared" si="133"/>
        <v>2025-37</v>
      </c>
      <c r="F2140" s="2" t="str">
        <f t="shared" si="134"/>
        <v>Week 37</v>
      </c>
      <c r="G2140" s="2" t="str">
        <f t="shared" si="135"/>
        <v>Week 37-2025</v>
      </c>
      <c r="O2140"/>
      <c r="Q2140"/>
    </row>
    <row r="2141" spans="1:17" hidden="1" x14ac:dyDescent="0.2">
      <c r="A2141" s="3">
        <v>45911</v>
      </c>
      <c r="B2141" s="2" t="s">
        <v>17</v>
      </c>
      <c r="C2141" s="2">
        <v>8</v>
      </c>
      <c r="D2141" s="2">
        <f t="shared" si="132"/>
        <v>2025</v>
      </c>
      <c r="E2141" s="2" t="str">
        <f t="shared" si="133"/>
        <v>2025-37</v>
      </c>
      <c r="F2141" s="2" t="str">
        <f t="shared" si="134"/>
        <v>Week 37</v>
      </c>
      <c r="G2141" s="2" t="str">
        <f t="shared" si="135"/>
        <v>Week 37-2025</v>
      </c>
      <c r="O2141"/>
      <c r="Q2141"/>
    </row>
    <row r="2142" spans="1:17" hidden="1" x14ac:dyDescent="0.2">
      <c r="A2142" s="3">
        <v>45911</v>
      </c>
      <c r="B2142" s="2" t="s">
        <v>9</v>
      </c>
      <c r="C2142" s="2">
        <v>5</v>
      </c>
      <c r="D2142" s="2">
        <f t="shared" si="132"/>
        <v>2025</v>
      </c>
      <c r="E2142" s="2" t="str">
        <f t="shared" si="133"/>
        <v>2025-37</v>
      </c>
      <c r="F2142" s="2" t="str">
        <f t="shared" si="134"/>
        <v>Week 37</v>
      </c>
      <c r="G2142" s="2" t="str">
        <f t="shared" si="135"/>
        <v>Week 37-2025</v>
      </c>
      <c r="O2142"/>
      <c r="Q2142"/>
    </row>
    <row r="2143" spans="1:17" hidden="1" x14ac:dyDescent="0.2">
      <c r="A2143" s="3">
        <v>45911</v>
      </c>
      <c r="B2143" s="2" t="s">
        <v>19</v>
      </c>
      <c r="C2143" s="2">
        <v>4</v>
      </c>
      <c r="D2143" s="2">
        <f t="shared" si="132"/>
        <v>2025</v>
      </c>
      <c r="E2143" s="2" t="str">
        <f t="shared" si="133"/>
        <v>2025-37</v>
      </c>
      <c r="F2143" s="2" t="str">
        <f t="shared" si="134"/>
        <v>Week 37</v>
      </c>
      <c r="G2143" s="2" t="str">
        <f t="shared" si="135"/>
        <v>Week 37-2025</v>
      </c>
      <c r="O2143"/>
      <c r="Q2143"/>
    </row>
    <row r="2144" spans="1:17" hidden="1" x14ac:dyDescent="0.2">
      <c r="A2144" s="3">
        <v>45911</v>
      </c>
      <c r="B2144" s="2" t="s">
        <v>7</v>
      </c>
      <c r="C2144" s="2">
        <v>4</v>
      </c>
      <c r="D2144" s="2">
        <f t="shared" si="132"/>
        <v>2025</v>
      </c>
      <c r="E2144" s="2" t="str">
        <f t="shared" si="133"/>
        <v>2025-37</v>
      </c>
      <c r="F2144" s="2" t="str">
        <f t="shared" si="134"/>
        <v>Week 37</v>
      </c>
      <c r="G2144" s="2" t="str">
        <f t="shared" si="135"/>
        <v>Week 37-2025</v>
      </c>
      <c r="O2144"/>
      <c r="Q2144"/>
    </row>
    <row r="2145" spans="1:17" hidden="1" x14ac:dyDescent="0.2">
      <c r="A2145" s="3">
        <v>45911</v>
      </c>
      <c r="B2145" s="2" t="s">
        <v>13</v>
      </c>
      <c r="C2145" s="2">
        <v>6</v>
      </c>
      <c r="D2145" s="2">
        <f t="shared" si="132"/>
        <v>2025</v>
      </c>
      <c r="E2145" s="2" t="str">
        <f t="shared" si="133"/>
        <v>2025-37</v>
      </c>
      <c r="F2145" s="2" t="str">
        <f t="shared" si="134"/>
        <v>Week 37</v>
      </c>
      <c r="G2145" s="2" t="str">
        <f t="shared" si="135"/>
        <v>Week 37-2025</v>
      </c>
      <c r="O2145"/>
      <c r="Q2145"/>
    </row>
    <row r="2146" spans="1:17" hidden="1" x14ac:dyDescent="0.2">
      <c r="A2146" s="3">
        <v>45911</v>
      </c>
      <c r="B2146" s="2" t="s">
        <v>10</v>
      </c>
      <c r="C2146" s="2">
        <v>6</v>
      </c>
      <c r="D2146" s="2">
        <f t="shared" si="132"/>
        <v>2025</v>
      </c>
      <c r="E2146" s="2" t="str">
        <f t="shared" si="133"/>
        <v>2025-37</v>
      </c>
      <c r="F2146" s="2" t="str">
        <f t="shared" si="134"/>
        <v>Week 37</v>
      </c>
      <c r="G2146" s="2" t="str">
        <f t="shared" si="135"/>
        <v>Week 37-2025</v>
      </c>
      <c r="O2146"/>
      <c r="Q2146"/>
    </row>
    <row r="2147" spans="1:17" hidden="1" x14ac:dyDescent="0.2">
      <c r="A2147" s="3">
        <v>45911</v>
      </c>
      <c r="B2147" s="2" t="s">
        <v>10</v>
      </c>
      <c r="C2147" s="2">
        <v>6</v>
      </c>
      <c r="D2147" s="2">
        <f t="shared" si="132"/>
        <v>2025</v>
      </c>
      <c r="E2147" s="2" t="str">
        <f t="shared" si="133"/>
        <v>2025-37</v>
      </c>
      <c r="F2147" s="2" t="str">
        <f t="shared" si="134"/>
        <v>Week 37</v>
      </c>
      <c r="G2147" s="2" t="str">
        <f t="shared" si="135"/>
        <v>Week 37-2025</v>
      </c>
      <c r="O2147"/>
      <c r="Q2147"/>
    </row>
    <row r="2148" spans="1:17" hidden="1" x14ac:dyDescent="0.2">
      <c r="A2148" s="3">
        <v>45911</v>
      </c>
      <c r="B2148" s="2" t="s">
        <v>34</v>
      </c>
      <c r="C2148" s="2">
        <v>7</v>
      </c>
      <c r="D2148" s="2">
        <f t="shared" si="132"/>
        <v>2025</v>
      </c>
      <c r="E2148" s="2" t="str">
        <f t="shared" si="133"/>
        <v>2025-37</v>
      </c>
      <c r="F2148" s="2" t="str">
        <f t="shared" si="134"/>
        <v>Week 37</v>
      </c>
      <c r="G2148" s="2" t="str">
        <f t="shared" si="135"/>
        <v>Week 37-2025</v>
      </c>
      <c r="O2148"/>
      <c r="Q2148"/>
    </row>
    <row r="2149" spans="1:17" hidden="1" x14ac:dyDescent="0.2">
      <c r="A2149" s="3">
        <v>45911</v>
      </c>
      <c r="B2149" s="2" t="s">
        <v>9</v>
      </c>
      <c r="C2149" s="2">
        <v>4</v>
      </c>
      <c r="D2149" s="2">
        <f t="shared" si="132"/>
        <v>2025</v>
      </c>
      <c r="E2149" s="2" t="str">
        <f t="shared" si="133"/>
        <v>2025-37</v>
      </c>
      <c r="F2149" s="2" t="str">
        <f t="shared" si="134"/>
        <v>Week 37</v>
      </c>
      <c r="G2149" s="2" t="str">
        <f t="shared" si="135"/>
        <v>Week 37-2025</v>
      </c>
      <c r="O2149"/>
      <c r="Q2149"/>
    </row>
    <row r="2150" spans="1:17" hidden="1" x14ac:dyDescent="0.2">
      <c r="A2150" s="3">
        <v>45911</v>
      </c>
      <c r="B2150" s="2" t="s">
        <v>8</v>
      </c>
      <c r="C2150" s="2">
        <v>7</v>
      </c>
      <c r="D2150" s="2">
        <f t="shared" si="132"/>
        <v>2025</v>
      </c>
      <c r="E2150" s="2" t="str">
        <f t="shared" si="133"/>
        <v>2025-37</v>
      </c>
      <c r="F2150" s="2" t="str">
        <f t="shared" si="134"/>
        <v>Week 37</v>
      </c>
      <c r="G2150" s="2" t="str">
        <f t="shared" si="135"/>
        <v>Week 37-2025</v>
      </c>
      <c r="O2150"/>
      <c r="Q2150"/>
    </row>
    <row r="2151" spans="1:17" hidden="1" x14ac:dyDescent="0.2">
      <c r="A2151" s="3">
        <v>45911</v>
      </c>
      <c r="B2151" s="2" t="s">
        <v>5</v>
      </c>
      <c r="C2151" s="2">
        <v>4</v>
      </c>
      <c r="D2151" s="2">
        <f t="shared" si="132"/>
        <v>2025</v>
      </c>
      <c r="E2151" s="2" t="str">
        <f t="shared" si="133"/>
        <v>2025-37</v>
      </c>
      <c r="F2151" s="2" t="str">
        <f t="shared" si="134"/>
        <v>Week 37</v>
      </c>
      <c r="G2151" s="2" t="str">
        <f t="shared" si="135"/>
        <v>Week 37-2025</v>
      </c>
      <c r="O2151"/>
      <c r="Q2151"/>
    </row>
    <row r="2152" spans="1:17" hidden="1" x14ac:dyDescent="0.2">
      <c r="A2152" s="3">
        <v>45911</v>
      </c>
      <c r="B2152" s="2" t="s">
        <v>10</v>
      </c>
      <c r="C2152" s="2">
        <v>4</v>
      </c>
      <c r="D2152" s="2">
        <f t="shared" si="132"/>
        <v>2025</v>
      </c>
      <c r="E2152" s="2" t="str">
        <f t="shared" si="133"/>
        <v>2025-37</v>
      </c>
      <c r="F2152" s="2" t="str">
        <f t="shared" si="134"/>
        <v>Week 37</v>
      </c>
      <c r="G2152" s="2" t="str">
        <f t="shared" si="135"/>
        <v>Week 37-2025</v>
      </c>
      <c r="O2152"/>
      <c r="Q2152"/>
    </row>
    <row r="2153" spans="1:17" hidden="1" x14ac:dyDescent="0.2">
      <c r="A2153" s="3">
        <v>45911</v>
      </c>
      <c r="B2153" s="2" t="s">
        <v>37</v>
      </c>
      <c r="C2153" s="2">
        <v>4</v>
      </c>
      <c r="D2153" s="2">
        <f t="shared" si="132"/>
        <v>2025</v>
      </c>
      <c r="E2153" s="2" t="str">
        <f t="shared" si="133"/>
        <v>2025-37</v>
      </c>
      <c r="F2153" s="2" t="str">
        <f t="shared" si="134"/>
        <v>Week 37</v>
      </c>
      <c r="G2153" s="2" t="str">
        <f t="shared" si="135"/>
        <v>Week 37-2025</v>
      </c>
      <c r="O2153"/>
      <c r="Q2153"/>
    </row>
    <row r="2154" spans="1:17" hidden="1" x14ac:dyDescent="0.2">
      <c r="A2154" s="3">
        <v>45911</v>
      </c>
      <c r="B2154" s="2" t="s">
        <v>34</v>
      </c>
      <c r="C2154" s="2">
        <v>4</v>
      </c>
      <c r="D2154" s="2">
        <f t="shared" si="132"/>
        <v>2025</v>
      </c>
      <c r="E2154" s="2" t="str">
        <f t="shared" si="133"/>
        <v>2025-37</v>
      </c>
      <c r="F2154" s="2" t="str">
        <f t="shared" si="134"/>
        <v>Week 37</v>
      </c>
      <c r="G2154" s="2" t="str">
        <f t="shared" si="135"/>
        <v>Week 37-2025</v>
      </c>
      <c r="O2154"/>
      <c r="Q2154"/>
    </row>
    <row r="2155" spans="1:17" hidden="1" x14ac:dyDescent="0.2">
      <c r="A2155" s="3">
        <v>45911</v>
      </c>
      <c r="B2155" s="2" t="s">
        <v>34</v>
      </c>
      <c r="C2155" s="2">
        <v>4</v>
      </c>
      <c r="D2155" s="2">
        <f t="shared" si="132"/>
        <v>2025</v>
      </c>
      <c r="E2155" s="2" t="str">
        <f t="shared" si="133"/>
        <v>2025-37</v>
      </c>
      <c r="F2155" s="2" t="str">
        <f t="shared" si="134"/>
        <v>Week 37</v>
      </c>
      <c r="G2155" s="2" t="str">
        <f t="shared" si="135"/>
        <v>Week 37-2025</v>
      </c>
      <c r="O2155"/>
      <c r="Q2155"/>
    </row>
    <row r="2156" spans="1:17" hidden="1" x14ac:dyDescent="0.2">
      <c r="A2156" s="3">
        <v>45911</v>
      </c>
      <c r="B2156" s="2" t="s">
        <v>35</v>
      </c>
      <c r="C2156" s="2">
        <v>4</v>
      </c>
      <c r="D2156" s="2">
        <f t="shared" si="132"/>
        <v>2025</v>
      </c>
      <c r="E2156" s="2" t="str">
        <f t="shared" si="133"/>
        <v>2025-37</v>
      </c>
      <c r="F2156" s="2" t="str">
        <f t="shared" si="134"/>
        <v>Week 37</v>
      </c>
      <c r="G2156" s="2" t="str">
        <f t="shared" si="135"/>
        <v>Week 37-2025</v>
      </c>
      <c r="O2156"/>
      <c r="Q2156"/>
    </row>
    <row r="2157" spans="1:17" hidden="1" x14ac:dyDescent="0.2">
      <c r="A2157" s="3">
        <v>45911</v>
      </c>
      <c r="B2157" s="2" t="s">
        <v>3</v>
      </c>
      <c r="C2157" s="2">
        <v>2</v>
      </c>
      <c r="D2157" s="2">
        <f t="shared" si="132"/>
        <v>2025</v>
      </c>
      <c r="E2157" s="2" t="str">
        <f t="shared" si="133"/>
        <v>2025-37</v>
      </c>
      <c r="F2157" s="2" t="str">
        <f t="shared" si="134"/>
        <v>Week 37</v>
      </c>
      <c r="G2157" s="2" t="str">
        <f t="shared" si="135"/>
        <v>Week 37-2025</v>
      </c>
      <c r="O2157"/>
      <c r="Q2157"/>
    </row>
    <row r="2158" spans="1:17" hidden="1" x14ac:dyDescent="0.2">
      <c r="A2158" s="3">
        <v>45911</v>
      </c>
      <c r="B2158" s="2" t="s">
        <v>29</v>
      </c>
      <c r="C2158" s="2">
        <v>2</v>
      </c>
      <c r="D2158" s="2">
        <f t="shared" si="132"/>
        <v>2025</v>
      </c>
      <c r="E2158" s="2" t="str">
        <f t="shared" si="133"/>
        <v>2025-37</v>
      </c>
      <c r="F2158" s="2" t="str">
        <f t="shared" si="134"/>
        <v>Week 37</v>
      </c>
      <c r="G2158" s="2" t="str">
        <f t="shared" si="135"/>
        <v>Week 37-2025</v>
      </c>
      <c r="O2158"/>
      <c r="Q2158"/>
    </row>
    <row r="2159" spans="1:17" hidden="1" x14ac:dyDescent="0.2">
      <c r="A2159" s="3">
        <v>45911</v>
      </c>
      <c r="B2159" s="2" t="s">
        <v>42</v>
      </c>
      <c r="C2159" s="2">
        <v>4</v>
      </c>
      <c r="D2159" s="2">
        <f t="shared" si="132"/>
        <v>2025</v>
      </c>
      <c r="E2159" s="2" t="str">
        <f t="shared" si="133"/>
        <v>2025-37</v>
      </c>
      <c r="F2159" s="2" t="str">
        <f t="shared" si="134"/>
        <v>Week 37</v>
      </c>
      <c r="G2159" s="2" t="str">
        <f t="shared" si="135"/>
        <v>Week 37-2025</v>
      </c>
      <c r="O2159"/>
      <c r="Q2159"/>
    </row>
    <row r="2160" spans="1:17" hidden="1" x14ac:dyDescent="0.2">
      <c r="A2160" s="3">
        <v>45911</v>
      </c>
      <c r="B2160" s="2" t="s">
        <v>42</v>
      </c>
      <c r="C2160" s="2">
        <v>4</v>
      </c>
      <c r="D2160" s="2">
        <f t="shared" si="132"/>
        <v>2025</v>
      </c>
      <c r="E2160" s="2" t="str">
        <f t="shared" si="133"/>
        <v>2025-37</v>
      </c>
      <c r="F2160" s="2" t="str">
        <f t="shared" si="134"/>
        <v>Week 37</v>
      </c>
      <c r="G2160" s="2" t="str">
        <f t="shared" si="135"/>
        <v>Week 37-2025</v>
      </c>
      <c r="O2160"/>
      <c r="Q2160"/>
    </row>
    <row r="2161" spans="1:17" hidden="1" x14ac:dyDescent="0.2">
      <c r="A2161" s="3">
        <v>45911</v>
      </c>
      <c r="B2161" s="2" t="s">
        <v>5</v>
      </c>
      <c r="C2161" s="2">
        <v>2</v>
      </c>
      <c r="D2161" s="2">
        <f t="shared" si="132"/>
        <v>2025</v>
      </c>
      <c r="E2161" s="2" t="str">
        <f t="shared" si="133"/>
        <v>2025-37</v>
      </c>
      <c r="F2161" s="2" t="str">
        <f t="shared" si="134"/>
        <v>Week 37</v>
      </c>
      <c r="G2161" s="2" t="str">
        <f t="shared" si="135"/>
        <v>Week 37-2025</v>
      </c>
      <c r="O2161"/>
      <c r="Q2161"/>
    </row>
    <row r="2162" spans="1:17" hidden="1" x14ac:dyDescent="0.2">
      <c r="A2162" s="3">
        <v>45911</v>
      </c>
      <c r="B2162" s="2" t="s">
        <v>17</v>
      </c>
      <c r="C2162" s="2">
        <v>2</v>
      </c>
      <c r="D2162" s="2">
        <f t="shared" si="132"/>
        <v>2025</v>
      </c>
      <c r="E2162" s="2" t="str">
        <f t="shared" si="133"/>
        <v>2025-37</v>
      </c>
      <c r="F2162" s="2" t="str">
        <f t="shared" si="134"/>
        <v>Week 37</v>
      </c>
      <c r="G2162" s="2" t="str">
        <f t="shared" si="135"/>
        <v>Week 37-2025</v>
      </c>
      <c r="O2162"/>
      <c r="Q2162"/>
    </row>
    <row r="2163" spans="1:17" hidden="1" x14ac:dyDescent="0.2">
      <c r="A2163" s="3">
        <v>45911</v>
      </c>
      <c r="B2163" s="2" t="s">
        <v>17</v>
      </c>
      <c r="C2163" s="2">
        <v>2</v>
      </c>
      <c r="D2163" s="2">
        <f t="shared" si="132"/>
        <v>2025</v>
      </c>
      <c r="E2163" s="2" t="str">
        <f t="shared" si="133"/>
        <v>2025-37</v>
      </c>
      <c r="F2163" s="2" t="str">
        <f t="shared" si="134"/>
        <v>Week 37</v>
      </c>
      <c r="G2163" s="2" t="str">
        <f t="shared" si="135"/>
        <v>Week 37-2025</v>
      </c>
      <c r="O2163"/>
      <c r="Q2163"/>
    </row>
    <row r="2164" spans="1:17" hidden="1" x14ac:dyDescent="0.2">
      <c r="A2164" s="3">
        <v>45911</v>
      </c>
      <c r="B2164" s="2" t="s">
        <v>23</v>
      </c>
      <c r="C2164" s="2">
        <v>1</v>
      </c>
      <c r="D2164" s="2">
        <f t="shared" si="132"/>
        <v>2025</v>
      </c>
      <c r="E2164" s="2" t="str">
        <f t="shared" si="133"/>
        <v>2025-37</v>
      </c>
      <c r="F2164" s="2" t="str">
        <f t="shared" si="134"/>
        <v>Week 37</v>
      </c>
      <c r="G2164" s="2" t="str">
        <f t="shared" si="135"/>
        <v>Week 37-2025</v>
      </c>
      <c r="O2164"/>
      <c r="Q2164"/>
    </row>
    <row r="2165" spans="1:17" hidden="1" x14ac:dyDescent="0.2">
      <c r="A2165" s="3">
        <v>45911</v>
      </c>
      <c r="B2165" s="2" t="s">
        <v>10</v>
      </c>
      <c r="C2165" s="2">
        <v>2</v>
      </c>
      <c r="D2165" s="2">
        <f t="shared" si="132"/>
        <v>2025</v>
      </c>
      <c r="E2165" s="2" t="str">
        <f t="shared" si="133"/>
        <v>2025-37</v>
      </c>
      <c r="F2165" s="2" t="str">
        <f t="shared" si="134"/>
        <v>Week 37</v>
      </c>
      <c r="G2165" s="2" t="str">
        <f t="shared" si="135"/>
        <v>Week 37-2025</v>
      </c>
      <c r="O2165"/>
      <c r="Q2165"/>
    </row>
    <row r="2166" spans="1:17" hidden="1" x14ac:dyDescent="0.2">
      <c r="A2166" s="3">
        <v>45911</v>
      </c>
      <c r="B2166" s="2" t="s">
        <v>37</v>
      </c>
      <c r="C2166" s="2">
        <v>2</v>
      </c>
      <c r="D2166" s="2">
        <f t="shared" si="132"/>
        <v>2025</v>
      </c>
      <c r="E2166" s="2" t="str">
        <f t="shared" si="133"/>
        <v>2025-37</v>
      </c>
      <c r="F2166" s="2" t="str">
        <f t="shared" si="134"/>
        <v>Week 37</v>
      </c>
      <c r="G2166" s="2" t="str">
        <f t="shared" si="135"/>
        <v>Week 37-2025</v>
      </c>
      <c r="O2166"/>
      <c r="Q2166"/>
    </row>
    <row r="2167" spans="1:17" hidden="1" x14ac:dyDescent="0.2">
      <c r="A2167" s="3">
        <v>45911</v>
      </c>
      <c r="B2167" s="2" t="s">
        <v>37</v>
      </c>
      <c r="C2167" s="2">
        <v>2</v>
      </c>
      <c r="D2167" s="2">
        <f t="shared" si="132"/>
        <v>2025</v>
      </c>
      <c r="E2167" s="2" t="str">
        <f t="shared" si="133"/>
        <v>2025-37</v>
      </c>
      <c r="F2167" s="2" t="str">
        <f t="shared" si="134"/>
        <v>Week 37</v>
      </c>
      <c r="G2167" s="2" t="str">
        <f t="shared" si="135"/>
        <v>Week 37-2025</v>
      </c>
      <c r="O2167"/>
      <c r="Q2167"/>
    </row>
    <row r="2168" spans="1:17" hidden="1" x14ac:dyDescent="0.2">
      <c r="A2168" s="3">
        <v>45911</v>
      </c>
      <c r="B2168" s="2" t="s">
        <v>19</v>
      </c>
      <c r="C2168" s="2">
        <v>1</v>
      </c>
      <c r="D2168" s="2">
        <f t="shared" si="132"/>
        <v>2025</v>
      </c>
      <c r="E2168" s="2" t="str">
        <f t="shared" si="133"/>
        <v>2025-37</v>
      </c>
      <c r="F2168" s="2" t="str">
        <f t="shared" si="134"/>
        <v>Week 37</v>
      </c>
      <c r="G2168" s="2" t="str">
        <f t="shared" si="135"/>
        <v>Week 37-2025</v>
      </c>
      <c r="O2168"/>
      <c r="Q2168"/>
    </row>
    <row r="2169" spans="1:17" hidden="1" x14ac:dyDescent="0.2">
      <c r="A2169" s="3">
        <v>45911</v>
      </c>
      <c r="B2169" s="2" t="s">
        <v>31</v>
      </c>
      <c r="C2169" s="2">
        <v>2</v>
      </c>
      <c r="D2169" s="2">
        <f t="shared" si="132"/>
        <v>2025</v>
      </c>
      <c r="E2169" s="2" t="str">
        <f t="shared" si="133"/>
        <v>2025-37</v>
      </c>
      <c r="F2169" s="2" t="str">
        <f t="shared" si="134"/>
        <v>Week 37</v>
      </c>
      <c r="G2169" s="2" t="str">
        <f t="shared" si="135"/>
        <v>Week 37-2025</v>
      </c>
      <c r="O2169"/>
      <c r="Q2169"/>
    </row>
    <row r="2170" spans="1:17" hidden="1" x14ac:dyDescent="0.2">
      <c r="A2170" s="3">
        <v>45911</v>
      </c>
      <c r="B2170" s="2" t="s">
        <v>7</v>
      </c>
      <c r="C2170" s="2">
        <v>1</v>
      </c>
      <c r="D2170" s="2">
        <f t="shared" si="132"/>
        <v>2025</v>
      </c>
      <c r="E2170" s="2" t="str">
        <f t="shared" si="133"/>
        <v>2025-37</v>
      </c>
      <c r="F2170" s="2" t="str">
        <f t="shared" si="134"/>
        <v>Week 37</v>
      </c>
      <c r="G2170" s="2" t="str">
        <f t="shared" si="135"/>
        <v>Week 37-2025</v>
      </c>
      <c r="O2170"/>
      <c r="Q2170"/>
    </row>
    <row r="2171" spans="1:17" hidden="1" x14ac:dyDescent="0.2">
      <c r="A2171" s="3">
        <v>45911</v>
      </c>
      <c r="B2171" s="2" t="s">
        <v>3</v>
      </c>
      <c r="C2171" s="2">
        <v>1</v>
      </c>
      <c r="D2171" s="2">
        <f t="shared" si="132"/>
        <v>2025</v>
      </c>
      <c r="E2171" s="2" t="str">
        <f t="shared" si="133"/>
        <v>2025-37</v>
      </c>
      <c r="F2171" s="2" t="str">
        <f t="shared" si="134"/>
        <v>Week 37</v>
      </c>
      <c r="G2171" s="2" t="str">
        <f t="shared" si="135"/>
        <v>Week 37-2025</v>
      </c>
      <c r="O2171"/>
      <c r="Q2171"/>
    </row>
    <row r="2172" spans="1:17" hidden="1" x14ac:dyDescent="0.2">
      <c r="A2172" s="3">
        <v>45911</v>
      </c>
      <c r="B2172" s="2" t="s">
        <v>29</v>
      </c>
      <c r="C2172" s="2">
        <v>1</v>
      </c>
      <c r="D2172" s="2">
        <f t="shared" si="132"/>
        <v>2025</v>
      </c>
      <c r="E2172" s="2" t="str">
        <f t="shared" si="133"/>
        <v>2025-37</v>
      </c>
      <c r="F2172" s="2" t="str">
        <f t="shared" si="134"/>
        <v>Week 37</v>
      </c>
      <c r="G2172" s="2" t="str">
        <f t="shared" si="135"/>
        <v>Week 37-2025</v>
      </c>
      <c r="O2172"/>
      <c r="Q2172"/>
    </row>
    <row r="2173" spans="1:17" hidden="1" x14ac:dyDescent="0.2">
      <c r="A2173" s="3">
        <v>45911</v>
      </c>
      <c r="B2173" s="2" t="s">
        <v>30</v>
      </c>
      <c r="C2173" s="2">
        <v>2</v>
      </c>
      <c r="D2173" s="2">
        <f t="shared" si="132"/>
        <v>2025</v>
      </c>
      <c r="E2173" s="2" t="str">
        <f t="shared" si="133"/>
        <v>2025-37</v>
      </c>
      <c r="F2173" s="2" t="str">
        <f t="shared" si="134"/>
        <v>Week 37</v>
      </c>
      <c r="G2173" s="2" t="str">
        <f t="shared" si="135"/>
        <v>Week 37-2025</v>
      </c>
      <c r="O2173"/>
      <c r="Q2173"/>
    </row>
    <row r="2174" spans="1:17" hidden="1" x14ac:dyDescent="0.2">
      <c r="A2174" s="3">
        <v>45911</v>
      </c>
      <c r="B2174" s="2" t="s">
        <v>30</v>
      </c>
      <c r="C2174" s="2">
        <v>2</v>
      </c>
      <c r="D2174" s="2">
        <f t="shared" si="132"/>
        <v>2025</v>
      </c>
      <c r="E2174" s="2" t="str">
        <f t="shared" si="133"/>
        <v>2025-37</v>
      </c>
      <c r="F2174" s="2" t="str">
        <f t="shared" si="134"/>
        <v>Week 37</v>
      </c>
      <c r="G2174" s="2" t="str">
        <f t="shared" si="135"/>
        <v>Week 37-2025</v>
      </c>
      <c r="O2174"/>
      <c r="Q2174"/>
    </row>
    <row r="2175" spans="1:17" hidden="1" x14ac:dyDescent="0.2">
      <c r="A2175" s="3">
        <v>45911</v>
      </c>
      <c r="B2175" s="2" t="s">
        <v>42</v>
      </c>
      <c r="C2175" s="2">
        <v>2</v>
      </c>
      <c r="D2175" s="2">
        <f t="shared" si="132"/>
        <v>2025</v>
      </c>
      <c r="E2175" s="2" t="str">
        <f t="shared" si="133"/>
        <v>2025-37</v>
      </c>
      <c r="F2175" s="2" t="str">
        <f t="shared" si="134"/>
        <v>Week 37</v>
      </c>
      <c r="G2175" s="2" t="str">
        <f t="shared" si="135"/>
        <v>Week 37-2025</v>
      </c>
      <c r="O2175"/>
      <c r="Q2175"/>
    </row>
    <row r="2176" spans="1:17" hidden="1" x14ac:dyDescent="0.2">
      <c r="A2176" s="3">
        <v>45911</v>
      </c>
      <c r="B2176" s="2" t="s">
        <v>17</v>
      </c>
      <c r="C2176" s="2">
        <v>1</v>
      </c>
      <c r="D2176" s="2">
        <f t="shared" si="132"/>
        <v>2025</v>
      </c>
      <c r="E2176" s="2" t="str">
        <f t="shared" si="133"/>
        <v>2025-37</v>
      </c>
      <c r="F2176" s="2" t="str">
        <f t="shared" si="134"/>
        <v>Week 37</v>
      </c>
      <c r="G2176" s="2" t="str">
        <f t="shared" si="135"/>
        <v>Week 37-2025</v>
      </c>
      <c r="O2176"/>
      <c r="Q2176"/>
    </row>
    <row r="2177" spans="1:17" hidden="1" x14ac:dyDescent="0.2">
      <c r="A2177" s="3">
        <v>45911</v>
      </c>
      <c r="B2177" s="2" t="s">
        <v>14</v>
      </c>
      <c r="C2177" s="2">
        <v>1</v>
      </c>
      <c r="D2177" s="2">
        <f t="shared" si="132"/>
        <v>2025</v>
      </c>
      <c r="E2177" s="2" t="str">
        <f t="shared" si="133"/>
        <v>2025-37</v>
      </c>
      <c r="F2177" s="2" t="str">
        <f t="shared" si="134"/>
        <v>Week 37</v>
      </c>
      <c r="G2177" s="2" t="str">
        <f t="shared" si="135"/>
        <v>Week 37-2025</v>
      </c>
      <c r="O2177"/>
      <c r="Q2177"/>
    </row>
    <row r="2178" spans="1:17" hidden="1" x14ac:dyDescent="0.2">
      <c r="A2178" s="3">
        <v>45911</v>
      </c>
      <c r="B2178" s="2" t="s">
        <v>38</v>
      </c>
      <c r="C2178" s="2">
        <v>1</v>
      </c>
      <c r="D2178" s="2">
        <f t="shared" ref="D2178:D2241" si="136">YEAR(A2178)</f>
        <v>2025</v>
      </c>
      <c r="E2178" s="2" t="str">
        <f t="shared" ref="E2178:E2241" si="137">YEAR(A2178)&amp;"-"&amp;_xlfn.ISOWEEKNUM(A2178)</f>
        <v>2025-37</v>
      </c>
      <c r="F2178" s="2" t="str">
        <f t="shared" ref="F2178:F2241" si="138">_xlfn.CONCAT("Week "&amp;WEEKNUM(A2178))</f>
        <v>Week 37</v>
      </c>
      <c r="G2178" s="2" t="str">
        <f t="shared" ref="G2178:G2241" si="139">_xlfn.CONCAT(F2178,"-",D2178)</f>
        <v>Week 37-2025</v>
      </c>
      <c r="O2178"/>
      <c r="Q2178"/>
    </row>
    <row r="2179" spans="1:17" hidden="1" x14ac:dyDescent="0.2">
      <c r="A2179" s="3">
        <v>45911</v>
      </c>
      <c r="B2179" s="2" t="s">
        <v>28</v>
      </c>
      <c r="C2179" s="2">
        <v>1</v>
      </c>
      <c r="D2179" s="2">
        <f t="shared" si="136"/>
        <v>2025</v>
      </c>
      <c r="E2179" s="2" t="str">
        <f t="shared" si="137"/>
        <v>2025-37</v>
      </c>
      <c r="F2179" s="2" t="str">
        <f t="shared" si="138"/>
        <v>Week 37</v>
      </c>
      <c r="G2179" s="2" t="str">
        <f t="shared" si="139"/>
        <v>Week 37-2025</v>
      </c>
      <c r="O2179"/>
      <c r="Q2179"/>
    </row>
    <row r="2180" spans="1:17" hidden="1" x14ac:dyDescent="0.2">
      <c r="A2180" s="3">
        <v>45911</v>
      </c>
      <c r="B2180" s="2" t="s">
        <v>28</v>
      </c>
      <c r="C2180" s="2">
        <v>1</v>
      </c>
      <c r="D2180" s="2">
        <f t="shared" si="136"/>
        <v>2025</v>
      </c>
      <c r="E2180" s="2" t="str">
        <f t="shared" si="137"/>
        <v>2025-37</v>
      </c>
      <c r="F2180" s="2" t="str">
        <f t="shared" si="138"/>
        <v>Week 37</v>
      </c>
      <c r="G2180" s="2" t="str">
        <f t="shared" si="139"/>
        <v>Week 37-2025</v>
      </c>
      <c r="O2180"/>
      <c r="Q2180"/>
    </row>
    <row r="2181" spans="1:17" hidden="1" x14ac:dyDescent="0.2">
      <c r="A2181" s="3">
        <v>45912</v>
      </c>
      <c r="B2181" s="2" t="s">
        <v>9</v>
      </c>
      <c r="C2181" s="2">
        <v>14</v>
      </c>
      <c r="D2181" s="2">
        <f t="shared" si="136"/>
        <v>2025</v>
      </c>
      <c r="E2181" s="2" t="str">
        <f t="shared" si="137"/>
        <v>2025-37</v>
      </c>
      <c r="F2181" s="2" t="str">
        <f t="shared" si="138"/>
        <v>Week 37</v>
      </c>
      <c r="G2181" s="2" t="str">
        <f t="shared" si="139"/>
        <v>Week 37-2025</v>
      </c>
      <c r="O2181"/>
      <c r="Q2181"/>
    </row>
    <row r="2182" spans="1:17" hidden="1" x14ac:dyDescent="0.2">
      <c r="A2182" s="3">
        <v>45912</v>
      </c>
      <c r="B2182" s="2" t="s">
        <v>3</v>
      </c>
      <c r="C2182" s="2">
        <v>10</v>
      </c>
      <c r="D2182" s="2">
        <f t="shared" si="136"/>
        <v>2025</v>
      </c>
      <c r="E2182" s="2" t="str">
        <f t="shared" si="137"/>
        <v>2025-37</v>
      </c>
      <c r="F2182" s="2" t="str">
        <f t="shared" si="138"/>
        <v>Week 37</v>
      </c>
      <c r="G2182" s="2" t="str">
        <f t="shared" si="139"/>
        <v>Week 37-2025</v>
      </c>
      <c r="O2182"/>
      <c r="Q2182"/>
    </row>
    <row r="2183" spans="1:17" hidden="1" x14ac:dyDescent="0.2">
      <c r="A2183" s="3">
        <v>45912</v>
      </c>
      <c r="B2183" s="2" t="s">
        <v>14</v>
      </c>
      <c r="C2183" s="2">
        <v>8</v>
      </c>
      <c r="D2183" s="2">
        <f t="shared" si="136"/>
        <v>2025</v>
      </c>
      <c r="E2183" s="2" t="str">
        <f t="shared" si="137"/>
        <v>2025-37</v>
      </c>
      <c r="F2183" s="2" t="str">
        <f t="shared" si="138"/>
        <v>Week 37</v>
      </c>
      <c r="G2183" s="2" t="str">
        <f t="shared" si="139"/>
        <v>Week 37-2025</v>
      </c>
      <c r="O2183"/>
      <c r="Q2183"/>
    </row>
    <row r="2184" spans="1:17" hidden="1" x14ac:dyDescent="0.2">
      <c r="A2184" s="3">
        <v>45912</v>
      </c>
      <c r="B2184" s="2" t="s">
        <v>7</v>
      </c>
      <c r="C2184" s="2">
        <v>2</v>
      </c>
      <c r="D2184" s="2">
        <f t="shared" si="136"/>
        <v>2025</v>
      </c>
      <c r="E2184" s="2" t="str">
        <f t="shared" si="137"/>
        <v>2025-37</v>
      </c>
      <c r="F2184" s="2" t="str">
        <f t="shared" si="138"/>
        <v>Week 37</v>
      </c>
      <c r="G2184" s="2" t="str">
        <f t="shared" si="139"/>
        <v>Week 37-2025</v>
      </c>
      <c r="O2184"/>
      <c r="Q2184"/>
    </row>
    <row r="2185" spans="1:17" hidden="1" x14ac:dyDescent="0.2">
      <c r="A2185" s="3">
        <v>45912</v>
      </c>
      <c r="B2185" s="2" t="s">
        <v>10</v>
      </c>
      <c r="C2185" s="2">
        <v>2</v>
      </c>
      <c r="D2185" s="2">
        <f t="shared" si="136"/>
        <v>2025</v>
      </c>
      <c r="E2185" s="2" t="str">
        <f t="shared" si="137"/>
        <v>2025-37</v>
      </c>
      <c r="F2185" s="2" t="str">
        <f t="shared" si="138"/>
        <v>Week 37</v>
      </c>
      <c r="G2185" s="2" t="str">
        <f t="shared" si="139"/>
        <v>Week 37-2025</v>
      </c>
      <c r="O2185"/>
      <c r="Q2185"/>
    </row>
    <row r="2186" spans="1:17" hidden="1" x14ac:dyDescent="0.2">
      <c r="A2186" s="3">
        <v>45913</v>
      </c>
      <c r="B2186" s="2" t="s">
        <v>12</v>
      </c>
      <c r="C2186" s="2">
        <v>13</v>
      </c>
      <c r="D2186" s="2">
        <f t="shared" si="136"/>
        <v>2025</v>
      </c>
      <c r="E2186" s="2" t="str">
        <f t="shared" si="137"/>
        <v>2025-37</v>
      </c>
      <c r="F2186" s="2" t="str">
        <f t="shared" si="138"/>
        <v>Week 37</v>
      </c>
      <c r="G2186" s="2" t="str">
        <f t="shared" si="139"/>
        <v>Week 37-2025</v>
      </c>
      <c r="O2186"/>
      <c r="Q2186"/>
    </row>
    <row r="2187" spans="1:17" hidden="1" x14ac:dyDescent="0.2">
      <c r="A2187" s="3">
        <v>45913</v>
      </c>
      <c r="B2187" s="2" t="s">
        <v>18</v>
      </c>
      <c r="C2187" s="2">
        <v>11</v>
      </c>
      <c r="D2187" s="2">
        <f t="shared" si="136"/>
        <v>2025</v>
      </c>
      <c r="E2187" s="2" t="str">
        <f t="shared" si="137"/>
        <v>2025-37</v>
      </c>
      <c r="F2187" s="2" t="str">
        <f t="shared" si="138"/>
        <v>Week 37</v>
      </c>
      <c r="G2187" s="2" t="str">
        <f t="shared" si="139"/>
        <v>Week 37-2025</v>
      </c>
      <c r="O2187"/>
      <c r="Q2187"/>
    </row>
    <row r="2188" spans="1:17" hidden="1" x14ac:dyDescent="0.2">
      <c r="A2188" s="3">
        <v>45913</v>
      </c>
      <c r="B2188" s="2" t="s">
        <v>7</v>
      </c>
      <c r="C2188" s="2">
        <v>12</v>
      </c>
      <c r="D2188" s="2">
        <f t="shared" si="136"/>
        <v>2025</v>
      </c>
      <c r="E2188" s="2" t="str">
        <f t="shared" si="137"/>
        <v>2025-37</v>
      </c>
      <c r="F2188" s="2" t="str">
        <f t="shared" si="138"/>
        <v>Week 37</v>
      </c>
      <c r="G2188" s="2" t="str">
        <f t="shared" si="139"/>
        <v>Week 37-2025</v>
      </c>
      <c r="O2188"/>
      <c r="Q2188"/>
    </row>
    <row r="2189" spans="1:17" hidden="1" x14ac:dyDescent="0.2">
      <c r="A2189" s="3">
        <v>45913</v>
      </c>
      <c r="B2189" s="2" t="s">
        <v>25</v>
      </c>
      <c r="C2189" s="2">
        <v>4</v>
      </c>
      <c r="D2189" s="2">
        <f t="shared" si="136"/>
        <v>2025</v>
      </c>
      <c r="E2189" s="2" t="str">
        <f t="shared" si="137"/>
        <v>2025-37</v>
      </c>
      <c r="F2189" s="2" t="str">
        <f t="shared" si="138"/>
        <v>Week 37</v>
      </c>
      <c r="G2189" s="2" t="str">
        <f t="shared" si="139"/>
        <v>Week 37-2025</v>
      </c>
      <c r="O2189"/>
      <c r="Q2189"/>
    </row>
    <row r="2190" spans="1:17" hidden="1" x14ac:dyDescent="0.2">
      <c r="A2190" s="3">
        <v>45913</v>
      </c>
      <c r="B2190" s="2" t="s">
        <v>6</v>
      </c>
      <c r="C2190" s="2">
        <v>8</v>
      </c>
      <c r="D2190" s="2">
        <f t="shared" si="136"/>
        <v>2025</v>
      </c>
      <c r="E2190" s="2" t="str">
        <f t="shared" si="137"/>
        <v>2025-37</v>
      </c>
      <c r="F2190" s="2" t="str">
        <f t="shared" si="138"/>
        <v>Week 37</v>
      </c>
      <c r="G2190" s="2" t="str">
        <f t="shared" si="139"/>
        <v>Week 37-2025</v>
      </c>
      <c r="O2190"/>
      <c r="Q2190"/>
    </row>
    <row r="2191" spans="1:17" hidden="1" x14ac:dyDescent="0.2">
      <c r="A2191" s="3">
        <v>45913</v>
      </c>
      <c r="B2191" s="2" t="s">
        <v>9</v>
      </c>
      <c r="C2191" s="2">
        <v>10</v>
      </c>
      <c r="D2191" s="2">
        <f t="shared" si="136"/>
        <v>2025</v>
      </c>
      <c r="E2191" s="2" t="str">
        <f t="shared" si="137"/>
        <v>2025-37</v>
      </c>
      <c r="F2191" s="2" t="str">
        <f t="shared" si="138"/>
        <v>Week 37</v>
      </c>
      <c r="G2191" s="2" t="str">
        <f t="shared" si="139"/>
        <v>Week 37-2025</v>
      </c>
      <c r="O2191"/>
      <c r="Q2191"/>
    </row>
    <row r="2192" spans="1:17" hidden="1" x14ac:dyDescent="0.2">
      <c r="A2192" s="3">
        <v>45913</v>
      </c>
      <c r="B2192" s="2" t="s">
        <v>11</v>
      </c>
      <c r="C2192" s="2">
        <v>5</v>
      </c>
      <c r="D2192" s="2">
        <f t="shared" si="136"/>
        <v>2025</v>
      </c>
      <c r="E2192" s="2" t="str">
        <f t="shared" si="137"/>
        <v>2025-37</v>
      </c>
      <c r="F2192" s="2" t="str">
        <f t="shared" si="138"/>
        <v>Week 37</v>
      </c>
      <c r="G2192" s="2" t="str">
        <f t="shared" si="139"/>
        <v>Week 37-2025</v>
      </c>
      <c r="O2192"/>
      <c r="Q2192"/>
    </row>
    <row r="2193" spans="1:17" hidden="1" x14ac:dyDescent="0.2">
      <c r="A2193" s="3">
        <v>45913</v>
      </c>
      <c r="B2193" s="2" t="s">
        <v>19</v>
      </c>
      <c r="C2193" s="2">
        <v>5</v>
      </c>
      <c r="D2193" s="2">
        <f t="shared" si="136"/>
        <v>2025</v>
      </c>
      <c r="E2193" s="2" t="str">
        <f t="shared" si="137"/>
        <v>2025-37</v>
      </c>
      <c r="F2193" s="2" t="str">
        <f t="shared" si="138"/>
        <v>Week 37</v>
      </c>
      <c r="G2193" s="2" t="str">
        <f t="shared" si="139"/>
        <v>Week 37-2025</v>
      </c>
      <c r="O2193"/>
      <c r="Q2193"/>
    </row>
    <row r="2194" spans="1:17" hidden="1" x14ac:dyDescent="0.2">
      <c r="A2194" s="3">
        <v>45913</v>
      </c>
      <c r="B2194" s="2" t="s">
        <v>23</v>
      </c>
      <c r="C2194" s="2">
        <v>4</v>
      </c>
      <c r="D2194" s="2">
        <f t="shared" si="136"/>
        <v>2025</v>
      </c>
      <c r="E2194" s="2" t="str">
        <f t="shared" si="137"/>
        <v>2025-37</v>
      </c>
      <c r="F2194" s="2" t="str">
        <f t="shared" si="138"/>
        <v>Week 37</v>
      </c>
      <c r="G2194" s="2" t="str">
        <f t="shared" si="139"/>
        <v>Week 37-2025</v>
      </c>
      <c r="O2194"/>
      <c r="Q2194"/>
    </row>
    <row r="2195" spans="1:17" hidden="1" x14ac:dyDescent="0.2">
      <c r="A2195" s="3">
        <v>45913</v>
      </c>
      <c r="B2195" s="2" t="s">
        <v>38</v>
      </c>
      <c r="C2195" s="2">
        <v>8</v>
      </c>
      <c r="D2195" s="2">
        <f t="shared" si="136"/>
        <v>2025</v>
      </c>
      <c r="E2195" s="2" t="str">
        <f t="shared" si="137"/>
        <v>2025-37</v>
      </c>
      <c r="F2195" s="2" t="str">
        <f t="shared" si="138"/>
        <v>Week 37</v>
      </c>
      <c r="G2195" s="2" t="str">
        <f t="shared" si="139"/>
        <v>Week 37-2025</v>
      </c>
      <c r="O2195"/>
      <c r="Q2195"/>
    </row>
    <row r="2196" spans="1:17" hidden="1" x14ac:dyDescent="0.2">
      <c r="A2196" s="3">
        <v>45913</v>
      </c>
      <c r="B2196" s="2" t="s">
        <v>3</v>
      </c>
      <c r="C2196" s="2">
        <v>4</v>
      </c>
      <c r="D2196" s="2">
        <f t="shared" si="136"/>
        <v>2025</v>
      </c>
      <c r="E2196" s="2" t="str">
        <f t="shared" si="137"/>
        <v>2025-37</v>
      </c>
      <c r="F2196" s="2" t="str">
        <f t="shared" si="138"/>
        <v>Week 37</v>
      </c>
      <c r="G2196" s="2" t="str">
        <f t="shared" si="139"/>
        <v>Week 37-2025</v>
      </c>
      <c r="O2196"/>
      <c r="Q2196"/>
    </row>
    <row r="2197" spans="1:17" hidden="1" x14ac:dyDescent="0.2">
      <c r="A2197" s="3">
        <v>45913</v>
      </c>
      <c r="B2197" s="2" t="s">
        <v>37</v>
      </c>
      <c r="C2197" s="2">
        <v>6</v>
      </c>
      <c r="D2197" s="2">
        <f t="shared" si="136"/>
        <v>2025</v>
      </c>
      <c r="E2197" s="2" t="str">
        <f t="shared" si="137"/>
        <v>2025-37</v>
      </c>
      <c r="F2197" s="2" t="str">
        <f t="shared" si="138"/>
        <v>Week 37</v>
      </c>
      <c r="G2197" s="2" t="str">
        <f t="shared" si="139"/>
        <v>Week 37-2025</v>
      </c>
      <c r="O2197"/>
      <c r="Q2197"/>
    </row>
    <row r="2198" spans="1:17" hidden="1" x14ac:dyDescent="0.2">
      <c r="A2198" s="3">
        <v>45913</v>
      </c>
      <c r="B2198" s="2" t="s">
        <v>28</v>
      </c>
      <c r="C2198" s="2">
        <v>8</v>
      </c>
      <c r="D2198" s="2">
        <f t="shared" si="136"/>
        <v>2025</v>
      </c>
      <c r="E2198" s="2" t="str">
        <f t="shared" si="137"/>
        <v>2025-37</v>
      </c>
      <c r="F2198" s="2" t="str">
        <f t="shared" si="138"/>
        <v>Week 37</v>
      </c>
      <c r="G2198" s="2" t="str">
        <f t="shared" si="139"/>
        <v>Week 37-2025</v>
      </c>
      <c r="O2198"/>
      <c r="Q2198"/>
    </row>
    <row r="2199" spans="1:17" hidden="1" x14ac:dyDescent="0.2">
      <c r="A2199" s="3">
        <v>45913</v>
      </c>
      <c r="B2199" s="2" t="s">
        <v>21</v>
      </c>
      <c r="C2199" s="2">
        <v>2</v>
      </c>
      <c r="D2199" s="2">
        <f t="shared" si="136"/>
        <v>2025</v>
      </c>
      <c r="E2199" s="2" t="str">
        <f t="shared" si="137"/>
        <v>2025-37</v>
      </c>
      <c r="F2199" s="2" t="str">
        <f t="shared" si="138"/>
        <v>Week 37</v>
      </c>
      <c r="G2199" s="2" t="str">
        <f t="shared" si="139"/>
        <v>Week 37-2025</v>
      </c>
      <c r="O2199"/>
      <c r="Q2199"/>
    </row>
    <row r="2200" spans="1:17" hidden="1" x14ac:dyDescent="0.2">
      <c r="A2200" s="3">
        <v>45913</v>
      </c>
      <c r="B2200" s="2" t="s">
        <v>12</v>
      </c>
      <c r="C2200" s="2">
        <v>2</v>
      </c>
      <c r="D2200" s="2">
        <f t="shared" si="136"/>
        <v>2025</v>
      </c>
      <c r="E2200" s="2" t="str">
        <f t="shared" si="137"/>
        <v>2025-37</v>
      </c>
      <c r="F2200" s="2" t="str">
        <f t="shared" si="138"/>
        <v>Week 37</v>
      </c>
      <c r="G2200" s="2" t="str">
        <f t="shared" si="139"/>
        <v>Week 37-2025</v>
      </c>
      <c r="O2200"/>
      <c r="Q2200"/>
    </row>
    <row r="2201" spans="1:17" hidden="1" x14ac:dyDescent="0.2">
      <c r="A2201" s="3">
        <v>45913</v>
      </c>
      <c r="B2201" s="2" t="s">
        <v>25</v>
      </c>
      <c r="C2201" s="2">
        <v>1</v>
      </c>
      <c r="D2201" s="2">
        <f t="shared" si="136"/>
        <v>2025</v>
      </c>
      <c r="E2201" s="2" t="str">
        <f t="shared" si="137"/>
        <v>2025-37</v>
      </c>
      <c r="F2201" s="2" t="str">
        <f t="shared" si="138"/>
        <v>Week 37</v>
      </c>
      <c r="G2201" s="2" t="str">
        <f t="shared" si="139"/>
        <v>Week 37-2025</v>
      </c>
      <c r="O2201"/>
      <c r="Q2201"/>
    </row>
    <row r="2202" spans="1:17" hidden="1" x14ac:dyDescent="0.2">
      <c r="A2202" s="3">
        <v>45913</v>
      </c>
      <c r="B2202" s="2" t="s">
        <v>3</v>
      </c>
      <c r="C2202" s="2">
        <v>3</v>
      </c>
      <c r="D2202" s="2">
        <f t="shared" si="136"/>
        <v>2025</v>
      </c>
      <c r="E2202" s="2" t="str">
        <f t="shared" si="137"/>
        <v>2025-37</v>
      </c>
      <c r="F2202" s="2" t="str">
        <f t="shared" si="138"/>
        <v>Week 37</v>
      </c>
      <c r="G2202" s="2" t="str">
        <f t="shared" si="139"/>
        <v>Week 37-2025</v>
      </c>
      <c r="O2202"/>
      <c r="Q2202"/>
    </row>
    <row r="2203" spans="1:17" hidden="1" x14ac:dyDescent="0.2">
      <c r="A2203" s="3">
        <v>45913</v>
      </c>
      <c r="B2203" s="2" t="s">
        <v>14</v>
      </c>
      <c r="C2203" s="2">
        <v>4</v>
      </c>
      <c r="D2203" s="2">
        <f t="shared" si="136"/>
        <v>2025</v>
      </c>
      <c r="E2203" s="2" t="str">
        <f t="shared" si="137"/>
        <v>2025-37</v>
      </c>
      <c r="F2203" s="2" t="str">
        <f t="shared" si="138"/>
        <v>Week 37</v>
      </c>
      <c r="G2203" s="2" t="str">
        <f t="shared" si="139"/>
        <v>Week 37-2025</v>
      </c>
      <c r="O2203"/>
      <c r="Q2203"/>
    </row>
    <row r="2204" spans="1:17" hidden="1" x14ac:dyDescent="0.2">
      <c r="A2204" s="3">
        <v>45913</v>
      </c>
      <c r="B2204" s="2" t="s">
        <v>34</v>
      </c>
      <c r="C2204" s="2">
        <v>4</v>
      </c>
      <c r="D2204" s="2">
        <f t="shared" si="136"/>
        <v>2025</v>
      </c>
      <c r="E2204" s="2" t="str">
        <f t="shared" si="137"/>
        <v>2025-37</v>
      </c>
      <c r="F2204" s="2" t="str">
        <f t="shared" si="138"/>
        <v>Week 37</v>
      </c>
      <c r="G2204" s="2" t="str">
        <f t="shared" si="139"/>
        <v>Week 37-2025</v>
      </c>
      <c r="O2204"/>
      <c r="Q2204"/>
    </row>
    <row r="2205" spans="1:17" hidden="1" x14ac:dyDescent="0.2">
      <c r="A2205" s="3">
        <v>45913</v>
      </c>
      <c r="B2205" s="2" t="s">
        <v>14</v>
      </c>
      <c r="C2205" s="2">
        <v>4</v>
      </c>
      <c r="D2205" s="2">
        <f t="shared" si="136"/>
        <v>2025</v>
      </c>
      <c r="E2205" s="2" t="str">
        <f t="shared" si="137"/>
        <v>2025-37</v>
      </c>
      <c r="F2205" s="2" t="str">
        <f t="shared" si="138"/>
        <v>Week 37</v>
      </c>
      <c r="G2205" s="2" t="str">
        <f t="shared" si="139"/>
        <v>Week 37-2025</v>
      </c>
      <c r="O2205"/>
      <c r="Q2205"/>
    </row>
    <row r="2206" spans="1:17" hidden="1" x14ac:dyDescent="0.2">
      <c r="A2206" s="3">
        <v>45913</v>
      </c>
      <c r="B2206" s="2" t="s">
        <v>35</v>
      </c>
      <c r="C2206" s="2">
        <v>4</v>
      </c>
      <c r="D2206" s="2">
        <f t="shared" si="136"/>
        <v>2025</v>
      </c>
      <c r="E2206" s="2" t="str">
        <f t="shared" si="137"/>
        <v>2025-37</v>
      </c>
      <c r="F2206" s="2" t="str">
        <f t="shared" si="138"/>
        <v>Week 37</v>
      </c>
      <c r="G2206" s="2" t="str">
        <f t="shared" si="139"/>
        <v>Week 37-2025</v>
      </c>
      <c r="O2206"/>
      <c r="Q2206"/>
    </row>
    <row r="2207" spans="1:17" hidden="1" x14ac:dyDescent="0.2">
      <c r="A2207" s="3">
        <v>45913</v>
      </c>
      <c r="B2207" s="2" t="s">
        <v>29</v>
      </c>
      <c r="C2207" s="2">
        <v>2</v>
      </c>
      <c r="D2207" s="2">
        <f t="shared" si="136"/>
        <v>2025</v>
      </c>
      <c r="E2207" s="2" t="str">
        <f t="shared" si="137"/>
        <v>2025-37</v>
      </c>
      <c r="F2207" s="2" t="str">
        <f t="shared" si="138"/>
        <v>Week 37</v>
      </c>
      <c r="G2207" s="2" t="str">
        <f t="shared" si="139"/>
        <v>Week 37-2025</v>
      </c>
      <c r="O2207"/>
      <c r="Q2207"/>
    </row>
    <row r="2208" spans="1:17" hidden="1" x14ac:dyDescent="0.2">
      <c r="A2208" s="3">
        <v>45913</v>
      </c>
      <c r="B2208" s="2" t="s">
        <v>29</v>
      </c>
      <c r="C2208" s="2">
        <v>2</v>
      </c>
      <c r="D2208" s="2">
        <f t="shared" si="136"/>
        <v>2025</v>
      </c>
      <c r="E2208" s="2" t="str">
        <f t="shared" si="137"/>
        <v>2025-37</v>
      </c>
      <c r="F2208" s="2" t="str">
        <f t="shared" si="138"/>
        <v>Week 37</v>
      </c>
      <c r="G2208" s="2" t="str">
        <f t="shared" si="139"/>
        <v>Week 37-2025</v>
      </c>
      <c r="O2208"/>
      <c r="Q2208"/>
    </row>
    <row r="2209" spans="1:17" hidden="1" x14ac:dyDescent="0.2">
      <c r="A2209" s="3">
        <v>45913</v>
      </c>
      <c r="B2209" s="2" t="s">
        <v>27</v>
      </c>
      <c r="C2209" s="2">
        <v>4</v>
      </c>
      <c r="D2209" s="2">
        <f t="shared" si="136"/>
        <v>2025</v>
      </c>
      <c r="E2209" s="2" t="str">
        <f t="shared" si="137"/>
        <v>2025-37</v>
      </c>
      <c r="F2209" s="2" t="str">
        <f t="shared" si="138"/>
        <v>Week 37</v>
      </c>
      <c r="G2209" s="2" t="str">
        <f t="shared" si="139"/>
        <v>Week 37-2025</v>
      </c>
      <c r="O2209"/>
      <c r="Q2209"/>
    </row>
    <row r="2210" spans="1:17" hidden="1" x14ac:dyDescent="0.2">
      <c r="A2210" s="3">
        <v>45913</v>
      </c>
      <c r="B2210" s="2" t="s">
        <v>5</v>
      </c>
      <c r="C2210" s="2">
        <v>2</v>
      </c>
      <c r="D2210" s="2">
        <f t="shared" si="136"/>
        <v>2025</v>
      </c>
      <c r="E2210" s="2" t="str">
        <f t="shared" si="137"/>
        <v>2025-37</v>
      </c>
      <c r="F2210" s="2" t="str">
        <f t="shared" si="138"/>
        <v>Week 37</v>
      </c>
      <c r="G2210" s="2" t="str">
        <f t="shared" si="139"/>
        <v>Week 37-2025</v>
      </c>
      <c r="O2210"/>
      <c r="Q2210"/>
    </row>
    <row r="2211" spans="1:17" hidden="1" x14ac:dyDescent="0.2">
      <c r="A2211" s="3">
        <v>45913</v>
      </c>
      <c r="B2211" s="2" t="s">
        <v>5</v>
      </c>
      <c r="C2211" s="2">
        <v>2</v>
      </c>
      <c r="D2211" s="2">
        <f t="shared" si="136"/>
        <v>2025</v>
      </c>
      <c r="E2211" s="2" t="str">
        <f t="shared" si="137"/>
        <v>2025-37</v>
      </c>
      <c r="F2211" s="2" t="str">
        <f t="shared" si="138"/>
        <v>Week 37</v>
      </c>
      <c r="G2211" s="2" t="str">
        <f t="shared" si="139"/>
        <v>Week 37-2025</v>
      </c>
      <c r="O2211"/>
      <c r="Q2211"/>
    </row>
    <row r="2212" spans="1:17" hidden="1" x14ac:dyDescent="0.2">
      <c r="A2212" s="3">
        <v>45913</v>
      </c>
      <c r="B2212" s="2" t="s">
        <v>17</v>
      </c>
      <c r="C2212" s="2">
        <v>2</v>
      </c>
      <c r="D2212" s="2">
        <f t="shared" si="136"/>
        <v>2025</v>
      </c>
      <c r="E2212" s="2" t="str">
        <f t="shared" si="137"/>
        <v>2025-37</v>
      </c>
      <c r="F2212" s="2" t="str">
        <f t="shared" si="138"/>
        <v>Week 37</v>
      </c>
      <c r="G2212" s="2" t="str">
        <f t="shared" si="139"/>
        <v>Week 37-2025</v>
      </c>
      <c r="O2212"/>
      <c r="Q2212"/>
    </row>
    <row r="2213" spans="1:17" hidden="1" x14ac:dyDescent="0.2">
      <c r="A2213" s="3">
        <v>45913</v>
      </c>
      <c r="B2213" s="2" t="s">
        <v>23</v>
      </c>
      <c r="C2213" s="2">
        <v>1</v>
      </c>
      <c r="D2213" s="2">
        <f t="shared" si="136"/>
        <v>2025</v>
      </c>
      <c r="E2213" s="2" t="str">
        <f t="shared" si="137"/>
        <v>2025-37</v>
      </c>
      <c r="F2213" s="2" t="str">
        <f t="shared" si="138"/>
        <v>Week 37</v>
      </c>
      <c r="G2213" s="2" t="str">
        <f t="shared" si="139"/>
        <v>Week 37-2025</v>
      </c>
      <c r="O2213"/>
      <c r="Q2213"/>
    </row>
    <row r="2214" spans="1:17" hidden="1" x14ac:dyDescent="0.2">
      <c r="A2214" s="3">
        <v>45913</v>
      </c>
      <c r="B2214" s="2" t="s">
        <v>10</v>
      </c>
      <c r="C2214" s="2">
        <v>2</v>
      </c>
      <c r="D2214" s="2">
        <f t="shared" si="136"/>
        <v>2025</v>
      </c>
      <c r="E2214" s="2" t="str">
        <f t="shared" si="137"/>
        <v>2025-37</v>
      </c>
      <c r="F2214" s="2" t="str">
        <f t="shared" si="138"/>
        <v>Week 37</v>
      </c>
      <c r="G2214" s="2" t="str">
        <f t="shared" si="139"/>
        <v>Week 37-2025</v>
      </c>
      <c r="O2214"/>
      <c r="Q2214"/>
    </row>
    <row r="2215" spans="1:17" hidden="1" x14ac:dyDescent="0.2">
      <c r="A2215" s="3">
        <v>45913</v>
      </c>
      <c r="B2215" s="2" t="s">
        <v>19</v>
      </c>
      <c r="C2215" s="2">
        <v>1</v>
      </c>
      <c r="D2215" s="2">
        <f t="shared" si="136"/>
        <v>2025</v>
      </c>
      <c r="E2215" s="2" t="str">
        <f t="shared" si="137"/>
        <v>2025-37</v>
      </c>
      <c r="F2215" s="2" t="str">
        <f t="shared" si="138"/>
        <v>Week 37</v>
      </c>
      <c r="G2215" s="2" t="str">
        <f t="shared" si="139"/>
        <v>Week 37-2025</v>
      </c>
      <c r="O2215"/>
      <c r="Q2215"/>
    </row>
    <row r="2216" spans="1:17" hidden="1" x14ac:dyDescent="0.2">
      <c r="A2216" s="3">
        <v>45913</v>
      </c>
      <c r="B2216" s="2" t="s">
        <v>31</v>
      </c>
      <c r="C2216" s="2">
        <v>2</v>
      </c>
      <c r="D2216" s="2">
        <f t="shared" si="136"/>
        <v>2025</v>
      </c>
      <c r="E2216" s="2" t="str">
        <f t="shared" si="137"/>
        <v>2025-37</v>
      </c>
      <c r="F2216" s="2" t="str">
        <f t="shared" si="138"/>
        <v>Week 37</v>
      </c>
      <c r="G2216" s="2" t="str">
        <f t="shared" si="139"/>
        <v>Week 37-2025</v>
      </c>
      <c r="O2216"/>
      <c r="Q2216"/>
    </row>
    <row r="2217" spans="1:17" hidden="1" x14ac:dyDescent="0.2">
      <c r="A2217" s="3">
        <v>45913</v>
      </c>
      <c r="B2217" s="2" t="s">
        <v>31</v>
      </c>
      <c r="C2217" s="2">
        <v>2</v>
      </c>
      <c r="D2217" s="2">
        <f t="shared" si="136"/>
        <v>2025</v>
      </c>
      <c r="E2217" s="2" t="str">
        <f t="shared" si="137"/>
        <v>2025-37</v>
      </c>
      <c r="F2217" s="2" t="str">
        <f t="shared" si="138"/>
        <v>Week 37</v>
      </c>
      <c r="G2217" s="2" t="str">
        <f t="shared" si="139"/>
        <v>Week 37-2025</v>
      </c>
      <c r="O2217"/>
      <c r="Q2217"/>
    </row>
    <row r="2218" spans="1:17" hidden="1" x14ac:dyDescent="0.2">
      <c r="A2218" s="3">
        <v>45913</v>
      </c>
      <c r="B2218" s="2" t="s">
        <v>7</v>
      </c>
      <c r="C2218" s="2">
        <v>1</v>
      </c>
      <c r="D2218" s="2">
        <f t="shared" si="136"/>
        <v>2025</v>
      </c>
      <c r="E2218" s="2" t="str">
        <f t="shared" si="137"/>
        <v>2025-37</v>
      </c>
      <c r="F2218" s="2" t="str">
        <f t="shared" si="138"/>
        <v>Week 37</v>
      </c>
      <c r="G2218" s="2" t="str">
        <f t="shared" si="139"/>
        <v>Week 37-2025</v>
      </c>
      <c r="O2218"/>
      <c r="Q2218"/>
    </row>
    <row r="2219" spans="1:17" hidden="1" x14ac:dyDescent="0.2">
      <c r="A2219" s="3">
        <v>45913</v>
      </c>
      <c r="B2219" s="2" t="s">
        <v>4</v>
      </c>
      <c r="C2219" s="2">
        <v>1</v>
      </c>
      <c r="D2219" s="2">
        <f t="shared" si="136"/>
        <v>2025</v>
      </c>
      <c r="E2219" s="2" t="str">
        <f t="shared" si="137"/>
        <v>2025-37</v>
      </c>
      <c r="F2219" s="2" t="str">
        <f t="shared" si="138"/>
        <v>Week 37</v>
      </c>
      <c r="G2219" s="2" t="str">
        <f t="shared" si="139"/>
        <v>Week 37-2025</v>
      </c>
      <c r="O2219"/>
      <c r="Q2219"/>
    </row>
    <row r="2220" spans="1:17" hidden="1" x14ac:dyDescent="0.2">
      <c r="A2220" s="3">
        <v>45913</v>
      </c>
      <c r="B2220" s="2" t="s">
        <v>8</v>
      </c>
      <c r="C2220" s="2">
        <v>2</v>
      </c>
      <c r="D2220" s="2">
        <f t="shared" si="136"/>
        <v>2025</v>
      </c>
      <c r="E2220" s="2" t="str">
        <f t="shared" si="137"/>
        <v>2025-37</v>
      </c>
      <c r="F2220" s="2" t="str">
        <f t="shared" si="138"/>
        <v>Week 37</v>
      </c>
      <c r="G2220" s="2" t="str">
        <f t="shared" si="139"/>
        <v>Week 37-2025</v>
      </c>
      <c r="O2220"/>
      <c r="Q2220"/>
    </row>
    <row r="2221" spans="1:17" hidden="1" x14ac:dyDescent="0.2">
      <c r="A2221" s="3">
        <v>45913</v>
      </c>
      <c r="B2221" s="2" t="s">
        <v>8</v>
      </c>
      <c r="C2221" s="2">
        <v>2</v>
      </c>
      <c r="D2221" s="2">
        <f t="shared" si="136"/>
        <v>2025</v>
      </c>
      <c r="E2221" s="2" t="str">
        <f t="shared" si="137"/>
        <v>2025-37</v>
      </c>
      <c r="F2221" s="2" t="str">
        <f t="shared" si="138"/>
        <v>Week 37</v>
      </c>
      <c r="G2221" s="2" t="str">
        <f t="shared" si="139"/>
        <v>Week 37-2025</v>
      </c>
      <c r="O2221"/>
      <c r="Q2221"/>
    </row>
    <row r="2222" spans="1:17" hidden="1" x14ac:dyDescent="0.2">
      <c r="A2222" s="3">
        <v>45913</v>
      </c>
      <c r="B2222" s="2" t="s">
        <v>30</v>
      </c>
      <c r="C2222" s="2">
        <v>2</v>
      </c>
      <c r="D2222" s="2">
        <f t="shared" si="136"/>
        <v>2025</v>
      </c>
      <c r="E2222" s="2" t="str">
        <f t="shared" si="137"/>
        <v>2025-37</v>
      </c>
      <c r="F2222" s="2" t="str">
        <f t="shared" si="138"/>
        <v>Week 37</v>
      </c>
      <c r="G2222" s="2" t="str">
        <f t="shared" si="139"/>
        <v>Week 37-2025</v>
      </c>
      <c r="O2222"/>
      <c r="Q2222"/>
    </row>
    <row r="2223" spans="1:17" hidden="1" x14ac:dyDescent="0.2">
      <c r="A2223" s="3">
        <v>45913</v>
      </c>
      <c r="B2223" s="2" t="s">
        <v>3</v>
      </c>
      <c r="C2223" s="2">
        <v>1</v>
      </c>
      <c r="D2223" s="2">
        <f t="shared" si="136"/>
        <v>2025</v>
      </c>
      <c r="E2223" s="2" t="str">
        <f t="shared" si="137"/>
        <v>2025-37</v>
      </c>
      <c r="F2223" s="2" t="str">
        <f t="shared" si="138"/>
        <v>Week 37</v>
      </c>
      <c r="G2223" s="2" t="str">
        <f t="shared" si="139"/>
        <v>Week 37-2025</v>
      </c>
      <c r="O2223"/>
      <c r="Q2223"/>
    </row>
    <row r="2224" spans="1:17" hidden="1" x14ac:dyDescent="0.2">
      <c r="A2224" s="3">
        <v>45913</v>
      </c>
      <c r="B2224" s="2" t="s">
        <v>42</v>
      </c>
      <c r="C2224" s="2">
        <v>2</v>
      </c>
      <c r="D2224" s="2">
        <f t="shared" si="136"/>
        <v>2025</v>
      </c>
      <c r="E2224" s="2" t="str">
        <f t="shared" si="137"/>
        <v>2025-37</v>
      </c>
      <c r="F2224" s="2" t="str">
        <f t="shared" si="138"/>
        <v>Week 37</v>
      </c>
      <c r="G2224" s="2" t="str">
        <f t="shared" si="139"/>
        <v>Week 37-2025</v>
      </c>
      <c r="O2224"/>
      <c r="Q2224"/>
    </row>
    <row r="2225" spans="1:17" hidden="1" x14ac:dyDescent="0.2">
      <c r="A2225" s="3">
        <v>45913</v>
      </c>
      <c r="B2225" s="2" t="s">
        <v>17</v>
      </c>
      <c r="C2225" s="2">
        <v>1</v>
      </c>
      <c r="D2225" s="2">
        <f t="shared" si="136"/>
        <v>2025</v>
      </c>
      <c r="E2225" s="2" t="str">
        <f t="shared" si="137"/>
        <v>2025-37</v>
      </c>
      <c r="F2225" s="2" t="str">
        <f t="shared" si="138"/>
        <v>Week 37</v>
      </c>
      <c r="G2225" s="2" t="str">
        <f t="shared" si="139"/>
        <v>Week 37-2025</v>
      </c>
      <c r="O2225"/>
      <c r="Q2225"/>
    </row>
    <row r="2226" spans="1:17" hidden="1" x14ac:dyDescent="0.2">
      <c r="A2226" s="3">
        <v>45913</v>
      </c>
      <c r="B2226" s="2" t="s">
        <v>39</v>
      </c>
      <c r="C2226" s="2">
        <v>1</v>
      </c>
      <c r="D2226" s="2">
        <f t="shared" si="136"/>
        <v>2025</v>
      </c>
      <c r="E2226" s="2" t="str">
        <f t="shared" si="137"/>
        <v>2025-37</v>
      </c>
      <c r="F2226" s="2" t="str">
        <f t="shared" si="138"/>
        <v>Week 37</v>
      </c>
      <c r="G2226" s="2" t="str">
        <f t="shared" si="139"/>
        <v>Week 37-2025</v>
      </c>
      <c r="O2226"/>
      <c r="Q2226"/>
    </row>
    <row r="2227" spans="1:17" hidden="1" x14ac:dyDescent="0.2">
      <c r="A2227" s="3">
        <v>45913</v>
      </c>
      <c r="B2227" s="2" t="s">
        <v>14</v>
      </c>
      <c r="C2227" s="2">
        <v>1</v>
      </c>
      <c r="D2227" s="2">
        <f t="shared" si="136"/>
        <v>2025</v>
      </c>
      <c r="E2227" s="2" t="str">
        <f t="shared" si="137"/>
        <v>2025-37</v>
      </c>
      <c r="F2227" s="2" t="str">
        <f t="shared" si="138"/>
        <v>Week 37</v>
      </c>
      <c r="G2227" s="2" t="str">
        <f t="shared" si="139"/>
        <v>Week 37-2025</v>
      </c>
      <c r="O2227"/>
      <c r="Q2227"/>
    </row>
    <row r="2228" spans="1:17" hidden="1" x14ac:dyDescent="0.2">
      <c r="A2228" s="3">
        <v>45913</v>
      </c>
      <c r="B2228" s="2" t="s">
        <v>28</v>
      </c>
      <c r="C2228" s="2">
        <v>1</v>
      </c>
      <c r="D2228" s="2">
        <f t="shared" si="136"/>
        <v>2025</v>
      </c>
      <c r="E2228" s="2" t="str">
        <f t="shared" si="137"/>
        <v>2025-37</v>
      </c>
      <c r="F2228" s="2" t="str">
        <f t="shared" si="138"/>
        <v>Week 37</v>
      </c>
      <c r="G2228" s="2" t="str">
        <f t="shared" si="139"/>
        <v>Week 37-2025</v>
      </c>
      <c r="O2228"/>
      <c r="Q2228"/>
    </row>
    <row r="2229" spans="1:17" hidden="1" x14ac:dyDescent="0.2">
      <c r="A2229" s="3">
        <v>45913</v>
      </c>
      <c r="B2229" s="2" t="s">
        <v>28</v>
      </c>
      <c r="C2229" s="2">
        <v>1</v>
      </c>
      <c r="D2229" s="2">
        <f t="shared" si="136"/>
        <v>2025</v>
      </c>
      <c r="E2229" s="2" t="str">
        <f t="shared" si="137"/>
        <v>2025-37</v>
      </c>
      <c r="F2229" s="2" t="str">
        <f t="shared" si="138"/>
        <v>Week 37</v>
      </c>
      <c r="G2229" s="2" t="str">
        <f t="shared" si="139"/>
        <v>Week 37-2025</v>
      </c>
      <c r="O2229"/>
      <c r="Q2229"/>
    </row>
    <row r="2230" spans="1:17" hidden="1" x14ac:dyDescent="0.2">
      <c r="A2230" s="3">
        <v>45913</v>
      </c>
      <c r="B2230" s="2" t="s">
        <v>30</v>
      </c>
      <c r="C2230" s="2">
        <v>1</v>
      </c>
      <c r="D2230" s="2">
        <f t="shared" si="136"/>
        <v>2025</v>
      </c>
      <c r="E2230" s="2" t="str">
        <f t="shared" si="137"/>
        <v>2025-37</v>
      </c>
      <c r="F2230" s="2" t="str">
        <f t="shared" si="138"/>
        <v>Week 37</v>
      </c>
      <c r="G2230" s="2" t="str">
        <f t="shared" si="139"/>
        <v>Week 37-2025</v>
      </c>
      <c r="O2230"/>
      <c r="Q2230"/>
    </row>
    <row r="2231" spans="1:17" hidden="1" x14ac:dyDescent="0.2">
      <c r="A2231" s="3">
        <v>45913</v>
      </c>
      <c r="B2231" s="2" t="s">
        <v>15</v>
      </c>
      <c r="C2231" s="2">
        <v>1</v>
      </c>
      <c r="D2231" s="2">
        <f t="shared" si="136"/>
        <v>2025</v>
      </c>
      <c r="E2231" s="2" t="str">
        <f t="shared" si="137"/>
        <v>2025-37</v>
      </c>
      <c r="F2231" s="2" t="str">
        <f t="shared" si="138"/>
        <v>Week 37</v>
      </c>
      <c r="G2231" s="2" t="str">
        <f t="shared" si="139"/>
        <v>Week 37-2025</v>
      </c>
      <c r="O2231"/>
      <c r="Q2231"/>
    </row>
    <row r="2232" spans="1:17" hidden="1" x14ac:dyDescent="0.2">
      <c r="A2232" s="3">
        <v>45915</v>
      </c>
      <c r="B2232" s="2" t="s">
        <v>5</v>
      </c>
      <c r="C2232" s="2">
        <v>14</v>
      </c>
      <c r="D2232" s="2">
        <f t="shared" si="136"/>
        <v>2025</v>
      </c>
      <c r="E2232" s="2" t="str">
        <f t="shared" si="137"/>
        <v>2025-38</v>
      </c>
      <c r="F2232" s="2" t="str">
        <f t="shared" si="138"/>
        <v>Week 38</v>
      </c>
      <c r="G2232" s="2" t="str">
        <f t="shared" si="139"/>
        <v>Week 38-2025</v>
      </c>
      <c r="O2232"/>
      <c r="Q2232"/>
    </row>
    <row r="2233" spans="1:17" hidden="1" x14ac:dyDescent="0.2">
      <c r="A2233" s="3">
        <v>45915</v>
      </c>
      <c r="B2233" s="2" t="s">
        <v>27</v>
      </c>
      <c r="C2233" s="2">
        <v>14</v>
      </c>
      <c r="D2233" s="2">
        <f t="shared" si="136"/>
        <v>2025</v>
      </c>
      <c r="E2233" s="2" t="str">
        <f t="shared" si="137"/>
        <v>2025-38</v>
      </c>
      <c r="F2233" s="2" t="str">
        <f t="shared" si="138"/>
        <v>Week 38</v>
      </c>
      <c r="G2233" s="2" t="str">
        <f t="shared" si="139"/>
        <v>Week 38-2025</v>
      </c>
      <c r="O2233"/>
      <c r="Q2233"/>
    </row>
    <row r="2234" spans="1:17" hidden="1" x14ac:dyDescent="0.2">
      <c r="A2234" s="3">
        <v>45915</v>
      </c>
      <c r="B2234" s="2" t="s">
        <v>35</v>
      </c>
      <c r="C2234" s="2">
        <v>6</v>
      </c>
      <c r="D2234" s="2">
        <f t="shared" si="136"/>
        <v>2025</v>
      </c>
      <c r="E2234" s="2" t="str">
        <f t="shared" si="137"/>
        <v>2025-38</v>
      </c>
      <c r="F2234" s="2" t="str">
        <f t="shared" si="138"/>
        <v>Week 38</v>
      </c>
      <c r="G2234" s="2" t="str">
        <f t="shared" si="139"/>
        <v>Week 38-2025</v>
      </c>
      <c r="O2234"/>
      <c r="Q2234"/>
    </row>
    <row r="2235" spans="1:17" hidden="1" x14ac:dyDescent="0.2">
      <c r="A2235" s="3">
        <v>45915</v>
      </c>
      <c r="B2235" s="2" t="s">
        <v>37</v>
      </c>
      <c r="C2235" s="2">
        <v>4</v>
      </c>
      <c r="D2235" s="2">
        <f t="shared" si="136"/>
        <v>2025</v>
      </c>
      <c r="E2235" s="2" t="str">
        <f t="shared" si="137"/>
        <v>2025-38</v>
      </c>
      <c r="F2235" s="2" t="str">
        <f t="shared" si="138"/>
        <v>Week 38</v>
      </c>
      <c r="G2235" s="2" t="str">
        <f t="shared" si="139"/>
        <v>Week 38-2025</v>
      </c>
      <c r="O2235"/>
      <c r="Q2235"/>
    </row>
    <row r="2236" spans="1:17" hidden="1" x14ac:dyDescent="0.2">
      <c r="A2236" s="3">
        <v>45916</v>
      </c>
      <c r="B2236" s="2" t="s">
        <v>4</v>
      </c>
      <c r="C2236" s="2">
        <v>12</v>
      </c>
      <c r="D2236" s="2">
        <f t="shared" si="136"/>
        <v>2025</v>
      </c>
      <c r="E2236" s="2" t="str">
        <f t="shared" si="137"/>
        <v>2025-38</v>
      </c>
      <c r="F2236" s="2" t="str">
        <f t="shared" si="138"/>
        <v>Week 38</v>
      </c>
      <c r="G2236" s="2" t="str">
        <f t="shared" si="139"/>
        <v>Week 38-2025</v>
      </c>
      <c r="O2236"/>
      <c r="Q2236"/>
    </row>
    <row r="2237" spans="1:17" hidden="1" x14ac:dyDescent="0.2">
      <c r="A2237" s="3">
        <v>45916</v>
      </c>
      <c r="B2237" s="2" t="s">
        <v>7</v>
      </c>
      <c r="C2237" s="2">
        <v>10</v>
      </c>
      <c r="D2237" s="2">
        <f t="shared" si="136"/>
        <v>2025</v>
      </c>
      <c r="E2237" s="2" t="str">
        <f t="shared" si="137"/>
        <v>2025-38</v>
      </c>
      <c r="F2237" s="2" t="str">
        <f t="shared" si="138"/>
        <v>Week 38</v>
      </c>
      <c r="G2237" s="2" t="str">
        <f t="shared" si="139"/>
        <v>Week 38-2025</v>
      </c>
      <c r="O2237"/>
      <c r="Q2237"/>
    </row>
    <row r="2238" spans="1:17" hidden="1" x14ac:dyDescent="0.2">
      <c r="A2238" s="3">
        <v>45916</v>
      </c>
      <c r="B2238" s="2" t="s">
        <v>17</v>
      </c>
      <c r="C2238" s="2">
        <v>12</v>
      </c>
      <c r="D2238" s="2">
        <f t="shared" si="136"/>
        <v>2025</v>
      </c>
      <c r="E2238" s="2" t="str">
        <f t="shared" si="137"/>
        <v>2025-38</v>
      </c>
      <c r="F2238" s="2" t="str">
        <f t="shared" si="138"/>
        <v>Week 38</v>
      </c>
      <c r="G2238" s="2" t="str">
        <f t="shared" si="139"/>
        <v>Week 38-2025</v>
      </c>
      <c r="O2238"/>
      <c r="Q2238"/>
    </row>
    <row r="2239" spans="1:17" hidden="1" x14ac:dyDescent="0.2">
      <c r="A2239" s="3">
        <v>45916</v>
      </c>
      <c r="B2239" s="2" t="s">
        <v>5</v>
      </c>
      <c r="C2239" s="2">
        <v>8</v>
      </c>
      <c r="D2239" s="2">
        <f t="shared" si="136"/>
        <v>2025</v>
      </c>
      <c r="E2239" s="2" t="str">
        <f t="shared" si="137"/>
        <v>2025-38</v>
      </c>
      <c r="F2239" s="2" t="str">
        <f t="shared" si="138"/>
        <v>Week 38</v>
      </c>
      <c r="G2239" s="2" t="str">
        <f t="shared" si="139"/>
        <v>Week 38-2025</v>
      </c>
      <c r="O2239"/>
      <c r="Q2239"/>
    </row>
    <row r="2240" spans="1:17" hidden="1" x14ac:dyDescent="0.2">
      <c r="A2240" s="3">
        <v>45916</v>
      </c>
      <c r="B2240" s="2" t="s">
        <v>17</v>
      </c>
      <c r="C2240" s="2">
        <v>8</v>
      </c>
      <c r="D2240" s="2">
        <f t="shared" si="136"/>
        <v>2025</v>
      </c>
      <c r="E2240" s="2" t="str">
        <f t="shared" si="137"/>
        <v>2025-38</v>
      </c>
      <c r="F2240" s="2" t="str">
        <f t="shared" si="138"/>
        <v>Week 38</v>
      </c>
      <c r="G2240" s="2" t="str">
        <f t="shared" si="139"/>
        <v>Week 38-2025</v>
      </c>
      <c r="O2240"/>
      <c r="Q2240"/>
    </row>
    <row r="2241" spans="1:17" hidden="1" x14ac:dyDescent="0.2">
      <c r="A2241" s="3">
        <v>45916</v>
      </c>
      <c r="B2241" s="2" t="s">
        <v>10</v>
      </c>
      <c r="C2241" s="2">
        <v>8</v>
      </c>
      <c r="D2241" s="2">
        <f t="shared" si="136"/>
        <v>2025</v>
      </c>
      <c r="E2241" s="2" t="str">
        <f t="shared" si="137"/>
        <v>2025-38</v>
      </c>
      <c r="F2241" s="2" t="str">
        <f t="shared" si="138"/>
        <v>Week 38</v>
      </c>
      <c r="G2241" s="2" t="str">
        <f t="shared" si="139"/>
        <v>Week 38-2025</v>
      </c>
      <c r="O2241"/>
      <c r="Q2241"/>
    </row>
    <row r="2242" spans="1:17" hidden="1" x14ac:dyDescent="0.2">
      <c r="A2242" s="3">
        <v>45916</v>
      </c>
      <c r="B2242" s="2" t="s">
        <v>9</v>
      </c>
      <c r="C2242" s="2">
        <v>4</v>
      </c>
      <c r="D2242" s="2">
        <f t="shared" ref="D2242:D2305" si="140">YEAR(A2242)</f>
        <v>2025</v>
      </c>
      <c r="E2242" s="2" t="str">
        <f t="shared" ref="E2242:E2305" si="141">YEAR(A2242)&amp;"-"&amp;_xlfn.ISOWEEKNUM(A2242)</f>
        <v>2025-38</v>
      </c>
      <c r="F2242" s="2" t="str">
        <f t="shared" ref="F2242:F2305" si="142">_xlfn.CONCAT("Week "&amp;WEEKNUM(A2242))</f>
        <v>Week 38</v>
      </c>
      <c r="G2242" s="2" t="str">
        <f t="shared" ref="G2242:G2305" si="143">_xlfn.CONCAT(F2242,"-",D2242)</f>
        <v>Week 38-2025</v>
      </c>
      <c r="O2242"/>
      <c r="Q2242"/>
    </row>
    <row r="2243" spans="1:17" hidden="1" x14ac:dyDescent="0.2">
      <c r="A2243" s="3">
        <v>45916</v>
      </c>
      <c r="B2243" s="2" t="s">
        <v>3</v>
      </c>
      <c r="C2243" s="2">
        <v>5</v>
      </c>
      <c r="D2243" s="2">
        <f t="shared" si="140"/>
        <v>2025</v>
      </c>
      <c r="E2243" s="2" t="str">
        <f t="shared" si="141"/>
        <v>2025-38</v>
      </c>
      <c r="F2243" s="2" t="str">
        <f t="shared" si="142"/>
        <v>Week 38</v>
      </c>
      <c r="G2243" s="2" t="str">
        <f t="shared" si="143"/>
        <v>Week 38-2025</v>
      </c>
      <c r="O2243"/>
      <c r="Q2243"/>
    </row>
    <row r="2244" spans="1:17" hidden="1" x14ac:dyDescent="0.2">
      <c r="A2244" s="3">
        <v>45916</v>
      </c>
      <c r="B2244" s="2" t="s">
        <v>18</v>
      </c>
      <c r="C2244" s="2">
        <v>2</v>
      </c>
      <c r="D2244" s="2">
        <f t="shared" si="140"/>
        <v>2025</v>
      </c>
      <c r="E2244" s="2" t="str">
        <f t="shared" si="141"/>
        <v>2025-38</v>
      </c>
      <c r="F2244" s="2" t="str">
        <f t="shared" si="142"/>
        <v>Week 38</v>
      </c>
      <c r="G2244" s="2" t="str">
        <f t="shared" si="143"/>
        <v>Week 38-2025</v>
      </c>
      <c r="O2244"/>
      <c r="Q2244"/>
    </row>
    <row r="2245" spans="1:17" hidden="1" x14ac:dyDescent="0.2">
      <c r="A2245" s="3">
        <v>45916</v>
      </c>
      <c r="B2245" s="2" t="s">
        <v>18</v>
      </c>
      <c r="C2245" s="2">
        <v>2</v>
      </c>
      <c r="D2245" s="2">
        <f t="shared" si="140"/>
        <v>2025</v>
      </c>
      <c r="E2245" s="2" t="str">
        <f t="shared" si="141"/>
        <v>2025-38</v>
      </c>
      <c r="F2245" s="2" t="str">
        <f t="shared" si="142"/>
        <v>Week 38</v>
      </c>
      <c r="G2245" s="2" t="str">
        <f t="shared" si="143"/>
        <v>Week 38-2025</v>
      </c>
      <c r="O2245"/>
      <c r="Q2245"/>
    </row>
    <row r="2246" spans="1:17" hidden="1" x14ac:dyDescent="0.2">
      <c r="A2246" s="3">
        <v>45916</v>
      </c>
      <c r="B2246" s="2" t="s">
        <v>34</v>
      </c>
      <c r="C2246" s="2">
        <v>4</v>
      </c>
      <c r="D2246" s="2">
        <f t="shared" si="140"/>
        <v>2025</v>
      </c>
      <c r="E2246" s="2" t="str">
        <f t="shared" si="141"/>
        <v>2025-38</v>
      </c>
      <c r="F2246" s="2" t="str">
        <f t="shared" si="142"/>
        <v>Week 38</v>
      </c>
      <c r="G2246" s="2" t="str">
        <f t="shared" si="143"/>
        <v>Week 38-2025</v>
      </c>
      <c r="O2246"/>
      <c r="Q2246"/>
    </row>
    <row r="2247" spans="1:17" hidden="1" x14ac:dyDescent="0.2">
      <c r="A2247" s="3">
        <v>45916</v>
      </c>
      <c r="B2247" s="2" t="s">
        <v>10</v>
      </c>
      <c r="C2247" s="2">
        <v>4</v>
      </c>
      <c r="D2247" s="2">
        <f t="shared" si="140"/>
        <v>2025</v>
      </c>
      <c r="E2247" s="2" t="str">
        <f t="shared" si="141"/>
        <v>2025-38</v>
      </c>
      <c r="F2247" s="2" t="str">
        <f t="shared" si="142"/>
        <v>Week 38</v>
      </c>
      <c r="G2247" s="2" t="str">
        <f t="shared" si="143"/>
        <v>Week 38-2025</v>
      </c>
      <c r="O2247"/>
      <c r="Q2247"/>
    </row>
    <row r="2248" spans="1:17" hidden="1" x14ac:dyDescent="0.2">
      <c r="A2248" s="3">
        <v>45916</v>
      </c>
      <c r="B2248" s="2" t="s">
        <v>10</v>
      </c>
      <c r="C2248" s="2">
        <v>2</v>
      </c>
      <c r="D2248" s="2">
        <f t="shared" si="140"/>
        <v>2025</v>
      </c>
      <c r="E2248" s="2" t="str">
        <f t="shared" si="141"/>
        <v>2025-38</v>
      </c>
      <c r="F2248" s="2" t="str">
        <f t="shared" si="142"/>
        <v>Week 38</v>
      </c>
      <c r="G2248" s="2" t="str">
        <f t="shared" si="143"/>
        <v>Week 38-2025</v>
      </c>
      <c r="O2248"/>
      <c r="Q2248"/>
    </row>
    <row r="2249" spans="1:17" hidden="1" x14ac:dyDescent="0.2">
      <c r="A2249" s="3">
        <v>45916</v>
      </c>
      <c r="B2249" s="2" t="s">
        <v>34</v>
      </c>
      <c r="C2249" s="2">
        <v>2</v>
      </c>
      <c r="D2249" s="2">
        <f t="shared" si="140"/>
        <v>2025</v>
      </c>
      <c r="E2249" s="2" t="str">
        <f t="shared" si="141"/>
        <v>2025-38</v>
      </c>
      <c r="F2249" s="2" t="str">
        <f t="shared" si="142"/>
        <v>Week 38</v>
      </c>
      <c r="G2249" s="2" t="str">
        <f t="shared" si="143"/>
        <v>Week 38-2025</v>
      </c>
      <c r="O2249"/>
      <c r="Q2249"/>
    </row>
    <row r="2250" spans="1:17" hidden="1" x14ac:dyDescent="0.2">
      <c r="A2250" s="3">
        <v>45916</v>
      </c>
      <c r="B2250" s="2" t="s">
        <v>3</v>
      </c>
      <c r="C2250" s="2">
        <v>1</v>
      </c>
      <c r="D2250" s="2">
        <f t="shared" si="140"/>
        <v>2025</v>
      </c>
      <c r="E2250" s="2" t="str">
        <f t="shared" si="141"/>
        <v>2025-38</v>
      </c>
      <c r="F2250" s="2" t="str">
        <f t="shared" si="142"/>
        <v>Week 38</v>
      </c>
      <c r="G2250" s="2" t="str">
        <f t="shared" si="143"/>
        <v>Week 38-2025</v>
      </c>
      <c r="O2250"/>
      <c r="Q2250"/>
    </row>
    <row r="2251" spans="1:17" hidden="1" x14ac:dyDescent="0.2">
      <c r="A2251" s="3">
        <v>45917</v>
      </c>
      <c r="B2251" s="2" t="s">
        <v>6</v>
      </c>
      <c r="C2251" s="2">
        <v>30</v>
      </c>
      <c r="D2251" s="2">
        <f t="shared" si="140"/>
        <v>2025</v>
      </c>
      <c r="E2251" s="2" t="str">
        <f t="shared" si="141"/>
        <v>2025-38</v>
      </c>
      <c r="F2251" s="2" t="str">
        <f t="shared" si="142"/>
        <v>Week 38</v>
      </c>
      <c r="G2251" s="2" t="str">
        <f t="shared" si="143"/>
        <v>Week 38-2025</v>
      </c>
      <c r="O2251"/>
      <c r="Q2251"/>
    </row>
    <row r="2252" spans="1:17" hidden="1" x14ac:dyDescent="0.2">
      <c r="A2252" s="3">
        <v>45917</v>
      </c>
      <c r="B2252" s="2" t="s">
        <v>5</v>
      </c>
      <c r="C2252" s="2">
        <v>35</v>
      </c>
      <c r="D2252" s="2">
        <f t="shared" si="140"/>
        <v>2025</v>
      </c>
      <c r="E2252" s="2" t="str">
        <f t="shared" si="141"/>
        <v>2025-38</v>
      </c>
      <c r="F2252" s="2" t="str">
        <f t="shared" si="142"/>
        <v>Week 38</v>
      </c>
      <c r="G2252" s="2" t="str">
        <f t="shared" si="143"/>
        <v>Week 38-2025</v>
      </c>
      <c r="O2252"/>
      <c r="Q2252"/>
    </row>
    <row r="2253" spans="1:17" hidden="1" x14ac:dyDescent="0.2">
      <c r="A2253" s="3">
        <v>45917</v>
      </c>
      <c r="B2253" s="2" t="s">
        <v>9</v>
      </c>
      <c r="C2253" s="2">
        <v>30</v>
      </c>
      <c r="D2253" s="2">
        <f t="shared" si="140"/>
        <v>2025</v>
      </c>
      <c r="E2253" s="2" t="str">
        <f t="shared" si="141"/>
        <v>2025-38</v>
      </c>
      <c r="F2253" s="2" t="str">
        <f t="shared" si="142"/>
        <v>Week 38</v>
      </c>
      <c r="G2253" s="2" t="str">
        <f t="shared" si="143"/>
        <v>Week 38-2025</v>
      </c>
      <c r="O2253"/>
      <c r="Q2253"/>
    </row>
    <row r="2254" spans="1:17" hidden="1" x14ac:dyDescent="0.2">
      <c r="A2254" s="3">
        <v>45917</v>
      </c>
      <c r="B2254" s="2" t="s">
        <v>4</v>
      </c>
      <c r="C2254" s="2">
        <v>24</v>
      </c>
      <c r="D2254" s="2">
        <f t="shared" si="140"/>
        <v>2025</v>
      </c>
      <c r="E2254" s="2" t="str">
        <f t="shared" si="141"/>
        <v>2025-38</v>
      </c>
      <c r="F2254" s="2" t="str">
        <f t="shared" si="142"/>
        <v>Week 38</v>
      </c>
      <c r="G2254" s="2" t="str">
        <f t="shared" si="143"/>
        <v>Week 38-2025</v>
      </c>
      <c r="O2254"/>
      <c r="Q2254"/>
    </row>
    <row r="2255" spans="1:17" hidden="1" x14ac:dyDescent="0.2">
      <c r="A2255" s="3">
        <v>45917</v>
      </c>
      <c r="B2255" s="2" t="s">
        <v>3</v>
      </c>
      <c r="C2255" s="2">
        <v>22</v>
      </c>
      <c r="D2255" s="2">
        <f t="shared" si="140"/>
        <v>2025</v>
      </c>
      <c r="E2255" s="2" t="str">
        <f t="shared" si="141"/>
        <v>2025-38</v>
      </c>
      <c r="F2255" s="2" t="str">
        <f t="shared" si="142"/>
        <v>Week 38</v>
      </c>
      <c r="G2255" s="2" t="str">
        <f t="shared" si="143"/>
        <v>Week 38-2025</v>
      </c>
      <c r="O2255"/>
      <c r="Q2255"/>
    </row>
    <row r="2256" spans="1:17" hidden="1" x14ac:dyDescent="0.2">
      <c r="A2256" s="3">
        <v>45917</v>
      </c>
      <c r="B2256" s="2" t="s">
        <v>4</v>
      </c>
      <c r="C2256" s="2">
        <v>12</v>
      </c>
      <c r="D2256" s="2">
        <f t="shared" si="140"/>
        <v>2025</v>
      </c>
      <c r="E2256" s="2" t="str">
        <f t="shared" si="141"/>
        <v>2025-38</v>
      </c>
      <c r="F2256" s="2" t="str">
        <f t="shared" si="142"/>
        <v>Week 38</v>
      </c>
      <c r="G2256" s="2" t="str">
        <f t="shared" si="143"/>
        <v>Week 38-2025</v>
      </c>
      <c r="O2256"/>
      <c r="Q2256"/>
    </row>
    <row r="2257" spans="1:17" hidden="1" x14ac:dyDescent="0.2">
      <c r="A2257" s="3">
        <v>45917</v>
      </c>
      <c r="B2257" s="2" t="s">
        <v>4</v>
      </c>
      <c r="C2257" s="2">
        <v>12</v>
      </c>
      <c r="D2257" s="2">
        <f t="shared" si="140"/>
        <v>2025</v>
      </c>
      <c r="E2257" s="2" t="str">
        <f t="shared" si="141"/>
        <v>2025-38</v>
      </c>
      <c r="F2257" s="2" t="str">
        <f t="shared" si="142"/>
        <v>Week 38</v>
      </c>
      <c r="G2257" s="2" t="str">
        <f t="shared" si="143"/>
        <v>Week 38-2025</v>
      </c>
      <c r="O2257"/>
      <c r="Q2257"/>
    </row>
    <row r="2258" spans="1:17" hidden="1" x14ac:dyDescent="0.2">
      <c r="A2258" s="3">
        <v>45917</v>
      </c>
      <c r="B2258" s="2" t="s">
        <v>4</v>
      </c>
      <c r="C2258" s="2">
        <v>12</v>
      </c>
      <c r="D2258" s="2">
        <f t="shared" si="140"/>
        <v>2025</v>
      </c>
      <c r="E2258" s="2" t="str">
        <f t="shared" si="141"/>
        <v>2025-38</v>
      </c>
      <c r="F2258" s="2" t="str">
        <f t="shared" si="142"/>
        <v>Week 38</v>
      </c>
      <c r="G2258" s="2" t="str">
        <f t="shared" si="143"/>
        <v>Week 38-2025</v>
      </c>
      <c r="O2258"/>
      <c r="Q2258"/>
    </row>
    <row r="2259" spans="1:17" hidden="1" x14ac:dyDescent="0.2">
      <c r="A2259" s="3">
        <v>45917</v>
      </c>
      <c r="B2259" s="2" t="s">
        <v>7</v>
      </c>
      <c r="C2259" s="2">
        <v>10</v>
      </c>
      <c r="D2259" s="2">
        <f t="shared" si="140"/>
        <v>2025</v>
      </c>
      <c r="E2259" s="2" t="str">
        <f t="shared" si="141"/>
        <v>2025-38</v>
      </c>
      <c r="F2259" s="2" t="str">
        <f t="shared" si="142"/>
        <v>Week 38</v>
      </c>
      <c r="G2259" s="2" t="str">
        <f t="shared" si="143"/>
        <v>Week 38-2025</v>
      </c>
      <c r="O2259"/>
      <c r="Q2259"/>
    </row>
    <row r="2260" spans="1:17" hidden="1" x14ac:dyDescent="0.2">
      <c r="A2260" s="3">
        <v>45917</v>
      </c>
      <c r="B2260" s="2" t="s">
        <v>7</v>
      </c>
      <c r="C2260" s="2">
        <v>10</v>
      </c>
      <c r="D2260" s="2">
        <f t="shared" si="140"/>
        <v>2025</v>
      </c>
      <c r="E2260" s="2" t="str">
        <f t="shared" si="141"/>
        <v>2025-38</v>
      </c>
      <c r="F2260" s="2" t="str">
        <f t="shared" si="142"/>
        <v>Week 38</v>
      </c>
      <c r="G2260" s="2" t="str">
        <f t="shared" si="143"/>
        <v>Week 38-2025</v>
      </c>
      <c r="O2260"/>
      <c r="Q2260"/>
    </row>
    <row r="2261" spans="1:17" hidden="1" x14ac:dyDescent="0.2">
      <c r="A2261" s="3">
        <v>45917</v>
      </c>
      <c r="B2261" s="2" t="s">
        <v>28</v>
      </c>
      <c r="C2261" s="2">
        <v>28</v>
      </c>
      <c r="D2261" s="2">
        <f t="shared" si="140"/>
        <v>2025</v>
      </c>
      <c r="E2261" s="2" t="str">
        <f t="shared" si="141"/>
        <v>2025-38</v>
      </c>
      <c r="F2261" s="2" t="str">
        <f t="shared" si="142"/>
        <v>Week 38</v>
      </c>
      <c r="G2261" s="2" t="str">
        <f t="shared" si="143"/>
        <v>Week 38-2025</v>
      </c>
      <c r="O2261"/>
      <c r="Q2261"/>
    </row>
    <row r="2262" spans="1:17" hidden="1" x14ac:dyDescent="0.2">
      <c r="A2262" s="3">
        <v>45917</v>
      </c>
      <c r="B2262" s="2" t="s">
        <v>6</v>
      </c>
      <c r="C2262" s="2">
        <v>8</v>
      </c>
      <c r="D2262" s="2">
        <f t="shared" si="140"/>
        <v>2025</v>
      </c>
      <c r="E2262" s="2" t="str">
        <f t="shared" si="141"/>
        <v>2025-38</v>
      </c>
      <c r="F2262" s="2" t="str">
        <f t="shared" si="142"/>
        <v>Week 38</v>
      </c>
      <c r="G2262" s="2" t="str">
        <f t="shared" si="143"/>
        <v>Week 38-2025</v>
      </c>
      <c r="O2262"/>
      <c r="Q2262"/>
    </row>
    <row r="2263" spans="1:17" hidden="1" x14ac:dyDescent="0.2">
      <c r="A2263" s="3">
        <v>45917</v>
      </c>
      <c r="B2263" s="2" t="s">
        <v>7</v>
      </c>
      <c r="C2263" s="2">
        <v>7</v>
      </c>
      <c r="D2263" s="2">
        <f t="shared" si="140"/>
        <v>2025</v>
      </c>
      <c r="E2263" s="2" t="str">
        <f t="shared" si="141"/>
        <v>2025-38</v>
      </c>
      <c r="F2263" s="2" t="str">
        <f t="shared" si="142"/>
        <v>Week 38</v>
      </c>
      <c r="G2263" s="2" t="str">
        <f t="shared" si="143"/>
        <v>Week 38-2025</v>
      </c>
      <c r="O2263"/>
      <c r="Q2263"/>
    </row>
    <row r="2264" spans="1:17" hidden="1" x14ac:dyDescent="0.2">
      <c r="A2264" s="3">
        <v>45917</v>
      </c>
      <c r="B2264" s="2" t="s">
        <v>7</v>
      </c>
      <c r="C2264" s="2">
        <v>8</v>
      </c>
      <c r="D2264" s="2">
        <f t="shared" si="140"/>
        <v>2025</v>
      </c>
      <c r="E2264" s="2" t="str">
        <f t="shared" si="141"/>
        <v>2025-38</v>
      </c>
      <c r="F2264" s="2" t="str">
        <f t="shared" si="142"/>
        <v>Week 38</v>
      </c>
      <c r="G2264" s="2" t="str">
        <f t="shared" si="143"/>
        <v>Week 38-2025</v>
      </c>
      <c r="O2264"/>
      <c r="Q2264"/>
    </row>
    <row r="2265" spans="1:17" hidden="1" x14ac:dyDescent="0.2">
      <c r="A2265" s="3">
        <v>45917</v>
      </c>
      <c r="B2265" s="2" t="s">
        <v>4</v>
      </c>
      <c r="C2265" s="2">
        <v>8</v>
      </c>
      <c r="D2265" s="2">
        <f t="shared" si="140"/>
        <v>2025</v>
      </c>
      <c r="E2265" s="2" t="str">
        <f t="shared" si="141"/>
        <v>2025-38</v>
      </c>
      <c r="F2265" s="2" t="str">
        <f t="shared" si="142"/>
        <v>Week 38</v>
      </c>
      <c r="G2265" s="2" t="str">
        <f t="shared" si="143"/>
        <v>Week 38-2025</v>
      </c>
      <c r="O2265"/>
      <c r="Q2265"/>
    </row>
    <row r="2266" spans="1:17" hidden="1" x14ac:dyDescent="0.2">
      <c r="A2266" s="3">
        <v>45917</v>
      </c>
      <c r="B2266" s="2" t="s">
        <v>7</v>
      </c>
      <c r="C2266" s="2">
        <v>4</v>
      </c>
      <c r="D2266" s="2">
        <f t="shared" si="140"/>
        <v>2025</v>
      </c>
      <c r="E2266" s="2" t="str">
        <f t="shared" si="141"/>
        <v>2025-38</v>
      </c>
      <c r="F2266" s="2" t="str">
        <f t="shared" si="142"/>
        <v>Week 38</v>
      </c>
      <c r="G2266" s="2" t="str">
        <f t="shared" si="143"/>
        <v>Week 38-2025</v>
      </c>
      <c r="O2266"/>
      <c r="Q2266"/>
    </row>
    <row r="2267" spans="1:17" hidden="1" x14ac:dyDescent="0.2">
      <c r="A2267" s="3">
        <v>45917</v>
      </c>
      <c r="B2267" s="2" t="s">
        <v>9</v>
      </c>
      <c r="C2267" s="2">
        <v>4</v>
      </c>
      <c r="D2267" s="2">
        <f t="shared" si="140"/>
        <v>2025</v>
      </c>
      <c r="E2267" s="2" t="str">
        <f t="shared" si="141"/>
        <v>2025-38</v>
      </c>
      <c r="F2267" s="2" t="str">
        <f t="shared" si="142"/>
        <v>Week 38</v>
      </c>
      <c r="G2267" s="2" t="str">
        <f t="shared" si="143"/>
        <v>Week 38-2025</v>
      </c>
      <c r="O2267"/>
      <c r="Q2267"/>
    </row>
    <row r="2268" spans="1:17" hidden="1" x14ac:dyDescent="0.2">
      <c r="A2268" s="3">
        <v>45917</v>
      </c>
      <c r="B2268" s="2" t="s">
        <v>9</v>
      </c>
      <c r="C2268" s="2">
        <v>4</v>
      </c>
      <c r="D2268" s="2">
        <f t="shared" si="140"/>
        <v>2025</v>
      </c>
      <c r="E2268" s="2" t="str">
        <f t="shared" si="141"/>
        <v>2025-38</v>
      </c>
      <c r="F2268" s="2" t="str">
        <f t="shared" si="142"/>
        <v>Week 38</v>
      </c>
      <c r="G2268" s="2" t="str">
        <f t="shared" si="143"/>
        <v>Week 38-2025</v>
      </c>
      <c r="O2268"/>
      <c r="Q2268"/>
    </row>
    <row r="2269" spans="1:17" hidden="1" x14ac:dyDescent="0.2">
      <c r="A2269" s="3">
        <v>45917</v>
      </c>
      <c r="B2269" s="2" t="s">
        <v>7</v>
      </c>
      <c r="C2269" s="2">
        <v>3</v>
      </c>
      <c r="D2269" s="2">
        <f t="shared" si="140"/>
        <v>2025</v>
      </c>
      <c r="E2269" s="2" t="str">
        <f t="shared" si="141"/>
        <v>2025-38</v>
      </c>
      <c r="F2269" s="2" t="str">
        <f t="shared" si="142"/>
        <v>Week 38</v>
      </c>
      <c r="G2269" s="2" t="str">
        <f t="shared" si="143"/>
        <v>Week 38-2025</v>
      </c>
      <c r="O2269"/>
      <c r="Q2269"/>
    </row>
    <row r="2270" spans="1:17" hidden="1" x14ac:dyDescent="0.2">
      <c r="A2270" s="3">
        <v>45917</v>
      </c>
      <c r="B2270" s="2" t="s">
        <v>14</v>
      </c>
      <c r="C2270" s="2">
        <v>6</v>
      </c>
      <c r="D2270" s="2">
        <f t="shared" si="140"/>
        <v>2025</v>
      </c>
      <c r="E2270" s="2" t="str">
        <f t="shared" si="141"/>
        <v>2025-38</v>
      </c>
      <c r="F2270" s="2" t="str">
        <f t="shared" si="142"/>
        <v>Week 38</v>
      </c>
      <c r="G2270" s="2" t="str">
        <f t="shared" si="143"/>
        <v>Week 38-2025</v>
      </c>
      <c r="O2270"/>
      <c r="Q2270"/>
    </row>
    <row r="2271" spans="1:17" hidden="1" x14ac:dyDescent="0.2">
      <c r="A2271" s="3">
        <v>45917</v>
      </c>
      <c r="B2271" s="2" t="s">
        <v>14</v>
      </c>
      <c r="C2271" s="2">
        <v>6</v>
      </c>
      <c r="D2271" s="2">
        <f t="shared" si="140"/>
        <v>2025</v>
      </c>
      <c r="E2271" s="2" t="str">
        <f t="shared" si="141"/>
        <v>2025-38</v>
      </c>
      <c r="F2271" s="2" t="str">
        <f t="shared" si="142"/>
        <v>Week 38</v>
      </c>
      <c r="G2271" s="2" t="str">
        <f t="shared" si="143"/>
        <v>Week 38-2025</v>
      </c>
      <c r="O2271"/>
      <c r="Q2271"/>
    </row>
    <row r="2272" spans="1:17" hidden="1" x14ac:dyDescent="0.2">
      <c r="A2272" s="3">
        <v>45917</v>
      </c>
      <c r="B2272" s="2" t="s">
        <v>14</v>
      </c>
      <c r="C2272" s="2">
        <v>6</v>
      </c>
      <c r="D2272" s="2">
        <f t="shared" si="140"/>
        <v>2025</v>
      </c>
      <c r="E2272" s="2" t="str">
        <f t="shared" si="141"/>
        <v>2025-38</v>
      </c>
      <c r="F2272" s="2" t="str">
        <f t="shared" si="142"/>
        <v>Week 38</v>
      </c>
      <c r="G2272" s="2" t="str">
        <f t="shared" si="143"/>
        <v>Week 38-2025</v>
      </c>
      <c r="O2272"/>
      <c r="Q2272"/>
    </row>
    <row r="2273" spans="1:17" hidden="1" x14ac:dyDescent="0.2">
      <c r="A2273" s="3">
        <v>45917</v>
      </c>
      <c r="B2273" s="2" t="s">
        <v>28</v>
      </c>
      <c r="C2273" s="2">
        <v>8</v>
      </c>
      <c r="D2273" s="2">
        <f t="shared" si="140"/>
        <v>2025</v>
      </c>
      <c r="E2273" s="2" t="str">
        <f t="shared" si="141"/>
        <v>2025-38</v>
      </c>
      <c r="F2273" s="2" t="str">
        <f t="shared" si="142"/>
        <v>Week 38</v>
      </c>
      <c r="G2273" s="2" t="str">
        <f t="shared" si="143"/>
        <v>Week 38-2025</v>
      </c>
      <c r="O2273"/>
      <c r="Q2273"/>
    </row>
    <row r="2274" spans="1:17" hidden="1" x14ac:dyDescent="0.2">
      <c r="A2274" s="3">
        <v>45917</v>
      </c>
      <c r="B2274" s="2" t="s">
        <v>3</v>
      </c>
      <c r="C2274" s="2">
        <v>4</v>
      </c>
      <c r="D2274" s="2">
        <f t="shared" si="140"/>
        <v>2025</v>
      </c>
      <c r="E2274" s="2" t="str">
        <f t="shared" si="141"/>
        <v>2025-38</v>
      </c>
      <c r="F2274" s="2" t="str">
        <f t="shared" si="142"/>
        <v>Week 38</v>
      </c>
      <c r="G2274" s="2" t="str">
        <f t="shared" si="143"/>
        <v>Week 38-2025</v>
      </c>
      <c r="O2274"/>
      <c r="Q2274"/>
    </row>
    <row r="2275" spans="1:17" hidden="1" x14ac:dyDescent="0.2">
      <c r="A2275" s="3">
        <v>45917</v>
      </c>
      <c r="B2275" s="2" t="s">
        <v>3</v>
      </c>
      <c r="C2275" s="2">
        <v>4</v>
      </c>
      <c r="D2275" s="2">
        <f t="shared" si="140"/>
        <v>2025</v>
      </c>
      <c r="E2275" s="2" t="str">
        <f t="shared" si="141"/>
        <v>2025-38</v>
      </c>
      <c r="F2275" s="2" t="str">
        <f t="shared" si="142"/>
        <v>Week 38</v>
      </c>
      <c r="G2275" s="2" t="str">
        <f t="shared" si="143"/>
        <v>Week 38-2025</v>
      </c>
      <c r="O2275"/>
      <c r="Q2275"/>
    </row>
    <row r="2276" spans="1:17" hidden="1" x14ac:dyDescent="0.2">
      <c r="A2276" s="3">
        <v>45917</v>
      </c>
      <c r="B2276" s="2" t="s">
        <v>3</v>
      </c>
      <c r="C2276" s="2">
        <v>4</v>
      </c>
      <c r="D2276" s="2">
        <f t="shared" si="140"/>
        <v>2025</v>
      </c>
      <c r="E2276" s="2" t="str">
        <f t="shared" si="141"/>
        <v>2025-38</v>
      </c>
      <c r="F2276" s="2" t="str">
        <f t="shared" si="142"/>
        <v>Week 38</v>
      </c>
      <c r="G2276" s="2" t="str">
        <f t="shared" si="143"/>
        <v>Week 38-2025</v>
      </c>
      <c r="O2276"/>
      <c r="Q2276"/>
    </row>
    <row r="2277" spans="1:17" hidden="1" x14ac:dyDescent="0.2">
      <c r="A2277" s="3">
        <v>45917</v>
      </c>
      <c r="B2277" s="2" t="s">
        <v>3</v>
      </c>
      <c r="C2277" s="2">
        <v>4</v>
      </c>
      <c r="D2277" s="2">
        <f t="shared" si="140"/>
        <v>2025</v>
      </c>
      <c r="E2277" s="2" t="str">
        <f t="shared" si="141"/>
        <v>2025-38</v>
      </c>
      <c r="F2277" s="2" t="str">
        <f t="shared" si="142"/>
        <v>Week 38</v>
      </c>
      <c r="G2277" s="2" t="str">
        <f t="shared" si="143"/>
        <v>Week 38-2025</v>
      </c>
      <c r="O2277"/>
      <c r="Q2277"/>
    </row>
    <row r="2278" spans="1:17" hidden="1" x14ac:dyDescent="0.2">
      <c r="A2278" s="3">
        <v>45917</v>
      </c>
      <c r="B2278" s="2" t="s">
        <v>9</v>
      </c>
      <c r="C2278" s="2">
        <v>3</v>
      </c>
      <c r="D2278" s="2">
        <f t="shared" si="140"/>
        <v>2025</v>
      </c>
      <c r="E2278" s="2" t="str">
        <f t="shared" si="141"/>
        <v>2025-38</v>
      </c>
      <c r="F2278" s="2" t="str">
        <f t="shared" si="142"/>
        <v>Week 38</v>
      </c>
      <c r="G2278" s="2" t="str">
        <f t="shared" si="143"/>
        <v>Week 38-2025</v>
      </c>
      <c r="O2278"/>
      <c r="Q2278"/>
    </row>
    <row r="2279" spans="1:17" hidden="1" x14ac:dyDescent="0.2">
      <c r="A2279" s="3">
        <v>45917</v>
      </c>
      <c r="B2279" s="2" t="s">
        <v>5</v>
      </c>
      <c r="C2279" s="2">
        <v>4</v>
      </c>
      <c r="D2279" s="2">
        <f t="shared" si="140"/>
        <v>2025</v>
      </c>
      <c r="E2279" s="2" t="str">
        <f t="shared" si="141"/>
        <v>2025-38</v>
      </c>
      <c r="F2279" s="2" t="str">
        <f t="shared" si="142"/>
        <v>Week 38</v>
      </c>
      <c r="G2279" s="2" t="str">
        <f t="shared" si="143"/>
        <v>Week 38-2025</v>
      </c>
      <c r="O2279"/>
      <c r="Q2279"/>
    </row>
    <row r="2280" spans="1:17" hidden="1" x14ac:dyDescent="0.2">
      <c r="A2280" s="3">
        <v>45917</v>
      </c>
      <c r="B2280" s="2" t="s">
        <v>36</v>
      </c>
      <c r="C2280" s="2">
        <v>8</v>
      </c>
      <c r="D2280" s="2">
        <f t="shared" si="140"/>
        <v>2025</v>
      </c>
      <c r="E2280" s="2" t="str">
        <f t="shared" si="141"/>
        <v>2025-38</v>
      </c>
      <c r="F2280" s="2" t="str">
        <f t="shared" si="142"/>
        <v>Week 38</v>
      </c>
      <c r="G2280" s="2" t="str">
        <f t="shared" si="143"/>
        <v>Week 38-2025</v>
      </c>
      <c r="O2280"/>
      <c r="Q2280"/>
    </row>
    <row r="2281" spans="1:17" hidden="1" x14ac:dyDescent="0.2">
      <c r="A2281" s="3">
        <v>45917</v>
      </c>
      <c r="B2281" s="2" t="s">
        <v>34</v>
      </c>
      <c r="C2281" s="2">
        <v>4</v>
      </c>
      <c r="D2281" s="2">
        <f t="shared" si="140"/>
        <v>2025</v>
      </c>
      <c r="E2281" s="2" t="str">
        <f t="shared" si="141"/>
        <v>2025-38</v>
      </c>
      <c r="F2281" s="2" t="str">
        <f t="shared" si="142"/>
        <v>Week 38</v>
      </c>
      <c r="G2281" s="2" t="str">
        <f t="shared" si="143"/>
        <v>Week 38-2025</v>
      </c>
      <c r="O2281"/>
      <c r="Q2281"/>
    </row>
    <row r="2282" spans="1:17" hidden="1" x14ac:dyDescent="0.2">
      <c r="A2282" s="3">
        <v>45917</v>
      </c>
      <c r="B2282" s="2" t="s">
        <v>34</v>
      </c>
      <c r="C2282" s="2">
        <v>4</v>
      </c>
      <c r="D2282" s="2">
        <f t="shared" si="140"/>
        <v>2025</v>
      </c>
      <c r="E2282" s="2" t="str">
        <f t="shared" si="141"/>
        <v>2025-38</v>
      </c>
      <c r="F2282" s="2" t="str">
        <f t="shared" si="142"/>
        <v>Week 38</v>
      </c>
      <c r="G2282" s="2" t="str">
        <f t="shared" si="143"/>
        <v>Week 38-2025</v>
      </c>
      <c r="O2282"/>
      <c r="Q2282"/>
    </row>
    <row r="2283" spans="1:17" hidden="1" x14ac:dyDescent="0.2">
      <c r="A2283" s="3">
        <v>45917</v>
      </c>
      <c r="B2283" s="2" t="s">
        <v>10</v>
      </c>
      <c r="C2283" s="2">
        <v>4</v>
      </c>
      <c r="D2283" s="2">
        <f t="shared" si="140"/>
        <v>2025</v>
      </c>
      <c r="E2283" s="2" t="str">
        <f t="shared" si="141"/>
        <v>2025-38</v>
      </c>
      <c r="F2283" s="2" t="str">
        <f t="shared" si="142"/>
        <v>Week 38</v>
      </c>
      <c r="G2283" s="2" t="str">
        <f t="shared" si="143"/>
        <v>Week 38-2025</v>
      </c>
      <c r="O2283"/>
      <c r="Q2283"/>
    </row>
    <row r="2284" spans="1:17" hidden="1" x14ac:dyDescent="0.2">
      <c r="A2284" s="3">
        <v>45917</v>
      </c>
      <c r="B2284" s="2" t="s">
        <v>7</v>
      </c>
      <c r="C2284" s="2">
        <v>2</v>
      </c>
      <c r="D2284" s="2">
        <f t="shared" si="140"/>
        <v>2025</v>
      </c>
      <c r="E2284" s="2" t="str">
        <f t="shared" si="141"/>
        <v>2025-38</v>
      </c>
      <c r="F2284" s="2" t="str">
        <f t="shared" si="142"/>
        <v>Week 38</v>
      </c>
      <c r="G2284" s="2" t="str">
        <f t="shared" si="143"/>
        <v>Week 38-2025</v>
      </c>
      <c r="O2284"/>
      <c r="Q2284"/>
    </row>
    <row r="2285" spans="1:17" hidden="1" x14ac:dyDescent="0.2">
      <c r="A2285" s="3">
        <v>45917</v>
      </c>
      <c r="B2285" s="2" t="s">
        <v>14</v>
      </c>
      <c r="C2285" s="2">
        <v>4</v>
      </c>
      <c r="D2285" s="2">
        <f t="shared" si="140"/>
        <v>2025</v>
      </c>
      <c r="E2285" s="2" t="str">
        <f t="shared" si="141"/>
        <v>2025-38</v>
      </c>
      <c r="F2285" s="2" t="str">
        <f t="shared" si="142"/>
        <v>Week 38</v>
      </c>
      <c r="G2285" s="2" t="str">
        <f t="shared" si="143"/>
        <v>Week 38-2025</v>
      </c>
      <c r="O2285"/>
      <c r="Q2285"/>
    </row>
    <row r="2286" spans="1:17" hidden="1" x14ac:dyDescent="0.2">
      <c r="A2286" s="3">
        <v>45917</v>
      </c>
      <c r="B2286" s="2" t="s">
        <v>4</v>
      </c>
      <c r="C2286" s="2">
        <v>2</v>
      </c>
      <c r="D2286" s="2">
        <f t="shared" si="140"/>
        <v>2025</v>
      </c>
      <c r="E2286" s="2" t="str">
        <f t="shared" si="141"/>
        <v>2025-38</v>
      </c>
      <c r="F2286" s="2" t="str">
        <f t="shared" si="142"/>
        <v>Week 38</v>
      </c>
      <c r="G2286" s="2" t="str">
        <f t="shared" si="143"/>
        <v>Week 38-2025</v>
      </c>
      <c r="O2286"/>
      <c r="Q2286"/>
    </row>
    <row r="2287" spans="1:17" hidden="1" x14ac:dyDescent="0.2">
      <c r="A2287" s="3">
        <v>45917</v>
      </c>
      <c r="B2287" s="2" t="s">
        <v>34</v>
      </c>
      <c r="C2287" s="2">
        <v>2</v>
      </c>
      <c r="D2287" s="2">
        <f t="shared" si="140"/>
        <v>2025</v>
      </c>
      <c r="E2287" s="2" t="str">
        <f t="shared" si="141"/>
        <v>2025-38</v>
      </c>
      <c r="F2287" s="2" t="str">
        <f t="shared" si="142"/>
        <v>Week 38</v>
      </c>
      <c r="G2287" s="2" t="str">
        <f t="shared" si="143"/>
        <v>Week 38-2025</v>
      </c>
      <c r="O2287"/>
      <c r="Q2287"/>
    </row>
    <row r="2288" spans="1:17" hidden="1" x14ac:dyDescent="0.2">
      <c r="A2288" s="3">
        <v>45917</v>
      </c>
      <c r="B2288" s="2" t="s">
        <v>34</v>
      </c>
      <c r="C2288" s="2">
        <v>2</v>
      </c>
      <c r="D2288" s="2">
        <f t="shared" si="140"/>
        <v>2025</v>
      </c>
      <c r="E2288" s="2" t="str">
        <f t="shared" si="141"/>
        <v>2025-38</v>
      </c>
      <c r="F2288" s="2" t="str">
        <f t="shared" si="142"/>
        <v>Week 38</v>
      </c>
      <c r="G2288" s="2" t="str">
        <f t="shared" si="143"/>
        <v>Week 38-2025</v>
      </c>
      <c r="O2288"/>
      <c r="Q2288"/>
    </row>
    <row r="2289" spans="1:17" hidden="1" x14ac:dyDescent="0.2">
      <c r="A2289" s="3">
        <v>45917</v>
      </c>
      <c r="B2289" s="2" t="s">
        <v>9</v>
      </c>
      <c r="C2289" s="2">
        <v>1</v>
      </c>
      <c r="D2289" s="2">
        <f t="shared" si="140"/>
        <v>2025</v>
      </c>
      <c r="E2289" s="2" t="str">
        <f t="shared" si="141"/>
        <v>2025-38</v>
      </c>
      <c r="F2289" s="2" t="str">
        <f t="shared" si="142"/>
        <v>Week 38</v>
      </c>
      <c r="G2289" s="2" t="str">
        <f t="shared" si="143"/>
        <v>Week 38-2025</v>
      </c>
      <c r="O2289"/>
      <c r="Q2289"/>
    </row>
    <row r="2290" spans="1:17" hidden="1" x14ac:dyDescent="0.2">
      <c r="A2290" s="3">
        <v>45917</v>
      </c>
      <c r="B2290" s="2" t="s">
        <v>28</v>
      </c>
      <c r="C2290" s="2">
        <v>2</v>
      </c>
      <c r="D2290" s="2">
        <f t="shared" si="140"/>
        <v>2025</v>
      </c>
      <c r="E2290" s="2" t="str">
        <f t="shared" si="141"/>
        <v>2025-38</v>
      </c>
      <c r="F2290" s="2" t="str">
        <f t="shared" si="142"/>
        <v>Week 38</v>
      </c>
      <c r="G2290" s="2" t="str">
        <f t="shared" si="143"/>
        <v>Week 38-2025</v>
      </c>
      <c r="O2290"/>
      <c r="Q2290"/>
    </row>
    <row r="2291" spans="1:17" hidden="1" x14ac:dyDescent="0.2">
      <c r="A2291" s="3">
        <v>45918</v>
      </c>
      <c r="B2291" s="2" t="s">
        <v>9</v>
      </c>
      <c r="C2291" s="2">
        <v>14</v>
      </c>
      <c r="D2291" s="2">
        <f t="shared" si="140"/>
        <v>2025</v>
      </c>
      <c r="E2291" s="2" t="str">
        <f t="shared" si="141"/>
        <v>2025-38</v>
      </c>
      <c r="F2291" s="2" t="str">
        <f t="shared" si="142"/>
        <v>Week 38</v>
      </c>
      <c r="G2291" s="2" t="str">
        <f t="shared" si="143"/>
        <v>Week 38-2025</v>
      </c>
      <c r="O2291"/>
      <c r="Q2291"/>
    </row>
    <row r="2292" spans="1:17" hidden="1" x14ac:dyDescent="0.2">
      <c r="A2292" s="3">
        <v>45918</v>
      </c>
      <c r="B2292" s="2" t="s">
        <v>6</v>
      </c>
      <c r="C2292" s="2">
        <v>8</v>
      </c>
      <c r="D2292" s="2">
        <f t="shared" si="140"/>
        <v>2025</v>
      </c>
      <c r="E2292" s="2" t="str">
        <f t="shared" si="141"/>
        <v>2025-38</v>
      </c>
      <c r="F2292" s="2" t="str">
        <f t="shared" si="142"/>
        <v>Week 38</v>
      </c>
      <c r="G2292" s="2" t="str">
        <f t="shared" si="143"/>
        <v>Week 38-2025</v>
      </c>
      <c r="O2292"/>
      <c r="Q2292"/>
    </row>
    <row r="2293" spans="1:17" hidden="1" x14ac:dyDescent="0.2">
      <c r="A2293" s="3">
        <v>45918</v>
      </c>
      <c r="B2293" s="2" t="s">
        <v>33</v>
      </c>
      <c r="C2293" s="2">
        <v>5</v>
      </c>
      <c r="D2293" s="2">
        <f t="shared" si="140"/>
        <v>2025</v>
      </c>
      <c r="E2293" s="2" t="str">
        <f t="shared" si="141"/>
        <v>2025-38</v>
      </c>
      <c r="F2293" s="2" t="str">
        <f t="shared" si="142"/>
        <v>Week 38</v>
      </c>
      <c r="G2293" s="2" t="str">
        <f t="shared" si="143"/>
        <v>Week 38-2025</v>
      </c>
      <c r="O2293"/>
      <c r="Q2293"/>
    </row>
    <row r="2294" spans="1:17" hidden="1" x14ac:dyDescent="0.2">
      <c r="A2294" s="3">
        <v>45918</v>
      </c>
      <c r="B2294" s="2" t="s">
        <v>7</v>
      </c>
      <c r="C2294" s="2">
        <v>4</v>
      </c>
      <c r="D2294" s="2">
        <f t="shared" si="140"/>
        <v>2025</v>
      </c>
      <c r="E2294" s="2" t="str">
        <f t="shared" si="141"/>
        <v>2025-38</v>
      </c>
      <c r="F2294" s="2" t="str">
        <f t="shared" si="142"/>
        <v>Week 38</v>
      </c>
      <c r="G2294" s="2" t="str">
        <f t="shared" si="143"/>
        <v>Week 38-2025</v>
      </c>
      <c r="O2294"/>
      <c r="Q2294"/>
    </row>
    <row r="2295" spans="1:17" hidden="1" x14ac:dyDescent="0.2">
      <c r="A2295" s="3">
        <v>45918</v>
      </c>
      <c r="B2295" s="2" t="s">
        <v>3</v>
      </c>
      <c r="C2295" s="2">
        <v>5</v>
      </c>
      <c r="D2295" s="2">
        <f t="shared" si="140"/>
        <v>2025</v>
      </c>
      <c r="E2295" s="2" t="str">
        <f t="shared" si="141"/>
        <v>2025-38</v>
      </c>
      <c r="F2295" s="2" t="str">
        <f t="shared" si="142"/>
        <v>Week 38</v>
      </c>
      <c r="G2295" s="2" t="str">
        <f t="shared" si="143"/>
        <v>Week 38-2025</v>
      </c>
      <c r="O2295"/>
      <c r="Q2295"/>
    </row>
    <row r="2296" spans="1:17" hidden="1" x14ac:dyDescent="0.2">
      <c r="A2296" s="3">
        <v>45918</v>
      </c>
      <c r="B2296" s="2" t="s">
        <v>3</v>
      </c>
      <c r="C2296" s="2">
        <v>4</v>
      </c>
      <c r="D2296" s="2">
        <f t="shared" si="140"/>
        <v>2025</v>
      </c>
      <c r="E2296" s="2" t="str">
        <f t="shared" si="141"/>
        <v>2025-38</v>
      </c>
      <c r="F2296" s="2" t="str">
        <f t="shared" si="142"/>
        <v>Week 38</v>
      </c>
      <c r="G2296" s="2" t="str">
        <f t="shared" si="143"/>
        <v>Week 38-2025</v>
      </c>
      <c r="O2296"/>
      <c r="Q2296"/>
    </row>
    <row r="2297" spans="1:17" hidden="1" x14ac:dyDescent="0.2">
      <c r="A2297" s="3">
        <v>45918</v>
      </c>
      <c r="B2297" s="2" t="s">
        <v>25</v>
      </c>
      <c r="C2297" s="2">
        <v>1</v>
      </c>
      <c r="D2297" s="2">
        <f t="shared" si="140"/>
        <v>2025</v>
      </c>
      <c r="E2297" s="2" t="str">
        <f t="shared" si="141"/>
        <v>2025-38</v>
      </c>
      <c r="F2297" s="2" t="str">
        <f t="shared" si="142"/>
        <v>Week 38</v>
      </c>
      <c r="G2297" s="2" t="str">
        <f t="shared" si="143"/>
        <v>Week 38-2025</v>
      </c>
      <c r="O2297"/>
      <c r="Q2297"/>
    </row>
    <row r="2298" spans="1:17" hidden="1" x14ac:dyDescent="0.2">
      <c r="A2298" s="3">
        <v>45918</v>
      </c>
      <c r="B2298" s="2" t="s">
        <v>10</v>
      </c>
      <c r="C2298" s="2">
        <v>2</v>
      </c>
      <c r="D2298" s="2">
        <f t="shared" si="140"/>
        <v>2025</v>
      </c>
      <c r="E2298" s="2" t="str">
        <f t="shared" si="141"/>
        <v>2025-38</v>
      </c>
      <c r="F2298" s="2" t="str">
        <f t="shared" si="142"/>
        <v>Week 38</v>
      </c>
      <c r="G2298" s="2" t="str">
        <f t="shared" si="143"/>
        <v>Week 38-2025</v>
      </c>
      <c r="O2298"/>
      <c r="Q2298"/>
    </row>
    <row r="2299" spans="1:17" hidden="1" x14ac:dyDescent="0.2">
      <c r="A2299" s="3">
        <v>45918</v>
      </c>
      <c r="B2299" s="2" t="s">
        <v>5</v>
      </c>
      <c r="C2299" s="2">
        <v>1</v>
      </c>
      <c r="D2299" s="2">
        <f t="shared" si="140"/>
        <v>2025</v>
      </c>
      <c r="E2299" s="2" t="str">
        <f t="shared" si="141"/>
        <v>2025-38</v>
      </c>
      <c r="F2299" s="2" t="str">
        <f t="shared" si="142"/>
        <v>Week 38</v>
      </c>
      <c r="G2299" s="2" t="str">
        <f t="shared" si="143"/>
        <v>Week 38-2025</v>
      </c>
      <c r="O2299"/>
      <c r="Q2299"/>
    </row>
    <row r="2300" spans="1:17" hidden="1" x14ac:dyDescent="0.2">
      <c r="A2300" s="3">
        <v>45919</v>
      </c>
      <c r="B2300" s="2" t="s">
        <v>29</v>
      </c>
      <c r="C2300" s="2">
        <v>16</v>
      </c>
      <c r="D2300" s="2">
        <f t="shared" si="140"/>
        <v>2025</v>
      </c>
      <c r="E2300" s="2" t="str">
        <f t="shared" si="141"/>
        <v>2025-38</v>
      </c>
      <c r="F2300" s="2" t="str">
        <f t="shared" si="142"/>
        <v>Week 38</v>
      </c>
      <c r="G2300" s="2" t="str">
        <f t="shared" si="143"/>
        <v>Week 38-2025</v>
      </c>
      <c r="O2300"/>
      <c r="Q2300"/>
    </row>
    <row r="2301" spans="1:17" hidden="1" x14ac:dyDescent="0.2">
      <c r="A2301" s="3">
        <v>45919</v>
      </c>
      <c r="B2301" s="2" t="s">
        <v>6</v>
      </c>
      <c r="C2301" s="2">
        <v>8</v>
      </c>
      <c r="D2301" s="2">
        <f t="shared" si="140"/>
        <v>2025</v>
      </c>
      <c r="E2301" s="2" t="str">
        <f t="shared" si="141"/>
        <v>2025-38</v>
      </c>
      <c r="F2301" s="2" t="str">
        <f t="shared" si="142"/>
        <v>Week 38</v>
      </c>
      <c r="G2301" s="2" t="str">
        <f t="shared" si="143"/>
        <v>Week 38-2025</v>
      </c>
      <c r="O2301"/>
      <c r="Q2301"/>
    </row>
    <row r="2302" spans="1:17" hidden="1" x14ac:dyDescent="0.2">
      <c r="A2302" s="3">
        <v>45919</v>
      </c>
      <c r="B2302" s="2" t="s">
        <v>4</v>
      </c>
      <c r="C2302" s="2">
        <v>8</v>
      </c>
      <c r="D2302" s="2">
        <f t="shared" si="140"/>
        <v>2025</v>
      </c>
      <c r="E2302" s="2" t="str">
        <f t="shared" si="141"/>
        <v>2025-38</v>
      </c>
      <c r="F2302" s="2" t="str">
        <f t="shared" si="142"/>
        <v>Week 38</v>
      </c>
      <c r="G2302" s="2" t="str">
        <f t="shared" si="143"/>
        <v>Week 38-2025</v>
      </c>
      <c r="O2302"/>
      <c r="Q2302"/>
    </row>
    <row r="2303" spans="1:17" hidden="1" x14ac:dyDescent="0.2">
      <c r="A2303" s="3">
        <v>45919</v>
      </c>
      <c r="B2303" s="2" t="s">
        <v>38</v>
      </c>
      <c r="C2303" s="2">
        <v>16</v>
      </c>
      <c r="D2303" s="2">
        <f t="shared" si="140"/>
        <v>2025</v>
      </c>
      <c r="E2303" s="2" t="str">
        <f t="shared" si="141"/>
        <v>2025-38</v>
      </c>
      <c r="F2303" s="2" t="str">
        <f t="shared" si="142"/>
        <v>Week 38</v>
      </c>
      <c r="G2303" s="2" t="str">
        <f t="shared" si="143"/>
        <v>Week 38-2025</v>
      </c>
      <c r="O2303"/>
      <c r="Q2303"/>
    </row>
    <row r="2304" spans="1:17" hidden="1" x14ac:dyDescent="0.2">
      <c r="A2304" s="3">
        <v>45919</v>
      </c>
      <c r="B2304" s="2" t="s">
        <v>9</v>
      </c>
      <c r="C2304" s="2">
        <v>6</v>
      </c>
      <c r="D2304" s="2">
        <f t="shared" si="140"/>
        <v>2025</v>
      </c>
      <c r="E2304" s="2" t="str">
        <f t="shared" si="141"/>
        <v>2025-38</v>
      </c>
      <c r="F2304" s="2" t="str">
        <f t="shared" si="142"/>
        <v>Week 38</v>
      </c>
      <c r="G2304" s="2" t="str">
        <f t="shared" si="143"/>
        <v>Week 38-2025</v>
      </c>
      <c r="O2304"/>
      <c r="Q2304"/>
    </row>
    <row r="2305" spans="1:17" hidden="1" x14ac:dyDescent="0.2">
      <c r="A2305" s="3">
        <v>45919</v>
      </c>
      <c r="B2305" s="2" t="s">
        <v>5</v>
      </c>
      <c r="C2305" s="2">
        <v>8</v>
      </c>
      <c r="D2305" s="2">
        <f t="shared" si="140"/>
        <v>2025</v>
      </c>
      <c r="E2305" s="2" t="str">
        <f t="shared" si="141"/>
        <v>2025-38</v>
      </c>
      <c r="F2305" s="2" t="str">
        <f t="shared" si="142"/>
        <v>Week 38</v>
      </c>
      <c r="G2305" s="2" t="str">
        <f t="shared" si="143"/>
        <v>Week 38-2025</v>
      </c>
      <c r="O2305"/>
      <c r="Q2305"/>
    </row>
    <row r="2306" spans="1:17" hidden="1" x14ac:dyDescent="0.2">
      <c r="A2306" s="3">
        <v>45919</v>
      </c>
      <c r="B2306" s="2" t="s">
        <v>14</v>
      </c>
      <c r="C2306" s="2">
        <v>9</v>
      </c>
      <c r="D2306" s="2">
        <f t="shared" ref="D2306:D2369" si="144">YEAR(A2306)</f>
        <v>2025</v>
      </c>
      <c r="E2306" s="2" t="str">
        <f t="shared" ref="E2306:E2369" si="145">YEAR(A2306)&amp;"-"&amp;_xlfn.ISOWEEKNUM(A2306)</f>
        <v>2025-38</v>
      </c>
      <c r="F2306" s="2" t="str">
        <f t="shared" ref="F2306:F2369" si="146">_xlfn.CONCAT("Week "&amp;WEEKNUM(A2306))</f>
        <v>Week 38</v>
      </c>
      <c r="G2306" s="2" t="str">
        <f t="shared" ref="G2306:G2369" si="147">_xlfn.CONCAT(F2306,"-",D2306)</f>
        <v>Week 38-2025</v>
      </c>
      <c r="O2306"/>
      <c r="Q2306"/>
    </row>
    <row r="2307" spans="1:17" hidden="1" x14ac:dyDescent="0.2">
      <c r="A2307" s="3">
        <v>45919</v>
      </c>
      <c r="B2307" s="2" t="s">
        <v>35</v>
      </c>
      <c r="C2307" s="2">
        <v>8</v>
      </c>
      <c r="D2307" s="2">
        <f t="shared" si="144"/>
        <v>2025</v>
      </c>
      <c r="E2307" s="2" t="str">
        <f t="shared" si="145"/>
        <v>2025-38</v>
      </c>
      <c r="F2307" s="2" t="str">
        <f t="shared" si="146"/>
        <v>Week 38</v>
      </c>
      <c r="G2307" s="2" t="str">
        <f t="shared" si="147"/>
        <v>Week 38-2025</v>
      </c>
      <c r="O2307"/>
      <c r="Q2307"/>
    </row>
    <row r="2308" spans="1:17" hidden="1" x14ac:dyDescent="0.2">
      <c r="A2308" s="3">
        <v>45919</v>
      </c>
      <c r="B2308" s="2" t="s">
        <v>28</v>
      </c>
      <c r="C2308" s="2">
        <v>8</v>
      </c>
      <c r="D2308" s="2">
        <f t="shared" si="144"/>
        <v>2025</v>
      </c>
      <c r="E2308" s="2" t="str">
        <f t="shared" si="145"/>
        <v>2025-38</v>
      </c>
      <c r="F2308" s="2" t="str">
        <f t="shared" si="146"/>
        <v>Week 38</v>
      </c>
      <c r="G2308" s="2" t="str">
        <f t="shared" si="147"/>
        <v>Week 38-2025</v>
      </c>
      <c r="O2308"/>
      <c r="Q2308"/>
    </row>
    <row r="2309" spans="1:17" hidden="1" x14ac:dyDescent="0.2">
      <c r="A2309" s="3">
        <v>45919</v>
      </c>
      <c r="B2309" s="2" t="s">
        <v>23</v>
      </c>
      <c r="C2309" s="2">
        <v>2</v>
      </c>
      <c r="D2309" s="2">
        <f t="shared" si="144"/>
        <v>2025</v>
      </c>
      <c r="E2309" s="2" t="str">
        <f t="shared" si="145"/>
        <v>2025-38</v>
      </c>
      <c r="F2309" s="2" t="str">
        <f t="shared" si="146"/>
        <v>Week 38</v>
      </c>
      <c r="G2309" s="2" t="str">
        <f t="shared" si="147"/>
        <v>Week 38-2025</v>
      </c>
      <c r="O2309"/>
      <c r="Q2309"/>
    </row>
    <row r="2310" spans="1:17" hidden="1" x14ac:dyDescent="0.2">
      <c r="A2310" s="3">
        <v>45919</v>
      </c>
      <c r="B2310" s="2" t="s">
        <v>4</v>
      </c>
      <c r="C2310" s="2">
        <v>2</v>
      </c>
      <c r="D2310" s="2">
        <f t="shared" si="144"/>
        <v>2025</v>
      </c>
      <c r="E2310" s="2" t="str">
        <f t="shared" si="145"/>
        <v>2025-38</v>
      </c>
      <c r="F2310" s="2" t="str">
        <f t="shared" si="146"/>
        <v>Week 38</v>
      </c>
      <c r="G2310" s="2" t="str">
        <f t="shared" si="147"/>
        <v>Week 38-2025</v>
      </c>
      <c r="O2310"/>
      <c r="Q2310"/>
    </row>
    <row r="2311" spans="1:17" hidden="1" x14ac:dyDescent="0.2">
      <c r="A2311" s="3">
        <v>45919</v>
      </c>
      <c r="B2311" s="2" t="s">
        <v>8</v>
      </c>
      <c r="C2311" s="2">
        <v>4</v>
      </c>
      <c r="D2311" s="2">
        <f t="shared" si="144"/>
        <v>2025</v>
      </c>
      <c r="E2311" s="2" t="str">
        <f t="shared" si="145"/>
        <v>2025-38</v>
      </c>
      <c r="F2311" s="2" t="str">
        <f t="shared" si="146"/>
        <v>Week 38</v>
      </c>
      <c r="G2311" s="2" t="str">
        <f t="shared" si="147"/>
        <v>Week 38-2025</v>
      </c>
      <c r="O2311"/>
      <c r="Q2311"/>
    </row>
    <row r="2312" spans="1:17" hidden="1" x14ac:dyDescent="0.2">
      <c r="A2312" s="3">
        <v>45919</v>
      </c>
      <c r="B2312" s="2" t="s">
        <v>9</v>
      </c>
      <c r="C2312" s="2">
        <v>2</v>
      </c>
      <c r="D2312" s="2">
        <f t="shared" si="144"/>
        <v>2025</v>
      </c>
      <c r="E2312" s="2" t="str">
        <f t="shared" si="145"/>
        <v>2025-38</v>
      </c>
      <c r="F2312" s="2" t="str">
        <f t="shared" si="146"/>
        <v>Week 38</v>
      </c>
      <c r="G2312" s="2" t="str">
        <f t="shared" si="147"/>
        <v>Week 38-2025</v>
      </c>
      <c r="O2312"/>
      <c r="Q2312"/>
    </row>
    <row r="2313" spans="1:17" hidden="1" x14ac:dyDescent="0.2">
      <c r="A2313" s="3">
        <v>45919</v>
      </c>
      <c r="B2313" s="2" t="s">
        <v>8</v>
      </c>
      <c r="C2313" s="2">
        <v>4</v>
      </c>
      <c r="D2313" s="2">
        <f t="shared" si="144"/>
        <v>2025</v>
      </c>
      <c r="E2313" s="2" t="str">
        <f t="shared" si="145"/>
        <v>2025-38</v>
      </c>
      <c r="F2313" s="2" t="str">
        <f t="shared" si="146"/>
        <v>Week 38</v>
      </c>
      <c r="G2313" s="2" t="str">
        <f t="shared" si="147"/>
        <v>Week 38-2025</v>
      </c>
      <c r="O2313"/>
      <c r="Q2313"/>
    </row>
    <row r="2314" spans="1:17" hidden="1" x14ac:dyDescent="0.2">
      <c r="A2314" s="3">
        <v>45919</v>
      </c>
      <c r="B2314" s="2" t="s">
        <v>11</v>
      </c>
      <c r="C2314" s="2">
        <v>1</v>
      </c>
      <c r="D2314" s="2">
        <f t="shared" si="144"/>
        <v>2025</v>
      </c>
      <c r="E2314" s="2" t="str">
        <f t="shared" si="145"/>
        <v>2025-38</v>
      </c>
      <c r="F2314" s="2" t="str">
        <f t="shared" si="146"/>
        <v>Week 38</v>
      </c>
      <c r="G2314" s="2" t="str">
        <f t="shared" si="147"/>
        <v>Week 38-2025</v>
      </c>
      <c r="O2314"/>
      <c r="Q2314"/>
    </row>
    <row r="2315" spans="1:17" hidden="1" x14ac:dyDescent="0.2">
      <c r="A2315" s="3">
        <v>45919</v>
      </c>
      <c r="B2315" s="2" t="s">
        <v>11</v>
      </c>
      <c r="C2315" s="2">
        <v>1</v>
      </c>
      <c r="D2315" s="2">
        <f t="shared" si="144"/>
        <v>2025</v>
      </c>
      <c r="E2315" s="2" t="str">
        <f t="shared" si="145"/>
        <v>2025-38</v>
      </c>
      <c r="F2315" s="2" t="str">
        <f t="shared" si="146"/>
        <v>Week 38</v>
      </c>
      <c r="G2315" s="2" t="str">
        <f t="shared" si="147"/>
        <v>Week 38-2025</v>
      </c>
      <c r="O2315"/>
      <c r="Q2315"/>
    </row>
    <row r="2316" spans="1:17" hidden="1" x14ac:dyDescent="0.2">
      <c r="A2316" s="3">
        <v>45919</v>
      </c>
      <c r="B2316" s="2" t="s">
        <v>3</v>
      </c>
      <c r="C2316" s="2">
        <v>2</v>
      </c>
      <c r="D2316" s="2">
        <f t="shared" si="144"/>
        <v>2025</v>
      </c>
      <c r="E2316" s="2" t="str">
        <f t="shared" si="145"/>
        <v>2025-38</v>
      </c>
      <c r="F2316" s="2" t="str">
        <f t="shared" si="146"/>
        <v>Week 38</v>
      </c>
      <c r="G2316" s="2" t="str">
        <f t="shared" si="147"/>
        <v>Week 38-2025</v>
      </c>
      <c r="O2316"/>
      <c r="Q2316"/>
    </row>
    <row r="2317" spans="1:17" hidden="1" x14ac:dyDescent="0.2">
      <c r="A2317" s="3">
        <v>45919</v>
      </c>
      <c r="B2317" s="2" t="s">
        <v>29</v>
      </c>
      <c r="C2317" s="2">
        <v>2</v>
      </c>
      <c r="D2317" s="2">
        <f t="shared" si="144"/>
        <v>2025</v>
      </c>
      <c r="E2317" s="2" t="str">
        <f t="shared" si="145"/>
        <v>2025-38</v>
      </c>
      <c r="F2317" s="2" t="str">
        <f t="shared" si="146"/>
        <v>Week 38</v>
      </c>
      <c r="G2317" s="2" t="str">
        <f t="shared" si="147"/>
        <v>Week 38-2025</v>
      </c>
      <c r="O2317"/>
      <c r="Q2317"/>
    </row>
    <row r="2318" spans="1:17" hidden="1" x14ac:dyDescent="0.2">
      <c r="A2318" s="3">
        <v>45919</v>
      </c>
      <c r="B2318" s="2" t="s">
        <v>12</v>
      </c>
      <c r="C2318" s="2">
        <v>1</v>
      </c>
      <c r="D2318" s="2">
        <f t="shared" si="144"/>
        <v>2025</v>
      </c>
      <c r="E2318" s="2" t="str">
        <f t="shared" si="145"/>
        <v>2025-38</v>
      </c>
      <c r="F2318" s="2" t="str">
        <f t="shared" si="146"/>
        <v>Week 38</v>
      </c>
      <c r="G2318" s="2" t="str">
        <f t="shared" si="147"/>
        <v>Week 38-2025</v>
      </c>
      <c r="O2318"/>
      <c r="Q2318"/>
    </row>
    <row r="2319" spans="1:17" hidden="1" x14ac:dyDescent="0.2">
      <c r="A2319" s="3">
        <v>45919</v>
      </c>
      <c r="B2319" s="2" t="s">
        <v>12</v>
      </c>
      <c r="C2319" s="2">
        <v>1</v>
      </c>
      <c r="D2319" s="2">
        <f t="shared" si="144"/>
        <v>2025</v>
      </c>
      <c r="E2319" s="2" t="str">
        <f t="shared" si="145"/>
        <v>2025-38</v>
      </c>
      <c r="F2319" s="2" t="str">
        <f t="shared" si="146"/>
        <v>Week 38</v>
      </c>
      <c r="G2319" s="2" t="str">
        <f t="shared" si="147"/>
        <v>Week 38-2025</v>
      </c>
      <c r="O2319"/>
      <c r="Q2319"/>
    </row>
    <row r="2320" spans="1:17" hidden="1" x14ac:dyDescent="0.2">
      <c r="A2320" s="3">
        <v>45919</v>
      </c>
      <c r="B2320" s="2" t="s">
        <v>17</v>
      </c>
      <c r="C2320" s="2">
        <v>2</v>
      </c>
      <c r="D2320" s="2">
        <f t="shared" si="144"/>
        <v>2025</v>
      </c>
      <c r="E2320" s="2" t="str">
        <f t="shared" si="145"/>
        <v>2025-38</v>
      </c>
      <c r="F2320" s="2" t="str">
        <f t="shared" si="146"/>
        <v>Week 38</v>
      </c>
      <c r="G2320" s="2" t="str">
        <f t="shared" si="147"/>
        <v>Week 38-2025</v>
      </c>
      <c r="O2320"/>
      <c r="Q2320"/>
    </row>
    <row r="2321" spans="1:17" hidden="1" x14ac:dyDescent="0.2">
      <c r="A2321" s="3">
        <v>45919</v>
      </c>
      <c r="B2321" s="2" t="s">
        <v>51</v>
      </c>
      <c r="C2321" s="2">
        <v>4</v>
      </c>
      <c r="D2321" s="2">
        <f t="shared" si="144"/>
        <v>2025</v>
      </c>
      <c r="E2321" s="2" t="str">
        <f t="shared" si="145"/>
        <v>2025-38</v>
      </c>
      <c r="F2321" s="2" t="str">
        <f t="shared" si="146"/>
        <v>Week 38</v>
      </c>
      <c r="G2321" s="2" t="str">
        <f t="shared" si="147"/>
        <v>Week 38-2025</v>
      </c>
      <c r="O2321"/>
      <c r="Q2321"/>
    </row>
    <row r="2322" spans="1:17" hidden="1" x14ac:dyDescent="0.2">
      <c r="A2322" s="3">
        <v>45919</v>
      </c>
      <c r="B2322" s="2" t="s">
        <v>10</v>
      </c>
      <c r="C2322" s="2">
        <v>2</v>
      </c>
      <c r="D2322" s="2">
        <f t="shared" si="144"/>
        <v>2025</v>
      </c>
      <c r="E2322" s="2" t="str">
        <f t="shared" si="145"/>
        <v>2025-38</v>
      </c>
      <c r="F2322" s="2" t="str">
        <f t="shared" si="146"/>
        <v>Week 38</v>
      </c>
      <c r="G2322" s="2" t="str">
        <f t="shared" si="147"/>
        <v>Week 38-2025</v>
      </c>
      <c r="O2322"/>
      <c r="Q2322"/>
    </row>
    <row r="2323" spans="1:17" hidden="1" x14ac:dyDescent="0.2">
      <c r="A2323" s="3">
        <v>45919</v>
      </c>
      <c r="B2323" s="2" t="s">
        <v>10</v>
      </c>
      <c r="C2323" s="2">
        <v>2</v>
      </c>
      <c r="D2323" s="2">
        <f t="shared" si="144"/>
        <v>2025</v>
      </c>
      <c r="E2323" s="2" t="str">
        <f t="shared" si="145"/>
        <v>2025-38</v>
      </c>
      <c r="F2323" s="2" t="str">
        <f t="shared" si="146"/>
        <v>Week 38</v>
      </c>
      <c r="G2323" s="2" t="str">
        <f t="shared" si="147"/>
        <v>Week 38-2025</v>
      </c>
      <c r="O2323"/>
      <c r="Q2323"/>
    </row>
    <row r="2324" spans="1:17" hidden="1" x14ac:dyDescent="0.2">
      <c r="A2324" s="3">
        <v>45919</v>
      </c>
      <c r="B2324" s="2" t="s">
        <v>19</v>
      </c>
      <c r="C2324" s="2">
        <v>1</v>
      </c>
      <c r="D2324" s="2">
        <f t="shared" si="144"/>
        <v>2025</v>
      </c>
      <c r="E2324" s="2" t="str">
        <f t="shared" si="145"/>
        <v>2025-38</v>
      </c>
      <c r="F2324" s="2" t="str">
        <f t="shared" si="146"/>
        <v>Week 38</v>
      </c>
      <c r="G2324" s="2" t="str">
        <f t="shared" si="147"/>
        <v>Week 38-2025</v>
      </c>
      <c r="O2324"/>
      <c r="Q2324"/>
    </row>
    <row r="2325" spans="1:17" hidden="1" x14ac:dyDescent="0.2">
      <c r="A2325" s="3">
        <v>45919</v>
      </c>
      <c r="B2325" s="2" t="s">
        <v>15</v>
      </c>
      <c r="C2325" s="2">
        <v>2</v>
      </c>
      <c r="D2325" s="2">
        <f t="shared" si="144"/>
        <v>2025</v>
      </c>
      <c r="E2325" s="2" t="str">
        <f t="shared" si="145"/>
        <v>2025-38</v>
      </c>
      <c r="F2325" s="2" t="str">
        <f t="shared" si="146"/>
        <v>Week 38</v>
      </c>
      <c r="G2325" s="2" t="str">
        <f t="shared" si="147"/>
        <v>Week 38-2025</v>
      </c>
      <c r="O2325"/>
      <c r="Q2325"/>
    </row>
    <row r="2326" spans="1:17" hidden="1" x14ac:dyDescent="0.2">
      <c r="A2326" s="3">
        <v>45920</v>
      </c>
      <c r="B2326" s="2" t="s">
        <v>5</v>
      </c>
      <c r="C2326" s="2">
        <v>12</v>
      </c>
      <c r="D2326" s="2">
        <f t="shared" si="144"/>
        <v>2025</v>
      </c>
      <c r="E2326" s="2" t="str">
        <f t="shared" si="145"/>
        <v>2025-38</v>
      </c>
      <c r="F2326" s="2" t="str">
        <f t="shared" si="146"/>
        <v>Week 38</v>
      </c>
      <c r="G2326" s="2" t="str">
        <f t="shared" si="147"/>
        <v>Week 38-2025</v>
      </c>
      <c r="O2326"/>
      <c r="Q2326"/>
    </row>
    <row r="2327" spans="1:17" hidden="1" x14ac:dyDescent="0.2">
      <c r="A2327" s="3">
        <v>45920</v>
      </c>
      <c r="B2327" s="2" t="s">
        <v>9</v>
      </c>
      <c r="C2327" s="2">
        <v>4</v>
      </c>
      <c r="D2327" s="2">
        <f t="shared" si="144"/>
        <v>2025</v>
      </c>
      <c r="E2327" s="2" t="str">
        <f t="shared" si="145"/>
        <v>2025-38</v>
      </c>
      <c r="F2327" s="2" t="str">
        <f t="shared" si="146"/>
        <v>Week 38</v>
      </c>
      <c r="G2327" s="2" t="str">
        <f t="shared" si="147"/>
        <v>Week 38-2025</v>
      </c>
      <c r="O2327"/>
      <c r="Q2327"/>
    </row>
    <row r="2328" spans="1:17" hidden="1" x14ac:dyDescent="0.2">
      <c r="A2328" s="3">
        <v>45921</v>
      </c>
      <c r="B2328" s="2" t="s">
        <v>12</v>
      </c>
      <c r="C2328" s="2">
        <v>12</v>
      </c>
      <c r="D2328" s="2">
        <f t="shared" si="144"/>
        <v>2025</v>
      </c>
      <c r="E2328" s="2" t="str">
        <f t="shared" si="145"/>
        <v>2025-38</v>
      </c>
      <c r="F2328" s="2" t="str">
        <f t="shared" si="146"/>
        <v>Week 39</v>
      </c>
      <c r="G2328" s="2" t="str">
        <f t="shared" si="147"/>
        <v>Week 39-2025</v>
      </c>
      <c r="O2328"/>
      <c r="Q2328"/>
    </row>
    <row r="2329" spans="1:17" hidden="1" x14ac:dyDescent="0.2">
      <c r="A2329" s="3">
        <v>45921</v>
      </c>
      <c r="B2329" s="2" t="s">
        <v>4</v>
      </c>
      <c r="C2329" s="2">
        <v>5</v>
      </c>
      <c r="D2329" s="2">
        <f t="shared" si="144"/>
        <v>2025</v>
      </c>
      <c r="E2329" s="2" t="str">
        <f t="shared" si="145"/>
        <v>2025-38</v>
      </c>
      <c r="F2329" s="2" t="str">
        <f t="shared" si="146"/>
        <v>Week 39</v>
      </c>
      <c r="G2329" s="2" t="str">
        <f t="shared" si="147"/>
        <v>Week 39-2025</v>
      </c>
      <c r="O2329"/>
      <c r="Q2329"/>
    </row>
    <row r="2330" spans="1:17" hidden="1" x14ac:dyDescent="0.2">
      <c r="A2330" s="3">
        <v>45921</v>
      </c>
      <c r="B2330" s="2" t="s">
        <v>6</v>
      </c>
      <c r="C2330" s="2">
        <v>4</v>
      </c>
      <c r="D2330" s="2">
        <f t="shared" si="144"/>
        <v>2025</v>
      </c>
      <c r="E2330" s="2" t="str">
        <f t="shared" si="145"/>
        <v>2025-38</v>
      </c>
      <c r="F2330" s="2" t="str">
        <f t="shared" si="146"/>
        <v>Week 39</v>
      </c>
      <c r="G2330" s="2" t="str">
        <f t="shared" si="147"/>
        <v>Week 39-2025</v>
      </c>
      <c r="O2330"/>
      <c r="Q2330"/>
    </row>
    <row r="2331" spans="1:17" hidden="1" x14ac:dyDescent="0.2">
      <c r="A2331" s="3">
        <v>45921</v>
      </c>
      <c r="B2331" s="2" t="s">
        <v>15</v>
      </c>
      <c r="C2331" s="2">
        <v>12</v>
      </c>
      <c r="D2331" s="2">
        <f t="shared" si="144"/>
        <v>2025</v>
      </c>
      <c r="E2331" s="2" t="str">
        <f t="shared" si="145"/>
        <v>2025-38</v>
      </c>
      <c r="F2331" s="2" t="str">
        <f t="shared" si="146"/>
        <v>Week 39</v>
      </c>
      <c r="G2331" s="2" t="str">
        <f t="shared" si="147"/>
        <v>Week 39-2025</v>
      </c>
      <c r="O2331"/>
      <c r="Q2331"/>
    </row>
    <row r="2332" spans="1:17" hidden="1" x14ac:dyDescent="0.2">
      <c r="A2332" s="3">
        <v>45921</v>
      </c>
      <c r="B2332" s="2" t="s">
        <v>7</v>
      </c>
      <c r="C2332" s="2">
        <v>4</v>
      </c>
      <c r="D2332" s="2">
        <f t="shared" si="144"/>
        <v>2025</v>
      </c>
      <c r="E2332" s="2" t="str">
        <f t="shared" si="145"/>
        <v>2025-38</v>
      </c>
      <c r="F2332" s="2" t="str">
        <f t="shared" si="146"/>
        <v>Week 39</v>
      </c>
      <c r="G2332" s="2" t="str">
        <f t="shared" si="147"/>
        <v>Week 39-2025</v>
      </c>
      <c r="O2332"/>
      <c r="Q2332"/>
    </row>
    <row r="2333" spans="1:17" hidden="1" x14ac:dyDescent="0.2">
      <c r="A2333" s="3">
        <v>45921</v>
      </c>
      <c r="B2333" s="2" t="s">
        <v>27</v>
      </c>
      <c r="C2333" s="2">
        <v>10</v>
      </c>
      <c r="D2333" s="2">
        <f t="shared" si="144"/>
        <v>2025</v>
      </c>
      <c r="E2333" s="2" t="str">
        <f t="shared" si="145"/>
        <v>2025-38</v>
      </c>
      <c r="F2333" s="2" t="str">
        <f t="shared" si="146"/>
        <v>Week 39</v>
      </c>
      <c r="G2333" s="2" t="str">
        <f t="shared" si="147"/>
        <v>Week 39-2025</v>
      </c>
      <c r="O2333"/>
      <c r="Q2333"/>
    </row>
    <row r="2334" spans="1:17" hidden="1" x14ac:dyDescent="0.2">
      <c r="A2334" s="3">
        <v>45921</v>
      </c>
      <c r="B2334" s="2" t="s">
        <v>9</v>
      </c>
      <c r="C2334" s="2">
        <v>4</v>
      </c>
      <c r="D2334" s="2">
        <f t="shared" si="144"/>
        <v>2025</v>
      </c>
      <c r="E2334" s="2" t="str">
        <f t="shared" si="145"/>
        <v>2025-38</v>
      </c>
      <c r="F2334" s="2" t="str">
        <f t="shared" si="146"/>
        <v>Week 39</v>
      </c>
      <c r="G2334" s="2" t="str">
        <f t="shared" si="147"/>
        <v>Week 39-2025</v>
      </c>
      <c r="O2334"/>
      <c r="Q2334"/>
    </row>
    <row r="2335" spans="1:17" hidden="1" x14ac:dyDescent="0.2">
      <c r="A2335" s="3">
        <v>45921</v>
      </c>
      <c r="B2335" s="2" t="s">
        <v>37</v>
      </c>
      <c r="C2335" s="2">
        <v>4</v>
      </c>
      <c r="D2335" s="2">
        <f t="shared" si="144"/>
        <v>2025</v>
      </c>
      <c r="E2335" s="2" t="str">
        <f t="shared" si="145"/>
        <v>2025-38</v>
      </c>
      <c r="F2335" s="2" t="str">
        <f t="shared" si="146"/>
        <v>Week 39</v>
      </c>
      <c r="G2335" s="2" t="str">
        <f t="shared" si="147"/>
        <v>Week 39-2025</v>
      </c>
      <c r="O2335"/>
      <c r="Q2335"/>
    </row>
    <row r="2336" spans="1:17" hidden="1" x14ac:dyDescent="0.2">
      <c r="A2336" s="3">
        <v>45921</v>
      </c>
      <c r="B2336" s="2" t="s">
        <v>30</v>
      </c>
      <c r="C2336" s="2">
        <v>4</v>
      </c>
      <c r="D2336" s="2">
        <f t="shared" si="144"/>
        <v>2025</v>
      </c>
      <c r="E2336" s="2" t="str">
        <f t="shared" si="145"/>
        <v>2025-38</v>
      </c>
      <c r="F2336" s="2" t="str">
        <f t="shared" si="146"/>
        <v>Week 39</v>
      </c>
      <c r="G2336" s="2" t="str">
        <f t="shared" si="147"/>
        <v>Week 39-2025</v>
      </c>
      <c r="O2336"/>
      <c r="Q2336"/>
    </row>
    <row r="2337" spans="1:17" hidden="1" x14ac:dyDescent="0.2">
      <c r="A2337" s="3">
        <v>45921</v>
      </c>
      <c r="B2337" s="2" t="s">
        <v>3</v>
      </c>
      <c r="C2337" s="2">
        <v>2</v>
      </c>
      <c r="D2337" s="2">
        <f t="shared" si="144"/>
        <v>2025</v>
      </c>
      <c r="E2337" s="2" t="str">
        <f t="shared" si="145"/>
        <v>2025-38</v>
      </c>
      <c r="F2337" s="2" t="str">
        <f t="shared" si="146"/>
        <v>Week 39</v>
      </c>
      <c r="G2337" s="2" t="str">
        <f t="shared" si="147"/>
        <v>Week 39-2025</v>
      </c>
      <c r="O2337"/>
      <c r="Q2337"/>
    </row>
    <row r="2338" spans="1:17" hidden="1" x14ac:dyDescent="0.2">
      <c r="A2338" s="3">
        <v>45921</v>
      </c>
      <c r="B2338" s="2" t="s">
        <v>17</v>
      </c>
      <c r="C2338" s="2">
        <v>2</v>
      </c>
      <c r="D2338" s="2">
        <f t="shared" si="144"/>
        <v>2025</v>
      </c>
      <c r="E2338" s="2" t="str">
        <f t="shared" si="145"/>
        <v>2025-38</v>
      </c>
      <c r="F2338" s="2" t="str">
        <f t="shared" si="146"/>
        <v>Week 39</v>
      </c>
      <c r="G2338" s="2" t="str">
        <f t="shared" si="147"/>
        <v>Week 39-2025</v>
      </c>
      <c r="O2338"/>
      <c r="Q2338"/>
    </row>
    <row r="2339" spans="1:17" hidden="1" x14ac:dyDescent="0.2">
      <c r="A2339" s="3">
        <v>45921</v>
      </c>
      <c r="B2339" s="2" t="s">
        <v>19</v>
      </c>
      <c r="C2339" s="2">
        <v>1</v>
      </c>
      <c r="D2339" s="2">
        <f t="shared" si="144"/>
        <v>2025</v>
      </c>
      <c r="E2339" s="2" t="str">
        <f t="shared" si="145"/>
        <v>2025-38</v>
      </c>
      <c r="F2339" s="2" t="str">
        <f t="shared" si="146"/>
        <v>Week 39</v>
      </c>
      <c r="G2339" s="2" t="str">
        <f t="shared" si="147"/>
        <v>Week 39-2025</v>
      </c>
      <c r="O2339"/>
      <c r="Q2339"/>
    </row>
    <row r="2340" spans="1:17" hidden="1" x14ac:dyDescent="0.2">
      <c r="A2340" s="3">
        <v>45921</v>
      </c>
      <c r="B2340" s="2" t="s">
        <v>31</v>
      </c>
      <c r="C2340" s="2">
        <v>2</v>
      </c>
      <c r="D2340" s="2">
        <f t="shared" si="144"/>
        <v>2025</v>
      </c>
      <c r="E2340" s="2" t="str">
        <f t="shared" si="145"/>
        <v>2025-38</v>
      </c>
      <c r="F2340" s="2" t="str">
        <f t="shared" si="146"/>
        <v>Week 39</v>
      </c>
      <c r="G2340" s="2" t="str">
        <f t="shared" si="147"/>
        <v>Week 39-2025</v>
      </c>
      <c r="O2340"/>
      <c r="Q2340"/>
    </row>
    <row r="2341" spans="1:17" hidden="1" x14ac:dyDescent="0.2">
      <c r="A2341" s="3">
        <v>45921</v>
      </c>
      <c r="B2341" s="2" t="s">
        <v>4</v>
      </c>
      <c r="C2341" s="2">
        <v>1</v>
      </c>
      <c r="D2341" s="2">
        <f t="shared" si="144"/>
        <v>2025</v>
      </c>
      <c r="E2341" s="2" t="str">
        <f t="shared" si="145"/>
        <v>2025-38</v>
      </c>
      <c r="F2341" s="2" t="str">
        <f t="shared" si="146"/>
        <v>Week 39</v>
      </c>
      <c r="G2341" s="2" t="str">
        <f t="shared" si="147"/>
        <v>Week 39-2025</v>
      </c>
      <c r="O2341"/>
      <c r="Q2341"/>
    </row>
    <row r="2342" spans="1:17" hidden="1" x14ac:dyDescent="0.2">
      <c r="A2342" s="3">
        <v>45921</v>
      </c>
      <c r="B2342" s="2" t="s">
        <v>30</v>
      </c>
      <c r="C2342" s="2">
        <v>2</v>
      </c>
      <c r="D2342" s="2">
        <f t="shared" si="144"/>
        <v>2025</v>
      </c>
      <c r="E2342" s="2" t="str">
        <f t="shared" si="145"/>
        <v>2025-38</v>
      </c>
      <c r="F2342" s="2" t="str">
        <f t="shared" si="146"/>
        <v>Week 39</v>
      </c>
      <c r="G2342" s="2" t="str">
        <f t="shared" si="147"/>
        <v>Week 39-2025</v>
      </c>
      <c r="O2342"/>
      <c r="Q2342"/>
    </row>
    <row r="2343" spans="1:17" hidden="1" x14ac:dyDescent="0.2">
      <c r="A2343" s="3">
        <v>45921</v>
      </c>
      <c r="B2343" s="2" t="s">
        <v>14</v>
      </c>
      <c r="C2343" s="2">
        <v>1</v>
      </c>
      <c r="D2343" s="2">
        <f t="shared" si="144"/>
        <v>2025</v>
      </c>
      <c r="E2343" s="2" t="str">
        <f t="shared" si="145"/>
        <v>2025-38</v>
      </c>
      <c r="F2343" s="2" t="str">
        <f t="shared" si="146"/>
        <v>Week 39</v>
      </c>
      <c r="G2343" s="2" t="str">
        <f t="shared" si="147"/>
        <v>Week 39-2025</v>
      </c>
      <c r="O2343"/>
      <c r="Q2343"/>
    </row>
    <row r="2344" spans="1:17" hidden="1" x14ac:dyDescent="0.2">
      <c r="A2344" s="3">
        <v>45922</v>
      </c>
      <c r="B2344" s="2" t="s">
        <v>14</v>
      </c>
      <c r="C2344" s="2">
        <v>6</v>
      </c>
      <c r="D2344" s="2">
        <f t="shared" si="144"/>
        <v>2025</v>
      </c>
      <c r="E2344" s="2" t="str">
        <f t="shared" si="145"/>
        <v>2025-39</v>
      </c>
      <c r="F2344" s="2" t="str">
        <f t="shared" si="146"/>
        <v>Week 39</v>
      </c>
      <c r="G2344" s="2" t="str">
        <f t="shared" si="147"/>
        <v>Week 39-2025</v>
      </c>
      <c r="O2344"/>
      <c r="Q2344"/>
    </row>
    <row r="2345" spans="1:17" hidden="1" x14ac:dyDescent="0.2">
      <c r="A2345" s="3">
        <v>45922</v>
      </c>
      <c r="B2345" s="2" t="s">
        <v>3</v>
      </c>
      <c r="C2345" s="2">
        <v>4</v>
      </c>
      <c r="D2345" s="2">
        <f t="shared" si="144"/>
        <v>2025</v>
      </c>
      <c r="E2345" s="2" t="str">
        <f t="shared" si="145"/>
        <v>2025-39</v>
      </c>
      <c r="F2345" s="2" t="str">
        <f t="shared" si="146"/>
        <v>Week 39</v>
      </c>
      <c r="G2345" s="2" t="str">
        <f t="shared" si="147"/>
        <v>Week 39-2025</v>
      </c>
      <c r="O2345"/>
      <c r="Q2345"/>
    </row>
    <row r="2346" spans="1:17" hidden="1" x14ac:dyDescent="0.2">
      <c r="A2346" s="3">
        <v>45923</v>
      </c>
      <c r="B2346" s="2" t="s">
        <v>3</v>
      </c>
      <c r="C2346" s="2">
        <v>16</v>
      </c>
      <c r="D2346" s="2">
        <f t="shared" si="144"/>
        <v>2025</v>
      </c>
      <c r="E2346" s="2" t="str">
        <f t="shared" si="145"/>
        <v>2025-39</v>
      </c>
      <c r="F2346" s="2" t="str">
        <f t="shared" si="146"/>
        <v>Week 39</v>
      </c>
      <c r="G2346" s="2" t="str">
        <f t="shared" si="147"/>
        <v>Week 39-2025</v>
      </c>
      <c r="O2346"/>
      <c r="Q2346"/>
    </row>
    <row r="2347" spans="1:17" hidden="1" x14ac:dyDescent="0.2">
      <c r="A2347" s="3">
        <v>45923</v>
      </c>
      <c r="B2347" s="2" t="s">
        <v>7</v>
      </c>
      <c r="C2347" s="2">
        <v>10</v>
      </c>
      <c r="D2347" s="2">
        <f t="shared" si="144"/>
        <v>2025</v>
      </c>
      <c r="E2347" s="2" t="str">
        <f t="shared" si="145"/>
        <v>2025-39</v>
      </c>
      <c r="F2347" s="2" t="str">
        <f t="shared" si="146"/>
        <v>Week 39</v>
      </c>
      <c r="G2347" s="2" t="str">
        <f t="shared" si="147"/>
        <v>Week 39-2025</v>
      </c>
      <c r="O2347"/>
      <c r="Q2347"/>
    </row>
    <row r="2348" spans="1:17" hidden="1" x14ac:dyDescent="0.2">
      <c r="A2348" s="3">
        <v>45923</v>
      </c>
      <c r="B2348" s="2" t="s">
        <v>4</v>
      </c>
      <c r="C2348" s="2">
        <v>11</v>
      </c>
      <c r="D2348" s="2">
        <f t="shared" si="144"/>
        <v>2025</v>
      </c>
      <c r="E2348" s="2" t="str">
        <f t="shared" si="145"/>
        <v>2025-39</v>
      </c>
      <c r="F2348" s="2" t="str">
        <f t="shared" si="146"/>
        <v>Week 39</v>
      </c>
      <c r="G2348" s="2" t="str">
        <f t="shared" si="147"/>
        <v>Week 39-2025</v>
      </c>
      <c r="O2348"/>
      <c r="Q2348"/>
    </row>
    <row r="2349" spans="1:17" hidden="1" x14ac:dyDescent="0.2">
      <c r="A2349" s="3">
        <v>45923</v>
      </c>
      <c r="B2349" s="2" t="s">
        <v>4</v>
      </c>
      <c r="C2349" s="2">
        <v>8</v>
      </c>
      <c r="D2349" s="2">
        <f t="shared" si="144"/>
        <v>2025</v>
      </c>
      <c r="E2349" s="2" t="str">
        <f t="shared" si="145"/>
        <v>2025-39</v>
      </c>
      <c r="F2349" s="2" t="str">
        <f t="shared" si="146"/>
        <v>Week 39</v>
      </c>
      <c r="G2349" s="2" t="str">
        <f t="shared" si="147"/>
        <v>Week 39-2025</v>
      </c>
      <c r="O2349"/>
      <c r="Q2349"/>
    </row>
    <row r="2350" spans="1:17" hidden="1" x14ac:dyDescent="0.2">
      <c r="A2350" s="3">
        <v>45923</v>
      </c>
      <c r="B2350" s="2" t="s">
        <v>9</v>
      </c>
      <c r="C2350" s="2">
        <v>6</v>
      </c>
      <c r="D2350" s="2">
        <f t="shared" si="144"/>
        <v>2025</v>
      </c>
      <c r="E2350" s="2" t="str">
        <f t="shared" si="145"/>
        <v>2025-39</v>
      </c>
      <c r="F2350" s="2" t="str">
        <f t="shared" si="146"/>
        <v>Week 39</v>
      </c>
      <c r="G2350" s="2" t="str">
        <f t="shared" si="147"/>
        <v>Week 39-2025</v>
      </c>
      <c r="O2350"/>
      <c r="Q2350"/>
    </row>
    <row r="2351" spans="1:17" hidden="1" x14ac:dyDescent="0.2">
      <c r="A2351" s="3">
        <v>45923</v>
      </c>
      <c r="B2351" s="2" t="s">
        <v>4</v>
      </c>
      <c r="C2351" s="2">
        <v>6</v>
      </c>
      <c r="D2351" s="2">
        <f t="shared" si="144"/>
        <v>2025</v>
      </c>
      <c r="E2351" s="2" t="str">
        <f t="shared" si="145"/>
        <v>2025-39</v>
      </c>
      <c r="F2351" s="2" t="str">
        <f t="shared" si="146"/>
        <v>Week 39</v>
      </c>
      <c r="G2351" s="2" t="str">
        <f t="shared" si="147"/>
        <v>Week 39-2025</v>
      </c>
      <c r="O2351"/>
      <c r="Q2351"/>
    </row>
    <row r="2352" spans="1:17" hidden="1" x14ac:dyDescent="0.2">
      <c r="A2352" s="3">
        <v>45923</v>
      </c>
      <c r="B2352" s="2" t="s">
        <v>4</v>
      </c>
      <c r="C2352" s="2">
        <v>6</v>
      </c>
      <c r="D2352" s="2">
        <f t="shared" si="144"/>
        <v>2025</v>
      </c>
      <c r="E2352" s="2" t="str">
        <f t="shared" si="145"/>
        <v>2025-39</v>
      </c>
      <c r="F2352" s="2" t="str">
        <f t="shared" si="146"/>
        <v>Week 39</v>
      </c>
      <c r="G2352" s="2" t="str">
        <f t="shared" si="147"/>
        <v>Week 39-2025</v>
      </c>
      <c r="O2352"/>
      <c r="Q2352"/>
    </row>
    <row r="2353" spans="1:17" hidden="1" x14ac:dyDescent="0.2">
      <c r="A2353" s="3">
        <v>45923</v>
      </c>
      <c r="B2353" s="2" t="s">
        <v>3</v>
      </c>
      <c r="C2353" s="2">
        <v>8</v>
      </c>
      <c r="D2353" s="2">
        <f t="shared" si="144"/>
        <v>2025</v>
      </c>
      <c r="E2353" s="2" t="str">
        <f t="shared" si="145"/>
        <v>2025-39</v>
      </c>
      <c r="F2353" s="2" t="str">
        <f t="shared" si="146"/>
        <v>Week 39</v>
      </c>
      <c r="G2353" s="2" t="str">
        <f t="shared" si="147"/>
        <v>Week 39-2025</v>
      </c>
      <c r="O2353"/>
      <c r="Q2353"/>
    </row>
    <row r="2354" spans="1:17" hidden="1" x14ac:dyDescent="0.2">
      <c r="A2354" s="3">
        <v>45923</v>
      </c>
      <c r="B2354" s="2" t="s">
        <v>14</v>
      </c>
      <c r="C2354" s="2">
        <v>8</v>
      </c>
      <c r="D2354" s="2">
        <f t="shared" si="144"/>
        <v>2025</v>
      </c>
      <c r="E2354" s="2" t="str">
        <f t="shared" si="145"/>
        <v>2025-39</v>
      </c>
      <c r="F2354" s="2" t="str">
        <f t="shared" si="146"/>
        <v>Week 39</v>
      </c>
      <c r="G2354" s="2" t="str">
        <f t="shared" si="147"/>
        <v>Week 39-2025</v>
      </c>
      <c r="O2354"/>
      <c r="Q2354"/>
    </row>
    <row r="2355" spans="1:17" hidden="1" x14ac:dyDescent="0.2">
      <c r="A2355" s="3">
        <v>45923</v>
      </c>
      <c r="B2355" s="2" t="s">
        <v>7</v>
      </c>
      <c r="C2355" s="2">
        <v>4</v>
      </c>
      <c r="D2355" s="2">
        <f t="shared" si="144"/>
        <v>2025</v>
      </c>
      <c r="E2355" s="2" t="str">
        <f t="shared" si="145"/>
        <v>2025-39</v>
      </c>
      <c r="F2355" s="2" t="str">
        <f t="shared" si="146"/>
        <v>Week 39</v>
      </c>
      <c r="G2355" s="2" t="str">
        <f t="shared" si="147"/>
        <v>Week 39-2025</v>
      </c>
      <c r="O2355"/>
      <c r="Q2355"/>
    </row>
    <row r="2356" spans="1:17" hidden="1" x14ac:dyDescent="0.2">
      <c r="A2356" s="3">
        <v>45923</v>
      </c>
      <c r="B2356" s="2" t="s">
        <v>7</v>
      </c>
      <c r="C2356" s="2">
        <v>4</v>
      </c>
      <c r="D2356" s="2">
        <f t="shared" si="144"/>
        <v>2025</v>
      </c>
      <c r="E2356" s="2" t="str">
        <f t="shared" si="145"/>
        <v>2025-39</v>
      </c>
      <c r="F2356" s="2" t="str">
        <f t="shared" si="146"/>
        <v>Week 39</v>
      </c>
      <c r="G2356" s="2" t="str">
        <f t="shared" si="147"/>
        <v>Week 39-2025</v>
      </c>
      <c r="O2356"/>
      <c r="Q2356"/>
    </row>
    <row r="2357" spans="1:17" hidden="1" x14ac:dyDescent="0.2">
      <c r="A2357" s="3">
        <v>45923</v>
      </c>
      <c r="B2357" s="2" t="s">
        <v>3</v>
      </c>
      <c r="C2357" s="2">
        <v>6</v>
      </c>
      <c r="D2357" s="2">
        <f t="shared" si="144"/>
        <v>2025</v>
      </c>
      <c r="E2357" s="2" t="str">
        <f t="shared" si="145"/>
        <v>2025-39</v>
      </c>
      <c r="F2357" s="2" t="str">
        <f t="shared" si="146"/>
        <v>Week 39</v>
      </c>
      <c r="G2357" s="2" t="str">
        <f t="shared" si="147"/>
        <v>Week 39-2025</v>
      </c>
      <c r="O2357"/>
      <c r="Q2357"/>
    </row>
    <row r="2358" spans="1:17" hidden="1" x14ac:dyDescent="0.2">
      <c r="A2358" s="3">
        <v>45923</v>
      </c>
      <c r="B2358" s="2" t="s">
        <v>9</v>
      </c>
      <c r="C2358" s="2">
        <v>4</v>
      </c>
      <c r="D2358" s="2">
        <f t="shared" si="144"/>
        <v>2025</v>
      </c>
      <c r="E2358" s="2" t="str">
        <f t="shared" si="145"/>
        <v>2025-39</v>
      </c>
      <c r="F2358" s="2" t="str">
        <f t="shared" si="146"/>
        <v>Week 39</v>
      </c>
      <c r="G2358" s="2" t="str">
        <f t="shared" si="147"/>
        <v>Week 39-2025</v>
      </c>
      <c r="O2358"/>
      <c r="Q2358"/>
    </row>
    <row r="2359" spans="1:17" hidden="1" x14ac:dyDescent="0.2">
      <c r="A2359" s="3">
        <v>45923</v>
      </c>
      <c r="B2359" s="2" t="s">
        <v>30</v>
      </c>
      <c r="C2359" s="2">
        <v>6</v>
      </c>
      <c r="D2359" s="2">
        <f t="shared" si="144"/>
        <v>2025</v>
      </c>
      <c r="E2359" s="2" t="str">
        <f t="shared" si="145"/>
        <v>2025-39</v>
      </c>
      <c r="F2359" s="2" t="str">
        <f t="shared" si="146"/>
        <v>Week 39</v>
      </c>
      <c r="G2359" s="2" t="str">
        <f t="shared" si="147"/>
        <v>Week 39-2025</v>
      </c>
      <c r="O2359"/>
      <c r="Q2359"/>
    </row>
    <row r="2360" spans="1:17" hidden="1" x14ac:dyDescent="0.2">
      <c r="A2360" s="3">
        <v>45923</v>
      </c>
      <c r="B2360" s="2" t="s">
        <v>14</v>
      </c>
      <c r="C2360" s="2">
        <v>6</v>
      </c>
      <c r="D2360" s="2">
        <f t="shared" si="144"/>
        <v>2025</v>
      </c>
      <c r="E2360" s="2" t="str">
        <f t="shared" si="145"/>
        <v>2025-39</v>
      </c>
      <c r="F2360" s="2" t="str">
        <f t="shared" si="146"/>
        <v>Week 39</v>
      </c>
      <c r="G2360" s="2" t="str">
        <f t="shared" si="147"/>
        <v>Week 39-2025</v>
      </c>
      <c r="O2360"/>
      <c r="Q2360"/>
    </row>
    <row r="2361" spans="1:17" hidden="1" x14ac:dyDescent="0.2">
      <c r="A2361" s="3">
        <v>45923</v>
      </c>
      <c r="B2361" s="2" t="s">
        <v>3</v>
      </c>
      <c r="C2361" s="2">
        <v>4</v>
      </c>
      <c r="D2361" s="2">
        <f t="shared" si="144"/>
        <v>2025</v>
      </c>
      <c r="E2361" s="2" t="str">
        <f t="shared" si="145"/>
        <v>2025-39</v>
      </c>
      <c r="F2361" s="2" t="str">
        <f t="shared" si="146"/>
        <v>Week 39</v>
      </c>
      <c r="G2361" s="2" t="str">
        <f t="shared" si="147"/>
        <v>Week 39-2025</v>
      </c>
      <c r="O2361"/>
      <c r="Q2361"/>
    </row>
    <row r="2362" spans="1:17" hidden="1" x14ac:dyDescent="0.2">
      <c r="A2362" s="3">
        <v>45923</v>
      </c>
      <c r="B2362" s="2" t="s">
        <v>7</v>
      </c>
      <c r="C2362" s="2">
        <v>2</v>
      </c>
      <c r="D2362" s="2">
        <f t="shared" si="144"/>
        <v>2025</v>
      </c>
      <c r="E2362" s="2" t="str">
        <f t="shared" si="145"/>
        <v>2025-39</v>
      </c>
      <c r="F2362" s="2" t="str">
        <f t="shared" si="146"/>
        <v>Week 39</v>
      </c>
      <c r="G2362" s="2" t="str">
        <f t="shared" si="147"/>
        <v>Week 39-2025</v>
      </c>
      <c r="O2362"/>
      <c r="Q2362"/>
    </row>
    <row r="2363" spans="1:17" hidden="1" x14ac:dyDescent="0.2">
      <c r="A2363" s="3">
        <v>45923</v>
      </c>
      <c r="B2363" s="2" t="s">
        <v>14</v>
      </c>
      <c r="C2363" s="2">
        <v>4</v>
      </c>
      <c r="D2363" s="2">
        <f t="shared" si="144"/>
        <v>2025</v>
      </c>
      <c r="E2363" s="2" t="str">
        <f t="shared" si="145"/>
        <v>2025-39</v>
      </c>
      <c r="F2363" s="2" t="str">
        <f t="shared" si="146"/>
        <v>Week 39</v>
      </c>
      <c r="G2363" s="2" t="str">
        <f t="shared" si="147"/>
        <v>Week 39-2025</v>
      </c>
      <c r="O2363"/>
      <c r="Q2363"/>
    </row>
    <row r="2364" spans="1:17" hidden="1" x14ac:dyDescent="0.2">
      <c r="A2364" s="3">
        <v>45923</v>
      </c>
      <c r="B2364" s="2" t="s">
        <v>6</v>
      </c>
      <c r="C2364" s="2">
        <v>2</v>
      </c>
      <c r="D2364" s="2">
        <f t="shared" si="144"/>
        <v>2025</v>
      </c>
      <c r="E2364" s="2" t="str">
        <f t="shared" si="145"/>
        <v>2025-39</v>
      </c>
      <c r="F2364" s="2" t="str">
        <f t="shared" si="146"/>
        <v>Week 39</v>
      </c>
      <c r="G2364" s="2" t="str">
        <f t="shared" si="147"/>
        <v>Week 39-2025</v>
      </c>
      <c r="O2364"/>
      <c r="Q2364"/>
    </row>
    <row r="2365" spans="1:17" hidden="1" x14ac:dyDescent="0.2">
      <c r="A2365" s="3">
        <v>45923</v>
      </c>
      <c r="B2365" s="2" t="s">
        <v>10</v>
      </c>
      <c r="C2365" s="2">
        <v>4</v>
      </c>
      <c r="D2365" s="2">
        <f t="shared" si="144"/>
        <v>2025</v>
      </c>
      <c r="E2365" s="2" t="str">
        <f t="shared" si="145"/>
        <v>2025-39</v>
      </c>
      <c r="F2365" s="2" t="str">
        <f t="shared" si="146"/>
        <v>Week 39</v>
      </c>
      <c r="G2365" s="2" t="str">
        <f t="shared" si="147"/>
        <v>Week 39-2025</v>
      </c>
      <c r="O2365"/>
      <c r="Q2365"/>
    </row>
    <row r="2366" spans="1:17" hidden="1" x14ac:dyDescent="0.2">
      <c r="A2366" s="3">
        <v>45923</v>
      </c>
      <c r="B2366" s="2" t="s">
        <v>21</v>
      </c>
      <c r="C2366" s="2">
        <v>2</v>
      </c>
      <c r="D2366" s="2">
        <f t="shared" si="144"/>
        <v>2025</v>
      </c>
      <c r="E2366" s="2" t="str">
        <f t="shared" si="145"/>
        <v>2025-39</v>
      </c>
      <c r="F2366" s="2" t="str">
        <f t="shared" si="146"/>
        <v>Week 39</v>
      </c>
      <c r="G2366" s="2" t="str">
        <f t="shared" si="147"/>
        <v>Week 39-2025</v>
      </c>
      <c r="O2366"/>
      <c r="Q2366"/>
    </row>
    <row r="2367" spans="1:17" hidden="1" x14ac:dyDescent="0.2">
      <c r="A2367" s="3">
        <v>45923</v>
      </c>
      <c r="B2367" s="2" t="s">
        <v>34</v>
      </c>
      <c r="C2367" s="2">
        <v>4</v>
      </c>
      <c r="D2367" s="2">
        <f t="shared" si="144"/>
        <v>2025</v>
      </c>
      <c r="E2367" s="2" t="str">
        <f t="shared" si="145"/>
        <v>2025-39</v>
      </c>
      <c r="F2367" s="2" t="str">
        <f t="shared" si="146"/>
        <v>Week 39</v>
      </c>
      <c r="G2367" s="2" t="str">
        <f t="shared" si="147"/>
        <v>Week 39-2025</v>
      </c>
      <c r="O2367"/>
      <c r="Q2367"/>
    </row>
    <row r="2368" spans="1:17" hidden="1" x14ac:dyDescent="0.2">
      <c r="A2368" s="3">
        <v>45923</v>
      </c>
      <c r="B2368" s="2" t="s">
        <v>8</v>
      </c>
      <c r="C2368" s="2">
        <v>4</v>
      </c>
      <c r="D2368" s="2">
        <f t="shared" si="144"/>
        <v>2025</v>
      </c>
      <c r="E2368" s="2" t="str">
        <f t="shared" si="145"/>
        <v>2025-39</v>
      </c>
      <c r="F2368" s="2" t="str">
        <f t="shared" si="146"/>
        <v>Week 39</v>
      </c>
      <c r="G2368" s="2" t="str">
        <f t="shared" si="147"/>
        <v>Week 39-2025</v>
      </c>
      <c r="O2368"/>
      <c r="Q2368"/>
    </row>
    <row r="2369" spans="1:17" hidden="1" x14ac:dyDescent="0.2">
      <c r="A2369" s="3">
        <v>45923</v>
      </c>
      <c r="B2369" s="2" t="s">
        <v>14</v>
      </c>
      <c r="C2369" s="2">
        <v>2</v>
      </c>
      <c r="D2369" s="2">
        <f t="shared" si="144"/>
        <v>2025</v>
      </c>
      <c r="E2369" s="2" t="str">
        <f t="shared" si="145"/>
        <v>2025-39</v>
      </c>
      <c r="F2369" s="2" t="str">
        <f t="shared" si="146"/>
        <v>Week 39</v>
      </c>
      <c r="G2369" s="2" t="str">
        <f t="shared" si="147"/>
        <v>Week 39-2025</v>
      </c>
      <c r="O2369"/>
      <c r="Q2369"/>
    </row>
    <row r="2370" spans="1:17" hidden="1" x14ac:dyDescent="0.2">
      <c r="A2370" s="3">
        <v>45923</v>
      </c>
      <c r="B2370" s="2" t="s">
        <v>4</v>
      </c>
      <c r="C2370" s="2">
        <v>1</v>
      </c>
      <c r="D2370" s="2">
        <f t="shared" ref="D2370:D2433" si="148">YEAR(A2370)</f>
        <v>2025</v>
      </c>
      <c r="E2370" s="2" t="str">
        <f t="shared" ref="E2370:E2433" si="149">YEAR(A2370)&amp;"-"&amp;_xlfn.ISOWEEKNUM(A2370)</f>
        <v>2025-39</v>
      </c>
      <c r="F2370" s="2" t="str">
        <f t="shared" ref="F2370:F2433" si="150">_xlfn.CONCAT("Week "&amp;WEEKNUM(A2370))</f>
        <v>Week 39</v>
      </c>
      <c r="G2370" s="2" t="str">
        <f t="shared" ref="G2370:G2433" si="151">_xlfn.CONCAT(F2370,"-",D2370)</f>
        <v>Week 39-2025</v>
      </c>
      <c r="O2370"/>
      <c r="Q2370"/>
    </row>
    <row r="2371" spans="1:17" hidden="1" x14ac:dyDescent="0.2">
      <c r="A2371" s="3">
        <v>45923</v>
      </c>
      <c r="B2371" s="2" t="s">
        <v>27</v>
      </c>
      <c r="C2371" s="2">
        <v>2</v>
      </c>
      <c r="D2371" s="2">
        <f t="shared" si="148"/>
        <v>2025</v>
      </c>
      <c r="E2371" s="2" t="str">
        <f t="shared" si="149"/>
        <v>2025-39</v>
      </c>
      <c r="F2371" s="2" t="str">
        <f t="shared" si="150"/>
        <v>Week 39</v>
      </c>
      <c r="G2371" s="2" t="str">
        <f t="shared" si="151"/>
        <v>Week 39-2025</v>
      </c>
      <c r="O2371"/>
      <c r="Q2371"/>
    </row>
    <row r="2372" spans="1:17" hidden="1" x14ac:dyDescent="0.2">
      <c r="A2372" s="3">
        <v>45923</v>
      </c>
      <c r="B2372" s="2" t="s">
        <v>15</v>
      </c>
      <c r="C2372" s="2">
        <v>2</v>
      </c>
      <c r="D2372" s="2">
        <f t="shared" si="148"/>
        <v>2025</v>
      </c>
      <c r="E2372" s="2" t="str">
        <f t="shared" si="149"/>
        <v>2025-39</v>
      </c>
      <c r="F2372" s="2" t="str">
        <f t="shared" si="150"/>
        <v>Week 39</v>
      </c>
      <c r="G2372" s="2" t="str">
        <f t="shared" si="151"/>
        <v>Week 39-2025</v>
      </c>
      <c r="O2372"/>
      <c r="Q2372"/>
    </row>
    <row r="2373" spans="1:17" hidden="1" x14ac:dyDescent="0.2">
      <c r="A2373" s="3">
        <v>45923</v>
      </c>
      <c r="B2373" s="2" t="s">
        <v>30</v>
      </c>
      <c r="C2373" s="2">
        <v>1</v>
      </c>
      <c r="D2373" s="2">
        <f t="shared" si="148"/>
        <v>2025</v>
      </c>
      <c r="E2373" s="2" t="str">
        <f t="shared" si="149"/>
        <v>2025-39</v>
      </c>
      <c r="F2373" s="2" t="str">
        <f t="shared" si="150"/>
        <v>Week 39</v>
      </c>
      <c r="G2373" s="2" t="str">
        <f t="shared" si="151"/>
        <v>Week 39-2025</v>
      </c>
      <c r="O2373"/>
      <c r="Q2373"/>
    </row>
    <row r="2374" spans="1:17" hidden="1" x14ac:dyDescent="0.2">
      <c r="A2374" s="3">
        <v>45924</v>
      </c>
      <c r="B2374" s="2" t="s">
        <v>3</v>
      </c>
      <c r="C2374" s="2">
        <v>19</v>
      </c>
      <c r="D2374" s="2">
        <f t="shared" si="148"/>
        <v>2025</v>
      </c>
      <c r="E2374" s="2" t="str">
        <f t="shared" si="149"/>
        <v>2025-39</v>
      </c>
      <c r="F2374" s="2" t="str">
        <f t="shared" si="150"/>
        <v>Week 39</v>
      </c>
      <c r="G2374" s="2" t="str">
        <f t="shared" si="151"/>
        <v>Week 39-2025</v>
      </c>
      <c r="O2374"/>
      <c r="Q2374"/>
    </row>
    <row r="2375" spans="1:17" hidden="1" x14ac:dyDescent="0.2">
      <c r="A2375" s="3">
        <v>45924</v>
      </c>
      <c r="B2375" s="2" t="s">
        <v>14</v>
      </c>
      <c r="C2375" s="2">
        <v>8</v>
      </c>
      <c r="D2375" s="2">
        <f t="shared" si="148"/>
        <v>2025</v>
      </c>
      <c r="E2375" s="2" t="str">
        <f t="shared" si="149"/>
        <v>2025-39</v>
      </c>
      <c r="F2375" s="2" t="str">
        <f t="shared" si="150"/>
        <v>Week 39</v>
      </c>
      <c r="G2375" s="2" t="str">
        <f t="shared" si="151"/>
        <v>Week 39-2025</v>
      </c>
      <c r="O2375"/>
      <c r="Q2375"/>
    </row>
    <row r="2376" spans="1:17" hidden="1" x14ac:dyDescent="0.2">
      <c r="A2376" s="3">
        <v>45924</v>
      </c>
      <c r="B2376" s="2" t="s">
        <v>7</v>
      </c>
      <c r="C2376" s="2">
        <v>2</v>
      </c>
      <c r="D2376" s="2">
        <f t="shared" si="148"/>
        <v>2025</v>
      </c>
      <c r="E2376" s="2" t="str">
        <f t="shared" si="149"/>
        <v>2025-39</v>
      </c>
      <c r="F2376" s="2" t="str">
        <f t="shared" si="150"/>
        <v>Week 39</v>
      </c>
      <c r="G2376" s="2" t="str">
        <f t="shared" si="151"/>
        <v>Week 39-2025</v>
      </c>
      <c r="O2376"/>
      <c r="Q2376"/>
    </row>
    <row r="2377" spans="1:17" hidden="1" x14ac:dyDescent="0.2">
      <c r="A2377" s="3">
        <v>45924</v>
      </c>
      <c r="B2377" s="2" t="s">
        <v>3</v>
      </c>
      <c r="C2377" s="2">
        <v>1</v>
      </c>
      <c r="D2377" s="2">
        <f t="shared" si="148"/>
        <v>2025</v>
      </c>
      <c r="E2377" s="2" t="str">
        <f t="shared" si="149"/>
        <v>2025-39</v>
      </c>
      <c r="F2377" s="2" t="str">
        <f t="shared" si="150"/>
        <v>Week 39</v>
      </c>
      <c r="G2377" s="2" t="str">
        <f t="shared" si="151"/>
        <v>Week 39-2025</v>
      </c>
      <c r="O2377"/>
      <c r="Q2377"/>
    </row>
    <row r="2378" spans="1:17" hidden="1" x14ac:dyDescent="0.2">
      <c r="A2378" s="3">
        <v>45925</v>
      </c>
      <c r="B2378" s="2" t="s">
        <v>4</v>
      </c>
      <c r="C2378" s="2">
        <v>24</v>
      </c>
      <c r="D2378" s="2">
        <f t="shared" si="148"/>
        <v>2025</v>
      </c>
      <c r="E2378" s="2" t="str">
        <f t="shared" si="149"/>
        <v>2025-39</v>
      </c>
      <c r="F2378" s="2" t="str">
        <f t="shared" si="150"/>
        <v>Week 39</v>
      </c>
      <c r="G2378" s="2" t="str">
        <f t="shared" si="151"/>
        <v>Week 39-2025</v>
      </c>
      <c r="O2378"/>
      <c r="Q2378"/>
    </row>
    <row r="2379" spans="1:17" hidden="1" x14ac:dyDescent="0.2">
      <c r="A2379" s="3">
        <v>45925</v>
      </c>
      <c r="B2379" s="2" t="s">
        <v>5</v>
      </c>
      <c r="C2379" s="2">
        <v>38</v>
      </c>
      <c r="D2379" s="2">
        <f t="shared" si="148"/>
        <v>2025</v>
      </c>
      <c r="E2379" s="2" t="str">
        <f t="shared" si="149"/>
        <v>2025-39</v>
      </c>
      <c r="F2379" s="2" t="str">
        <f t="shared" si="150"/>
        <v>Week 39</v>
      </c>
      <c r="G2379" s="2" t="str">
        <f t="shared" si="151"/>
        <v>Week 39-2025</v>
      </c>
      <c r="O2379"/>
      <c r="Q2379"/>
    </row>
    <row r="2380" spans="1:17" hidden="1" x14ac:dyDescent="0.2">
      <c r="A2380" s="3">
        <v>45925</v>
      </c>
      <c r="B2380" s="2" t="s">
        <v>5</v>
      </c>
      <c r="C2380" s="2">
        <v>20</v>
      </c>
      <c r="D2380" s="2">
        <f t="shared" si="148"/>
        <v>2025</v>
      </c>
      <c r="E2380" s="2" t="str">
        <f t="shared" si="149"/>
        <v>2025-39</v>
      </c>
      <c r="F2380" s="2" t="str">
        <f t="shared" si="150"/>
        <v>Week 39</v>
      </c>
      <c r="G2380" s="2" t="str">
        <f t="shared" si="151"/>
        <v>Week 39-2025</v>
      </c>
      <c r="O2380"/>
      <c r="Q2380"/>
    </row>
    <row r="2381" spans="1:17" hidden="1" x14ac:dyDescent="0.2">
      <c r="A2381" s="3">
        <v>45925</v>
      </c>
      <c r="B2381" s="2" t="s">
        <v>12</v>
      </c>
      <c r="C2381" s="2">
        <v>7</v>
      </c>
      <c r="D2381" s="2">
        <f t="shared" si="148"/>
        <v>2025</v>
      </c>
      <c r="E2381" s="2" t="str">
        <f t="shared" si="149"/>
        <v>2025-39</v>
      </c>
      <c r="F2381" s="2" t="str">
        <f t="shared" si="150"/>
        <v>Week 39</v>
      </c>
      <c r="G2381" s="2" t="str">
        <f t="shared" si="151"/>
        <v>Week 39-2025</v>
      </c>
      <c r="O2381"/>
      <c r="Q2381"/>
    </row>
    <row r="2382" spans="1:17" hidden="1" x14ac:dyDescent="0.2">
      <c r="A2382" s="3">
        <v>45925</v>
      </c>
      <c r="B2382" s="2" t="s">
        <v>7</v>
      </c>
      <c r="C2382" s="2">
        <v>9</v>
      </c>
      <c r="D2382" s="2">
        <f t="shared" si="148"/>
        <v>2025</v>
      </c>
      <c r="E2382" s="2" t="str">
        <f t="shared" si="149"/>
        <v>2025-39</v>
      </c>
      <c r="F2382" s="2" t="str">
        <f t="shared" si="150"/>
        <v>Week 39</v>
      </c>
      <c r="G2382" s="2" t="str">
        <f t="shared" si="151"/>
        <v>Week 39-2025</v>
      </c>
      <c r="O2382"/>
      <c r="Q2382"/>
    </row>
    <row r="2383" spans="1:17" hidden="1" x14ac:dyDescent="0.2">
      <c r="A2383" s="3">
        <v>45925</v>
      </c>
      <c r="B2383" s="2" t="s">
        <v>6</v>
      </c>
      <c r="C2383" s="2">
        <v>8</v>
      </c>
      <c r="D2383" s="2">
        <f t="shared" si="148"/>
        <v>2025</v>
      </c>
      <c r="E2383" s="2" t="str">
        <f t="shared" si="149"/>
        <v>2025-39</v>
      </c>
      <c r="F2383" s="2" t="str">
        <f t="shared" si="150"/>
        <v>Week 39</v>
      </c>
      <c r="G2383" s="2" t="str">
        <f t="shared" si="151"/>
        <v>Week 39-2025</v>
      </c>
      <c r="O2383"/>
      <c r="Q2383"/>
    </row>
    <row r="2384" spans="1:17" hidden="1" x14ac:dyDescent="0.2">
      <c r="A2384" s="3">
        <v>45925</v>
      </c>
      <c r="B2384" s="2" t="s">
        <v>7</v>
      </c>
      <c r="C2384" s="2">
        <v>8</v>
      </c>
      <c r="D2384" s="2">
        <f t="shared" si="148"/>
        <v>2025</v>
      </c>
      <c r="E2384" s="2" t="str">
        <f t="shared" si="149"/>
        <v>2025-39</v>
      </c>
      <c r="F2384" s="2" t="str">
        <f t="shared" si="150"/>
        <v>Week 39</v>
      </c>
      <c r="G2384" s="2" t="str">
        <f t="shared" si="151"/>
        <v>Week 39-2025</v>
      </c>
      <c r="O2384"/>
      <c r="Q2384"/>
    </row>
    <row r="2385" spans="1:17" hidden="1" x14ac:dyDescent="0.2">
      <c r="A2385" s="3">
        <v>45925</v>
      </c>
      <c r="B2385" s="2" t="s">
        <v>10</v>
      </c>
      <c r="C2385" s="2">
        <v>10</v>
      </c>
      <c r="D2385" s="2">
        <f t="shared" si="148"/>
        <v>2025</v>
      </c>
      <c r="E2385" s="2" t="str">
        <f t="shared" si="149"/>
        <v>2025-39</v>
      </c>
      <c r="F2385" s="2" t="str">
        <f t="shared" si="150"/>
        <v>Week 39</v>
      </c>
      <c r="G2385" s="2" t="str">
        <f t="shared" si="151"/>
        <v>Week 39-2025</v>
      </c>
      <c r="O2385"/>
      <c r="Q2385"/>
    </row>
    <row r="2386" spans="1:17" hidden="1" x14ac:dyDescent="0.2">
      <c r="A2386" s="3">
        <v>45925</v>
      </c>
      <c r="B2386" s="2" t="s">
        <v>12</v>
      </c>
      <c r="C2386" s="2">
        <v>2</v>
      </c>
      <c r="D2386" s="2">
        <f t="shared" si="148"/>
        <v>2025</v>
      </c>
      <c r="E2386" s="2" t="str">
        <f t="shared" si="149"/>
        <v>2025-39</v>
      </c>
      <c r="F2386" s="2" t="str">
        <f t="shared" si="150"/>
        <v>Week 39</v>
      </c>
      <c r="G2386" s="2" t="str">
        <f t="shared" si="151"/>
        <v>Week 39-2025</v>
      </c>
      <c r="O2386"/>
      <c r="Q2386"/>
    </row>
    <row r="2387" spans="1:17" hidden="1" x14ac:dyDescent="0.2">
      <c r="A2387" s="3">
        <v>45925</v>
      </c>
      <c r="B2387" s="2" t="s">
        <v>17</v>
      </c>
      <c r="C2387" s="2">
        <v>4</v>
      </c>
      <c r="D2387" s="2">
        <f t="shared" si="148"/>
        <v>2025</v>
      </c>
      <c r="E2387" s="2" t="str">
        <f t="shared" si="149"/>
        <v>2025-39</v>
      </c>
      <c r="F2387" s="2" t="str">
        <f t="shared" si="150"/>
        <v>Week 39</v>
      </c>
      <c r="G2387" s="2" t="str">
        <f t="shared" si="151"/>
        <v>Week 39-2025</v>
      </c>
      <c r="O2387"/>
      <c r="Q2387"/>
    </row>
    <row r="2388" spans="1:17" hidden="1" x14ac:dyDescent="0.2">
      <c r="A2388" s="3">
        <v>45925</v>
      </c>
      <c r="B2388" s="2" t="s">
        <v>7</v>
      </c>
      <c r="C2388" s="2">
        <v>3</v>
      </c>
      <c r="D2388" s="2">
        <f t="shared" si="148"/>
        <v>2025</v>
      </c>
      <c r="E2388" s="2" t="str">
        <f t="shared" si="149"/>
        <v>2025-39</v>
      </c>
      <c r="F2388" s="2" t="str">
        <f t="shared" si="150"/>
        <v>Week 39</v>
      </c>
      <c r="G2388" s="2" t="str">
        <f t="shared" si="151"/>
        <v>Week 39-2025</v>
      </c>
      <c r="O2388"/>
      <c r="Q2388"/>
    </row>
    <row r="2389" spans="1:17" hidden="1" x14ac:dyDescent="0.2">
      <c r="A2389" s="3">
        <v>45925</v>
      </c>
      <c r="B2389" s="2" t="s">
        <v>12</v>
      </c>
      <c r="C2389" s="2">
        <v>2</v>
      </c>
      <c r="D2389" s="2">
        <f t="shared" si="148"/>
        <v>2025</v>
      </c>
      <c r="E2389" s="2" t="str">
        <f t="shared" si="149"/>
        <v>2025-39</v>
      </c>
      <c r="F2389" s="2" t="str">
        <f t="shared" si="150"/>
        <v>Week 39</v>
      </c>
      <c r="G2389" s="2" t="str">
        <f t="shared" si="151"/>
        <v>Week 39-2025</v>
      </c>
      <c r="O2389"/>
      <c r="Q2389"/>
    </row>
    <row r="2390" spans="1:17" hidden="1" x14ac:dyDescent="0.2">
      <c r="A2390" s="3">
        <v>45925</v>
      </c>
      <c r="B2390" s="2" t="s">
        <v>6</v>
      </c>
      <c r="C2390" s="2">
        <v>2</v>
      </c>
      <c r="D2390" s="2">
        <f t="shared" si="148"/>
        <v>2025</v>
      </c>
      <c r="E2390" s="2" t="str">
        <f t="shared" si="149"/>
        <v>2025-39</v>
      </c>
      <c r="F2390" s="2" t="str">
        <f t="shared" si="150"/>
        <v>Week 39</v>
      </c>
      <c r="G2390" s="2" t="str">
        <f t="shared" si="151"/>
        <v>Week 39-2025</v>
      </c>
      <c r="O2390"/>
      <c r="Q2390"/>
    </row>
    <row r="2391" spans="1:17" hidden="1" x14ac:dyDescent="0.2">
      <c r="A2391" s="3">
        <v>45925</v>
      </c>
      <c r="B2391" s="2" t="s">
        <v>9</v>
      </c>
      <c r="C2391" s="2">
        <v>2</v>
      </c>
      <c r="D2391" s="2">
        <f t="shared" si="148"/>
        <v>2025</v>
      </c>
      <c r="E2391" s="2" t="str">
        <f t="shared" si="149"/>
        <v>2025-39</v>
      </c>
      <c r="F2391" s="2" t="str">
        <f t="shared" si="150"/>
        <v>Week 39</v>
      </c>
      <c r="G2391" s="2" t="str">
        <f t="shared" si="151"/>
        <v>Week 39-2025</v>
      </c>
      <c r="O2391"/>
      <c r="Q2391"/>
    </row>
    <row r="2392" spans="1:17" hidden="1" x14ac:dyDescent="0.2">
      <c r="A2392" s="3">
        <v>45925</v>
      </c>
      <c r="B2392" s="2" t="s">
        <v>12</v>
      </c>
      <c r="C2392" s="2">
        <v>1</v>
      </c>
      <c r="D2392" s="2">
        <f t="shared" si="148"/>
        <v>2025</v>
      </c>
      <c r="E2392" s="2" t="str">
        <f t="shared" si="149"/>
        <v>2025-39</v>
      </c>
      <c r="F2392" s="2" t="str">
        <f t="shared" si="150"/>
        <v>Week 39</v>
      </c>
      <c r="G2392" s="2" t="str">
        <f t="shared" si="151"/>
        <v>Week 39-2025</v>
      </c>
      <c r="O2392"/>
      <c r="Q2392"/>
    </row>
    <row r="2393" spans="1:17" hidden="1" x14ac:dyDescent="0.2">
      <c r="A2393" s="3">
        <v>45926</v>
      </c>
      <c r="B2393" s="2" t="s">
        <v>3</v>
      </c>
      <c r="C2393" s="2">
        <v>36</v>
      </c>
      <c r="D2393" s="2">
        <f t="shared" si="148"/>
        <v>2025</v>
      </c>
      <c r="E2393" s="2" t="str">
        <f t="shared" si="149"/>
        <v>2025-39</v>
      </c>
      <c r="F2393" s="2" t="str">
        <f t="shared" si="150"/>
        <v>Week 39</v>
      </c>
      <c r="G2393" s="2" t="str">
        <f t="shared" si="151"/>
        <v>Week 39-2025</v>
      </c>
      <c r="O2393"/>
      <c r="Q2393"/>
    </row>
    <row r="2394" spans="1:17" hidden="1" x14ac:dyDescent="0.2">
      <c r="A2394" s="3">
        <v>45926</v>
      </c>
      <c r="B2394" s="2" t="s">
        <v>6</v>
      </c>
      <c r="C2394" s="2">
        <v>8</v>
      </c>
      <c r="D2394" s="2">
        <f t="shared" si="148"/>
        <v>2025</v>
      </c>
      <c r="E2394" s="2" t="str">
        <f t="shared" si="149"/>
        <v>2025-39</v>
      </c>
      <c r="F2394" s="2" t="str">
        <f t="shared" si="150"/>
        <v>Week 39</v>
      </c>
      <c r="G2394" s="2" t="str">
        <f t="shared" si="151"/>
        <v>Week 39-2025</v>
      </c>
      <c r="O2394"/>
      <c r="Q2394"/>
    </row>
    <row r="2395" spans="1:17" hidden="1" x14ac:dyDescent="0.2">
      <c r="A2395" s="3">
        <v>45926</v>
      </c>
      <c r="B2395" s="2" t="s">
        <v>6</v>
      </c>
      <c r="C2395" s="2">
        <v>8</v>
      </c>
      <c r="D2395" s="2">
        <f t="shared" si="148"/>
        <v>2025</v>
      </c>
      <c r="E2395" s="2" t="str">
        <f t="shared" si="149"/>
        <v>2025-39</v>
      </c>
      <c r="F2395" s="2" t="str">
        <f t="shared" si="150"/>
        <v>Week 39</v>
      </c>
      <c r="G2395" s="2" t="str">
        <f t="shared" si="151"/>
        <v>Week 39-2025</v>
      </c>
      <c r="O2395"/>
      <c r="Q2395"/>
    </row>
    <row r="2396" spans="1:17" hidden="1" x14ac:dyDescent="0.2">
      <c r="A2396" s="3">
        <v>45926</v>
      </c>
      <c r="B2396" s="2" t="s">
        <v>4</v>
      </c>
      <c r="C2396" s="2">
        <v>8</v>
      </c>
      <c r="D2396" s="2">
        <f t="shared" si="148"/>
        <v>2025</v>
      </c>
      <c r="E2396" s="2" t="str">
        <f t="shared" si="149"/>
        <v>2025-39</v>
      </c>
      <c r="F2396" s="2" t="str">
        <f t="shared" si="150"/>
        <v>Week 39</v>
      </c>
      <c r="G2396" s="2" t="str">
        <f t="shared" si="151"/>
        <v>Week 39-2025</v>
      </c>
      <c r="O2396"/>
      <c r="Q2396"/>
    </row>
    <row r="2397" spans="1:17" hidden="1" x14ac:dyDescent="0.2">
      <c r="A2397" s="3">
        <v>45926</v>
      </c>
      <c r="B2397" s="2" t="s">
        <v>5</v>
      </c>
      <c r="C2397" s="2">
        <v>12</v>
      </c>
      <c r="D2397" s="2">
        <f t="shared" si="148"/>
        <v>2025</v>
      </c>
      <c r="E2397" s="2" t="str">
        <f t="shared" si="149"/>
        <v>2025-39</v>
      </c>
      <c r="F2397" s="2" t="str">
        <f t="shared" si="150"/>
        <v>Week 39</v>
      </c>
      <c r="G2397" s="2" t="str">
        <f t="shared" si="151"/>
        <v>Week 39-2025</v>
      </c>
      <c r="O2397"/>
      <c r="Q2397"/>
    </row>
    <row r="2398" spans="1:17" hidden="1" x14ac:dyDescent="0.2">
      <c r="A2398" s="3">
        <v>45926</v>
      </c>
      <c r="B2398" s="2" t="s">
        <v>9</v>
      </c>
      <c r="C2398" s="2">
        <v>4</v>
      </c>
      <c r="D2398" s="2">
        <f t="shared" si="148"/>
        <v>2025</v>
      </c>
      <c r="E2398" s="2" t="str">
        <f t="shared" si="149"/>
        <v>2025-39</v>
      </c>
      <c r="F2398" s="2" t="str">
        <f t="shared" si="150"/>
        <v>Week 39</v>
      </c>
      <c r="G2398" s="2" t="str">
        <f t="shared" si="151"/>
        <v>Week 39-2025</v>
      </c>
      <c r="O2398"/>
      <c r="Q2398"/>
    </row>
    <row r="2399" spans="1:17" hidden="1" x14ac:dyDescent="0.2">
      <c r="A2399" s="3">
        <v>45926</v>
      </c>
      <c r="B2399" s="2" t="s">
        <v>3</v>
      </c>
      <c r="C2399" s="2">
        <v>4</v>
      </c>
      <c r="D2399" s="2">
        <f t="shared" si="148"/>
        <v>2025</v>
      </c>
      <c r="E2399" s="2" t="str">
        <f t="shared" si="149"/>
        <v>2025-39</v>
      </c>
      <c r="F2399" s="2" t="str">
        <f t="shared" si="150"/>
        <v>Week 39</v>
      </c>
      <c r="G2399" s="2" t="str">
        <f t="shared" si="151"/>
        <v>Week 39-2025</v>
      </c>
      <c r="O2399"/>
      <c r="Q2399"/>
    </row>
    <row r="2400" spans="1:17" hidden="1" x14ac:dyDescent="0.2">
      <c r="A2400" s="3">
        <v>45926</v>
      </c>
      <c r="B2400" s="2" t="s">
        <v>14</v>
      </c>
      <c r="C2400" s="2">
        <v>2</v>
      </c>
      <c r="D2400" s="2">
        <f t="shared" si="148"/>
        <v>2025</v>
      </c>
      <c r="E2400" s="2" t="str">
        <f t="shared" si="149"/>
        <v>2025-39</v>
      </c>
      <c r="F2400" s="2" t="str">
        <f t="shared" si="150"/>
        <v>Week 39</v>
      </c>
      <c r="G2400" s="2" t="str">
        <f t="shared" si="151"/>
        <v>Week 39-2025</v>
      </c>
      <c r="O2400"/>
      <c r="Q2400"/>
    </row>
    <row r="2401" spans="1:17" hidden="1" x14ac:dyDescent="0.2">
      <c r="A2401" s="3">
        <v>45926</v>
      </c>
      <c r="B2401" s="2" t="s">
        <v>14</v>
      </c>
      <c r="C2401" s="2">
        <v>2</v>
      </c>
      <c r="D2401" s="2">
        <f t="shared" si="148"/>
        <v>2025</v>
      </c>
      <c r="E2401" s="2" t="str">
        <f t="shared" si="149"/>
        <v>2025-39</v>
      </c>
      <c r="F2401" s="2" t="str">
        <f t="shared" si="150"/>
        <v>Week 39</v>
      </c>
      <c r="G2401" s="2" t="str">
        <f t="shared" si="151"/>
        <v>Week 39-2025</v>
      </c>
      <c r="O2401"/>
      <c r="Q2401"/>
    </row>
    <row r="2402" spans="1:17" hidden="1" x14ac:dyDescent="0.2">
      <c r="A2402" s="3">
        <v>45927</v>
      </c>
      <c r="B2402" s="2" t="s">
        <v>4</v>
      </c>
      <c r="C2402" s="2">
        <v>12</v>
      </c>
      <c r="D2402" s="2">
        <f t="shared" si="148"/>
        <v>2025</v>
      </c>
      <c r="E2402" s="2" t="str">
        <f t="shared" si="149"/>
        <v>2025-39</v>
      </c>
      <c r="F2402" s="2" t="str">
        <f t="shared" si="150"/>
        <v>Week 39</v>
      </c>
      <c r="G2402" s="2" t="str">
        <f t="shared" si="151"/>
        <v>Week 39-2025</v>
      </c>
      <c r="O2402"/>
      <c r="Q2402"/>
    </row>
    <row r="2403" spans="1:17" hidden="1" x14ac:dyDescent="0.2">
      <c r="A2403" s="3">
        <v>45927</v>
      </c>
      <c r="B2403" s="2" t="s">
        <v>7</v>
      </c>
      <c r="C2403" s="2">
        <v>10</v>
      </c>
      <c r="D2403" s="2">
        <f t="shared" si="148"/>
        <v>2025</v>
      </c>
      <c r="E2403" s="2" t="str">
        <f t="shared" si="149"/>
        <v>2025-39</v>
      </c>
      <c r="F2403" s="2" t="str">
        <f t="shared" si="150"/>
        <v>Week 39</v>
      </c>
      <c r="G2403" s="2" t="str">
        <f t="shared" si="151"/>
        <v>Week 39-2025</v>
      </c>
      <c r="O2403"/>
      <c r="Q2403"/>
    </row>
    <row r="2404" spans="1:17" hidden="1" x14ac:dyDescent="0.2">
      <c r="A2404" s="3">
        <v>45927</v>
      </c>
      <c r="B2404" s="2" t="s">
        <v>7</v>
      </c>
      <c r="C2404" s="2">
        <v>10</v>
      </c>
      <c r="D2404" s="2">
        <f t="shared" si="148"/>
        <v>2025</v>
      </c>
      <c r="E2404" s="2" t="str">
        <f t="shared" si="149"/>
        <v>2025-39</v>
      </c>
      <c r="F2404" s="2" t="str">
        <f t="shared" si="150"/>
        <v>Week 39</v>
      </c>
      <c r="G2404" s="2" t="str">
        <f t="shared" si="151"/>
        <v>Week 39-2025</v>
      </c>
      <c r="O2404"/>
      <c r="Q2404"/>
    </row>
    <row r="2405" spans="1:17" hidden="1" x14ac:dyDescent="0.2">
      <c r="A2405" s="3">
        <v>45927</v>
      </c>
      <c r="B2405" s="2" t="s">
        <v>6</v>
      </c>
      <c r="C2405" s="2">
        <v>8</v>
      </c>
      <c r="D2405" s="2">
        <f t="shared" si="148"/>
        <v>2025</v>
      </c>
      <c r="E2405" s="2" t="str">
        <f t="shared" si="149"/>
        <v>2025-39</v>
      </c>
      <c r="F2405" s="2" t="str">
        <f t="shared" si="150"/>
        <v>Week 39</v>
      </c>
      <c r="G2405" s="2" t="str">
        <f t="shared" si="151"/>
        <v>Week 39-2025</v>
      </c>
      <c r="O2405"/>
      <c r="Q2405"/>
    </row>
    <row r="2406" spans="1:17" hidden="1" x14ac:dyDescent="0.2">
      <c r="A2406" s="3">
        <v>45927</v>
      </c>
      <c r="B2406" s="2" t="s">
        <v>6</v>
      </c>
      <c r="C2406" s="2">
        <v>8</v>
      </c>
      <c r="D2406" s="2">
        <f t="shared" si="148"/>
        <v>2025</v>
      </c>
      <c r="E2406" s="2" t="str">
        <f t="shared" si="149"/>
        <v>2025-39</v>
      </c>
      <c r="F2406" s="2" t="str">
        <f t="shared" si="150"/>
        <v>Week 39</v>
      </c>
      <c r="G2406" s="2" t="str">
        <f t="shared" si="151"/>
        <v>Week 39-2025</v>
      </c>
      <c r="O2406"/>
      <c r="Q2406"/>
    </row>
    <row r="2407" spans="1:17" hidden="1" x14ac:dyDescent="0.2">
      <c r="A2407" s="3">
        <v>45927</v>
      </c>
      <c r="B2407" s="2" t="s">
        <v>6</v>
      </c>
      <c r="C2407" s="2">
        <v>8</v>
      </c>
      <c r="D2407" s="2">
        <f t="shared" si="148"/>
        <v>2025</v>
      </c>
      <c r="E2407" s="2" t="str">
        <f t="shared" si="149"/>
        <v>2025-39</v>
      </c>
      <c r="F2407" s="2" t="str">
        <f t="shared" si="150"/>
        <v>Week 39</v>
      </c>
      <c r="G2407" s="2" t="str">
        <f t="shared" si="151"/>
        <v>Week 39-2025</v>
      </c>
      <c r="O2407"/>
      <c r="Q2407"/>
    </row>
    <row r="2408" spans="1:17" hidden="1" x14ac:dyDescent="0.2">
      <c r="A2408" s="3">
        <v>45927</v>
      </c>
      <c r="B2408" s="2" t="s">
        <v>3</v>
      </c>
      <c r="C2408" s="2">
        <v>8</v>
      </c>
      <c r="D2408" s="2">
        <f t="shared" si="148"/>
        <v>2025</v>
      </c>
      <c r="E2408" s="2" t="str">
        <f t="shared" si="149"/>
        <v>2025-39</v>
      </c>
      <c r="F2408" s="2" t="str">
        <f t="shared" si="150"/>
        <v>Week 39</v>
      </c>
      <c r="G2408" s="2" t="str">
        <f t="shared" si="151"/>
        <v>Week 39-2025</v>
      </c>
      <c r="O2408"/>
      <c r="Q2408"/>
    </row>
    <row r="2409" spans="1:17" hidden="1" x14ac:dyDescent="0.2">
      <c r="A2409" s="3">
        <v>45927</v>
      </c>
      <c r="B2409" s="2" t="s">
        <v>3</v>
      </c>
      <c r="C2409" s="2">
        <v>8</v>
      </c>
      <c r="D2409" s="2">
        <f t="shared" si="148"/>
        <v>2025</v>
      </c>
      <c r="E2409" s="2" t="str">
        <f t="shared" si="149"/>
        <v>2025-39</v>
      </c>
      <c r="F2409" s="2" t="str">
        <f t="shared" si="150"/>
        <v>Week 39</v>
      </c>
      <c r="G2409" s="2" t="str">
        <f t="shared" si="151"/>
        <v>Week 39-2025</v>
      </c>
      <c r="O2409"/>
      <c r="Q2409"/>
    </row>
    <row r="2410" spans="1:17" hidden="1" x14ac:dyDescent="0.2">
      <c r="A2410" s="3">
        <v>45927</v>
      </c>
      <c r="B2410" s="2" t="s">
        <v>4</v>
      </c>
      <c r="C2410" s="2">
        <v>6</v>
      </c>
      <c r="D2410" s="2">
        <f t="shared" si="148"/>
        <v>2025</v>
      </c>
      <c r="E2410" s="2" t="str">
        <f t="shared" si="149"/>
        <v>2025-39</v>
      </c>
      <c r="F2410" s="2" t="str">
        <f t="shared" si="150"/>
        <v>Week 39</v>
      </c>
      <c r="G2410" s="2" t="str">
        <f t="shared" si="151"/>
        <v>Week 39-2025</v>
      </c>
      <c r="O2410"/>
      <c r="Q2410"/>
    </row>
    <row r="2411" spans="1:17" hidden="1" x14ac:dyDescent="0.2">
      <c r="A2411" s="3">
        <v>45927</v>
      </c>
      <c r="B2411" s="2" t="s">
        <v>4</v>
      </c>
      <c r="C2411" s="2">
        <v>6</v>
      </c>
      <c r="D2411" s="2">
        <f t="shared" si="148"/>
        <v>2025</v>
      </c>
      <c r="E2411" s="2" t="str">
        <f t="shared" si="149"/>
        <v>2025-39</v>
      </c>
      <c r="F2411" s="2" t="str">
        <f t="shared" si="150"/>
        <v>Week 39</v>
      </c>
      <c r="G2411" s="2" t="str">
        <f t="shared" si="151"/>
        <v>Week 39-2025</v>
      </c>
      <c r="O2411"/>
      <c r="Q2411"/>
    </row>
    <row r="2412" spans="1:17" hidden="1" x14ac:dyDescent="0.2">
      <c r="A2412" s="3">
        <v>45927</v>
      </c>
      <c r="B2412" s="2" t="s">
        <v>10</v>
      </c>
      <c r="C2412" s="2">
        <v>8</v>
      </c>
      <c r="D2412" s="2">
        <f t="shared" si="148"/>
        <v>2025</v>
      </c>
      <c r="E2412" s="2" t="str">
        <f t="shared" si="149"/>
        <v>2025-39</v>
      </c>
      <c r="F2412" s="2" t="str">
        <f t="shared" si="150"/>
        <v>Week 39</v>
      </c>
      <c r="G2412" s="2" t="str">
        <f t="shared" si="151"/>
        <v>Week 39-2025</v>
      </c>
      <c r="O2412"/>
      <c r="Q2412"/>
    </row>
    <row r="2413" spans="1:17" hidden="1" x14ac:dyDescent="0.2">
      <c r="A2413" s="3">
        <v>45927</v>
      </c>
      <c r="B2413" s="2" t="s">
        <v>7</v>
      </c>
      <c r="C2413" s="2">
        <v>4</v>
      </c>
      <c r="D2413" s="2">
        <f t="shared" si="148"/>
        <v>2025</v>
      </c>
      <c r="E2413" s="2" t="str">
        <f t="shared" si="149"/>
        <v>2025-39</v>
      </c>
      <c r="F2413" s="2" t="str">
        <f t="shared" si="150"/>
        <v>Week 39</v>
      </c>
      <c r="G2413" s="2" t="str">
        <f t="shared" si="151"/>
        <v>Week 39-2025</v>
      </c>
      <c r="O2413"/>
      <c r="Q2413"/>
    </row>
    <row r="2414" spans="1:17" hidden="1" x14ac:dyDescent="0.2">
      <c r="A2414" s="3">
        <v>45927</v>
      </c>
      <c r="B2414" s="2" t="s">
        <v>7</v>
      </c>
      <c r="C2414" s="2">
        <v>4</v>
      </c>
      <c r="D2414" s="2">
        <f t="shared" si="148"/>
        <v>2025</v>
      </c>
      <c r="E2414" s="2" t="str">
        <f t="shared" si="149"/>
        <v>2025-39</v>
      </c>
      <c r="F2414" s="2" t="str">
        <f t="shared" si="150"/>
        <v>Week 39</v>
      </c>
      <c r="G2414" s="2" t="str">
        <f t="shared" si="151"/>
        <v>Week 39-2025</v>
      </c>
      <c r="O2414"/>
      <c r="Q2414"/>
    </row>
    <row r="2415" spans="1:17" hidden="1" x14ac:dyDescent="0.2">
      <c r="A2415" s="3">
        <v>45927</v>
      </c>
      <c r="B2415" s="2" t="s">
        <v>9</v>
      </c>
      <c r="C2415" s="2">
        <v>4</v>
      </c>
      <c r="D2415" s="2">
        <f t="shared" si="148"/>
        <v>2025</v>
      </c>
      <c r="E2415" s="2" t="str">
        <f t="shared" si="149"/>
        <v>2025-39</v>
      </c>
      <c r="F2415" s="2" t="str">
        <f t="shared" si="150"/>
        <v>Week 39</v>
      </c>
      <c r="G2415" s="2" t="str">
        <f t="shared" si="151"/>
        <v>Week 39-2025</v>
      </c>
      <c r="O2415"/>
      <c r="Q2415"/>
    </row>
    <row r="2416" spans="1:17" hidden="1" x14ac:dyDescent="0.2">
      <c r="A2416" s="3">
        <v>45927</v>
      </c>
      <c r="B2416" s="2" t="s">
        <v>9</v>
      </c>
      <c r="C2416" s="2">
        <v>4</v>
      </c>
      <c r="D2416" s="2">
        <f t="shared" si="148"/>
        <v>2025</v>
      </c>
      <c r="E2416" s="2" t="str">
        <f t="shared" si="149"/>
        <v>2025-39</v>
      </c>
      <c r="F2416" s="2" t="str">
        <f t="shared" si="150"/>
        <v>Week 39</v>
      </c>
      <c r="G2416" s="2" t="str">
        <f t="shared" si="151"/>
        <v>Week 39-2025</v>
      </c>
      <c r="O2416"/>
      <c r="Q2416"/>
    </row>
    <row r="2417" spans="1:17" hidden="1" x14ac:dyDescent="0.2">
      <c r="A2417" s="3">
        <v>45927</v>
      </c>
      <c r="B2417" s="2" t="s">
        <v>9</v>
      </c>
      <c r="C2417" s="2">
        <v>4</v>
      </c>
      <c r="D2417" s="2">
        <f t="shared" si="148"/>
        <v>2025</v>
      </c>
      <c r="E2417" s="2" t="str">
        <f t="shared" si="149"/>
        <v>2025-39</v>
      </c>
      <c r="F2417" s="2" t="str">
        <f t="shared" si="150"/>
        <v>Week 39</v>
      </c>
      <c r="G2417" s="2" t="str">
        <f t="shared" si="151"/>
        <v>Week 39-2025</v>
      </c>
      <c r="O2417"/>
      <c r="Q2417"/>
    </row>
    <row r="2418" spans="1:17" hidden="1" x14ac:dyDescent="0.2">
      <c r="A2418" s="3">
        <v>45927</v>
      </c>
      <c r="B2418" s="2" t="s">
        <v>9</v>
      </c>
      <c r="C2418" s="2">
        <v>4</v>
      </c>
      <c r="D2418" s="2">
        <f t="shared" si="148"/>
        <v>2025</v>
      </c>
      <c r="E2418" s="2" t="str">
        <f t="shared" si="149"/>
        <v>2025-39</v>
      </c>
      <c r="F2418" s="2" t="str">
        <f t="shared" si="150"/>
        <v>Week 39</v>
      </c>
      <c r="G2418" s="2" t="str">
        <f t="shared" si="151"/>
        <v>Week 39-2025</v>
      </c>
      <c r="O2418"/>
      <c r="Q2418"/>
    </row>
    <row r="2419" spans="1:17" hidden="1" x14ac:dyDescent="0.2">
      <c r="A2419" s="3">
        <v>45927</v>
      </c>
      <c r="B2419" s="2" t="s">
        <v>14</v>
      </c>
      <c r="C2419" s="2">
        <v>6</v>
      </c>
      <c r="D2419" s="2">
        <f t="shared" si="148"/>
        <v>2025</v>
      </c>
      <c r="E2419" s="2" t="str">
        <f t="shared" si="149"/>
        <v>2025-39</v>
      </c>
      <c r="F2419" s="2" t="str">
        <f t="shared" si="150"/>
        <v>Week 39</v>
      </c>
      <c r="G2419" s="2" t="str">
        <f t="shared" si="151"/>
        <v>Week 39-2025</v>
      </c>
      <c r="O2419"/>
      <c r="Q2419"/>
    </row>
    <row r="2420" spans="1:17" hidden="1" x14ac:dyDescent="0.2">
      <c r="A2420" s="3">
        <v>45927</v>
      </c>
      <c r="B2420" s="2" t="s">
        <v>14</v>
      </c>
      <c r="C2420" s="2">
        <v>6</v>
      </c>
      <c r="D2420" s="2">
        <f t="shared" si="148"/>
        <v>2025</v>
      </c>
      <c r="E2420" s="2" t="str">
        <f t="shared" si="149"/>
        <v>2025-39</v>
      </c>
      <c r="F2420" s="2" t="str">
        <f t="shared" si="150"/>
        <v>Week 39</v>
      </c>
      <c r="G2420" s="2" t="str">
        <f t="shared" si="151"/>
        <v>Week 39-2025</v>
      </c>
      <c r="O2420"/>
      <c r="Q2420"/>
    </row>
    <row r="2421" spans="1:17" hidden="1" x14ac:dyDescent="0.2">
      <c r="A2421" s="3">
        <v>45927</v>
      </c>
      <c r="B2421" s="2" t="s">
        <v>3</v>
      </c>
      <c r="C2421" s="2">
        <v>4</v>
      </c>
      <c r="D2421" s="2">
        <f t="shared" si="148"/>
        <v>2025</v>
      </c>
      <c r="E2421" s="2" t="str">
        <f t="shared" si="149"/>
        <v>2025-39</v>
      </c>
      <c r="F2421" s="2" t="str">
        <f t="shared" si="150"/>
        <v>Week 39</v>
      </c>
      <c r="G2421" s="2" t="str">
        <f t="shared" si="151"/>
        <v>Week 39-2025</v>
      </c>
      <c r="O2421"/>
      <c r="Q2421"/>
    </row>
    <row r="2422" spans="1:17" hidden="1" x14ac:dyDescent="0.2">
      <c r="A2422" s="3">
        <v>45927</v>
      </c>
      <c r="B2422" s="2" t="s">
        <v>3</v>
      </c>
      <c r="C2422" s="2">
        <v>4</v>
      </c>
      <c r="D2422" s="2">
        <f t="shared" si="148"/>
        <v>2025</v>
      </c>
      <c r="E2422" s="2" t="str">
        <f t="shared" si="149"/>
        <v>2025-39</v>
      </c>
      <c r="F2422" s="2" t="str">
        <f t="shared" si="150"/>
        <v>Week 39</v>
      </c>
      <c r="G2422" s="2" t="str">
        <f t="shared" si="151"/>
        <v>Week 39-2025</v>
      </c>
      <c r="O2422"/>
      <c r="Q2422"/>
    </row>
    <row r="2423" spans="1:17" hidden="1" x14ac:dyDescent="0.2">
      <c r="A2423" s="3">
        <v>45927</v>
      </c>
      <c r="B2423" s="2" t="s">
        <v>3</v>
      </c>
      <c r="C2423" s="2">
        <v>4</v>
      </c>
      <c r="D2423" s="2">
        <f t="shared" si="148"/>
        <v>2025</v>
      </c>
      <c r="E2423" s="2" t="str">
        <f t="shared" si="149"/>
        <v>2025-39</v>
      </c>
      <c r="F2423" s="2" t="str">
        <f t="shared" si="150"/>
        <v>Week 39</v>
      </c>
      <c r="G2423" s="2" t="str">
        <f t="shared" si="151"/>
        <v>Week 39-2025</v>
      </c>
      <c r="O2423"/>
      <c r="Q2423"/>
    </row>
    <row r="2424" spans="1:17" hidden="1" x14ac:dyDescent="0.2">
      <c r="A2424" s="3">
        <v>45927</v>
      </c>
      <c r="B2424" s="2" t="s">
        <v>3</v>
      </c>
      <c r="C2424" s="2">
        <v>4</v>
      </c>
      <c r="D2424" s="2">
        <f t="shared" si="148"/>
        <v>2025</v>
      </c>
      <c r="E2424" s="2" t="str">
        <f t="shared" si="149"/>
        <v>2025-39</v>
      </c>
      <c r="F2424" s="2" t="str">
        <f t="shared" si="150"/>
        <v>Week 39</v>
      </c>
      <c r="G2424" s="2" t="str">
        <f t="shared" si="151"/>
        <v>Week 39-2025</v>
      </c>
      <c r="O2424"/>
      <c r="Q2424"/>
    </row>
    <row r="2425" spans="1:17" hidden="1" x14ac:dyDescent="0.2">
      <c r="A2425" s="3">
        <v>45927</v>
      </c>
      <c r="B2425" s="2" t="s">
        <v>3</v>
      </c>
      <c r="C2425" s="2">
        <v>4</v>
      </c>
      <c r="D2425" s="2">
        <f t="shared" si="148"/>
        <v>2025</v>
      </c>
      <c r="E2425" s="2" t="str">
        <f t="shared" si="149"/>
        <v>2025-39</v>
      </c>
      <c r="F2425" s="2" t="str">
        <f t="shared" si="150"/>
        <v>Week 39</v>
      </c>
      <c r="G2425" s="2" t="str">
        <f t="shared" si="151"/>
        <v>Week 39-2025</v>
      </c>
      <c r="O2425"/>
      <c r="Q2425"/>
    </row>
    <row r="2426" spans="1:17" hidden="1" x14ac:dyDescent="0.2">
      <c r="A2426" s="3">
        <v>45927</v>
      </c>
      <c r="B2426" s="2" t="s">
        <v>37</v>
      </c>
      <c r="C2426" s="2">
        <v>4</v>
      </c>
      <c r="D2426" s="2">
        <f t="shared" si="148"/>
        <v>2025</v>
      </c>
      <c r="E2426" s="2" t="str">
        <f t="shared" si="149"/>
        <v>2025-39</v>
      </c>
      <c r="F2426" s="2" t="str">
        <f t="shared" si="150"/>
        <v>Week 39</v>
      </c>
      <c r="G2426" s="2" t="str">
        <f t="shared" si="151"/>
        <v>Week 39-2025</v>
      </c>
      <c r="O2426"/>
      <c r="Q2426"/>
    </row>
    <row r="2427" spans="1:17" hidden="1" x14ac:dyDescent="0.2">
      <c r="A2427" s="3">
        <v>45927</v>
      </c>
      <c r="B2427" s="2" t="s">
        <v>37</v>
      </c>
      <c r="C2427" s="2">
        <v>4</v>
      </c>
      <c r="D2427" s="2">
        <f t="shared" si="148"/>
        <v>2025</v>
      </c>
      <c r="E2427" s="2" t="str">
        <f t="shared" si="149"/>
        <v>2025-39</v>
      </c>
      <c r="F2427" s="2" t="str">
        <f t="shared" si="150"/>
        <v>Week 39</v>
      </c>
      <c r="G2427" s="2" t="str">
        <f t="shared" si="151"/>
        <v>Week 39-2025</v>
      </c>
      <c r="O2427"/>
      <c r="Q2427"/>
    </row>
    <row r="2428" spans="1:17" hidden="1" x14ac:dyDescent="0.2">
      <c r="A2428" s="3">
        <v>45927</v>
      </c>
      <c r="B2428" s="2" t="s">
        <v>34</v>
      </c>
      <c r="C2428" s="2">
        <v>4</v>
      </c>
      <c r="D2428" s="2">
        <f t="shared" si="148"/>
        <v>2025</v>
      </c>
      <c r="E2428" s="2" t="str">
        <f t="shared" si="149"/>
        <v>2025-39</v>
      </c>
      <c r="F2428" s="2" t="str">
        <f t="shared" si="150"/>
        <v>Week 39</v>
      </c>
      <c r="G2428" s="2" t="str">
        <f t="shared" si="151"/>
        <v>Week 39-2025</v>
      </c>
      <c r="O2428"/>
      <c r="Q2428"/>
    </row>
    <row r="2429" spans="1:17" hidden="1" x14ac:dyDescent="0.2">
      <c r="A2429" s="3">
        <v>45927</v>
      </c>
      <c r="B2429" s="2" t="s">
        <v>7</v>
      </c>
      <c r="C2429" s="2">
        <v>2</v>
      </c>
      <c r="D2429" s="2">
        <f t="shared" si="148"/>
        <v>2025</v>
      </c>
      <c r="E2429" s="2" t="str">
        <f t="shared" si="149"/>
        <v>2025-39</v>
      </c>
      <c r="F2429" s="2" t="str">
        <f t="shared" si="150"/>
        <v>Week 39</v>
      </c>
      <c r="G2429" s="2" t="str">
        <f t="shared" si="151"/>
        <v>Week 39-2025</v>
      </c>
      <c r="O2429"/>
      <c r="Q2429"/>
    </row>
    <row r="2430" spans="1:17" hidden="1" x14ac:dyDescent="0.2">
      <c r="A2430" s="3">
        <v>45927</v>
      </c>
      <c r="B2430" s="2" t="s">
        <v>34</v>
      </c>
      <c r="C2430" s="2">
        <v>3</v>
      </c>
      <c r="D2430" s="2">
        <f t="shared" si="148"/>
        <v>2025</v>
      </c>
      <c r="E2430" s="2" t="str">
        <f t="shared" si="149"/>
        <v>2025-39</v>
      </c>
      <c r="F2430" s="2" t="str">
        <f t="shared" si="150"/>
        <v>Week 39</v>
      </c>
      <c r="G2430" s="2" t="str">
        <f t="shared" si="151"/>
        <v>Week 39-2025</v>
      </c>
      <c r="O2430"/>
      <c r="Q2430"/>
    </row>
    <row r="2431" spans="1:17" hidden="1" x14ac:dyDescent="0.2">
      <c r="A2431" s="3">
        <v>45927</v>
      </c>
      <c r="B2431" s="2" t="s">
        <v>14</v>
      </c>
      <c r="C2431" s="2">
        <v>2</v>
      </c>
      <c r="D2431" s="2">
        <f t="shared" si="148"/>
        <v>2025</v>
      </c>
      <c r="E2431" s="2" t="str">
        <f t="shared" si="149"/>
        <v>2025-39</v>
      </c>
      <c r="F2431" s="2" t="str">
        <f t="shared" si="150"/>
        <v>Week 39</v>
      </c>
      <c r="G2431" s="2" t="str">
        <f t="shared" si="151"/>
        <v>Week 39-2025</v>
      </c>
      <c r="O2431"/>
      <c r="Q2431"/>
    </row>
    <row r="2432" spans="1:17" hidden="1" x14ac:dyDescent="0.2">
      <c r="A2432" s="3">
        <v>45927</v>
      </c>
      <c r="B2432" s="2" t="s">
        <v>34</v>
      </c>
      <c r="C2432" s="2">
        <v>1</v>
      </c>
      <c r="D2432" s="2">
        <f t="shared" si="148"/>
        <v>2025</v>
      </c>
      <c r="E2432" s="2" t="str">
        <f t="shared" si="149"/>
        <v>2025-39</v>
      </c>
      <c r="F2432" s="2" t="str">
        <f t="shared" si="150"/>
        <v>Week 39</v>
      </c>
      <c r="G2432" s="2" t="str">
        <f t="shared" si="151"/>
        <v>Week 39-2025</v>
      </c>
      <c r="O2432"/>
      <c r="Q2432"/>
    </row>
    <row r="2433" spans="1:17" hidden="1" x14ac:dyDescent="0.2">
      <c r="A2433" s="3">
        <v>45929</v>
      </c>
      <c r="B2433" s="2" t="s">
        <v>4</v>
      </c>
      <c r="C2433" s="2">
        <v>12</v>
      </c>
      <c r="D2433" s="2">
        <f t="shared" si="148"/>
        <v>2025</v>
      </c>
      <c r="E2433" s="2" t="str">
        <f t="shared" si="149"/>
        <v>2025-40</v>
      </c>
      <c r="F2433" s="2" t="str">
        <f t="shared" si="150"/>
        <v>Week 40</v>
      </c>
      <c r="G2433" s="2" t="str">
        <f t="shared" si="151"/>
        <v>Week 40-2025</v>
      </c>
      <c r="O2433"/>
      <c r="Q2433"/>
    </row>
    <row r="2434" spans="1:17" hidden="1" x14ac:dyDescent="0.2">
      <c r="A2434" s="3">
        <v>45929</v>
      </c>
      <c r="B2434" s="2" t="s">
        <v>7</v>
      </c>
      <c r="C2434" s="2">
        <v>10</v>
      </c>
      <c r="D2434" s="2">
        <f t="shared" ref="D2434:D2497" si="152">YEAR(A2434)</f>
        <v>2025</v>
      </c>
      <c r="E2434" s="2" t="str">
        <f t="shared" ref="E2434:E2497" si="153">YEAR(A2434)&amp;"-"&amp;_xlfn.ISOWEEKNUM(A2434)</f>
        <v>2025-40</v>
      </c>
      <c r="F2434" s="2" t="str">
        <f t="shared" ref="F2434:F2497" si="154">_xlfn.CONCAT("Week "&amp;WEEKNUM(A2434))</f>
        <v>Week 40</v>
      </c>
      <c r="G2434" s="2" t="str">
        <f t="shared" ref="G2434:G2497" si="155">_xlfn.CONCAT(F2434,"-",D2434)</f>
        <v>Week 40-2025</v>
      </c>
      <c r="O2434"/>
      <c r="Q2434"/>
    </row>
    <row r="2435" spans="1:17" hidden="1" x14ac:dyDescent="0.2">
      <c r="A2435" s="3">
        <v>45929</v>
      </c>
      <c r="B2435" s="2" t="s">
        <v>6</v>
      </c>
      <c r="C2435" s="2">
        <v>8</v>
      </c>
      <c r="D2435" s="2">
        <f t="shared" si="152"/>
        <v>2025</v>
      </c>
      <c r="E2435" s="2" t="str">
        <f t="shared" si="153"/>
        <v>2025-40</v>
      </c>
      <c r="F2435" s="2" t="str">
        <f t="shared" si="154"/>
        <v>Week 40</v>
      </c>
      <c r="G2435" s="2" t="str">
        <f t="shared" si="155"/>
        <v>Week 40-2025</v>
      </c>
      <c r="O2435"/>
      <c r="Q2435"/>
    </row>
    <row r="2436" spans="1:17" hidden="1" x14ac:dyDescent="0.2">
      <c r="A2436" s="3">
        <v>45929</v>
      </c>
      <c r="B2436" s="2" t="s">
        <v>6</v>
      </c>
      <c r="C2436" s="2">
        <v>8</v>
      </c>
      <c r="D2436" s="2">
        <f t="shared" si="152"/>
        <v>2025</v>
      </c>
      <c r="E2436" s="2" t="str">
        <f t="shared" si="153"/>
        <v>2025-40</v>
      </c>
      <c r="F2436" s="2" t="str">
        <f t="shared" si="154"/>
        <v>Week 40</v>
      </c>
      <c r="G2436" s="2" t="str">
        <f t="shared" si="155"/>
        <v>Week 40-2025</v>
      </c>
      <c r="O2436"/>
      <c r="Q2436"/>
    </row>
    <row r="2437" spans="1:17" hidden="1" x14ac:dyDescent="0.2">
      <c r="A2437" s="3">
        <v>45929</v>
      </c>
      <c r="B2437" s="2" t="s">
        <v>9</v>
      </c>
      <c r="C2437" s="2">
        <v>4</v>
      </c>
      <c r="D2437" s="2">
        <f t="shared" si="152"/>
        <v>2025</v>
      </c>
      <c r="E2437" s="2" t="str">
        <f t="shared" si="153"/>
        <v>2025-40</v>
      </c>
      <c r="F2437" s="2" t="str">
        <f t="shared" si="154"/>
        <v>Week 40</v>
      </c>
      <c r="G2437" s="2" t="str">
        <f t="shared" si="155"/>
        <v>Week 40-2025</v>
      </c>
      <c r="O2437"/>
      <c r="Q2437"/>
    </row>
    <row r="2438" spans="1:17" hidden="1" x14ac:dyDescent="0.2">
      <c r="A2438" s="3">
        <v>45929</v>
      </c>
      <c r="B2438" s="2" t="s">
        <v>3</v>
      </c>
      <c r="C2438" s="2">
        <v>4</v>
      </c>
      <c r="D2438" s="2">
        <f t="shared" si="152"/>
        <v>2025</v>
      </c>
      <c r="E2438" s="2" t="str">
        <f t="shared" si="153"/>
        <v>2025-40</v>
      </c>
      <c r="F2438" s="2" t="str">
        <f t="shared" si="154"/>
        <v>Week 40</v>
      </c>
      <c r="G2438" s="2" t="str">
        <f t="shared" si="155"/>
        <v>Week 40-2025</v>
      </c>
      <c r="O2438"/>
      <c r="Q2438"/>
    </row>
    <row r="2439" spans="1:17" hidden="1" x14ac:dyDescent="0.2">
      <c r="A2439" s="3">
        <v>45929</v>
      </c>
      <c r="B2439" s="2" t="s">
        <v>3</v>
      </c>
      <c r="C2439" s="2">
        <v>4</v>
      </c>
      <c r="D2439" s="2">
        <f t="shared" si="152"/>
        <v>2025</v>
      </c>
      <c r="E2439" s="2" t="str">
        <f t="shared" si="153"/>
        <v>2025-40</v>
      </c>
      <c r="F2439" s="2" t="str">
        <f t="shared" si="154"/>
        <v>Week 40</v>
      </c>
      <c r="G2439" s="2" t="str">
        <f t="shared" si="155"/>
        <v>Week 40-2025</v>
      </c>
      <c r="O2439"/>
      <c r="Q2439"/>
    </row>
    <row r="2440" spans="1:17" hidden="1" x14ac:dyDescent="0.2">
      <c r="A2440" s="3">
        <v>45929</v>
      </c>
      <c r="B2440" s="2" t="s">
        <v>3</v>
      </c>
      <c r="C2440" s="2">
        <v>4</v>
      </c>
      <c r="D2440" s="2">
        <f t="shared" si="152"/>
        <v>2025</v>
      </c>
      <c r="E2440" s="2" t="str">
        <f t="shared" si="153"/>
        <v>2025-40</v>
      </c>
      <c r="F2440" s="2" t="str">
        <f t="shared" si="154"/>
        <v>Week 40</v>
      </c>
      <c r="G2440" s="2" t="str">
        <f t="shared" si="155"/>
        <v>Week 40-2025</v>
      </c>
      <c r="O2440"/>
      <c r="Q2440"/>
    </row>
    <row r="2441" spans="1:17" hidden="1" x14ac:dyDescent="0.2">
      <c r="A2441" s="3">
        <v>45929</v>
      </c>
      <c r="B2441" s="2" t="s">
        <v>34</v>
      </c>
      <c r="C2441" s="2">
        <v>4</v>
      </c>
      <c r="D2441" s="2">
        <f t="shared" si="152"/>
        <v>2025</v>
      </c>
      <c r="E2441" s="2" t="str">
        <f t="shared" si="153"/>
        <v>2025-40</v>
      </c>
      <c r="F2441" s="2" t="str">
        <f t="shared" si="154"/>
        <v>Week 40</v>
      </c>
      <c r="G2441" s="2" t="str">
        <f t="shared" si="155"/>
        <v>Week 40-2025</v>
      </c>
      <c r="O2441"/>
      <c r="Q2441"/>
    </row>
    <row r="2442" spans="1:17" hidden="1" x14ac:dyDescent="0.2">
      <c r="A2442" s="3">
        <v>45929</v>
      </c>
      <c r="B2442" s="2" t="s">
        <v>14</v>
      </c>
      <c r="C2442" s="2">
        <v>4</v>
      </c>
      <c r="D2442" s="2">
        <f t="shared" si="152"/>
        <v>2025</v>
      </c>
      <c r="E2442" s="2" t="str">
        <f t="shared" si="153"/>
        <v>2025-40</v>
      </c>
      <c r="F2442" s="2" t="str">
        <f t="shared" si="154"/>
        <v>Week 40</v>
      </c>
      <c r="G2442" s="2" t="str">
        <f t="shared" si="155"/>
        <v>Week 40-2025</v>
      </c>
      <c r="O2442"/>
      <c r="Q2442"/>
    </row>
    <row r="2443" spans="1:17" hidden="1" x14ac:dyDescent="0.2">
      <c r="A2443" s="3">
        <v>45929</v>
      </c>
      <c r="B2443" s="2" t="s">
        <v>15</v>
      </c>
      <c r="C2443" s="2">
        <v>4</v>
      </c>
      <c r="D2443" s="2">
        <f t="shared" si="152"/>
        <v>2025</v>
      </c>
      <c r="E2443" s="2" t="str">
        <f t="shared" si="153"/>
        <v>2025-40</v>
      </c>
      <c r="F2443" s="2" t="str">
        <f t="shared" si="154"/>
        <v>Week 40</v>
      </c>
      <c r="G2443" s="2" t="str">
        <f t="shared" si="155"/>
        <v>Week 40-2025</v>
      </c>
      <c r="O2443"/>
      <c r="Q2443"/>
    </row>
    <row r="2444" spans="1:17" hidden="1" x14ac:dyDescent="0.2">
      <c r="A2444" s="3">
        <v>45929</v>
      </c>
      <c r="B2444" s="2" t="s">
        <v>14</v>
      </c>
      <c r="C2444" s="2">
        <v>2</v>
      </c>
      <c r="D2444" s="2">
        <f t="shared" si="152"/>
        <v>2025</v>
      </c>
      <c r="E2444" s="2" t="str">
        <f t="shared" si="153"/>
        <v>2025-40</v>
      </c>
      <c r="F2444" s="2" t="str">
        <f t="shared" si="154"/>
        <v>Week 40</v>
      </c>
      <c r="G2444" s="2" t="str">
        <f t="shared" si="155"/>
        <v>Week 40-2025</v>
      </c>
      <c r="O2444"/>
      <c r="Q2444"/>
    </row>
    <row r="2445" spans="1:17" hidden="1" x14ac:dyDescent="0.2">
      <c r="A2445" s="3">
        <v>45929</v>
      </c>
      <c r="B2445" s="2" t="s">
        <v>14</v>
      </c>
      <c r="C2445" s="2">
        <v>2</v>
      </c>
      <c r="D2445" s="2">
        <f t="shared" si="152"/>
        <v>2025</v>
      </c>
      <c r="E2445" s="2" t="str">
        <f t="shared" si="153"/>
        <v>2025-40</v>
      </c>
      <c r="F2445" s="2" t="str">
        <f t="shared" si="154"/>
        <v>Week 40</v>
      </c>
      <c r="G2445" s="2" t="str">
        <f t="shared" si="155"/>
        <v>Week 40-2025</v>
      </c>
      <c r="O2445"/>
      <c r="Q2445"/>
    </row>
    <row r="2446" spans="1:17" hidden="1" x14ac:dyDescent="0.2">
      <c r="A2446" s="3">
        <v>45929</v>
      </c>
      <c r="B2446" s="2" t="s">
        <v>14</v>
      </c>
      <c r="C2446" s="2">
        <v>2</v>
      </c>
      <c r="D2446" s="2">
        <f t="shared" si="152"/>
        <v>2025</v>
      </c>
      <c r="E2446" s="2" t="str">
        <f t="shared" si="153"/>
        <v>2025-40</v>
      </c>
      <c r="F2446" s="2" t="str">
        <f t="shared" si="154"/>
        <v>Week 40</v>
      </c>
      <c r="G2446" s="2" t="str">
        <f t="shared" si="155"/>
        <v>Week 40-2025</v>
      </c>
      <c r="O2446"/>
      <c r="Q2446"/>
    </row>
    <row r="2447" spans="1:17" hidden="1" x14ac:dyDescent="0.2">
      <c r="A2447" s="3">
        <v>45930</v>
      </c>
      <c r="B2447" s="2" t="s">
        <v>5</v>
      </c>
      <c r="C2447" s="2">
        <v>32</v>
      </c>
      <c r="D2447" s="2">
        <f t="shared" si="152"/>
        <v>2025</v>
      </c>
      <c r="E2447" s="2" t="str">
        <f t="shared" si="153"/>
        <v>2025-40</v>
      </c>
      <c r="F2447" s="2" t="str">
        <f t="shared" si="154"/>
        <v>Week 40</v>
      </c>
      <c r="G2447" s="2" t="str">
        <f t="shared" si="155"/>
        <v>Week 40-2025</v>
      </c>
      <c r="O2447"/>
      <c r="Q2447"/>
    </row>
    <row r="2448" spans="1:17" hidden="1" x14ac:dyDescent="0.2">
      <c r="A2448" s="3">
        <v>45930</v>
      </c>
      <c r="B2448" s="2" t="s">
        <v>6</v>
      </c>
      <c r="C2448" s="2">
        <v>8</v>
      </c>
      <c r="D2448" s="2">
        <f t="shared" si="152"/>
        <v>2025</v>
      </c>
      <c r="E2448" s="2" t="str">
        <f t="shared" si="153"/>
        <v>2025-40</v>
      </c>
      <c r="F2448" s="2" t="str">
        <f t="shared" si="154"/>
        <v>Week 40</v>
      </c>
      <c r="G2448" s="2" t="str">
        <f t="shared" si="155"/>
        <v>Week 40-2025</v>
      </c>
      <c r="O2448"/>
      <c r="Q2448"/>
    </row>
    <row r="2449" spans="1:17" hidden="1" x14ac:dyDescent="0.2">
      <c r="A2449" s="3">
        <v>45930</v>
      </c>
      <c r="B2449" s="2" t="s">
        <v>3</v>
      </c>
      <c r="C2449" s="2">
        <v>10</v>
      </c>
      <c r="D2449" s="2">
        <f t="shared" si="152"/>
        <v>2025</v>
      </c>
      <c r="E2449" s="2" t="str">
        <f t="shared" si="153"/>
        <v>2025-40</v>
      </c>
      <c r="F2449" s="2" t="str">
        <f t="shared" si="154"/>
        <v>Week 40</v>
      </c>
      <c r="G2449" s="2" t="str">
        <f t="shared" si="155"/>
        <v>Week 40-2025</v>
      </c>
      <c r="O2449"/>
      <c r="Q2449"/>
    </row>
    <row r="2450" spans="1:17" hidden="1" x14ac:dyDescent="0.2">
      <c r="A2450" s="3">
        <v>45930</v>
      </c>
      <c r="B2450" s="2" t="s">
        <v>7</v>
      </c>
      <c r="C2450" s="2">
        <v>4</v>
      </c>
      <c r="D2450" s="2">
        <f t="shared" si="152"/>
        <v>2025</v>
      </c>
      <c r="E2450" s="2" t="str">
        <f t="shared" si="153"/>
        <v>2025-40</v>
      </c>
      <c r="F2450" s="2" t="str">
        <f t="shared" si="154"/>
        <v>Week 40</v>
      </c>
      <c r="G2450" s="2" t="str">
        <f t="shared" si="155"/>
        <v>Week 40-2025</v>
      </c>
      <c r="O2450"/>
      <c r="Q2450"/>
    </row>
    <row r="2451" spans="1:17" hidden="1" x14ac:dyDescent="0.2">
      <c r="A2451" s="3">
        <v>45930</v>
      </c>
      <c r="B2451" s="2" t="s">
        <v>3</v>
      </c>
      <c r="C2451" s="2">
        <v>4</v>
      </c>
      <c r="D2451" s="2">
        <f t="shared" si="152"/>
        <v>2025</v>
      </c>
      <c r="E2451" s="2" t="str">
        <f t="shared" si="153"/>
        <v>2025-40</v>
      </c>
      <c r="F2451" s="2" t="str">
        <f t="shared" si="154"/>
        <v>Week 40</v>
      </c>
      <c r="G2451" s="2" t="str">
        <f t="shared" si="155"/>
        <v>Week 40-2025</v>
      </c>
      <c r="O2451"/>
      <c r="Q2451"/>
    </row>
    <row r="2452" spans="1:17" hidden="1" x14ac:dyDescent="0.2">
      <c r="A2452" s="3">
        <v>45930</v>
      </c>
      <c r="B2452" s="2" t="s">
        <v>19</v>
      </c>
      <c r="C2452" s="2">
        <v>2</v>
      </c>
      <c r="D2452" s="2">
        <f t="shared" si="152"/>
        <v>2025</v>
      </c>
      <c r="E2452" s="2" t="str">
        <f t="shared" si="153"/>
        <v>2025-40</v>
      </c>
      <c r="F2452" s="2" t="str">
        <f t="shared" si="154"/>
        <v>Week 40</v>
      </c>
      <c r="G2452" s="2" t="str">
        <f t="shared" si="155"/>
        <v>Week 40-2025</v>
      </c>
      <c r="O2452"/>
      <c r="Q2452"/>
    </row>
    <row r="2453" spans="1:17" hidden="1" x14ac:dyDescent="0.2">
      <c r="A2453" s="3">
        <v>45930</v>
      </c>
      <c r="B2453" s="2" t="s">
        <v>9</v>
      </c>
      <c r="C2453" s="2">
        <v>2</v>
      </c>
      <c r="D2453" s="2">
        <f t="shared" si="152"/>
        <v>2025</v>
      </c>
      <c r="E2453" s="2" t="str">
        <f t="shared" si="153"/>
        <v>2025-40</v>
      </c>
      <c r="F2453" s="2" t="str">
        <f t="shared" si="154"/>
        <v>Week 40</v>
      </c>
      <c r="G2453" s="2" t="str">
        <f t="shared" si="155"/>
        <v>Week 40-2025</v>
      </c>
      <c r="O2453"/>
      <c r="Q2453"/>
    </row>
    <row r="2454" spans="1:17" hidden="1" x14ac:dyDescent="0.2">
      <c r="A2454" s="3">
        <v>45930</v>
      </c>
      <c r="B2454" s="2" t="s">
        <v>15</v>
      </c>
      <c r="C2454" s="2">
        <v>5</v>
      </c>
      <c r="D2454" s="2">
        <f t="shared" si="152"/>
        <v>2025</v>
      </c>
      <c r="E2454" s="2" t="str">
        <f t="shared" si="153"/>
        <v>2025-40</v>
      </c>
      <c r="F2454" s="2" t="str">
        <f t="shared" si="154"/>
        <v>Week 40</v>
      </c>
      <c r="G2454" s="2" t="str">
        <f t="shared" si="155"/>
        <v>Week 40-2025</v>
      </c>
      <c r="O2454"/>
      <c r="Q2454"/>
    </row>
    <row r="2455" spans="1:17" hidden="1" x14ac:dyDescent="0.2">
      <c r="A2455" s="3">
        <v>45930</v>
      </c>
      <c r="B2455" s="2" t="s">
        <v>14</v>
      </c>
      <c r="C2455" s="2">
        <v>2</v>
      </c>
      <c r="D2455" s="2">
        <f t="shared" si="152"/>
        <v>2025</v>
      </c>
      <c r="E2455" s="2" t="str">
        <f t="shared" si="153"/>
        <v>2025-40</v>
      </c>
      <c r="F2455" s="2" t="str">
        <f t="shared" si="154"/>
        <v>Week 40</v>
      </c>
      <c r="G2455" s="2" t="str">
        <f t="shared" si="155"/>
        <v>Week 40-2025</v>
      </c>
      <c r="O2455"/>
      <c r="Q2455"/>
    </row>
    <row r="2456" spans="1:17" hidden="1" x14ac:dyDescent="0.2">
      <c r="A2456" s="3">
        <v>45930</v>
      </c>
      <c r="B2456" s="2" t="s">
        <v>42</v>
      </c>
      <c r="C2456" s="2">
        <v>2</v>
      </c>
      <c r="D2456" s="2">
        <f t="shared" si="152"/>
        <v>2025</v>
      </c>
      <c r="E2456" s="2" t="str">
        <f t="shared" si="153"/>
        <v>2025-40</v>
      </c>
      <c r="F2456" s="2" t="str">
        <f t="shared" si="154"/>
        <v>Week 40</v>
      </c>
      <c r="G2456" s="2" t="str">
        <f t="shared" si="155"/>
        <v>Week 40-2025</v>
      </c>
      <c r="O2456"/>
      <c r="Q2456"/>
    </row>
    <row r="2457" spans="1:17" x14ac:dyDescent="0.2">
      <c r="A2457" s="3">
        <v>45930</v>
      </c>
      <c r="B2457" s="2" t="s">
        <v>24</v>
      </c>
      <c r="C2457" s="2">
        <v>2</v>
      </c>
      <c r="D2457" s="2">
        <f t="shared" si="152"/>
        <v>2025</v>
      </c>
      <c r="E2457" s="2" t="str">
        <f t="shared" si="153"/>
        <v>2025-40</v>
      </c>
      <c r="F2457" s="2" t="str">
        <f t="shared" si="154"/>
        <v>Week 40</v>
      </c>
      <c r="G2457" s="2" t="str">
        <f t="shared" si="155"/>
        <v>Week 40-2025</v>
      </c>
      <c r="O2457"/>
      <c r="Q2457"/>
    </row>
    <row r="2458" spans="1:17" hidden="1" x14ac:dyDescent="0.2">
      <c r="A2458" s="3">
        <v>45931</v>
      </c>
      <c r="B2458" s="2" t="s">
        <v>36</v>
      </c>
      <c r="C2458" s="2">
        <v>6</v>
      </c>
      <c r="D2458" s="2">
        <f t="shared" si="152"/>
        <v>2025</v>
      </c>
      <c r="E2458" s="2" t="str">
        <f t="shared" si="153"/>
        <v>2025-40</v>
      </c>
      <c r="F2458" s="2" t="str">
        <f t="shared" si="154"/>
        <v>Week 40</v>
      </c>
      <c r="G2458" s="2" t="str">
        <f t="shared" si="155"/>
        <v>Week 40-2025</v>
      </c>
      <c r="O2458"/>
      <c r="Q2458"/>
    </row>
    <row r="2459" spans="1:17" hidden="1" x14ac:dyDescent="0.2">
      <c r="A2459" s="3">
        <v>45933</v>
      </c>
      <c r="B2459" s="2" t="s">
        <v>14</v>
      </c>
      <c r="C2459" s="2">
        <v>20</v>
      </c>
      <c r="D2459" s="2">
        <f t="shared" si="152"/>
        <v>2025</v>
      </c>
      <c r="E2459" s="2" t="str">
        <f t="shared" si="153"/>
        <v>2025-40</v>
      </c>
      <c r="F2459" s="2" t="str">
        <f t="shared" si="154"/>
        <v>Week 40</v>
      </c>
      <c r="G2459" s="2" t="str">
        <f t="shared" si="155"/>
        <v>Week 40-2025</v>
      </c>
      <c r="O2459"/>
      <c r="Q2459"/>
    </row>
    <row r="2460" spans="1:17" hidden="1" x14ac:dyDescent="0.2">
      <c r="A2460" s="3">
        <v>45933</v>
      </c>
      <c r="B2460" s="2" t="s">
        <v>6</v>
      </c>
      <c r="C2460" s="2">
        <v>8</v>
      </c>
      <c r="D2460" s="2">
        <f t="shared" si="152"/>
        <v>2025</v>
      </c>
      <c r="E2460" s="2" t="str">
        <f t="shared" si="153"/>
        <v>2025-40</v>
      </c>
      <c r="F2460" s="2" t="str">
        <f t="shared" si="154"/>
        <v>Week 40</v>
      </c>
      <c r="G2460" s="2" t="str">
        <f t="shared" si="155"/>
        <v>Week 40-2025</v>
      </c>
      <c r="O2460"/>
      <c r="Q2460"/>
    </row>
    <row r="2461" spans="1:17" hidden="1" x14ac:dyDescent="0.2">
      <c r="A2461" s="3">
        <v>45933</v>
      </c>
      <c r="B2461" s="2" t="s">
        <v>3</v>
      </c>
      <c r="C2461" s="2">
        <v>8</v>
      </c>
      <c r="D2461" s="2">
        <f t="shared" si="152"/>
        <v>2025</v>
      </c>
      <c r="E2461" s="2" t="str">
        <f t="shared" si="153"/>
        <v>2025-40</v>
      </c>
      <c r="F2461" s="2" t="str">
        <f t="shared" si="154"/>
        <v>Week 40</v>
      </c>
      <c r="G2461" s="2" t="str">
        <f t="shared" si="155"/>
        <v>Week 40-2025</v>
      </c>
      <c r="O2461"/>
      <c r="Q2461"/>
    </row>
    <row r="2462" spans="1:17" hidden="1" x14ac:dyDescent="0.2">
      <c r="A2462" s="3">
        <v>45933</v>
      </c>
      <c r="B2462" s="2" t="s">
        <v>17</v>
      </c>
      <c r="C2462" s="2">
        <v>7</v>
      </c>
      <c r="D2462" s="2">
        <f t="shared" si="152"/>
        <v>2025</v>
      </c>
      <c r="E2462" s="2" t="str">
        <f t="shared" si="153"/>
        <v>2025-40</v>
      </c>
      <c r="F2462" s="2" t="str">
        <f t="shared" si="154"/>
        <v>Week 40</v>
      </c>
      <c r="G2462" s="2" t="str">
        <f t="shared" si="155"/>
        <v>Week 40-2025</v>
      </c>
      <c r="O2462"/>
      <c r="Q2462"/>
    </row>
    <row r="2463" spans="1:17" hidden="1" x14ac:dyDescent="0.2">
      <c r="A2463" s="3">
        <v>45933</v>
      </c>
      <c r="B2463" s="2" t="s">
        <v>9</v>
      </c>
      <c r="C2463" s="2">
        <v>4</v>
      </c>
      <c r="D2463" s="2">
        <f t="shared" si="152"/>
        <v>2025</v>
      </c>
      <c r="E2463" s="2" t="str">
        <f t="shared" si="153"/>
        <v>2025-40</v>
      </c>
      <c r="F2463" s="2" t="str">
        <f t="shared" si="154"/>
        <v>Week 40</v>
      </c>
      <c r="G2463" s="2" t="str">
        <f t="shared" si="155"/>
        <v>Week 40-2025</v>
      </c>
      <c r="O2463"/>
      <c r="Q2463"/>
    </row>
    <row r="2464" spans="1:17" hidden="1" x14ac:dyDescent="0.2">
      <c r="A2464" s="3">
        <v>45933</v>
      </c>
      <c r="B2464" s="2" t="s">
        <v>9</v>
      </c>
      <c r="C2464" s="2">
        <v>4</v>
      </c>
      <c r="D2464" s="2">
        <f t="shared" si="152"/>
        <v>2025</v>
      </c>
      <c r="E2464" s="2" t="str">
        <f t="shared" si="153"/>
        <v>2025-40</v>
      </c>
      <c r="F2464" s="2" t="str">
        <f t="shared" si="154"/>
        <v>Week 40</v>
      </c>
      <c r="G2464" s="2" t="str">
        <f t="shared" si="155"/>
        <v>Week 40-2025</v>
      </c>
      <c r="O2464"/>
      <c r="Q2464"/>
    </row>
    <row r="2465" spans="1:17" hidden="1" x14ac:dyDescent="0.2">
      <c r="A2465" s="3">
        <v>45933</v>
      </c>
      <c r="B2465" s="2" t="s">
        <v>8</v>
      </c>
      <c r="C2465" s="2">
        <v>6</v>
      </c>
      <c r="D2465" s="2">
        <f t="shared" si="152"/>
        <v>2025</v>
      </c>
      <c r="E2465" s="2" t="str">
        <f t="shared" si="153"/>
        <v>2025-40</v>
      </c>
      <c r="F2465" s="2" t="str">
        <f t="shared" si="154"/>
        <v>Week 40</v>
      </c>
      <c r="G2465" s="2" t="str">
        <f t="shared" si="155"/>
        <v>Week 40-2025</v>
      </c>
      <c r="O2465"/>
      <c r="Q2465"/>
    </row>
    <row r="2466" spans="1:17" hidden="1" x14ac:dyDescent="0.2">
      <c r="A2466" s="3">
        <v>45933</v>
      </c>
      <c r="B2466" s="2" t="s">
        <v>38</v>
      </c>
      <c r="C2466" s="2">
        <v>4</v>
      </c>
      <c r="D2466" s="2">
        <f t="shared" si="152"/>
        <v>2025</v>
      </c>
      <c r="E2466" s="2" t="str">
        <f t="shared" si="153"/>
        <v>2025-40</v>
      </c>
      <c r="F2466" s="2" t="str">
        <f t="shared" si="154"/>
        <v>Week 40</v>
      </c>
      <c r="G2466" s="2" t="str">
        <f t="shared" si="155"/>
        <v>Week 40-2025</v>
      </c>
      <c r="O2466"/>
      <c r="Q2466"/>
    </row>
    <row r="2467" spans="1:17" hidden="1" x14ac:dyDescent="0.2">
      <c r="A2467" s="3">
        <v>45933</v>
      </c>
      <c r="B2467" s="2" t="s">
        <v>29</v>
      </c>
      <c r="C2467" s="2">
        <v>2</v>
      </c>
      <c r="D2467" s="2">
        <f t="shared" si="152"/>
        <v>2025</v>
      </c>
      <c r="E2467" s="2" t="str">
        <f t="shared" si="153"/>
        <v>2025-40</v>
      </c>
      <c r="F2467" s="2" t="str">
        <f t="shared" si="154"/>
        <v>Week 40</v>
      </c>
      <c r="G2467" s="2" t="str">
        <f t="shared" si="155"/>
        <v>Week 40-2025</v>
      </c>
      <c r="O2467"/>
      <c r="Q2467"/>
    </row>
    <row r="2468" spans="1:17" hidden="1" x14ac:dyDescent="0.2">
      <c r="A2468" s="3">
        <v>45933</v>
      </c>
      <c r="B2468" s="2" t="s">
        <v>10</v>
      </c>
      <c r="C2468" s="2">
        <v>2</v>
      </c>
      <c r="D2468" s="2">
        <f t="shared" si="152"/>
        <v>2025</v>
      </c>
      <c r="E2468" s="2" t="str">
        <f t="shared" si="153"/>
        <v>2025-40</v>
      </c>
      <c r="F2468" s="2" t="str">
        <f t="shared" si="154"/>
        <v>Week 40</v>
      </c>
      <c r="G2468" s="2" t="str">
        <f t="shared" si="155"/>
        <v>Week 40-2025</v>
      </c>
      <c r="O2468"/>
      <c r="Q2468"/>
    </row>
    <row r="2469" spans="1:17" hidden="1" x14ac:dyDescent="0.2">
      <c r="A2469" s="3">
        <v>45933</v>
      </c>
      <c r="B2469" s="2" t="s">
        <v>37</v>
      </c>
      <c r="C2469" s="2">
        <v>2</v>
      </c>
      <c r="D2469" s="2">
        <f t="shared" si="152"/>
        <v>2025</v>
      </c>
      <c r="E2469" s="2" t="str">
        <f t="shared" si="153"/>
        <v>2025-40</v>
      </c>
      <c r="F2469" s="2" t="str">
        <f t="shared" si="154"/>
        <v>Week 40</v>
      </c>
      <c r="G2469" s="2" t="str">
        <f t="shared" si="155"/>
        <v>Week 40-2025</v>
      </c>
      <c r="O2469"/>
      <c r="Q2469"/>
    </row>
    <row r="2470" spans="1:17" hidden="1" x14ac:dyDescent="0.2">
      <c r="A2470" s="3">
        <v>45933</v>
      </c>
      <c r="B2470" s="2" t="s">
        <v>31</v>
      </c>
      <c r="C2470" s="2">
        <v>2</v>
      </c>
      <c r="D2470" s="2">
        <f t="shared" si="152"/>
        <v>2025</v>
      </c>
      <c r="E2470" s="2" t="str">
        <f t="shared" si="153"/>
        <v>2025-40</v>
      </c>
      <c r="F2470" s="2" t="str">
        <f t="shared" si="154"/>
        <v>Week 40</v>
      </c>
      <c r="G2470" s="2" t="str">
        <f t="shared" si="155"/>
        <v>Week 40-2025</v>
      </c>
      <c r="O2470"/>
      <c r="Q2470"/>
    </row>
    <row r="2471" spans="1:17" hidden="1" x14ac:dyDescent="0.2">
      <c r="A2471" s="3">
        <v>45933</v>
      </c>
      <c r="B2471" s="2" t="s">
        <v>14</v>
      </c>
      <c r="C2471" s="2">
        <v>2</v>
      </c>
      <c r="D2471" s="2">
        <f t="shared" si="152"/>
        <v>2025</v>
      </c>
      <c r="E2471" s="2" t="str">
        <f t="shared" si="153"/>
        <v>2025-40</v>
      </c>
      <c r="F2471" s="2" t="str">
        <f t="shared" si="154"/>
        <v>Week 40</v>
      </c>
      <c r="G2471" s="2" t="str">
        <f t="shared" si="155"/>
        <v>Week 40-2025</v>
      </c>
      <c r="O2471"/>
      <c r="Q2471"/>
    </row>
    <row r="2472" spans="1:17" hidden="1" x14ac:dyDescent="0.2">
      <c r="A2472" s="3">
        <v>45934</v>
      </c>
      <c r="B2472" s="2" t="s">
        <v>28</v>
      </c>
      <c r="C2472" s="2">
        <v>12</v>
      </c>
      <c r="D2472" s="2">
        <f t="shared" si="152"/>
        <v>2025</v>
      </c>
      <c r="E2472" s="2" t="str">
        <f t="shared" si="153"/>
        <v>2025-40</v>
      </c>
      <c r="F2472" s="2" t="str">
        <f t="shared" si="154"/>
        <v>Week 40</v>
      </c>
      <c r="G2472" s="2" t="str">
        <f t="shared" si="155"/>
        <v>Week 40-2025</v>
      </c>
      <c r="O2472"/>
      <c r="Q2472"/>
    </row>
    <row r="2473" spans="1:17" x14ac:dyDescent="0.2">
      <c r="A2473" s="3">
        <v>45934</v>
      </c>
      <c r="B2473" s="2" t="s">
        <v>24</v>
      </c>
      <c r="C2473" s="2">
        <v>1</v>
      </c>
      <c r="D2473" s="2">
        <f t="shared" si="152"/>
        <v>2025</v>
      </c>
      <c r="E2473" s="2" t="str">
        <f t="shared" si="153"/>
        <v>2025-40</v>
      </c>
      <c r="F2473" s="2" t="str">
        <f t="shared" si="154"/>
        <v>Week 40</v>
      </c>
      <c r="G2473" s="2" t="str">
        <f t="shared" si="155"/>
        <v>Week 40-2025</v>
      </c>
      <c r="O2473"/>
      <c r="Q2473"/>
    </row>
    <row r="2474" spans="1:17" hidden="1" x14ac:dyDescent="0.2">
      <c r="A2474" s="3">
        <v>45937</v>
      </c>
      <c r="B2474" s="2" t="s">
        <v>3</v>
      </c>
      <c r="C2474" s="2">
        <v>6</v>
      </c>
      <c r="D2474" s="2">
        <f t="shared" si="152"/>
        <v>2025</v>
      </c>
      <c r="E2474" s="2" t="str">
        <f t="shared" si="153"/>
        <v>2025-41</v>
      </c>
      <c r="F2474" s="2" t="str">
        <f t="shared" si="154"/>
        <v>Week 41</v>
      </c>
      <c r="G2474" s="2" t="str">
        <f t="shared" si="155"/>
        <v>Week 41-2025</v>
      </c>
      <c r="O2474"/>
      <c r="Q2474"/>
    </row>
    <row r="2475" spans="1:17" hidden="1" x14ac:dyDescent="0.2">
      <c r="A2475" s="3">
        <v>45937</v>
      </c>
      <c r="B2475" s="2" t="s">
        <v>9</v>
      </c>
      <c r="C2475" s="2">
        <v>4</v>
      </c>
      <c r="D2475" s="2">
        <f t="shared" si="152"/>
        <v>2025</v>
      </c>
      <c r="E2475" s="2" t="str">
        <f t="shared" si="153"/>
        <v>2025-41</v>
      </c>
      <c r="F2475" s="2" t="str">
        <f t="shared" si="154"/>
        <v>Week 41</v>
      </c>
      <c r="G2475" s="2" t="str">
        <f t="shared" si="155"/>
        <v>Week 41-2025</v>
      </c>
      <c r="O2475"/>
      <c r="Q2475"/>
    </row>
    <row r="2476" spans="1:17" hidden="1" x14ac:dyDescent="0.2">
      <c r="A2476" s="3">
        <v>45937</v>
      </c>
      <c r="B2476" s="2" t="s">
        <v>37</v>
      </c>
      <c r="C2476" s="2">
        <v>4</v>
      </c>
      <c r="D2476" s="2">
        <f t="shared" si="152"/>
        <v>2025</v>
      </c>
      <c r="E2476" s="2" t="str">
        <f t="shared" si="153"/>
        <v>2025-41</v>
      </c>
      <c r="F2476" s="2" t="str">
        <f t="shared" si="154"/>
        <v>Week 41</v>
      </c>
      <c r="G2476" s="2" t="str">
        <f t="shared" si="155"/>
        <v>Week 41-2025</v>
      </c>
      <c r="O2476"/>
      <c r="Q2476"/>
    </row>
    <row r="2477" spans="1:17" hidden="1" x14ac:dyDescent="0.2">
      <c r="A2477" s="3">
        <v>45937</v>
      </c>
      <c r="B2477" s="2" t="s">
        <v>34</v>
      </c>
      <c r="C2477" s="2">
        <v>4</v>
      </c>
      <c r="D2477" s="2">
        <f t="shared" si="152"/>
        <v>2025</v>
      </c>
      <c r="E2477" s="2" t="str">
        <f t="shared" si="153"/>
        <v>2025-41</v>
      </c>
      <c r="F2477" s="2" t="str">
        <f t="shared" si="154"/>
        <v>Week 41</v>
      </c>
      <c r="G2477" s="2" t="str">
        <f t="shared" si="155"/>
        <v>Week 41-2025</v>
      </c>
      <c r="O2477"/>
      <c r="Q2477"/>
    </row>
    <row r="2478" spans="1:17" hidden="1" x14ac:dyDescent="0.2">
      <c r="A2478" s="3">
        <v>45937</v>
      </c>
      <c r="B2478" s="2" t="s">
        <v>10</v>
      </c>
      <c r="C2478" s="2">
        <v>3</v>
      </c>
      <c r="D2478" s="2">
        <f t="shared" si="152"/>
        <v>2025</v>
      </c>
      <c r="E2478" s="2" t="str">
        <f t="shared" si="153"/>
        <v>2025-41</v>
      </c>
      <c r="F2478" s="2" t="str">
        <f t="shared" si="154"/>
        <v>Week 41</v>
      </c>
      <c r="G2478" s="2" t="str">
        <f t="shared" si="155"/>
        <v>Week 41-2025</v>
      </c>
      <c r="O2478"/>
      <c r="Q2478"/>
    </row>
    <row r="2479" spans="1:17" hidden="1" x14ac:dyDescent="0.2">
      <c r="A2479" s="3">
        <v>45937</v>
      </c>
      <c r="B2479" s="2" t="s">
        <v>10</v>
      </c>
      <c r="C2479" s="2">
        <v>1</v>
      </c>
      <c r="D2479" s="2">
        <f t="shared" si="152"/>
        <v>2025</v>
      </c>
      <c r="E2479" s="2" t="str">
        <f t="shared" si="153"/>
        <v>2025-41</v>
      </c>
      <c r="F2479" s="2" t="str">
        <f t="shared" si="154"/>
        <v>Week 41</v>
      </c>
      <c r="G2479" s="2" t="str">
        <f t="shared" si="155"/>
        <v>Week 41-2025</v>
      </c>
      <c r="O2479"/>
      <c r="Q2479"/>
    </row>
    <row r="2480" spans="1:17" hidden="1" x14ac:dyDescent="0.2">
      <c r="A2480" s="3">
        <v>45938</v>
      </c>
      <c r="B2480" s="2" t="s">
        <v>4</v>
      </c>
      <c r="C2480" s="2">
        <v>12</v>
      </c>
      <c r="D2480" s="2">
        <f t="shared" si="152"/>
        <v>2025</v>
      </c>
      <c r="E2480" s="2" t="str">
        <f t="shared" si="153"/>
        <v>2025-41</v>
      </c>
      <c r="F2480" s="2" t="str">
        <f t="shared" si="154"/>
        <v>Week 41</v>
      </c>
      <c r="G2480" s="2" t="str">
        <f t="shared" si="155"/>
        <v>Week 41-2025</v>
      </c>
      <c r="O2480"/>
      <c r="Q2480"/>
    </row>
    <row r="2481" spans="1:17" hidden="1" x14ac:dyDescent="0.2">
      <c r="A2481" s="3">
        <v>45938</v>
      </c>
      <c r="B2481" s="2" t="s">
        <v>5</v>
      </c>
      <c r="C2481" s="2">
        <v>16</v>
      </c>
      <c r="D2481" s="2">
        <f t="shared" si="152"/>
        <v>2025</v>
      </c>
      <c r="E2481" s="2" t="str">
        <f t="shared" si="153"/>
        <v>2025-41</v>
      </c>
      <c r="F2481" s="2" t="str">
        <f t="shared" si="154"/>
        <v>Week 41</v>
      </c>
      <c r="G2481" s="2" t="str">
        <f t="shared" si="155"/>
        <v>Week 41-2025</v>
      </c>
      <c r="O2481"/>
      <c r="Q2481"/>
    </row>
    <row r="2482" spans="1:17" hidden="1" x14ac:dyDescent="0.2">
      <c r="A2482" s="3">
        <v>45938</v>
      </c>
      <c r="B2482" s="2" t="s">
        <v>4</v>
      </c>
      <c r="C2482" s="2">
        <v>8</v>
      </c>
      <c r="D2482" s="2">
        <f t="shared" si="152"/>
        <v>2025</v>
      </c>
      <c r="E2482" s="2" t="str">
        <f t="shared" si="153"/>
        <v>2025-41</v>
      </c>
      <c r="F2482" s="2" t="str">
        <f t="shared" si="154"/>
        <v>Week 41</v>
      </c>
      <c r="G2482" s="2" t="str">
        <f t="shared" si="155"/>
        <v>Week 41-2025</v>
      </c>
      <c r="O2482"/>
      <c r="Q2482"/>
    </row>
    <row r="2483" spans="1:17" hidden="1" x14ac:dyDescent="0.2">
      <c r="A2483" s="3">
        <v>45938</v>
      </c>
      <c r="B2483" s="2" t="s">
        <v>4</v>
      </c>
      <c r="C2483" s="2">
        <v>8</v>
      </c>
      <c r="D2483" s="2">
        <f t="shared" si="152"/>
        <v>2025</v>
      </c>
      <c r="E2483" s="2" t="str">
        <f t="shared" si="153"/>
        <v>2025-41</v>
      </c>
      <c r="F2483" s="2" t="str">
        <f t="shared" si="154"/>
        <v>Week 41</v>
      </c>
      <c r="G2483" s="2" t="str">
        <f t="shared" si="155"/>
        <v>Week 41-2025</v>
      </c>
      <c r="O2483"/>
      <c r="Q2483"/>
    </row>
    <row r="2484" spans="1:17" hidden="1" x14ac:dyDescent="0.2">
      <c r="A2484" s="3">
        <v>45938</v>
      </c>
      <c r="B2484" s="2" t="s">
        <v>19</v>
      </c>
      <c r="C2484" s="2">
        <v>6</v>
      </c>
      <c r="D2484" s="2">
        <f t="shared" si="152"/>
        <v>2025</v>
      </c>
      <c r="E2484" s="2" t="str">
        <f t="shared" si="153"/>
        <v>2025-41</v>
      </c>
      <c r="F2484" s="2" t="str">
        <f t="shared" si="154"/>
        <v>Week 41</v>
      </c>
      <c r="G2484" s="2" t="str">
        <f t="shared" si="155"/>
        <v>Week 41-2025</v>
      </c>
      <c r="O2484"/>
      <c r="Q2484"/>
    </row>
    <row r="2485" spans="1:17" hidden="1" x14ac:dyDescent="0.2">
      <c r="A2485" s="3">
        <v>45938</v>
      </c>
      <c r="B2485" s="2" t="s">
        <v>5</v>
      </c>
      <c r="C2485" s="2">
        <v>8</v>
      </c>
      <c r="D2485" s="2">
        <f t="shared" si="152"/>
        <v>2025</v>
      </c>
      <c r="E2485" s="2" t="str">
        <f t="shared" si="153"/>
        <v>2025-41</v>
      </c>
      <c r="F2485" s="2" t="str">
        <f t="shared" si="154"/>
        <v>Week 41</v>
      </c>
      <c r="G2485" s="2" t="str">
        <f t="shared" si="155"/>
        <v>Week 41-2025</v>
      </c>
      <c r="O2485"/>
      <c r="Q2485"/>
    </row>
    <row r="2486" spans="1:17" hidden="1" x14ac:dyDescent="0.2">
      <c r="A2486" s="3">
        <v>45938</v>
      </c>
      <c r="B2486" s="2" t="s">
        <v>5</v>
      </c>
      <c r="C2486" s="2">
        <v>8</v>
      </c>
      <c r="D2486" s="2">
        <f t="shared" si="152"/>
        <v>2025</v>
      </c>
      <c r="E2486" s="2" t="str">
        <f t="shared" si="153"/>
        <v>2025-41</v>
      </c>
      <c r="F2486" s="2" t="str">
        <f t="shared" si="154"/>
        <v>Week 41</v>
      </c>
      <c r="G2486" s="2" t="str">
        <f t="shared" si="155"/>
        <v>Week 41-2025</v>
      </c>
      <c r="O2486"/>
      <c r="Q2486"/>
    </row>
    <row r="2487" spans="1:17" hidden="1" x14ac:dyDescent="0.2">
      <c r="A2487" s="3">
        <v>45938</v>
      </c>
      <c r="B2487" s="2" t="s">
        <v>36</v>
      </c>
      <c r="C2487" s="2">
        <v>16</v>
      </c>
      <c r="D2487" s="2">
        <f t="shared" si="152"/>
        <v>2025</v>
      </c>
      <c r="E2487" s="2" t="str">
        <f t="shared" si="153"/>
        <v>2025-41</v>
      </c>
      <c r="F2487" s="2" t="str">
        <f t="shared" si="154"/>
        <v>Week 41</v>
      </c>
      <c r="G2487" s="2" t="str">
        <f t="shared" si="155"/>
        <v>Week 41-2025</v>
      </c>
      <c r="O2487"/>
      <c r="Q2487"/>
    </row>
    <row r="2488" spans="1:17" hidden="1" x14ac:dyDescent="0.2">
      <c r="A2488" s="3">
        <v>45938</v>
      </c>
      <c r="B2488" s="2" t="s">
        <v>9</v>
      </c>
      <c r="C2488" s="2">
        <v>4</v>
      </c>
      <c r="D2488" s="2">
        <f t="shared" si="152"/>
        <v>2025</v>
      </c>
      <c r="E2488" s="2" t="str">
        <f t="shared" si="153"/>
        <v>2025-41</v>
      </c>
      <c r="F2488" s="2" t="str">
        <f t="shared" si="154"/>
        <v>Week 41</v>
      </c>
      <c r="G2488" s="2" t="str">
        <f t="shared" si="155"/>
        <v>Week 41-2025</v>
      </c>
      <c r="O2488"/>
      <c r="Q2488"/>
    </row>
    <row r="2489" spans="1:17" hidden="1" x14ac:dyDescent="0.2">
      <c r="A2489" s="3">
        <v>45938</v>
      </c>
      <c r="B2489" s="2" t="s">
        <v>3</v>
      </c>
      <c r="C2489" s="2">
        <v>4</v>
      </c>
      <c r="D2489" s="2">
        <f t="shared" si="152"/>
        <v>2025</v>
      </c>
      <c r="E2489" s="2" t="str">
        <f t="shared" si="153"/>
        <v>2025-41</v>
      </c>
      <c r="F2489" s="2" t="str">
        <f t="shared" si="154"/>
        <v>Week 41</v>
      </c>
      <c r="G2489" s="2" t="str">
        <f t="shared" si="155"/>
        <v>Week 41-2025</v>
      </c>
      <c r="O2489"/>
      <c r="Q2489"/>
    </row>
    <row r="2490" spans="1:17" hidden="1" x14ac:dyDescent="0.2">
      <c r="A2490" s="3">
        <v>45938</v>
      </c>
      <c r="B2490" s="2" t="s">
        <v>3</v>
      </c>
      <c r="C2490" s="2">
        <v>4</v>
      </c>
      <c r="D2490" s="2">
        <f t="shared" si="152"/>
        <v>2025</v>
      </c>
      <c r="E2490" s="2" t="str">
        <f t="shared" si="153"/>
        <v>2025-41</v>
      </c>
      <c r="F2490" s="2" t="str">
        <f t="shared" si="154"/>
        <v>Week 41</v>
      </c>
      <c r="G2490" s="2" t="str">
        <f t="shared" si="155"/>
        <v>Week 41-2025</v>
      </c>
      <c r="O2490"/>
      <c r="Q2490"/>
    </row>
    <row r="2491" spans="1:17" hidden="1" x14ac:dyDescent="0.2">
      <c r="A2491" s="3">
        <v>45938</v>
      </c>
      <c r="B2491" s="2" t="s">
        <v>3</v>
      </c>
      <c r="C2491" s="2">
        <v>4</v>
      </c>
      <c r="D2491" s="2">
        <f t="shared" si="152"/>
        <v>2025</v>
      </c>
      <c r="E2491" s="2" t="str">
        <f t="shared" si="153"/>
        <v>2025-41</v>
      </c>
      <c r="F2491" s="2" t="str">
        <f t="shared" si="154"/>
        <v>Week 41</v>
      </c>
      <c r="G2491" s="2" t="str">
        <f t="shared" si="155"/>
        <v>Week 41-2025</v>
      </c>
      <c r="O2491"/>
      <c r="Q2491"/>
    </row>
    <row r="2492" spans="1:17" hidden="1" x14ac:dyDescent="0.2">
      <c r="A2492" s="3">
        <v>45938</v>
      </c>
      <c r="B2492" s="2" t="s">
        <v>34</v>
      </c>
      <c r="C2492" s="2">
        <v>4</v>
      </c>
      <c r="D2492" s="2">
        <f t="shared" si="152"/>
        <v>2025</v>
      </c>
      <c r="E2492" s="2" t="str">
        <f t="shared" si="153"/>
        <v>2025-41</v>
      </c>
      <c r="F2492" s="2" t="str">
        <f t="shared" si="154"/>
        <v>Week 41</v>
      </c>
      <c r="G2492" s="2" t="str">
        <f t="shared" si="155"/>
        <v>Week 41-2025</v>
      </c>
      <c r="O2492"/>
      <c r="Q2492"/>
    </row>
    <row r="2493" spans="1:17" hidden="1" x14ac:dyDescent="0.2">
      <c r="A2493" s="3">
        <v>45938</v>
      </c>
      <c r="B2493" s="2" t="s">
        <v>14</v>
      </c>
      <c r="C2493" s="2">
        <v>4</v>
      </c>
      <c r="D2493" s="2">
        <f t="shared" si="152"/>
        <v>2025</v>
      </c>
      <c r="E2493" s="2" t="str">
        <f t="shared" si="153"/>
        <v>2025-41</v>
      </c>
      <c r="F2493" s="2" t="str">
        <f t="shared" si="154"/>
        <v>Week 41</v>
      </c>
      <c r="G2493" s="2" t="str">
        <f t="shared" si="155"/>
        <v>Week 41-2025</v>
      </c>
      <c r="O2493"/>
      <c r="Q2493"/>
    </row>
    <row r="2494" spans="1:17" hidden="1" x14ac:dyDescent="0.2">
      <c r="A2494" s="3">
        <v>45938</v>
      </c>
      <c r="B2494" s="2" t="s">
        <v>36</v>
      </c>
      <c r="C2494" s="2">
        <v>7</v>
      </c>
      <c r="D2494" s="2">
        <f t="shared" si="152"/>
        <v>2025</v>
      </c>
      <c r="E2494" s="2" t="str">
        <f t="shared" si="153"/>
        <v>2025-41</v>
      </c>
      <c r="F2494" s="2" t="str">
        <f t="shared" si="154"/>
        <v>Week 41</v>
      </c>
      <c r="G2494" s="2" t="str">
        <f t="shared" si="155"/>
        <v>Week 41-2025</v>
      </c>
      <c r="O2494"/>
      <c r="Q2494"/>
    </row>
    <row r="2495" spans="1:17" hidden="1" x14ac:dyDescent="0.2">
      <c r="A2495" s="3">
        <v>45938</v>
      </c>
      <c r="B2495" s="2" t="s">
        <v>14</v>
      </c>
      <c r="C2495" s="2">
        <v>4</v>
      </c>
      <c r="D2495" s="2">
        <f t="shared" si="152"/>
        <v>2025</v>
      </c>
      <c r="E2495" s="2" t="str">
        <f t="shared" si="153"/>
        <v>2025-41</v>
      </c>
      <c r="F2495" s="2" t="str">
        <f t="shared" si="154"/>
        <v>Week 41</v>
      </c>
      <c r="G2495" s="2" t="str">
        <f t="shared" si="155"/>
        <v>Week 41-2025</v>
      </c>
      <c r="O2495"/>
      <c r="Q2495"/>
    </row>
    <row r="2496" spans="1:17" hidden="1" x14ac:dyDescent="0.2">
      <c r="A2496" s="3">
        <v>45938</v>
      </c>
      <c r="B2496" s="2" t="s">
        <v>15</v>
      </c>
      <c r="C2496" s="2">
        <v>6</v>
      </c>
      <c r="D2496" s="2">
        <f t="shared" si="152"/>
        <v>2025</v>
      </c>
      <c r="E2496" s="2" t="str">
        <f t="shared" si="153"/>
        <v>2025-41</v>
      </c>
      <c r="F2496" s="2" t="str">
        <f t="shared" si="154"/>
        <v>Week 41</v>
      </c>
      <c r="G2496" s="2" t="str">
        <f t="shared" si="155"/>
        <v>Week 41-2025</v>
      </c>
      <c r="O2496"/>
      <c r="Q2496"/>
    </row>
    <row r="2497" spans="1:17" hidden="1" x14ac:dyDescent="0.2">
      <c r="A2497" s="3">
        <v>45938</v>
      </c>
      <c r="B2497" s="2" t="s">
        <v>15</v>
      </c>
      <c r="C2497" s="2">
        <v>6</v>
      </c>
      <c r="D2497" s="2">
        <f t="shared" si="152"/>
        <v>2025</v>
      </c>
      <c r="E2497" s="2" t="str">
        <f t="shared" si="153"/>
        <v>2025-41</v>
      </c>
      <c r="F2497" s="2" t="str">
        <f t="shared" si="154"/>
        <v>Week 41</v>
      </c>
      <c r="G2497" s="2" t="str">
        <f t="shared" si="155"/>
        <v>Week 41-2025</v>
      </c>
      <c r="O2497"/>
      <c r="Q2497"/>
    </row>
    <row r="2498" spans="1:17" hidden="1" x14ac:dyDescent="0.2">
      <c r="A2498" s="3">
        <v>45938</v>
      </c>
      <c r="B2498" s="2" t="s">
        <v>15</v>
      </c>
      <c r="C2498" s="2">
        <v>6</v>
      </c>
      <c r="D2498" s="2">
        <f t="shared" ref="D2498:D2561" si="156">YEAR(A2498)</f>
        <v>2025</v>
      </c>
      <c r="E2498" s="2" t="str">
        <f t="shared" ref="E2498:E2561" si="157">YEAR(A2498)&amp;"-"&amp;_xlfn.ISOWEEKNUM(A2498)</f>
        <v>2025-41</v>
      </c>
      <c r="F2498" s="2" t="str">
        <f t="shared" ref="F2498:F2561" si="158">_xlfn.CONCAT("Week "&amp;WEEKNUM(A2498))</f>
        <v>Week 41</v>
      </c>
      <c r="G2498" s="2" t="str">
        <f t="shared" ref="G2498:G2561" si="159">_xlfn.CONCAT(F2498,"-",D2498)</f>
        <v>Week 41-2025</v>
      </c>
      <c r="O2498"/>
      <c r="Q2498"/>
    </row>
    <row r="2499" spans="1:17" x14ac:dyDescent="0.2">
      <c r="A2499" s="3">
        <v>45938</v>
      </c>
      <c r="B2499" s="2" t="s">
        <v>24</v>
      </c>
      <c r="C2499" s="2">
        <v>6</v>
      </c>
      <c r="D2499" s="2">
        <f t="shared" si="156"/>
        <v>2025</v>
      </c>
      <c r="E2499" s="2" t="str">
        <f t="shared" si="157"/>
        <v>2025-41</v>
      </c>
      <c r="F2499" s="2" t="str">
        <f t="shared" si="158"/>
        <v>Week 41</v>
      </c>
      <c r="G2499" s="2" t="str">
        <f t="shared" si="159"/>
        <v>Week 41-2025</v>
      </c>
      <c r="O2499"/>
      <c r="Q2499"/>
    </row>
    <row r="2500" spans="1:17" hidden="1" x14ac:dyDescent="0.2">
      <c r="A2500" s="3">
        <v>45938</v>
      </c>
      <c r="B2500" s="2" t="s">
        <v>9</v>
      </c>
      <c r="C2500" s="2">
        <v>2</v>
      </c>
      <c r="D2500" s="2">
        <f t="shared" si="156"/>
        <v>2025</v>
      </c>
      <c r="E2500" s="2" t="str">
        <f t="shared" si="157"/>
        <v>2025-41</v>
      </c>
      <c r="F2500" s="2" t="str">
        <f t="shared" si="158"/>
        <v>Week 41</v>
      </c>
      <c r="G2500" s="2" t="str">
        <f t="shared" si="159"/>
        <v>Week 41-2025</v>
      </c>
      <c r="O2500"/>
      <c r="Q2500"/>
    </row>
    <row r="2501" spans="1:17" hidden="1" x14ac:dyDescent="0.2">
      <c r="A2501" s="3">
        <v>45938</v>
      </c>
      <c r="B2501" s="2" t="s">
        <v>8</v>
      </c>
      <c r="C2501" s="2">
        <v>2</v>
      </c>
      <c r="D2501" s="2">
        <f t="shared" si="156"/>
        <v>2025</v>
      </c>
      <c r="E2501" s="2" t="str">
        <f t="shared" si="157"/>
        <v>2025-41</v>
      </c>
      <c r="F2501" s="2" t="str">
        <f t="shared" si="158"/>
        <v>Week 41</v>
      </c>
      <c r="G2501" s="2" t="str">
        <f t="shared" si="159"/>
        <v>Week 41-2025</v>
      </c>
      <c r="O2501"/>
      <c r="Q2501"/>
    </row>
    <row r="2502" spans="1:17" hidden="1" x14ac:dyDescent="0.2">
      <c r="A2502" s="3">
        <v>45938</v>
      </c>
      <c r="B2502" s="2" t="s">
        <v>28</v>
      </c>
      <c r="C2502" s="2">
        <v>2</v>
      </c>
      <c r="D2502" s="2">
        <f t="shared" si="156"/>
        <v>2025</v>
      </c>
      <c r="E2502" s="2" t="str">
        <f t="shared" si="157"/>
        <v>2025-41</v>
      </c>
      <c r="F2502" s="2" t="str">
        <f t="shared" si="158"/>
        <v>Week 41</v>
      </c>
      <c r="G2502" s="2" t="str">
        <f t="shared" si="159"/>
        <v>Week 41-2025</v>
      </c>
      <c r="O2502"/>
      <c r="Q2502"/>
    </row>
    <row r="2503" spans="1:17" hidden="1" x14ac:dyDescent="0.2">
      <c r="A2503" s="3">
        <v>45938</v>
      </c>
      <c r="B2503" s="2" t="s">
        <v>30</v>
      </c>
      <c r="C2503" s="2">
        <v>2</v>
      </c>
      <c r="D2503" s="2">
        <f t="shared" si="156"/>
        <v>2025</v>
      </c>
      <c r="E2503" s="2" t="str">
        <f t="shared" si="157"/>
        <v>2025-41</v>
      </c>
      <c r="F2503" s="2" t="str">
        <f t="shared" si="158"/>
        <v>Week 41</v>
      </c>
      <c r="G2503" s="2" t="str">
        <f t="shared" si="159"/>
        <v>Week 41-2025</v>
      </c>
      <c r="O2503"/>
      <c r="Q2503"/>
    </row>
    <row r="2504" spans="1:17" hidden="1" x14ac:dyDescent="0.2">
      <c r="A2504" s="3">
        <v>45938</v>
      </c>
      <c r="B2504" s="2" t="s">
        <v>30</v>
      </c>
      <c r="C2504" s="2">
        <v>2</v>
      </c>
      <c r="D2504" s="2">
        <f t="shared" si="156"/>
        <v>2025</v>
      </c>
      <c r="E2504" s="2" t="str">
        <f t="shared" si="157"/>
        <v>2025-41</v>
      </c>
      <c r="F2504" s="2" t="str">
        <f t="shared" si="158"/>
        <v>Week 41</v>
      </c>
      <c r="G2504" s="2" t="str">
        <f t="shared" si="159"/>
        <v>Week 41-2025</v>
      </c>
      <c r="O2504"/>
      <c r="Q2504"/>
    </row>
    <row r="2505" spans="1:17" hidden="1" x14ac:dyDescent="0.2">
      <c r="A2505" s="3">
        <v>45938</v>
      </c>
      <c r="B2505" s="2" t="s">
        <v>27</v>
      </c>
      <c r="C2505" s="2">
        <v>2</v>
      </c>
      <c r="D2505" s="2">
        <f t="shared" si="156"/>
        <v>2025</v>
      </c>
      <c r="E2505" s="2" t="str">
        <f t="shared" si="157"/>
        <v>2025-41</v>
      </c>
      <c r="F2505" s="2" t="str">
        <f t="shared" si="158"/>
        <v>Week 41</v>
      </c>
      <c r="G2505" s="2" t="str">
        <f t="shared" si="159"/>
        <v>Week 41-2025</v>
      </c>
      <c r="O2505"/>
      <c r="Q2505"/>
    </row>
    <row r="2506" spans="1:17" x14ac:dyDescent="0.2">
      <c r="A2506" s="3">
        <v>45938</v>
      </c>
      <c r="B2506" s="2" t="s">
        <v>24</v>
      </c>
      <c r="C2506" s="2">
        <v>2</v>
      </c>
      <c r="D2506" s="2">
        <f t="shared" si="156"/>
        <v>2025</v>
      </c>
      <c r="E2506" s="2" t="str">
        <f t="shared" si="157"/>
        <v>2025-41</v>
      </c>
      <c r="F2506" s="2" t="str">
        <f t="shared" si="158"/>
        <v>Week 41</v>
      </c>
      <c r="G2506" s="2" t="str">
        <f t="shared" si="159"/>
        <v>Week 41-2025</v>
      </c>
      <c r="O2506"/>
      <c r="Q2506"/>
    </row>
    <row r="2507" spans="1:17" hidden="1" x14ac:dyDescent="0.2">
      <c r="A2507" s="3">
        <v>45939</v>
      </c>
      <c r="B2507" s="2" t="s">
        <v>5</v>
      </c>
      <c r="C2507" s="2">
        <v>34</v>
      </c>
      <c r="D2507" s="2">
        <f t="shared" si="156"/>
        <v>2025</v>
      </c>
      <c r="E2507" s="2" t="str">
        <f t="shared" si="157"/>
        <v>2025-41</v>
      </c>
      <c r="F2507" s="2" t="str">
        <f t="shared" si="158"/>
        <v>Week 41</v>
      </c>
      <c r="G2507" s="2" t="str">
        <f t="shared" si="159"/>
        <v>Week 41-2025</v>
      </c>
      <c r="O2507"/>
      <c r="Q2507"/>
    </row>
    <row r="2508" spans="1:17" hidden="1" x14ac:dyDescent="0.2">
      <c r="A2508" s="3">
        <v>45939</v>
      </c>
      <c r="B2508" s="2" t="s">
        <v>10</v>
      </c>
      <c r="C2508" s="2">
        <v>12</v>
      </c>
      <c r="D2508" s="2">
        <f t="shared" si="156"/>
        <v>2025</v>
      </c>
      <c r="E2508" s="2" t="str">
        <f t="shared" si="157"/>
        <v>2025-41</v>
      </c>
      <c r="F2508" s="2" t="str">
        <f t="shared" si="158"/>
        <v>Week 41</v>
      </c>
      <c r="G2508" s="2" t="str">
        <f t="shared" si="159"/>
        <v>Week 41-2025</v>
      </c>
      <c r="O2508"/>
      <c r="Q2508"/>
    </row>
    <row r="2509" spans="1:17" hidden="1" x14ac:dyDescent="0.2">
      <c r="A2509" s="3">
        <v>45939</v>
      </c>
      <c r="B2509" s="2" t="s">
        <v>10</v>
      </c>
      <c r="C2509" s="2">
        <v>12</v>
      </c>
      <c r="D2509" s="2">
        <f t="shared" si="156"/>
        <v>2025</v>
      </c>
      <c r="E2509" s="2" t="str">
        <f t="shared" si="157"/>
        <v>2025-41</v>
      </c>
      <c r="F2509" s="2" t="str">
        <f t="shared" si="158"/>
        <v>Week 41</v>
      </c>
      <c r="G2509" s="2" t="str">
        <f t="shared" si="159"/>
        <v>Week 41-2025</v>
      </c>
      <c r="O2509"/>
      <c r="Q2509"/>
    </row>
    <row r="2510" spans="1:17" hidden="1" x14ac:dyDescent="0.2">
      <c r="A2510" s="3">
        <v>45939</v>
      </c>
      <c r="B2510" s="2" t="s">
        <v>5</v>
      </c>
      <c r="C2510" s="2">
        <v>12</v>
      </c>
      <c r="D2510" s="2">
        <f t="shared" si="156"/>
        <v>2025</v>
      </c>
      <c r="E2510" s="2" t="str">
        <f t="shared" si="157"/>
        <v>2025-41</v>
      </c>
      <c r="F2510" s="2" t="str">
        <f t="shared" si="158"/>
        <v>Week 41</v>
      </c>
      <c r="G2510" s="2" t="str">
        <f t="shared" si="159"/>
        <v>Week 41-2025</v>
      </c>
      <c r="O2510"/>
      <c r="Q2510"/>
    </row>
    <row r="2511" spans="1:17" hidden="1" x14ac:dyDescent="0.2">
      <c r="A2511" s="3">
        <v>45939</v>
      </c>
      <c r="B2511" s="2" t="s">
        <v>5</v>
      </c>
      <c r="C2511" s="2">
        <v>11</v>
      </c>
      <c r="D2511" s="2">
        <f t="shared" si="156"/>
        <v>2025</v>
      </c>
      <c r="E2511" s="2" t="str">
        <f t="shared" si="157"/>
        <v>2025-41</v>
      </c>
      <c r="F2511" s="2" t="str">
        <f t="shared" si="158"/>
        <v>Week 41</v>
      </c>
      <c r="G2511" s="2" t="str">
        <f t="shared" si="159"/>
        <v>Week 41-2025</v>
      </c>
      <c r="O2511"/>
      <c r="Q2511"/>
    </row>
    <row r="2512" spans="1:17" hidden="1" x14ac:dyDescent="0.2">
      <c r="A2512" s="3">
        <v>45939</v>
      </c>
      <c r="B2512" s="2" t="s">
        <v>3</v>
      </c>
      <c r="C2512" s="2">
        <v>6</v>
      </c>
      <c r="D2512" s="2">
        <f t="shared" si="156"/>
        <v>2025</v>
      </c>
      <c r="E2512" s="2" t="str">
        <f t="shared" si="157"/>
        <v>2025-41</v>
      </c>
      <c r="F2512" s="2" t="str">
        <f t="shared" si="158"/>
        <v>Week 41</v>
      </c>
      <c r="G2512" s="2" t="str">
        <f t="shared" si="159"/>
        <v>Week 41-2025</v>
      </c>
      <c r="O2512"/>
      <c r="Q2512"/>
    </row>
    <row r="2513" spans="1:17" hidden="1" x14ac:dyDescent="0.2">
      <c r="A2513" s="3">
        <v>45939</v>
      </c>
      <c r="B2513" s="2" t="s">
        <v>3</v>
      </c>
      <c r="C2513" s="2">
        <v>8</v>
      </c>
      <c r="D2513" s="2">
        <f t="shared" si="156"/>
        <v>2025</v>
      </c>
      <c r="E2513" s="2" t="str">
        <f t="shared" si="157"/>
        <v>2025-41</v>
      </c>
      <c r="F2513" s="2" t="str">
        <f t="shared" si="158"/>
        <v>Week 41</v>
      </c>
      <c r="G2513" s="2" t="str">
        <f t="shared" si="159"/>
        <v>Week 41-2025</v>
      </c>
      <c r="O2513"/>
      <c r="Q2513"/>
    </row>
    <row r="2514" spans="1:17" hidden="1" x14ac:dyDescent="0.2">
      <c r="A2514" s="3">
        <v>45939</v>
      </c>
      <c r="B2514" s="2" t="s">
        <v>9</v>
      </c>
      <c r="C2514" s="2">
        <v>6</v>
      </c>
      <c r="D2514" s="2">
        <f t="shared" si="156"/>
        <v>2025</v>
      </c>
      <c r="E2514" s="2" t="str">
        <f t="shared" si="157"/>
        <v>2025-41</v>
      </c>
      <c r="F2514" s="2" t="str">
        <f t="shared" si="158"/>
        <v>Week 41</v>
      </c>
      <c r="G2514" s="2" t="str">
        <f t="shared" si="159"/>
        <v>Week 41-2025</v>
      </c>
      <c r="O2514"/>
      <c r="Q2514"/>
    </row>
    <row r="2515" spans="1:17" hidden="1" x14ac:dyDescent="0.2">
      <c r="A2515" s="3">
        <v>45939</v>
      </c>
      <c r="B2515" s="2" t="s">
        <v>9</v>
      </c>
      <c r="C2515" s="2">
        <v>4</v>
      </c>
      <c r="D2515" s="2">
        <f t="shared" si="156"/>
        <v>2025</v>
      </c>
      <c r="E2515" s="2" t="str">
        <f t="shared" si="157"/>
        <v>2025-41</v>
      </c>
      <c r="F2515" s="2" t="str">
        <f t="shared" si="158"/>
        <v>Week 41</v>
      </c>
      <c r="G2515" s="2" t="str">
        <f t="shared" si="159"/>
        <v>Week 41-2025</v>
      </c>
      <c r="O2515"/>
      <c r="Q2515"/>
    </row>
    <row r="2516" spans="1:17" hidden="1" x14ac:dyDescent="0.2">
      <c r="A2516" s="3">
        <v>45939</v>
      </c>
      <c r="B2516" s="2" t="s">
        <v>9</v>
      </c>
      <c r="C2516" s="2">
        <v>4</v>
      </c>
      <c r="D2516" s="2">
        <f t="shared" si="156"/>
        <v>2025</v>
      </c>
      <c r="E2516" s="2" t="str">
        <f t="shared" si="157"/>
        <v>2025-41</v>
      </c>
      <c r="F2516" s="2" t="str">
        <f t="shared" si="158"/>
        <v>Week 41</v>
      </c>
      <c r="G2516" s="2" t="str">
        <f t="shared" si="159"/>
        <v>Week 41-2025</v>
      </c>
      <c r="O2516"/>
      <c r="Q2516"/>
    </row>
    <row r="2517" spans="1:17" hidden="1" x14ac:dyDescent="0.2">
      <c r="A2517" s="3">
        <v>45939</v>
      </c>
      <c r="B2517" s="2" t="s">
        <v>10</v>
      </c>
      <c r="C2517" s="2">
        <v>4</v>
      </c>
      <c r="D2517" s="2">
        <f t="shared" si="156"/>
        <v>2025</v>
      </c>
      <c r="E2517" s="2" t="str">
        <f t="shared" si="157"/>
        <v>2025-41</v>
      </c>
      <c r="F2517" s="2" t="str">
        <f t="shared" si="158"/>
        <v>Week 41</v>
      </c>
      <c r="G2517" s="2" t="str">
        <f t="shared" si="159"/>
        <v>Week 41-2025</v>
      </c>
      <c r="O2517"/>
      <c r="Q2517"/>
    </row>
    <row r="2518" spans="1:17" hidden="1" x14ac:dyDescent="0.2">
      <c r="A2518" s="3">
        <v>45939</v>
      </c>
      <c r="B2518" s="2" t="s">
        <v>14</v>
      </c>
      <c r="C2518" s="2">
        <v>6</v>
      </c>
      <c r="D2518" s="2">
        <f t="shared" si="156"/>
        <v>2025</v>
      </c>
      <c r="E2518" s="2" t="str">
        <f t="shared" si="157"/>
        <v>2025-41</v>
      </c>
      <c r="F2518" s="2" t="str">
        <f t="shared" si="158"/>
        <v>Week 41</v>
      </c>
      <c r="G2518" s="2" t="str">
        <f t="shared" si="159"/>
        <v>Week 41-2025</v>
      </c>
      <c r="O2518"/>
      <c r="Q2518"/>
    </row>
    <row r="2519" spans="1:17" hidden="1" x14ac:dyDescent="0.2">
      <c r="A2519" s="3">
        <v>45939</v>
      </c>
      <c r="B2519" s="2" t="s">
        <v>37</v>
      </c>
      <c r="C2519" s="2">
        <v>4</v>
      </c>
      <c r="D2519" s="2">
        <f t="shared" si="156"/>
        <v>2025</v>
      </c>
      <c r="E2519" s="2" t="str">
        <f t="shared" si="157"/>
        <v>2025-41</v>
      </c>
      <c r="F2519" s="2" t="str">
        <f t="shared" si="158"/>
        <v>Week 41</v>
      </c>
      <c r="G2519" s="2" t="str">
        <f t="shared" si="159"/>
        <v>Week 41-2025</v>
      </c>
      <c r="O2519"/>
      <c r="Q2519"/>
    </row>
    <row r="2520" spans="1:17" hidden="1" x14ac:dyDescent="0.2">
      <c r="A2520" s="3">
        <v>45939</v>
      </c>
      <c r="B2520" s="2" t="s">
        <v>34</v>
      </c>
      <c r="C2520" s="2">
        <v>4</v>
      </c>
      <c r="D2520" s="2">
        <f t="shared" si="156"/>
        <v>2025</v>
      </c>
      <c r="E2520" s="2" t="str">
        <f t="shared" si="157"/>
        <v>2025-41</v>
      </c>
      <c r="F2520" s="2" t="str">
        <f t="shared" si="158"/>
        <v>Week 41</v>
      </c>
      <c r="G2520" s="2" t="str">
        <f t="shared" si="159"/>
        <v>Week 41-2025</v>
      </c>
      <c r="O2520"/>
      <c r="Q2520"/>
    </row>
    <row r="2521" spans="1:17" hidden="1" x14ac:dyDescent="0.2">
      <c r="A2521" s="3">
        <v>45939</v>
      </c>
      <c r="B2521" s="2" t="s">
        <v>34</v>
      </c>
      <c r="C2521" s="2">
        <v>4</v>
      </c>
      <c r="D2521" s="2">
        <f t="shared" si="156"/>
        <v>2025</v>
      </c>
      <c r="E2521" s="2" t="str">
        <f t="shared" si="157"/>
        <v>2025-41</v>
      </c>
      <c r="F2521" s="2" t="str">
        <f t="shared" si="158"/>
        <v>Week 41</v>
      </c>
      <c r="G2521" s="2" t="str">
        <f t="shared" si="159"/>
        <v>Week 41-2025</v>
      </c>
      <c r="O2521"/>
      <c r="Q2521"/>
    </row>
    <row r="2522" spans="1:17" hidden="1" x14ac:dyDescent="0.2">
      <c r="A2522" s="3">
        <v>45939</v>
      </c>
      <c r="B2522" s="2" t="s">
        <v>34</v>
      </c>
      <c r="C2522" s="2">
        <v>4</v>
      </c>
      <c r="D2522" s="2">
        <f t="shared" si="156"/>
        <v>2025</v>
      </c>
      <c r="E2522" s="2" t="str">
        <f t="shared" si="157"/>
        <v>2025-41</v>
      </c>
      <c r="F2522" s="2" t="str">
        <f t="shared" si="158"/>
        <v>Week 41</v>
      </c>
      <c r="G2522" s="2" t="str">
        <f t="shared" si="159"/>
        <v>Week 41-2025</v>
      </c>
      <c r="O2522"/>
      <c r="Q2522"/>
    </row>
    <row r="2523" spans="1:17" hidden="1" x14ac:dyDescent="0.2">
      <c r="A2523" s="3">
        <v>45939</v>
      </c>
      <c r="B2523" s="2" t="s">
        <v>30</v>
      </c>
      <c r="C2523" s="2">
        <v>6</v>
      </c>
      <c r="D2523" s="2">
        <f t="shared" si="156"/>
        <v>2025</v>
      </c>
      <c r="E2523" s="2" t="str">
        <f t="shared" si="157"/>
        <v>2025-41</v>
      </c>
      <c r="F2523" s="2" t="str">
        <f t="shared" si="158"/>
        <v>Week 41</v>
      </c>
      <c r="G2523" s="2" t="str">
        <f t="shared" si="159"/>
        <v>Week 41-2025</v>
      </c>
      <c r="O2523"/>
      <c r="Q2523"/>
    </row>
    <row r="2524" spans="1:17" hidden="1" x14ac:dyDescent="0.2">
      <c r="A2524" s="3">
        <v>45939</v>
      </c>
      <c r="B2524" s="2" t="s">
        <v>7</v>
      </c>
      <c r="C2524" s="2">
        <v>2</v>
      </c>
      <c r="D2524" s="2">
        <f t="shared" si="156"/>
        <v>2025</v>
      </c>
      <c r="E2524" s="2" t="str">
        <f t="shared" si="157"/>
        <v>2025-41</v>
      </c>
      <c r="F2524" s="2" t="str">
        <f t="shared" si="158"/>
        <v>Week 41</v>
      </c>
      <c r="G2524" s="2" t="str">
        <f t="shared" si="159"/>
        <v>Week 41-2025</v>
      </c>
      <c r="O2524"/>
      <c r="Q2524"/>
    </row>
    <row r="2525" spans="1:17" hidden="1" x14ac:dyDescent="0.2">
      <c r="A2525" s="3">
        <v>45939</v>
      </c>
      <c r="B2525" s="2" t="s">
        <v>15</v>
      </c>
      <c r="C2525" s="2">
        <v>5</v>
      </c>
      <c r="D2525" s="2">
        <f t="shared" si="156"/>
        <v>2025</v>
      </c>
      <c r="E2525" s="2" t="str">
        <f t="shared" si="157"/>
        <v>2025-41</v>
      </c>
      <c r="F2525" s="2" t="str">
        <f t="shared" si="158"/>
        <v>Week 41</v>
      </c>
      <c r="G2525" s="2" t="str">
        <f t="shared" si="159"/>
        <v>Week 41-2025</v>
      </c>
      <c r="O2525"/>
      <c r="Q2525"/>
    </row>
    <row r="2526" spans="1:17" hidden="1" x14ac:dyDescent="0.2">
      <c r="A2526" s="3">
        <v>45939</v>
      </c>
      <c r="B2526" s="2" t="s">
        <v>3</v>
      </c>
      <c r="C2526" s="2">
        <v>2</v>
      </c>
      <c r="D2526" s="2">
        <f t="shared" si="156"/>
        <v>2025</v>
      </c>
      <c r="E2526" s="2" t="str">
        <f t="shared" si="157"/>
        <v>2025-41</v>
      </c>
      <c r="F2526" s="2" t="str">
        <f t="shared" si="158"/>
        <v>Week 41</v>
      </c>
      <c r="G2526" s="2" t="str">
        <f t="shared" si="159"/>
        <v>Week 41-2025</v>
      </c>
      <c r="O2526"/>
      <c r="Q2526"/>
    </row>
    <row r="2527" spans="1:17" hidden="1" x14ac:dyDescent="0.2">
      <c r="A2527" s="3">
        <v>45939</v>
      </c>
      <c r="B2527" s="2" t="s">
        <v>3</v>
      </c>
      <c r="C2527" s="2">
        <v>2</v>
      </c>
      <c r="D2527" s="2">
        <f t="shared" si="156"/>
        <v>2025</v>
      </c>
      <c r="E2527" s="2" t="str">
        <f t="shared" si="157"/>
        <v>2025-41</v>
      </c>
      <c r="F2527" s="2" t="str">
        <f t="shared" si="158"/>
        <v>Week 41</v>
      </c>
      <c r="G2527" s="2" t="str">
        <f t="shared" si="159"/>
        <v>Week 41-2025</v>
      </c>
      <c r="O2527"/>
      <c r="Q2527"/>
    </row>
    <row r="2528" spans="1:17" hidden="1" x14ac:dyDescent="0.2">
      <c r="A2528" s="3">
        <v>45939</v>
      </c>
      <c r="B2528" s="2" t="s">
        <v>30</v>
      </c>
      <c r="C2528" s="2">
        <v>3</v>
      </c>
      <c r="D2528" s="2">
        <f t="shared" si="156"/>
        <v>2025</v>
      </c>
      <c r="E2528" s="2" t="str">
        <f t="shared" si="157"/>
        <v>2025-41</v>
      </c>
      <c r="F2528" s="2" t="str">
        <f t="shared" si="158"/>
        <v>Week 41</v>
      </c>
      <c r="G2528" s="2" t="str">
        <f t="shared" si="159"/>
        <v>Week 41-2025</v>
      </c>
      <c r="O2528"/>
      <c r="Q2528"/>
    </row>
    <row r="2529" spans="1:17" hidden="1" x14ac:dyDescent="0.2">
      <c r="A2529" s="3">
        <v>45939</v>
      </c>
      <c r="B2529" s="2" t="s">
        <v>30</v>
      </c>
      <c r="C2529" s="2">
        <v>3</v>
      </c>
      <c r="D2529" s="2">
        <f t="shared" si="156"/>
        <v>2025</v>
      </c>
      <c r="E2529" s="2" t="str">
        <f t="shared" si="157"/>
        <v>2025-41</v>
      </c>
      <c r="F2529" s="2" t="str">
        <f t="shared" si="158"/>
        <v>Week 41</v>
      </c>
      <c r="G2529" s="2" t="str">
        <f t="shared" si="159"/>
        <v>Week 41-2025</v>
      </c>
      <c r="O2529"/>
      <c r="Q2529"/>
    </row>
    <row r="2530" spans="1:17" hidden="1" x14ac:dyDescent="0.2">
      <c r="A2530" s="3">
        <v>45939</v>
      </c>
      <c r="B2530" s="2" t="s">
        <v>27</v>
      </c>
      <c r="C2530" s="2">
        <v>3</v>
      </c>
      <c r="D2530" s="2">
        <f t="shared" si="156"/>
        <v>2025</v>
      </c>
      <c r="E2530" s="2" t="str">
        <f t="shared" si="157"/>
        <v>2025-41</v>
      </c>
      <c r="F2530" s="2" t="str">
        <f t="shared" si="158"/>
        <v>Week 41</v>
      </c>
      <c r="G2530" s="2" t="str">
        <f t="shared" si="159"/>
        <v>Week 41-2025</v>
      </c>
      <c r="O2530"/>
      <c r="Q2530"/>
    </row>
    <row r="2531" spans="1:17" hidden="1" x14ac:dyDescent="0.2">
      <c r="A2531" s="3">
        <v>45939</v>
      </c>
      <c r="B2531" s="2" t="s">
        <v>27</v>
      </c>
      <c r="C2531" s="2">
        <v>2</v>
      </c>
      <c r="D2531" s="2">
        <f t="shared" si="156"/>
        <v>2025</v>
      </c>
      <c r="E2531" s="2" t="str">
        <f t="shared" si="157"/>
        <v>2025-41</v>
      </c>
      <c r="F2531" s="2" t="str">
        <f t="shared" si="158"/>
        <v>Week 41</v>
      </c>
      <c r="G2531" s="2" t="str">
        <f t="shared" si="159"/>
        <v>Week 41-2025</v>
      </c>
      <c r="O2531"/>
      <c r="Q2531"/>
    </row>
    <row r="2532" spans="1:17" hidden="1" x14ac:dyDescent="0.2">
      <c r="A2532" s="3">
        <v>45939</v>
      </c>
      <c r="B2532" s="2" t="s">
        <v>42</v>
      </c>
      <c r="C2532" s="2">
        <v>2</v>
      </c>
      <c r="D2532" s="2">
        <f t="shared" si="156"/>
        <v>2025</v>
      </c>
      <c r="E2532" s="2" t="str">
        <f t="shared" si="157"/>
        <v>2025-41</v>
      </c>
      <c r="F2532" s="2" t="str">
        <f t="shared" si="158"/>
        <v>Week 41</v>
      </c>
      <c r="G2532" s="2" t="str">
        <f t="shared" si="159"/>
        <v>Week 41-2025</v>
      </c>
      <c r="O2532"/>
      <c r="Q2532"/>
    </row>
    <row r="2533" spans="1:17" hidden="1" x14ac:dyDescent="0.2">
      <c r="A2533" s="3">
        <v>45939</v>
      </c>
      <c r="B2533" s="2" t="s">
        <v>15</v>
      </c>
      <c r="C2533" s="2">
        <v>2</v>
      </c>
      <c r="D2533" s="2">
        <f t="shared" si="156"/>
        <v>2025</v>
      </c>
      <c r="E2533" s="2" t="str">
        <f t="shared" si="157"/>
        <v>2025-41</v>
      </c>
      <c r="F2533" s="2" t="str">
        <f t="shared" si="158"/>
        <v>Week 41</v>
      </c>
      <c r="G2533" s="2" t="str">
        <f t="shared" si="159"/>
        <v>Week 41-2025</v>
      </c>
      <c r="O2533"/>
      <c r="Q2533"/>
    </row>
    <row r="2534" spans="1:17" hidden="1" x14ac:dyDescent="0.2">
      <c r="A2534" s="3">
        <v>45939</v>
      </c>
      <c r="B2534" s="2" t="s">
        <v>36</v>
      </c>
      <c r="C2534" s="2">
        <v>2</v>
      </c>
      <c r="D2534" s="2">
        <f t="shared" si="156"/>
        <v>2025</v>
      </c>
      <c r="E2534" s="2" t="str">
        <f t="shared" si="157"/>
        <v>2025-41</v>
      </c>
      <c r="F2534" s="2" t="str">
        <f t="shared" si="158"/>
        <v>Week 41</v>
      </c>
      <c r="G2534" s="2" t="str">
        <f t="shared" si="159"/>
        <v>Week 41-2025</v>
      </c>
      <c r="O2534"/>
      <c r="Q2534"/>
    </row>
    <row r="2535" spans="1:17" hidden="1" x14ac:dyDescent="0.2">
      <c r="A2535" s="3">
        <v>45939</v>
      </c>
      <c r="B2535" s="2" t="s">
        <v>14</v>
      </c>
      <c r="C2535" s="2">
        <v>1</v>
      </c>
      <c r="D2535" s="2">
        <f t="shared" si="156"/>
        <v>2025</v>
      </c>
      <c r="E2535" s="2" t="str">
        <f t="shared" si="157"/>
        <v>2025-41</v>
      </c>
      <c r="F2535" s="2" t="str">
        <f t="shared" si="158"/>
        <v>Week 41</v>
      </c>
      <c r="G2535" s="2" t="str">
        <f t="shared" si="159"/>
        <v>Week 41-2025</v>
      </c>
      <c r="O2535"/>
      <c r="Q2535"/>
    </row>
    <row r="2536" spans="1:17" hidden="1" x14ac:dyDescent="0.2">
      <c r="A2536" s="3">
        <v>45941</v>
      </c>
      <c r="B2536" s="2" t="s">
        <v>9</v>
      </c>
      <c r="C2536" s="2">
        <v>8</v>
      </c>
      <c r="D2536" s="2">
        <f t="shared" si="156"/>
        <v>2025</v>
      </c>
      <c r="E2536" s="2" t="str">
        <f t="shared" si="157"/>
        <v>2025-41</v>
      </c>
      <c r="F2536" s="2" t="str">
        <f t="shared" si="158"/>
        <v>Week 41</v>
      </c>
      <c r="G2536" s="2" t="str">
        <f t="shared" si="159"/>
        <v>Week 41-2025</v>
      </c>
      <c r="O2536"/>
      <c r="Q2536"/>
    </row>
    <row r="2537" spans="1:17" hidden="1" x14ac:dyDescent="0.2">
      <c r="A2537" s="3">
        <v>45941</v>
      </c>
      <c r="B2537" s="2" t="s">
        <v>3</v>
      </c>
      <c r="C2537" s="2">
        <v>8</v>
      </c>
      <c r="D2537" s="2">
        <f t="shared" si="156"/>
        <v>2025</v>
      </c>
      <c r="E2537" s="2" t="str">
        <f t="shared" si="157"/>
        <v>2025-41</v>
      </c>
      <c r="F2537" s="2" t="str">
        <f t="shared" si="158"/>
        <v>Week 41</v>
      </c>
      <c r="G2537" s="2" t="str">
        <f t="shared" si="159"/>
        <v>Week 41-2025</v>
      </c>
      <c r="O2537"/>
      <c r="Q2537"/>
    </row>
    <row r="2538" spans="1:17" hidden="1" x14ac:dyDescent="0.2">
      <c r="A2538" s="3">
        <v>45941</v>
      </c>
      <c r="B2538" s="2" t="s">
        <v>14</v>
      </c>
      <c r="C2538" s="2">
        <v>12</v>
      </c>
      <c r="D2538" s="2">
        <f t="shared" si="156"/>
        <v>2025</v>
      </c>
      <c r="E2538" s="2" t="str">
        <f t="shared" si="157"/>
        <v>2025-41</v>
      </c>
      <c r="F2538" s="2" t="str">
        <f t="shared" si="158"/>
        <v>Week 41</v>
      </c>
      <c r="G2538" s="2" t="str">
        <f t="shared" si="159"/>
        <v>Week 41-2025</v>
      </c>
      <c r="O2538"/>
      <c r="Q2538"/>
    </row>
    <row r="2539" spans="1:17" hidden="1" x14ac:dyDescent="0.2">
      <c r="A2539" s="3">
        <v>45941</v>
      </c>
      <c r="B2539" s="2" t="s">
        <v>10</v>
      </c>
      <c r="C2539" s="2">
        <v>10</v>
      </c>
      <c r="D2539" s="2">
        <f t="shared" si="156"/>
        <v>2025</v>
      </c>
      <c r="E2539" s="2" t="str">
        <f t="shared" si="157"/>
        <v>2025-41</v>
      </c>
      <c r="F2539" s="2" t="str">
        <f t="shared" si="158"/>
        <v>Week 41</v>
      </c>
      <c r="G2539" s="2" t="str">
        <f t="shared" si="159"/>
        <v>Week 41-2025</v>
      </c>
      <c r="O2539"/>
      <c r="Q2539"/>
    </row>
    <row r="2540" spans="1:17" hidden="1" x14ac:dyDescent="0.2">
      <c r="A2540" s="3">
        <v>45941</v>
      </c>
      <c r="B2540" s="2" t="s">
        <v>6</v>
      </c>
      <c r="C2540" s="2">
        <v>4</v>
      </c>
      <c r="D2540" s="2">
        <f t="shared" si="156"/>
        <v>2025</v>
      </c>
      <c r="E2540" s="2" t="str">
        <f t="shared" si="157"/>
        <v>2025-41</v>
      </c>
      <c r="F2540" s="2" t="str">
        <f t="shared" si="158"/>
        <v>Week 41</v>
      </c>
      <c r="G2540" s="2" t="str">
        <f t="shared" si="159"/>
        <v>Week 41-2025</v>
      </c>
      <c r="O2540"/>
      <c r="Q2540"/>
    </row>
    <row r="2541" spans="1:17" hidden="1" x14ac:dyDescent="0.2">
      <c r="A2541" s="3">
        <v>45941</v>
      </c>
      <c r="B2541" s="2" t="s">
        <v>14</v>
      </c>
      <c r="C2541" s="2">
        <v>4</v>
      </c>
      <c r="D2541" s="2">
        <f t="shared" si="156"/>
        <v>2025</v>
      </c>
      <c r="E2541" s="2" t="str">
        <f t="shared" si="157"/>
        <v>2025-41</v>
      </c>
      <c r="F2541" s="2" t="str">
        <f t="shared" si="158"/>
        <v>Week 41</v>
      </c>
      <c r="G2541" s="2" t="str">
        <f t="shared" si="159"/>
        <v>Week 41-2025</v>
      </c>
      <c r="O2541"/>
      <c r="Q2541"/>
    </row>
    <row r="2542" spans="1:17" hidden="1" x14ac:dyDescent="0.2">
      <c r="A2542" s="3">
        <v>45941</v>
      </c>
      <c r="B2542" s="2" t="s">
        <v>30</v>
      </c>
      <c r="C2542" s="2">
        <v>4</v>
      </c>
      <c r="D2542" s="2">
        <f t="shared" si="156"/>
        <v>2025</v>
      </c>
      <c r="E2542" s="2" t="str">
        <f t="shared" si="157"/>
        <v>2025-41</v>
      </c>
      <c r="F2542" s="2" t="str">
        <f t="shared" si="158"/>
        <v>Week 41</v>
      </c>
      <c r="G2542" s="2" t="str">
        <f t="shared" si="159"/>
        <v>Week 41-2025</v>
      </c>
      <c r="O2542"/>
      <c r="Q2542"/>
    </row>
    <row r="2543" spans="1:17" hidden="1" x14ac:dyDescent="0.2">
      <c r="A2543" s="3">
        <v>45943</v>
      </c>
      <c r="B2543" s="2" t="s">
        <v>3</v>
      </c>
      <c r="C2543" s="2">
        <v>36</v>
      </c>
      <c r="D2543" s="2">
        <f t="shared" si="156"/>
        <v>2025</v>
      </c>
      <c r="E2543" s="2" t="str">
        <f t="shared" si="157"/>
        <v>2025-42</v>
      </c>
      <c r="F2543" s="2" t="str">
        <f t="shared" si="158"/>
        <v>Week 42</v>
      </c>
      <c r="G2543" s="2" t="str">
        <f t="shared" si="159"/>
        <v>Week 42-2025</v>
      </c>
      <c r="O2543"/>
      <c r="Q2543"/>
    </row>
    <row r="2544" spans="1:17" hidden="1" x14ac:dyDescent="0.2">
      <c r="A2544" s="3">
        <v>45943</v>
      </c>
      <c r="B2544" s="2" t="s">
        <v>7</v>
      </c>
      <c r="C2544" s="2">
        <v>26</v>
      </c>
      <c r="D2544" s="2">
        <f t="shared" si="156"/>
        <v>2025</v>
      </c>
      <c r="E2544" s="2" t="str">
        <f t="shared" si="157"/>
        <v>2025-42</v>
      </c>
      <c r="F2544" s="2" t="str">
        <f t="shared" si="158"/>
        <v>Week 42</v>
      </c>
      <c r="G2544" s="2" t="str">
        <f t="shared" si="159"/>
        <v>Week 42-2025</v>
      </c>
      <c r="O2544"/>
      <c r="Q2544"/>
    </row>
    <row r="2545" spans="1:17" hidden="1" x14ac:dyDescent="0.2">
      <c r="A2545" s="3">
        <v>45943</v>
      </c>
      <c r="B2545" s="2" t="s">
        <v>14</v>
      </c>
      <c r="C2545" s="2">
        <v>44</v>
      </c>
      <c r="D2545" s="2">
        <f t="shared" si="156"/>
        <v>2025</v>
      </c>
      <c r="E2545" s="2" t="str">
        <f t="shared" si="157"/>
        <v>2025-42</v>
      </c>
      <c r="F2545" s="2" t="str">
        <f t="shared" si="158"/>
        <v>Week 42</v>
      </c>
      <c r="G2545" s="2" t="str">
        <f t="shared" si="159"/>
        <v>Week 42-2025</v>
      </c>
      <c r="O2545"/>
      <c r="Q2545"/>
    </row>
    <row r="2546" spans="1:17" hidden="1" x14ac:dyDescent="0.2">
      <c r="A2546" s="3">
        <v>45943</v>
      </c>
      <c r="B2546" s="2" t="s">
        <v>5</v>
      </c>
      <c r="C2546" s="2">
        <v>28</v>
      </c>
      <c r="D2546" s="2">
        <f t="shared" si="156"/>
        <v>2025</v>
      </c>
      <c r="E2546" s="2" t="str">
        <f t="shared" si="157"/>
        <v>2025-42</v>
      </c>
      <c r="F2546" s="2" t="str">
        <f t="shared" si="158"/>
        <v>Week 42</v>
      </c>
      <c r="G2546" s="2" t="str">
        <f t="shared" si="159"/>
        <v>Week 42-2025</v>
      </c>
      <c r="O2546"/>
      <c r="Q2546"/>
    </row>
    <row r="2547" spans="1:17" hidden="1" x14ac:dyDescent="0.2">
      <c r="A2547" s="3">
        <v>45943</v>
      </c>
      <c r="B2547" s="2" t="s">
        <v>5</v>
      </c>
      <c r="C2547" s="2">
        <v>26</v>
      </c>
      <c r="D2547" s="2">
        <f t="shared" si="156"/>
        <v>2025</v>
      </c>
      <c r="E2547" s="2" t="str">
        <f t="shared" si="157"/>
        <v>2025-42</v>
      </c>
      <c r="F2547" s="2" t="str">
        <f t="shared" si="158"/>
        <v>Week 42</v>
      </c>
      <c r="G2547" s="2" t="str">
        <f t="shared" si="159"/>
        <v>Week 42-2025</v>
      </c>
      <c r="O2547"/>
      <c r="Q2547"/>
    </row>
    <row r="2548" spans="1:17" hidden="1" x14ac:dyDescent="0.2">
      <c r="A2548" s="3">
        <v>45943</v>
      </c>
      <c r="B2548" s="2" t="s">
        <v>4</v>
      </c>
      <c r="C2548" s="2">
        <v>16</v>
      </c>
      <c r="D2548" s="2">
        <f t="shared" si="156"/>
        <v>2025</v>
      </c>
      <c r="E2548" s="2" t="str">
        <f t="shared" si="157"/>
        <v>2025-42</v>
      </c>
      <c r="F2548" s="2" t="str">
        <f t="shared" si="158"/>
        <v>Week 42</v>
      </c>
      <c r="G2548" s="2" t="str">
        <f t="shared" si="159"/>
        <v>Week 42-2025</v>
      </c>
      <c r="O2548"/>
      <c r="Q2548"/>
    </row>
    <row r="2549" spans="1:17" hidden="1" x14ac:dyDescent="0.2">
      <c r="A2549" s="3">
        <v>45943</v>
      </c>
      <c r="B2549" s="2" t="s">
        <v>32</v>
      </c>
      <c r="C2549" s="2">
        <v>16</v>
      </c>
      <c r="D2549" s="2">
        <f t="shared" si="156"/>
        <v>2025</v>
      </c>
      <c r="E2549" s="2" t="str">
        <f t="shared" si="157"/>
        <v>2025-42</v>
      </c>
      <c r="F2549" s="2" t="str">
        <f t="shared" si="158"/>
        <v>Week 42</v>
      </c>
      <c r="G2549" s="2" t="str">
        <f t="shared" si="159"/>
        <v>Week 42-2025</v>
      </c>
      <c r="O2549"/>
      <c r="Q2549"/>
    </row>
    <row r="2550" spans="1:17" hidden="1" x14ac:dyDescent="0.2">
      <c r="A2550" s="3">
        <v>45943</v>
      </c>
      <c r="B2550" s="2" t="s">
        <v>7</v>
      </c>
      <c r="C2550" s="2">
        <v>14</v>
      </c>
      <c r="D2550" s="2">
        <f t="shared" si="156"/>
        <v>2025</v>
      </c>
      <c r="E2550" s="2" t="str">
        <f t="shared" si="157"/>
        <v>2025-42</v>
      </c>
      <c r="F2550" s="2" t="str">
        <f t="shared" si="158"/>
        <v>Week 42</v>
      </c>
      <c r="G2550" s="2" t="str">
        <f t="shared" si="159"/>
        <v>Week 42-2025</v>
      </c>
      <c r="O2550"/>
      <c r="Q2550"/>
    </row>
    <row r="2551" spans="1:17" hidden="1" x14ac:dyDescent="0.2">
      <c r="A2551" s="3">
        <v>45943</v>
      </c>
      <c r="B2551" s="2" t="s">
        <v>5</v>
      </c>
      <c r="C2551" s="2">
        <v>20</v>
      </c>
      <c r="D2551" s="2">
        <f t="shared" si="156"/>
        <v>2025</v>
      </c>
      <c r="E2551" s="2" t="str">
        <f t="shared" si="157"/>
        <v>2025-42</v>
      </c>
      <c r="F2551" s="2" t="str">
        <f t="shared" si="158"/>
        <v>Week 42</v>
      </c>
      <c r="G2551" s="2" t="str">
        <f t="shared" si="159"/>
        <v>Week 42-2025</v>
      </c>
      <c r="O2551"/>
      <c r="Q2551"/>
    </row>
    <row r="2552" spans="1:17" hidden="1" x14ac:dyDescent="0.2">
      <c r="A2552" s="3">
        <v>45943</v>
      </c>
      <c r="B2552" s="2" t="s">
        <v>9</v>
      </c>
      <c r="C2552" s="2">
        <v>10</v>
      </c>
      <c r="D2552" s="2">
        <f t="shared" si="156"/>
        <v>2025</v>
      </c>
      <c r="E2552" s="2" t="str">
        <f t="shared" si="157"/>
        <v>2025-42</v>
      </c>
      <c r="F2552" s="2" t="str">
        <f t="shared" si="158"/>
        <v>Week 42</v>
      </c>
      <c r="G2552" s="2" t="str">
        <f t="shared" si="159"/>
        <v>Week 42-2025</v>
      </c>
      <c r="O2552"/>
      <c r="Q2552"/>
    </row>
    <row r="2553" spans="1:17" hidden="1" x14ac:dyDescent="0.2">
      <c r="A2553" s="3">
        <v>45943</v>
      </c>
      <c r="B2553" s="2" t="s">
        <v>5</v>
      </c>
      <c r="C2553" s="2">
        <v>12</v>
      </c>
      <c r="D2553" s="2">
        <f t="shared" si="156"/>
        <v>2025</v>
      </c>
      <c r="E2553" s="2" t="str">
        <f t="shared" si="157"/>
        <v>2025-42</v>
      </c>
      <c r="F2553" s="2" t="str">
        <f t="shared" si="158"/>
        <v>Week 42</v>
      </c>
      <c r="G2553" s="2" t="str">
        <f t="shared" si="159"/>
        <v>Week 42-2025</v>
      </c>
      <c r="O2553"/>
      <c r="Q2553"/>
    </row>
    <row r="2554" spans="1:17" hidden="1" x14ac:dyDescent="0.2">
      <c r="A2554" s="3">
        <v>45943</v>
      </c>
      <c r="B2554" s="2" t="s">
        <v>8</v>
      </c>
      <c r="C2554" s="2">
        <v>16</v>
      </c>
      <c r="D2554" s="2">
        <f t="shared" si="156"/>
        <v>2025</v>
      </c>
      <c r="E2554" s="2" t="str">
        <f t="shared" si="157"/>
        <v>2025-42</v>
      </c>
      <c r="F2554" s="2" t="str">
        <f t="shared" si="158"/>
        <v>Week 42</v>
      </c>
      <c r="G2554" s="2" t="str">
        <f t="shared" si="159"/>
        <v>Week 42-2025</v>
      </c>
      <c r="O2554"/>
      <c r="Q2554"/>
    </row>
    <row r="2555" spans="1:17" hidden="1" x14ac:dyDescent="0.2">
      <c r="A2555" s="3">
        <v>45943</v>
      </c>
      <c r="B2555" s="2" t="s">
        <v>5</v>
      </c>
      <c r="C2555" s="2">
        <v>10</v>
      </c>
      <c r="D2555" s="2">
        <f t="shared" si="156"/>
        <v>2025</v>
      </c>
      <c r="E2555" s="2" t="str">
        <f t="shared" si="157"/>
        <v>2025-42</v>
      </c>
      <c r="F2555" s="2" t="str">
        <f t="shared" si="158"/>
        <v>Week 42</v>
      </c>
      <c r="G2555" s="2" t="str">
        <f t="shared" si="159"/>
        <v>Week 42-2025</v>
      </c>
      <c r="O2555"/>
      <c r="Q2555"/>
    </row>
    <row r="2556" spans="1:17" hidden="1" x14ac:dyDescent="0.2">
      <c r="A2556" s="3">
        <v>45943</v>
      </c>
      <c r="B2556" s="2" t="s">
        <v>5</v>
      </c>
      <c r="C2556" s="2">
        <v>10</v>
      </c>
      <c r="D2556" s="2">
        <f t="shared" si="156"/>
        <v>2025</v>
      </c>
      <c r="E2556" s="2" t="str">
        <f t="shared" si="157"/>
        <v>2025-42</v>
      </c>
      <c r="F2556" s="2" t="str">
        <f t="shared" si="158"/>
        <v>Week 42</v>
      </c>
      <c r="G2556" s="2" t="str">
        <f t="shared" si="159"/>
        <v>Week 42-2025</v>
      </c>
      <c r="O2556"/>
      <c r="Q2556"/>
    </row>
    <row r="2557" spans="1:17" hidden="1" x14ac:dyDescent="0.2">
      <c r="A2557" s="3">
        <v>45943</v>
      </c>
      <c r="B2557" s="2" t="s">
        <v>3</v>
      </c>
      <c r="C2557" s="2">
        <v>8</v>
      </c>
      <c r="D2557" s="2">
        <f t="shared" si="156"/>
        <v>2025</v>
      </c>
      <c r="E2557" s="2" t="str">
        <f t="shared" si="157"/>
        <v>2025-42</v>
      </c>
      <c r="F2557" s="2" t="str">
        <f t="shared" si="158"/>
        <v>Week 42</v>
      </c>
      <c r="G2557" s="2" t="str">
        <f t="shared" si="159"/>
        <v>Week 42-2025</v>
      </c>
      <c r="O2557"/>
      <c r="Q2557"/>
    </row>
    <row r="2558" spans="1:17" hidden="1" x14ac:dyDescent="0.2">
      <c r="A2558" s="3">
        <v>45943</v>
      </c>
      <c r="B2558" s="2" t="s">
        <v>3</v>
      </c>
      <c r="C2558" s="2">
        <v>8</v>
      </c>
      <c r="D2558" s="2">
        <f t="shared" si="156"/>
        <v>2025</v>
      </c>
      <c r="E2558" s="2" t="str">
        <f t="shared" si="157"/>
        <v>2025-42</v>
      </c>
      <c r="F2558" s="2" t="str">
        <f t="shared" si="158"/>
        <v>Week 42</v>
      </c>
      <c r="G2558" s="2" t="str">
        <f t="shared" si="159"/>
        <v>Week 42-2025</v>
      </c>
      <c r="O2558"/>
      <c r="Q2558"/>
    </row>
    <row r="2559" spans="1:17" hidden="1" x14ac:dyDescent="0.2">
      <c r="A2559" s="3">
        <v>45943</v>
      </c>
      <c r="B2559" s="2" t="s">
        <v>18</v>
      </c>
      <c r="C2559" s="2">
        <v>5</v>
      </c>
      <c r="D2559" s="2">
        <f t="shared" si="156"/>
        <v>2025</v>
      </c>
      <c r="E2559" s="2" t="str">
        <f t="shared" si="157"/>
        <v>2025-42</v>
      </c>
      <c r="F2559" s="2" t="str">
        <f t="shared" si="158"/>
        <v>Week 42</v>
      </c>
      <c r="G2559" s="2" t="str">
        <f t="shared" si="159"/>
        <v>Week 42-2025</v>
      </c>
      <c r="O2559"/>
      <c r="Q2559"/>
    </row>
    <row r="2560" spans="1:17" hidden="1" x14ac:dyDescent="0.2">
      <c r="A2560" s="3">
        <v>45943</v>
      </c>
      <c r="B2560" s="2" t="s">
        <v>10</v>
      </c>
      <c r="C2560" s="2">
        <v>10</v>
      </c>
      <c r="D2560" s="2">
        <f t="shared" si="156"/>
        <v>2025</v>
      </c>
      <c r="E2560" s="2" t="str">
        <f t="shared" si="157"/>
        <v>2025-42</v>
      </c>
      <c r="F2560" s="2" t="str">
        <f t="shared" si="158"/>
        <v>Week 42</v>
      </c>
      <c r="G2560" s="2" t="str">
        <f t="shared" si="159"/>
        <v>Week 42-2025</v>
      </c>
      <c r="O2560"/>
      <c r="Q2560"/>
    </row>
    <row r="2561" spans="1:17" hidden="1" x14ac:dyDescent="0.2">
      <c r="A2561" s="3">
        <v>45943</v>
      </c>
      <c r="B2561" s="2" t="s">
        <v>6</v>
      </c>
      <c r="C2561" s="2">
        <v>4</v>
      </c>
      <c r="D2561" s="2">
        <f t="shared" si="156"/>
        <v>2025</v>
      </c>
      <c r="E2561" s="2" t="str">
        <f t="shared" si="157"/>
        <v>2025-42</v>
      </c>
      <c r="F2561" s="2" t="str">
        <f t="shared" si="158"/>
        <v>Week 42</v>
      </c>
      <c r="G2561" s="2" t="str">
        <f t="shared" si="159"/>
        <v>Week 42-2025</v>
      </c>
      <c r="O2561"/>
      <c r="Q2561"/>
    </row>
    <row r="2562" spans="1:17" hidden="1" x14ac:dyDescent="0.2">
      <c r="A2562" s="3">
        <v>45943</v>
      </c>
      <c r="B2562" s="2" t="s">
        <v>9</v>
      </c>
      <c r="C2562" s="2">
        <v>6</v>
      </c>
      <c r="D2562" s="2">
        <f t="shared" ref="D2562:D2625" si="160">YEAR(A2562)</f>
        <v>2025</v>
      </c>
      <c r="E2562" s="2" t="str">
        <f t="shared" ref="E2562:E2625" si="161">YEAR(A2562)&amp;"-"&amp;_xlfn.ISOWEEKNUM(A2562)</f>
        <v>2025-42</v>
      </c>
      <c r="F2562" s="2" t="str">
        <f t="shared" ref="F2562:F2625" si="162">_xlfn.CONCAT("Week "&amp;WEEKNUM(A2562))</f>
        <v>Week 42</v>
      </c>
      <c r="G2562" s="2" t="str">
        <f t="shared" ref="G2562:G2625" si="163">_xlfn.CONCAT(F2562,"-",D2562)</f>
        <v>Week 42-2025</v>
      </c>
      <c r="O2562"/>
      <c r="Q2562"/>
    </row>
    <row r="2563" spans="1:17" hidden="1" x14ac:dyDescent="0.2">
      <c r="A2563" s="3">
        <v>45943</v>
      </c>
      <c r="B2563" s="2" t="s">
        <v>10</v>
      </c>
      <c r="C2563" s="2">
        <v>8</v>
      </c>
      <c r="D2563" s="2">
        <f t="shared" si="160"/>
        <v>2025</v>
      </c>
      <c r="E2563" s="2" t="str">
        <f t="shared" si="161"/>
        <v>2025-42</v>
      </c>
      <c r="F2563" s="2" t="str">
        <f t="shared" si="162"/>
        <v>Week 42</v>
      </c>
      <c r="G2563" s="2" t="str">
        <f t="shared" si="163"/>
        <v>Week 42-2025</v>
      </c>
      <c r="O2563"/>
      <c r="Q2563"/>
    </row>
    <row r="2564" spans="1:17" hidden="1" x14ac:dyDescent="0.2">
      <c r="A2564" s="3">
        <v>45943</v>
      </c>
      <c r="B2564" s="2" t="s">
        <v>38</v>
      </c>
      <c r="C2564" s="2">
        <v>10</v>
      </c>
      <c r="D2564" s="2">
        <f t="shared" si="160"/>
        <v>2025</v>
      </c>
      <c r="E2564" s="2" t="str">
        <f t="shared" si="161"/>
        <v>2025-42</v>
      </c>
      <c r="F2564" s="2" t="str">
        <f t="shared" si="162"/>
        <v>Week 42</v>
      </c>
      <c r="G2564" s="2" t="str">
        <f t="shared" si="163"/>
        <v>Week 42-2025</v>
      </c>
      <c r="O2564"/>
      <c r="Q2564"/>
    </row>
    <row r="2565" spans="1:17" hidden="1" x14ac:dyDescent="0.2">
      <c r="A2565" s="3">
        <v>45943</v>
      </c>
      <c r="B2565" s="2" t="s">
        <v>19</v>
      </c>
      <c r="C2565" s="2">
        <v>4</v>
      </c>
      <c r="D2565" s="2">
        <f t="shared" si="160"/>
        <v>2025</v>
      </c>
      <c r="E2565" s="2" t="str">
        <f t="shared" si="161"/>
        <v>2025-42</v>
      </c>
      <c r="F2565" s="2" t="str">
        <f t="shared" si="162"/>
        <v>Week 42</v>
      </c>
      <c r="G2565" s="2" t="str">
        <f t="shared" si="163"/>
        <v>Week 42-2025</v>
      </c>
      <c r="O2565"/>
      <c r="Q2565"/>
    </row>
    <row r="2566" spans="1:17" hidden="1" x14ac:dyDescent="0.2">
      <c r="A2566" s="3">
        <v>45943</v>
      </c>
      <c r="B2566" s="2" t="s">
        <v>14</v>
      </c>
      <c r="C2566" s="2">
        <v>8</v>
      </c>
      <c r="D2566" s="2">
        <f t="shared" si="160"/>
        <v>2025</v>
      </c>
      <c r="E2566" s="2" t="str">
        <f t="shared" si="161"/>
        <v>2025-42</v>
      </c>
      <c r="F2566" s="2" t="str">
        <f t="shared" si="162"/>
        <v>Week 42</v>
      </c>
      <c r="G2566" s="2" t="str">
        <f t="shared" si="163"/>
        <v>Week 42-2025</v>
      </c>
      <c r="O2566"/>
      <c r="Q2566"/>
    </row>
    <row r="2567" spans="1:17" hidden="1" x14ac:dyDescent="0.2">
      <c r="A2567" s="3">
        <v>45943</v>
      </c>
      <c r="B2567" s="2" t="s">
        <v>14</v>
      </c>
      <c r="C2567" s="2">
        <v>8</v>
      </c>
      <c r="D2567" s="2">
        <f t="shared" si="160"/>
        <v>2025</v>
      </c>
      <c r="E2567" s="2" t="str">
        <f t="shared" si="161"/>
        <v>2025-42</v>
      </c>
      <c r="F2567" s="2" t="str">
        <f t="shared" si="162"/>
        <v>Week 42</v>
      </c>
      <c r="G2567" s="2" t="str">
        <f t="shared" si="163"/>
        <v>Week 42-2025</v>
      </c>
      <c r="O2567"/>
      <c r="Q2567"/>
    </row>
    <row r="2568" spans="1:17" hidden="1" x14ac:dyDescent="0.2">
      <c r="A2568" s="3">
        <v>45943</v>
      </c>
      <c r="B2568" s="2" t="s">
        <v>17</v>
      </c>
      <c r="C2568" s="2">
        <v>6</v>
      </c>
      <c r="D2568" s="2">
        <f t="shared" si="160"/>
        <v>2025</v>
      </c>
      <c r="E2568" s="2" t="str">
        <f t="shared" si="161"/>
        <v>2025-42</v>
      </c>
      <c r="F2568" s="2" t="str">
        <f t="shared" si="162"/>
        <v>Week 42</v>
      </c>
      <c r="G2568" s="2" t="str">
        <f t="shared" si="163"/>
        <v>Week 42-2025</v>
      </c>
      <c r="O2568"/>
      <c r="Q2568"/>
    </row>
    <row r="2569" spans="1:17" hidden="1" x14ac:dyDescent="0.2">
      <c r="A2569" s="3">
        <v>45943</v>
      </c>
      <c r="B2569" s="2" t="s">
        <v>18</v>
      </c>
      <c r="C2569" s="2">
        <v>3</v>
      </c>
      <c r="D2569" s="2">
        <f t="shared" si="160"/>
        <v>2025</v>
      </c>
      <c r="E2569" s="2" t="str">
        <f t="shared" si="161"/>
        <v>2025-42</v>
      </c>
      <c r="F2569" s="2" t="str">
        <f t="shared" si="162"/>
        <v>Week 42</v>
      </c>
      <c r="G2569" s="2" t="str">
        <f t="shared" si="163"/>
        <v>Week 42-2025</v>
      </c>
      <c r="O2569"/>
      <c r="Q2569"/>
    </row>
    <row r="2570" spans="1:17" hidden="1" x14ac:dyDescent="0.2">
      <c r="A2570" s="3">
        <v>45943</v>
      </c>
      <c r="B2570" s="2" t="s">
        <v>9</v>
      </c>
      <c r="C2570" s="2">
        <v>4</v>
      </c>
      <c r="D2570" s="2">
        <f t="shared" si="160"/>
        <v>2025</v>
      </c>
      <c r="E2570" s="2" t="str">
        <f t="shared" si="161"/>
        <v>2025-42</v>
      </c>
      <c r="F2570" s="2" t="str">
        <f t="shared" si="162"/>
        <v>Week 42</v>
      </c>
      <c r="G2570" s="2" t="str">
        <f t="shared" si="163"/>
        <v>Week 42-2025</v>
      </c>
      <c r="O2570"/>
      <c r="Q2570"/>
    </row>
    <row r="2571" spans="1:17" hidden="1" x14ac:dyDescent="0.2">
      <c r="A2571" s="3">
        <v>45943</v>
      </c>
      <c r="B2571" s="2" t="s">
        <v>31</v>
      </c>
      <c r="C2571" s="2">
        <v>6</v>
      </c>
      <c r="D2571" s="2">
        <f t="shared" si="160"/>
        <v>2025</v>
      </c>
      <c r="E2571" s="2" t="str">
        <f t="shared" si="161"/>
        <v>2025-42</v>
      </c>
      <c r="F2571" s="2" t="str">
        <f t="shared" si="162"/>
        <v>Week 42</v>
      </c>
      <c r="G2571" s="2" t="str">
        <f t="shared" si="163"/>
        <v>Week 42-2025</v>
      </c>
      <c r="O2571"/>
      <c r="Q2571"/>
    </row>
    <row r="2572" spans="1:17" hidden="1" x14ac:dyDescent="0.2">
      <c r="A2572" s="3">
        <v>45943</v>
      </c>
      <c r="B2572" s="2" t="s">
        <v>8</v>
      </c>
      <c r="C2572" s="2">
        <v>6</v>
      </c>
      <c r="D2572" s="2">
        <f t="shared" si="160"/>
        <v>2025</v>
      </c>
      <c r="E2572" s="2" t="str">
        <f t="shared" si="161"/>
        <v>2025-42</v>
      </c>
      <c r="F2572" s="2" t="str">
        <f t="shared" si="162"/>
        <v>Week 42</v>
      </c>
      <c r="G2572" s="2" t="str">
        <f t="shared" si="163"/>
        <v>Week 42-2025</v>
      </c>
      <c r="O2572"/>
      <c r="Q2572"/>
    </row>
    <row r="2573" spans="1:17" hidden="1" x14ac:dyDescent="0.2">
      <c r="A2573" s="3">
        <v>45943</v>
      </c>
      <c r="B2573" s="2" t="s">
        <v>3</v>
      </c>
      <c r="C2573" s="2">
        <v>3</v>
      </c>
      <c r="D2573" s="2">
        <f t="shared" si="160"/>
        <v>2025</v>
      </c>
      <c r="E2573" s="2" t="str">
        <f t="shared" si="161"/>
        <v>2025-42</v>
      </c>
      <c r="F2573" s="2" t="str">
        <f t="shared" si="162"/>
        <v>Week 42</v>
      </c>
      <c r="G2573" s="2" t="str">
        <f t="shared" si="163"/>
        <v>Week 42-2025</v>
      </c>
      <c r="O2573"/>
      <c r="Q2573"/>
    </row>
    <row r="2574" spans="1:17" hidden="1" x14ac:dyDescent="0.2">
      <c r="A2574" s="3">
        <v>45943</v>
      </c>
      <c r="B2574" s="2" t="s">
        <v>14</v>
      </c>
      <c r="C2574" s="2">
        <v>4</v>
      </c>
      <c r="D2574" s="2">
        <f t="shared" si="160"/>
        <v>2025</v>
      </c>
      <c r="E2574" s="2" t="str">
        <f t="shared" si="161"/>
        <v>2025-42</v>
      </c>
      <c r="F2574" s="2" t="str">
        <f t="shared" si="162"/>
        <v>Week 42</v>
      </c>
      <c r="G2574" s="2" t="str">
        <f t="shared" si="163"/>
        <v>Week 42-2025</v>
      </c>
      <c r="O2574"/>
      <c r="Q2574"/>
    </row>
    <row r="2575" spans="1:17" hidden="1" x14ac:dyDescent="0.2">
      <c r="A2575" s="3">
        <v>45943</v>
      </c>
      <c r="B2575" s="2" t="s">
        <v>9</v>
      </c>
      <c r="C2575" s="2">
        <v>2</v>
      </c>
      <c r="D2575" s="2">
        <f t="shared" si="160"/>
        <v>2025</v>
      </c>
      <c r="E2575" s="2" t="str">
        <f t="shared" si="161"/>
        <v>2025-42</v>
      </c>
      <c r="F2575" s="2" t="str">
        <f t="shared" si="162"/>
        <v>Week 42</v>
      </c>
      <c r="G2575" s="2" t="str">
        <f t="shared" si="163"/>
        <v>Week 42-2025</v>
      </c>
      <c r="O2575"/>
      <c r="Q2575"/>
    </row>
    <row r="2576" spans="1:17" hidden="1" x14ac:dyDescent="0.2">
      <c r="A2576" s="3">
        <v>45943</v>
      </c>
      <c r="B2576" s="2" t="s">
        <v>9</v>
      </c>
      <c r="C2576" s="2">
        <v>2</v>
      </c>
      <c r="D2576" s="2">
        <f t="shared" si="160"/>
        <v>2025</v>
      </c>
      <c r="E2576" s="2" t="str">
        <f t="shared" si="161"/>
        <v>2025-42</v>
      </c>
      <c r="F2576" s="2" t="str">
        <f t="shared" si="162"/>
        <v>Week 42</v>
      </c>
      <c r="G2576" s="2" t="str">
        <f t="shared" si="163"/>
        <v>Week 42-2025</v>
      </c>
      <c r="O2576"/>
      <c r="Q2576"/>
    </row>
    <row r="2577" spans="1:17" hidden="1" x14ac:dyDescent="0.2">
      <c r="A2577" s="3">
        <v>45943</v>
      </c>
      <c r="B2577" s="2" t="s">
        <v>28</v>
      </c>
      <c r="C2577" s="2">
        <v>4</v>
      </c>
      <c r="D2577" s="2">
        <f t="shared" si="160"/>
        <v>2025</v>
      </c>
      <c r="E2577" s="2" t="str">
        <f t="shared" si="161"/>
        <v>2025-42</v>
      </c>
      <c r="F2577" s="2" t="str">
        <f t="shared" si="162"/>
        <v>Week 42</v>
      </c>
      <c r="G2577" s="2" t="str">
        <f t="shared" si="163"/>
        <v>Week 42-2025</v>
      </c>
      <c r="O2577"/>
      <c r="Q2577"/>
    </row>
    <row r="2578" spans="1:17" hidden="1" x14ac:dyDescent="0.2">
      <c r="A2578" s="3">
        <v>45943</v>
      </c>
      <c r="B2578" s="2" t="s">
        <v>30</v>
      </c>
      <c r="C2578" s="2">
        <v>4</v>
      </c>
      <c r="D2578" s="2">
        <f t="shared" si="160"/>
        <v>2025</v>
      </c>
      <c r="E2578" s="2" t="str">
        <f t="shared" si="161"/>
        <v>2025-42</v>
      </c>
      <c r="F2578" s="2" t="str">
        <f t="shared" si="162"/>
        <v>Week 42</v>
      </c>
      <c r="G2578" s="2" t="str">
        <f t="shared" si="163"/>
        <v>Week 42-2025</v>
      </c>
      <c r="O2578"/>
      <c r="Q2578"/>
    </row>
    <row r="2579" spans="1:17" hidden="1" x14ac:dyDescent="0.2">
      <c r="A2579" s="3">
        <v>45943</v>
      </c>
      <c r="B2579" s="2" t="s">
        <v>27</v>
      </c>
      <c r="C2579" s="2">
        <v>4</v>
      </c>
      <c r="D2579" s="2">
        <f t="shared" si="160"/>
        <v>2025</v>
      </c>
      <c r="E2579" s="2" t="str">
        <f t="shared" si="161"/>
        <v>2025-42</v>
      </c>
      <c r="F2579" s="2" t="str">
        <f t="shared" si="162"/>
        <v>Week 42</v>
      </c>
      <c r="G2579" s="2" t="str">
        <f t="shared" si="163"/>
        <v>Week 42-2025</v>
      </c>
      <c r="O2579"/>
      <c r="Q2579"/>
    </row>
    <row r="2580" spans="1:17" hidden="1" x14ac:dyDescent="0.2">
      <c r="A2580" s="3">
        <v>45943</v>
      </c>
      <c r="B2580" s="2" t="s">
        <v>42</v>
      </c>
      <c r="C2580" s="2">
        <v>4</v>
      </c>
      <c r="D2580" s="2">
        <f t="shared" si="160"/>
        <v>2025</v>
      </c>
      <c r="E2580" s="2" t="str">
        <f t="shared" si="161"/>
        <v>2025-42</v>
      </c>
      <c r="F2580" s="2" t="str">
        <f t="shared" si="162"/>
        <v>Week 42</v>
      </c>
      <c r="G2580" s="2" t="str">
        <f t="shared" si="163"/>
        <v>Week 42-2025</v>
      </c>
      <c r="O2580"/>
      <c r="Q2580"/>
    </row>
    <row r="2581" spans="1:17" hidden="1" x14ac:dyDescent="0.2">
      <c r="A2581" s="3">
        <v>45943</v>
      </c>
      <c r="B2581" s="2" t="s">
        <v>36</v>
      </c>
      <c r="C2581" s="2">
        <v>4</v>
      </c>
      <c r="D2581" s="2">
        <f t="shared" si="160"/>
        <v>2025</v>
      </c>
      <c r="E2581" s="2" t="str">
        <f t="shared" si="161"/>
        <v>2025-42</v>
      </c>
      <c r="F2581" s="2" t="str">
        <f t="shared" si="162"/>
        <v>Week 42</v>
      </c>
      <c r="G2581" s="2" t="str">
        <f t="shared" si="163"/>
        <v>Week 42-2025</v>
      </c>
      <c r="O2581"/>
      <c r="Q2581"/>
    </row>
    <row r="2582" spans="1:17" hidden="1" x14ac:dyDescent="0.2">
      <c r="A2582" s="3">
        <v>45943</v>
      </c>
      <c r="B2582" s="2" t="s">
        <v>10</v>
      </c>
      <c r="C2582" s="2">
        <v>2</v>
      </c>
      <c r="D2582" s="2">
        <f t="shared" si="160"/>
        <v>2025</v>
      </c>
      <c r="E2582" s="2" t="str">
        <f t="shared" si="161"/>
        <v>2025-42</v>
      </c>
      <c r="F2582" s="2" t="str">
        <f t="shared" si="162"/>
        <v>Week 42</v>
      </c>
      <c r="G2582" s="2" t="str">
        <f t="shared" si="163"/>
        <v>Week 42-2025</v>
      </c>
      <c r="O2582"/>
      <c r="Q2582"/>
    </row>
    <row r="2583" spans="1:17" hidden="1" x14ac:dyDescent="0.2">
      <c r="A2583" s="3">
        <v>45943</v>
      </c>
      <c r="B2583" s="2" t="s">
        <v>10</v>
      </c>
      <c r="C2583" s="2">
        <v>2</v>
      </c>
      <c r="D2583" s="2">
        <f t="shared" si="160"/>
        <v>2025</v>
      </c>
      <c r="E2583" s="2" t="str">
        <f t="shared" si="161"/>
        <v>2025-42</v>
      </c>
      <c r="F2583" s="2" t="str">
        <f t="shared" si="162"/>
        <v>Week 42</v>
      </c>
      <c r="G2583" s="2" t="str">
        <f t="shared" si="163"/>
        <v>Week 42-2025</v>
      </c>
      <c r="O2583"/>
      <c r="Q2583"/>
    </row>
    <row r="2584" spans="1:17" hidden="1" x14ac:dyDescent="0.2">
      <c r="A2584" s="3">
        <v>45943</v>
      </c>
      <c r="B2584" s="2" t="s">
        <v>8</v>
      </c>
      <c r="C2584" s="2">
        <v>2</v>
      </c>
      <c r="D2584" s="2">
        <f t="shared" si="160"/>
        <v>2025</v>
      </c>
      <c r="E2584" s="2" t="str">
        <f t="shared" si="161"/>
        <v>2025-42</v>
      </c>
      <c r="F2584" s="2" t="str">
        <f t="shared" si="162"/>
        <v>Week 42</v>
      </c>
      <c r="G2584" s="2" t="str">
        <f t="shared" si="163"/>
        <v>Week 42-2025</v>
      </c>
      <c r="O2584"/>
      <c r="Q2584"/>
    </row>
    <row r="2585" spans="1:17" hidden="1" x14ac:dyDescent="0.2">
      <c r="A2585" s="3">
        <v>45943</v>
      </c>
      <c r="B2585" s="2" t="s">
        <v>46</v>
      </c>
      <c r="C2585" s="2">
        <v>2</v>
      </c>
      <c r="D2585" s="2">
        <f t="shared" si="160"/>
        <v>2025</v>
      </c>
      <c r="E2585" s="2" t="str">
        <f t="shared" si="161"/>
        <v>2025-42</v>
      </c>
      <c r="F2585" s="2" t="str">
        <f t="shared" si="162"/>
        <v>Week 42</v>
      </c>
      <c r="G2585" s="2" t="str">
        <f t="shared" si="163"/>
        <v>Week 42-2025</v>
      </c>
      <c r="O2585"/>
      <c r="Q2585"/>
    </row>
    <row r="2586" spans="1:17" hidden="1" x14ac:dyDescent="0.2">
      <c r="A2586" s="3">
        <v>45943</v>
      </c>
      <c r="B2586" s="2" t="s">
        <v>28</v>
      </c>
      <c r="C2586" s="2">
        <v>2</v>
      </c>
      <c r="D2586" s="2">
        <f t="shared" si="160"/>
        <v>2025</v>
      </c>
      <c r="E2586" s="2" t="str">
        <f t="shared" si="161"/>
        <v>2025-42</v>
      </c>
      <c r="F2586" s="2" t="str">
        <f t="shared" si="162"/>
        <v>Week 42</v>
      </c>
      <c r="G2586" s="2" t="str">
        <f t="shared" si="163"/>
        <v>Week 42-2025</v>
      </c>
      <c r="O2586"/>
      <c r="Q2586"/>
    </row>
    <row r="2587" spans="1:17" hidden="1" x14ac:dyDescent="0.2">
      <c r="A2587" s="3">
        <v>45943</v>
      </c>
      <c r="B2587" s="2" t="s">
        <v>27</v>
      </c>
      <c r="C2587" s="2">
        <v>2</v>
      </c>
      <c r="D2587" s="2">
        <f t="shared" si="160"/>
        <v>2025</v>
      </c>
      <c r="E2587" s="2" t="str">
        <f t="shared" si="161"/>
        <v>2025-42</v>
      </c>
      <c r="F2587" s="2" t="str">
        <f t="shared" si="162"/>
        <v>Week 42</v>
      </c>
      <c r="G2587" s="2" t="str">
        <f t="shared" si="163"/>
        <v>Week 42-2025</v>
      </c>
      <c r="O2587"/>
      <c r="Q2587"/>
    </row>
    <row r="2588" spans="1:17" hidden="1" x14ac:dyDescent="0.2">
      <c r="A2588" s="3">
        <v>45944</v>
      </c>
      <c r="B2588" s="2" t="s">
        <v>15</v>
      </c>
      <c r="C2588" s="2">
        <v>8</v>
      </c>
      <c r="D2588" s="2">
        <f t="shared" si="160"/>
        <v>2025</v>
      </c>
      <c r="E2588" s="2" t="str">
        <f t="shared" si="161"/>
        <v>2025-42</v>
      </c>
      <c r="F2588" s="2" t="str">
        <f t="shared" si="162"/>
        <v>Week 42</v>
      </c>
      <c r="G2588" s="2" t="str">
        <f t="shared" si="163"/>
        <v>Week 42-2025</v>
      </c>
      <c r="O2588"/>
      <c r="Q2588"/>
    </row>
    <row r="2589" spans="1:17" hidden="1" x14ac:dyDescent="0.2">
      <c r="A2589" s="3">
        <v>45946</v>
      </c>
      <c r="B2589" s="2" t="s">
        <v>5</v>
      </c>
      <c r="C2589" s="2">
        <v>23</v>
      </c>
      <c r="D2589" s="2">
        <f t="shared" si="160"/>
        <v>2025</v>
      </c>
      <c r="E2589" s="2" t="str">
        <f t="shared" si="161"/>
        <v>2025-42</v>
      </c>
      <c r="F2589" s="2" t="str">
        <f t="shared" si="162"/>
        <v>Week 42</v>
      </c>
      <c r="G2589" s="2" t="str">
        <f t="shared" si="163"/>
        <v>Week 42-2025</v>
      </c>
      <c r="O2589"/>
      <c r="Q2589"/>
    </row>
    <row r="2590" spans="1:17" hidden="1" x14ac:dyDescent="0.2">
      <c r="A2590" s="3">
        <v>45946</v>
      </c>
      <c r="B2590" s="2" t="s">
        <v>3</v>
      </c>
      <c r="C2590" s="2">
        <v>16</v>
      </c>
      <c r="D2590" s="2">
        <f t="shared" si="160"/>
        <v>2025</v>
      </c>
      <c r="E2590" s="2" t="str">
        <f t="shared" si="161"/>
        <v>2025-42</v>
      </c>
      <c r="F2590" s="2" t="str">
        <f t="shared" si="162"/>
        <v>Week 42</v>
      </c>
      <c r="G2590" s="2" t="str">
        <f t="shared" si="163"/>
        <v>Week 42-2025</v>
      </c>
      <c r="O2590"/>
      <c r="Q2590"/>
    </row>
    <row r="2591" spans="1:17" hidden="1" x14ac:dyDescent="0.2">
      <c r="A2591" s="3">
        <v>45946</v>
      </c>
      <c r="B2591" s="2" t="s">
        <v>5</v>
      </c>
      <c r="C2591" s="2">
        <v>16</v>
      </c>
      <c r="D2591" s="2">
        <f t="shared" si="160"/>
        <v>2025</v>
      </c>
      <c r="E2591" s="2" t="str">
        <f t="shared" si="161"/>
        <v>2025-42</v>
      </c>
      <c r="F2591" s="2" t="str">
        <f t="shared" si="162"/>
        <v>Week 42</v>
      </c>
      <c r="G2591" s="2" t="str">
        <f t="shared" si="163"/>
        <v>Week 42-2025</v>
      </c>
      <c r="O2591"/>
      <c r="Q2591"/>
    </row>
    <row r="2592" spans="1:17" hidden="1" x14ac:dyDescent="0.2">
      <c r="A2592" s="3">
        <v>45946</v>
      </c>
      <c r="B2592" s="2" t="s">
        <v>5</v>
      </c>
      <c r="C2592" s="2">
        <v>13</v>
      </c>
      <c r="D2592" s="2">
        <f t="shared" si="160"/>
        <v>2025</v>
      </c>
      <c r="E2592" s="2" t="str">
        <f t="shared" si="161"/>
        <v>2025-42</v>
      </c>
      <c r="F2592" s="2" t="str">
        <f t="shared" si="162"/>
        <v>Week 42</v>
      </c>
      <c r="G2592" s="2" t="str">
        <f t="shared" si="163"/>
        <v>Week 42-2025</v>
      </c>
      <c r="O2592"/>
      <c r="Q2592"/>
    </row>
    <row r="2593" spans="1:17" hidden="1" x14ac:dyDescent="0.2">
      <c r="A2593" s="3">
        <v>45946</v>
      </c>
      <c r="B2593" s="2" t="s">
        <v>9</v>
      </c>
      <c r="C2593" s="2">
        <v>6</v>
      </c>
      <c r="D2593" s="2">
        <f t="shared" si="160"/>
        <v>2025</v>
      </c>
      <c r="E2593" s="2" t="str">
        <f t="shared" si="161"/>
        <v>2025-42</v>
      </c>
      <c r="F2593" s="2" t="str">
        <f t="shared" si="162"/>
        <v>Week 42</v>
      </c>
      <c r="G2593" s="2" t="str">
        <f t="shared" si="163"/>
        <v>Week 42-2025</v>
      </c>
      <c r="O2593"/>
      <c r="Q2593"/>
    </row>
    <row r="2594" spans="1:17" hidden="1" x14ac:dyDescent="0.2">
      <c r="A2594" s="3">
        <v>45946</v>
      </c>
      <c r="B2594" s="2" t="s">
        <v>18</v>
      </c>
      <c r="C2594" s="2">
        <v>2</v>
      </c>
      <c r="D2594" s="2">
        <f t="shared" si="160"/>
        <v>2025</v>
      </c>
      <c r="E2594" s="2" t="str">
        <f t="shared" si="161"/>
        <v>2025-42</v>
      </c>
      <c r="F2594" s="2" t="str">
        <f t="shared" si="162"/>
        <v>Week 42</v>
      </c>
      <c r="G2594" s="2" t="str">
        <f t="shared" si="163"/>
        <v>Week 42-2025</v>
      </c>
      <c r="O2594"/>
      <c r="Q2594"/>
    </row>
    <row r="2595" spans="1:17" hidden="1" x14ac:dyDescent="0.2">
      <c r="A2595" s="3">
        <v>45946</v>
      </c>
      <c r="B2595" s="2" t="s">
        <v>8</v>
      </c>
      <c r="C2595" s="2">
        <v>4</v>
      </c>
      <c r="D2595" s="2">
        <f t="shared" si="160"/>
        <v>2025</v>
      </c>
      <c r="E2595" s="2" t="str">
        <f t="shared" si="161"/>
        <v>2025-42</v>
      </c>
      <c r="F2595" s="2" t="str">
        <f t="shared" si="162"/>
        <v>Week 42</v>
      </c>
      <c r="G2595" s="2" t="str">
        <f t="shared" si="163"/>
        <v>Week 42-2025</v>
      </c>
      <c r="O2595"/>
      <c r="Q2595"/>
    </row>
    <row r="2596" spans="1:17" hidden="1" x14ac:dyDescent="0.2">
      <c r="A2596" s="3">
        <v>45946</v>
      </c>
      <c r="B2596" s="2" t="s">
        <v>9</v>
      </c>
      <c r="C2596" s="2">
        <v>2</v>
      </c>
      <c r="D2596" s="2">
        <f t="shared" si="160"/>
        <v>2025</v>
      </c>
      <c r="E2596" s="2" t="str">
        <f t="shared" si="161"/>
        <v>2025-42</v>
      </c>
      <c r="F2596" s="2" t="str">
        <f t="shared" si="162"/>
        <v>Week 42</v>
      </c>
      <c r="G2596" s="2" t="str">
        <f t="shared" si="163"/>
        <v>Week 42-2025</v>
      </c>
      <c r="O2596"/>
      <c r="Q2596"/>
    </row>
    <row r="2597" spans="1:17" hidden="1" x14ac:dyDescent="0.2">
      <c r="A2597" s="3">
        <v>45946</v>
      </c>
      <c r="B2597" s="2" t="s">
        <v>9</v>
      </c>
      <c r="C2597" s="2">
        <v>2</v>
      </c>
      <c r="D2597" s="2">
        <f t="shared" si="160"/>
        <v>2025</v>
      </c>
      <c r="E2597" s="2" t="str">
        <f t="shared" si="161"/>
        <v>2025-42</v>
      </c>
      <c r="F2597" s="2" t="str">
        <f t="shared" si="162"/>
        <v>Week 42</v>
      </c>
      <c r="G2597" s="2" t="str">
        <f t="shared" si="163"/>
        <v>Week 42-2025</v>
      </c>
      <c r="O2597"/>
      <c r="Q2597"/>
    </row>
    <row r="2598" spans="1:17" hidden="1" x14ac:dyDescent="0.2">
      <c r="A2598" s="3">
        <v>45946</v>
      </c>
      <c r="B2598" s="2" t="s">
        <v>36</v>
      </c>
      <c r="C2598" s="2">
        <v>4</v>
      </c>
      <c r="D2598" s="2">
        <f t="shared" si="160"/>
        <v>2025</v>
      </c>
      <c r="E2598" s="2" t="str">
        <f t="shared" si="161"/>
        <v>2025-42</v>
      </c>
      <c r="F2598" s="2" t="str">
        <f t="shared" si="162"/>
        <v>Week 42</v>
      </c>
      <c r="G2598" s="2" t="str">
        <f t="shared" si="163"/>
        <v>Week 42-2025</v>
      </c>
      <c r="O2598"/>
      <c r="Q2598"/>
    </row>
    <row r="2599" spans="1:17" hidden="1" x14ac:dyDescent="0.2">
      <c r="A2599" s="3">
        <v>45946</v>
      </c>
      <c r="B2599" s="2" t="s">
        <v>27</v>
      </c>
      <c r="C2599" s="2">
        <v>3</v>
      </c>
      <c r="D2599" s="2">
        <f t="shared" si="160"/>
        <v>2025</v>
      </c>
      <c r="E2599" s="2" t="str">
        <f t="shared" si="161"/>
        <v>2025-42</v>
      </c>
      <c r="F2599" s="2" t="str">
        <f t="shared" si="162"/>
        <v>Week 42</v>
      </c>
      <c r="G2599" s="2" t="str">
        <f t="shared" si="163"/>
        <v>Week 42-2025</v>
      </c>
      <c r="O2599"/>
      <c r="Q2599"/>
    </row>
    <row r="2600" spans="1:17" hidden="1" x14ac:dyDescent="0.2">
      <c r="A2600" s="3">
        <v>45946</v>
      </c>
      <c r="B2600" s="2" t="s">
        <v>30</v>
      </c>
      <c r="C2600" s="2">
        <v>2</v>
      </c>
      <c r="D2600" s="2">
        <f t="shared" si="160"/>
        <v>2025</v>
      </c>
      <c r="E2600" s="2" t="str">
        <f t="shared" si="161"/>
        <v>2025-42</v>
      </c>
      <c r="F2600" s="2" t="str">
        <f t="shared" si="162"/>
        <v>Week 42</v>
      </c>
      <c r="G2600" s="2" t="str">
        <f t="shared" si="163"/>
        <v>Week 42-2025</v>
      </c>
      <c r="O2600"/>
      <c r="Q2600"/>
    </row>
    <row r="2601" spans="1:17" hidden="1" x14ac:dyDescent="0.2">
      <c r="A2601" s="3">
        <v>45946</v>
      </c>
      <c r="B2601" s="2" t="s">
        <v>3</v>
      </c>
      <c r="C2601" s="2">
        <v>1</v>
      </c>
      <c r="D2601" s="2">
        <f t="shared" si="160"/>
        <v>2025</v>
      </c>
      <c r="E2601" s="2" t="str">
        <f t="shared" si="161"/>
        <v>2025-42</v>
      </c>
      <c r="F2601" s="2" t="str">
        <f t="shared" si="162"/>
        <v>Week 42</v>
      </c>
      <c r="G2601" s="2" t="str">
        <f t="shared" si="163"/>
        <v>Week 42-2025</v>
      </c>
      <c r="O2601"/>
      <c r="Q2601"/>
    </row>
    <row r="2602" spans="1:17" hidden="1" x14ac:dyDescent="0.2">
      <c r="A2602" s="3">
        <v>45946</v>
      </c>
      <c r="B2602" s="2" t="s">
        <v>36</v>
      </c>
      <c r="C2602" s="2">
        <v>2</v>
      </c>
      <c r="D2602" s="2">
        <f t="shared" si="160"/>
        <v>2025</v>
      </c>
      <c r="E2602" s="2" t="str">
        <f t="shared" si="161"/>
        <v>2025-42</v>
      </c>
      <c r="F2602" s="2" t="str">
        <f t="shared" si="162"/>
        <v>Week 42</v>
      </c>
      <c r="G2602" s="2" t="str">
        <f t="shared" si="163"/>
        <v>Week 42-2025</v>
      </c>
      <c r="O2602"/>
      <c r="Q2602"/>
    </row>
    <row r="2603" spans="1:17" hidden="1" x14ac:dyDescent="0.2">
      <c r="A2603" s="3">
        <v>45946</v>
      </c>
      <c r="B2603" s="2" t="s">
        <v>36</v>
      </c>
      <c r="C2603" s="2">
        <v>2</v>
      </c>
      <c r="D2603" s="2">
        <f t="shared" si="160"/>
        <v>2025</v>
      </c>
      <c r="E2603" s="2" t="str">
        <f t="shared" si="161"/>
        <v>2025-42</v>
      </c>
      <c r="F2603" s="2" t="str">
        <f t="shared" si="162"/>
        <v>Week 42</v>
      </c>
      <c r="G2603" s="2" t="str">
        <f t="shared" si="163"/>
        <v>Week 42-2025</v>
      </c>
      <c r="O2603"/>
      <c r="Q2603"/>
    </row>
    <row r="2604" spans="1:17" hidden="1" x14ac:dyDescent="0.2">
      <c r="A2604" s="3">
        <v>45946</v>
      </c>
      <c r="B2604" s="2" t="s">
        <v>8</v>
      </c>
      <c r="C2604" s="2">
        <v>1</v>
      </c>
      <c r="D2604" s="2">
        <f t="shared" si="160"/>
        <v>2025</v>
      </c>
      <c r="E2604" s="2" t="str">
        <f t="shared" si="161"/>
        <v>2025-42</v>
      </c>
      <c r="F2604" s="2" t="str">
        <f t="shared" si="162"/>
        <v>Week 42</v>
      </c>
      <c r="G2604" s="2" t="str">
        <f t="shared" si="163"/>
        <v>Week 42-2025</v>
      </c>
      <c r="O2604"/>
      <c r="Q2604"/>
    </row>
    <row r="2605" spans="1:17" hidden="1" x14ac:dyDescent="0.2">
      <c r="A2605" s="3">
        <v>45947</v>
      </c>
      <c r="B2605" s="2" t="s">
        <v>7</v>
      </c>
      <c r="C2605" s="2">
        <v>16</v>
      </c>
      <c r="D2605" s="2">
        <f t="shared" si="160"/>
        <v>2025</v>
      </c>
      <c r="E2605" s="2" t="str">
        <f t="shared" si="161"/>
        <v>2025-42</v>
      </c>
      <c r="F2605" s="2" t="str">
        <f t="shared" si="162"/>
        <v>Week 42</v>
      </c>
      <c r="G2605" s="2" t="str">
        <f t="shared" si="163"/>
        <v>Week 42-2025</v>
      </c>
      <c r="O2605"/>
      <c r="Q2605"/>
    </row>
    <row r="2606" spans="1:17" hidden="1" x14ac:dyDescent="0.2">
      <c r="A2606" s="3">
        <v>45947</v>
      </c>
      <c r="B2606" s="2" t="s">
        <v>5</v>
      </c>
      <c r="C2606" s="2">
        <v>8</v>
      </c>
      <c r="D2606" s="2">
        <f t="shared" si="160"/>
        <v>2025</v>
      </c>
      <c r="E2606" s="2" t="str">
        <f t="shared" si="161"/>
        <v>2025-42</v>
      </c>
      <c r="F2606" s="2" t="str">
        <f t="shared" si="162"/>
        <v>Week 42</v>
      </c>
      <c r="G2606" s="2" t="str">
        <f t="shared" si="163"/>
        <v>Week 42-2025</v>
      </c>
      <c r="O2606"/>
      <c r="Q2606"/>
    </row>
    <row r="2607" spans="1:17" hidden="1" x14ac:dyDescent="0.2">
      <c r="A2607" s="3">
        <v>45949</v>
      </c>
      <c r="B2607" s="2" t="s">
        <v>17</v>
      </c>
      <c r="C2607" s="2">
        <v>8</v>
      </c>
      <c r="D2607" s="2">
        <f t="shared" si="160"/>
        <v>2025</v>
      </c>
      <c r="E2607" s="2" t="str">
        <f t="shared" si="161"/>
        <v>2025-42</v>
      </c>
      <c r="F2607" s="2" t="str">
        <f t="shared" si="162"/>
        <v>Week 43</v>
      </c>
      <c r="G2607" s="2" t="str">
        <f t="shared" si="163"/>
        <v>Week 43-2025</v>
      </c>
      <c r="O2607"/>
      <c r="Q2607"/>
    </row>
    <row r="2608" spans="1:17" hidden="1" x14ac:dyDescent="0.2">
      <c r="A2608" s="3">
        <v>45949</v>
      </c>
      <c r="B2608" s="2" t="s">
        <v>3</v>
      </c>
      <c r="C2608" s="2">
        <v>4</v>
      </c>
      <c r="D2608" s="2">
        <f t="shared" si="160"/>
        <v>2025</v>
      </c>
      <c r="E2608" s="2" t="str">
        <f t="shared" si="161"/>
        <v>2025-42</v>
      </c>
      <c r="F2608" s="2" t="str">
        <f t="shared" si="162"/>
        <v>Week 43</v>
      </c>
      <c r="G2608" s="2" t="str">
        <f t="shared" si="163"/>
        <v>Week 43-2025</v>
      </c>
      <c r="O2608"/>
      <c r="Q2608"/>
    </row>
    <row r="2609" spans="1:17" hidden="1" x14ac:dyDescent="0.2">
      <c r="A2609" s="3">
        <v>45949</v>
      </c>
      <c r="B2609" s="2" t="s">
        <v>18</v>
      </c>
      <c r="C2609" s="2">
        <v>2</v>
      </c>
      <c r="D2609" s="2">
        <f t="shared" si="160"/>
        <v>2025</v>
      </c>
      <c r="E2609" s="2" t="str">
        <f t="shared" si="161"/>
        <v>2025-42</v>
      </c>
      <c r="F2609" s="2" t="str">
        <f t="shared" si="162"/>
        <v>Week 43</v>
      </c>
      <c r="G2609" s="2" t="str">
        <f t="shared" si="163"/>
        <v>Week 43-2025</v>
      </c>
      <c r="O2609"/>
      <c r="Q2609"/>
    </row>
    <row r="2610" spans="1:17" hidden="1" x14ac:dyDescent="0.2">
      <c r="A2610" s="3">
        <v>45952</v>
      </c>
      <c r="B2610" s="2" t="s">
        <v>9</v>
      </c>
      <c r="C2610" s="2">
        <v>8</v>
      </c>
      <c r="D2610" s="2">
        <f t="shared" si="160"/>
        <v>2025</v>
      </c>
      <c r="E2610" s="2" t="str">
        <f t="shared" si="161"/>
        <v>2025-43</v>
      </c>
      <c r="F2610" s="2" t="str">
        <f t="shared" si="162"/>
        <v>Week 43</v>
      </c>
      <c r="G2610" s="2" t="str">
        <f t="shared" si="163"/>
        <v>Week 43-2025</v>
      </c>
      <c r="O2610"/>
      <c r="Q2610"/>
    </row>
    <row r="2611" spans="1:17" hidden="1" x14ac:dyDescent="0.2">
      <c r="A2611" s="3">
        <v>45952</v>
      </c>
      <c r="B2611" s="2" t="s">
        <v>8</v>
      </c>
      <c r="C2611" s="2">
        <v>18</v>
      </c>
      <c r="D2611" s="2">
        <f t="shared" si="160"/>
        <v>2025</v>
      </c>
      <c r="E2611" s="2" t="str">
        <f t="shared" si="161"/>
        <v>2025-43</v>
      </c>
      <c r="F2611" s="2" t="str">
        <f t="shared" si="162"/>
        <v>Week 43</v>
      </c>
      <c r="G2611" s="2" t="str">
        <f t="shared" si="163"/>
        <v>Week 43-2025</v>
      </c>
      <c r="O2611"/>
      <c r="Q2611"/>
    </row>
    <row r="2612" spans="1:17" hidden="1" x14ac:dyDescent="0.2">
      <c r="A2612" s="3">
        <v>45952</v>
      </c>
      <c r="B2612" s="2" t="s">
        <v>8</v>
      </c>
      <c r="C2612" s="2">
        <v>16</v>
      </c>
      <c r="D2612" s="2">
        <f t="shared" si="160"/>
        <v>2025</v>
      </c>
      <c r="E2612" s="2" t="str">
        <f t="shared" si="161"/>
        <v>2025-43</v>
      </c>
      <c r="F2612" s="2" t="str">
        <f t="shared" si="162"/>
        <v>Week 43</v>
      </c>
      <c r="G2612" s="2" t="str">
        <f t="shared" si="163"/>
        <v>Week 43-2025</v>
      </c>
      <c r="O2612"/>
      <c r="Q2612"/>
    </row>
    <row r="2613" spans="1:17" hidden="1" x14ac:dyDescent="0.2">
      <c r="A2613" s="3">
        <v>45952</v>
      </c>
      <c r="B2613" s="2" t="s">
        <v>5</v>
      </c>
      <c r="C2613" s="2">
        <v>8</v>
      </c>
      <c r="D2613" s="2">
        <f t="shared" si="160"/>
        <v>2025</v>
      </c>
      <c r="E2613" s="2" t="str">
        <f t="shared" si="161"/>
        <v>2025-43</v>
      </c>
      <c r="F2613" s="2" t="str">
        <f t="shared" si="162"/>
        <v>Week 43</v>
      </c>
      <c r="G2613" s="2" t="str">
        <f t="shared" si="163"/>
        <v>Week 43-2025</v>
      </c>
      <c r="O2613"/>
      <c r="Q2613"/>
    </row>
    <row r="2614" spans="1:17" hidden="1" x14ac:dyDescent="0.2">
      <c r="A2614" s="3">
        <v>45952</v>
      </c>
      <c r="B2614" s="2" t="s">
        <v>45</v>
      </c>
      <c r="C2614" s="2">
        <v>8</v>
      </c>
      <c r="D2614" s="2">
        <f t="shared" si="160"/>
        <v>2025</v>
      </c>
      <c r="E2614" s="2" t="str">
        <f t="shared" si="161"/>
        <v>2025-43</v>
      </c>
      <c r="F2614" s="2" t="str">
        <f t="shared" si="162"/>
        <v>Week 43</v>
      </c>
      <c r="G2614" s="2" t="str">
        <f t="shared" si="163"/>
        <v>Week 43-2025</v>
      </c>
      <c r="O2614"/>
      <c r="Q2614"/>
    </row>
    <row r="2615" spans="1:17" hidden="1" x14ac:dyDescent="0.2">
      <c r="A2615" s="3">
        <v>45952</v>
      </c>
      <c r="B2615" s="2" t="s">
        <v>45</v>
      </c>
      <c r="C2615" s="2">
        <v>8</v>
      </c>
      <c r="D2615" s="2">
        <f t="shared" si="160"/>
        <v>2025</v>
      </c>
      <c r="E2615" s="2" t="str">
        <f t="shared" si="161"/>
        <v>2025-43</v>
      </c>
      <c r="F2615" s="2" t="str">
        <f t="shared" si="162"/>
        <v>Week 43</v>
      </c>
      <c r="G2615" s="2" t="str">
        <f t="shared" si="163"/>
        <v>Week 43-2025</v>
      </c>
      <c r="O2615"/>
      <c r="Q2615"/>
    </row>
    <row r="2616" spans="1:17" hidden="1" x14ac:dyDescent="0.2">
      <c r="A2616" s="3">
        <v>45952</v>
      </c>
      <c r="B2616" s="2" t="s">
        <v>5</v>
      </c>
      <c r="C2616" s="2">
        <v>4</v>
      </c>
      <c r="D2616" s="2">
        <f t="shared" si="160"/>
        <v>2025</v>
      </c>
      <c r="E2616" s="2" t="str">
        <f t="shared" si="161"/>
        <v>2025-43</v>
      </c>
      <c r="F2616" s="2" t="str">
        <f t="shared" si="162"/>
        <v>Week 43</v>
      </c>
      <c r="G2616" s="2" t="str">
        <f t="shared" si="163"/>
        <v>Week 43-2025</v>
      </c>
      <c r="O2616"/>
      <c r="Q2616"/>
    </row>
    <row r="2617" spans="1:17" hidden="1" x14ac:dyDescent="0.2">
      <c r="A2617" s="3">
        <v>45952</v>
      </c>
      <c r="B2617" s="2" t="s">
        <v>42</v>
      </c>
      <c r="C2617" s="2">
        <v>6</v>
      </c>
      <c r="D2617" s="2">
        <f t="shared" si="160"/>
        <v>2025</v>
      </c>
      <c r="E2617" s="2" t="str">
        <f t="shared" si="161"/>
        <v>2025-43</v>
      </c>
      <c r="F2617" s="2" t="str">
        <f t="shared" si="162"/>
        <v>Week 43</v>
      </c>
      <c r="G2617" s="2" t="str">
        <f t="shared" si="163"/>
        <v>Week 43-2025</v>
      </c>
      <c r="O2617"/>
      <c r="Q2617"/>
    </row>
    <row r="2618" spans="1:17" hidden="1" x14ac:dyDescent="0.2">
      <c r="A2618" s="3">
        <v>45952</v>
      </c>
      <c r="B2618" s="2" t="s">
        <v>36</v>
      </c>
      <c r="C2618" s="2">
        <v>6</v>
      </c>
      <c r="D2618" s="2">
        <f t="shared" si="160"/>
        <v>2025</v>
      </c>
      <c r="E2618" s="2" t="str">
        <f t="shared" si="161"/>
        <v>2025-43</v>
      </c>
      <c r="F2618" s="2" t="str">
        <f t="shared" si="162"/>
        <v>Week 43</v>
      </c>
      <c r="G2618" s="2" t="str">
        <f t="shared" si="163"/>
        <v>Week 43-2025</v>
      </c>
      <c r="O2618"/>
      <c r="Q2618"/>
    </row>
    <row r="2619" spans="1:17" hidden="1" x14ac:dyDescent="0.2">
      <c r="A2619" s="3">
        <v>45952</v>
      </c>
      <c r="B2619" s="2" t="s">
        <v>27</v>
      </c>
      <c r="C2619" s="2">
        <v>6</v>
      </c>
      <c r="D2619" s="2">
        <f t="shared" si="160"/>
        <v>2025</v>
      </c>
      <c r="E2619" s="2" t="str">
        <f t="shared" si="161"/>
        <v>2025-43</v>
      </c>
      <c r="F2619" s="2" t="str">
        <f t="shared" si="162"/>
        <v>Week 43</v>
      </c>
      <c r="G2619" s="2" t="str">
        <f t="shared" si="163"/>
        <v>Week 43-2025</v>
      </c>
      <c r="O2619"/>
      <c r="Q2619"/>
    </row>
    <row r="2620" spans="1:17" hidden="1" x14ac:dyDescent="0.2">
      <c r="A2620" s="3">
        <v>45952</v>
      </c>
      <c r="B2620" s="2" t="s">
        <v>45</v>
      </c>
      <c r="C2620" s="2">
        <v>4</v>
      </c>
      <c r="D2620" s="2">
        <f t="shared" si="160"/>
        <v>2025</v>
      </c>
      <c r="E2620" s="2" t="str">
        <f t="shared" si="161"/>
        <v>2025-43</v>
      </c>
      <c r="F2620" s="2" t="str">
        <f t="shared" si="162"/>
        <v>Week 43</v>
      </c>
      <c r="G2620" s="2" t="str">
        <f t="shared" si="163"/>
        <v>Week 43-2025</v>
      </c>
      <c r="O2620"/>
      <c r="Q2620"/>
    </row>
    <row r="2621" spans="1:17" hidden="1" x14ac:dyDescent="0.2">
      <c r="A2621" s="3">
        <v>45952</v>
      </c>
      <c r="B2621" s="2" t="s">
        <v>42</v>
      </c>
      <c r="C2621" s="2">
        <v>4</v>
      </c>
      <c r="D2621" s="2">
        <f t="shared" si="160"/>
        <v>2025</v>
      </c>
      <c r="E2621" s="2" t="str">
        <f t="shared" si="161"/>
        <v>2025-43</v>
      </c>
      <c r="F2621" s="2" t="str">
        <f t="shared" si="162"/>
        <v>Week 43</v>
      </c>
      <c r="G2621" s="2" t="str">
        <f t="shared" si="163"/>
        <v>Week 43-2025</v>
      </c>
      <c r="O2621"/>
      <c r="Q2621"/>
    </row>
    <row r="2622" spans="1:17" hidden="1" x14ac:dyDescent="0.2">
      <c r="A2622" s="3">
        <v>45952</v>
      </c>
      <c r="B2622" s="2" t="s">
        <v>17</v>
      </c>
      <c r="C2622" s="2">
        <v>2</v>
      </c>
      <c r="D2622" s="2">
        <f t="shared" si="160"/>
        <v>2025</v>
      </c>
      <c r="E2622" s="2" t="str">
        <f t="shared" si="161"/>
        <v>2025-43</v>
      </c>
      <c r="F2622" s="2" t="str">
        <f t="shared" si="162"/>
        <v>Week 43</v>
      </c>
      <c r="G2622" s="2" t="str">
        <f t="shared" si="163"/>
        <v>Week 43-2025</v>
      </c>
      <c r="O2622"/>
      <c r="Q2622"/>
    </row>
    <row r="2623" spans="1:17" hidden="1" x14ac:dyDescent="0.2">
      <c r="A2623" s="3">
        <v>45952</v>
      </c>
      <c r="B2623" s="2" t="s">
        <v>17</v>
      </c>
      <c r="C2623" s="2">
        <v>2</v>
      </c>
      <c r="D2623" s="2">
        <f t="shared" si="160"/>
        <v>2025</v>
      </c>
      <c r="E2623" s="2" t="str">
        <f t="shared" si="161"/>
        <v>2025-43</v>
      </c>
      <c r="F2623" s="2" t="str">
        <f t="shared" si="162"/>
        <v>Week 43</v>
      </c>
      <c r="G2623" s="2" t="str">
        <f t="shared" si="163"/>
        <v>Week 43-2025</v>
      </c>
      <c r="O2623"/>
      <c r="Q2623"/>
    </row>
    <row r="2624" spans="1:17" hidden="1" x14ac:dyDescent="0.2">
      <c r="A2624" s="3">
        <v>45952</v>
      </c>
      <c r="B2624" s="2" t="s">
        <v>17</v>
      </c>
      <c r="C2624" s="2">
        <v>2</v>
      </c>
      <c r="D2624" s="2">
        <f t="shared" si="160"/>
        <v>2025</v>
      </c>
      <c r="E2624" s="2" t="str">
        <f t="shared" si="161"/>
        <v>2025-43</v>
      </c>
      <c r="F2624" s="2" t="str">
        <f t="shared" si="162"/>
        <v>Week 43</v>
      </c>
      <c r="G2624" s="2" t="str">
        <f t="shared" si="163"/>
        <v>Week 43-2025</v>
      </c>
      <c r="O2624"/>
      <c r="Q2624"/>
    </row>
    <row r="2625" spans="1:17" hidden="1" x14ac:dyDescent="0.2">
      <c r="A2625" s="3">
        <v>45952</v>
      </c>
      <c r="B2625" s="2" t="s">
        <v>36</v>
      </c>
      <c r="C2625" s="2">
        <v>2</v>
      </c>
      <c r="D2625" s="2">
        <f t="shared" si="160"/>
        <v>2025</v>
      </c>
      <c r="E2625" s="2" t="str">
        <f t="shared" si="161"/>
        <v>2025-43</v>
      </c>
      <c r="F2625" s="2" t="str">
        <f t="shared" si="162"/>
        <v>Week 43</v>
      </c>
      <c r="G2625" s="2" t="str">
        <f t="shared" si="163"/>
        <v>Week 43-2025</v>
      </c>
      <c r="O2625"/>
      <c r="Q2625"/>
    </row>
    <row r="2626" spans="1:17" hidden="1" x14ac:dyDescent="0.2">
      <c r="A2626" s="3">
        <v>45952</v>
      </c>
      <c r="B2626" s="2" t="s">
        <v>35</v>
      </c>
      <c r="C2626" s="2">
        <v>1</v>
      </c>
      <c r="D2626" s="2">
        <f t="shared" ref="D2626:D2689" si="164">YEAR(A2626)</f>
        <v>2025</v>
      </c>
      <c r="E2626" s="2" t="str">
        <f t="shared" ref="E2626:E2689" si="165">YEAR(A2626)&amp;"-"&amp;_xlfn.ISOWEEKNUM(A2626)</f>
        <v>2025-43</v>
      </c>
      <c r="F2626" s="2" t="str">
        <f t="shared" ref="F2626:F2689" si="166">_xlfn.CONCAT("Week "&amp;WEEKNUM(A2626))</f>
        <v>Week 43</v>
      </c>
      <c r="G2626" s="2" t="str">
        <f t="shared" ref="G2626:G2689" si="167">_xlfn.CONCAT(F2626,"-",D2626)</f>
        <v>Week 43-2025</v>
      </c>
      <c r="O2626"/>
      <c r="Q2626"/>
    </row>
    <row r="2627" spans="1:17" hidden="1" x14ac:dyDescent="0.2">
      <c r="A2627" s="3">
        <v>45952</v>
      </c>
      <c r="B2627" s="2" t="s">
        <v>45</v>
      </c>
      <c r="C2627" s="2">
        <v>1</v>
      </c>
      <c r="D2627" s="2">
        <f t="shared" si="164"/>
        <v>2025</v>
      </c>
      <c r="E2627" s="2" t="str">
        <f t="shared" si="165"/>
        <v>2025-43</v>
      </c>
      <c r="F2627" s="2" t="str">
        <f t="shared" si="166"/>
        <v>Week 43</v>
      </c>
      <c r="G2627" s="2" t="str">
        <f t="shared" si="167"/>
        <v>Week 43-2025</v>
      </c>
      <c r="O2627"/>
      <c r="Q2627"/>
    </row>
    <row r="2628" spans="1:17" hidden="1" x14ac:dyDescent="0.2">
      <c r="A2628" s="3">
        <v>45953</v>
      </c>
      <c r="B2628" s="2" t="s">
        <v>6</v>
      </c>
      <c r="C2628" s="2">
        <v>20</v>
      </c>
      <c r="D2628" s="2">
        <f t="shared" si="164"/>
        <v>2025</v>
      </c>
      <c r="E2628" s="2" t="str">
        <f t="shared" si="165"/>
        <v>2025-43</v>
      </c>
      <c r="F2628" s="2" t="str">
        <f t="shared" si="166"/>
        <v>Week 43</v>
      </c>
      <c r="G2628" s="2" t="str">
        <f t="shared" si="167"/>
        <v>Week 43-2025</v>
      </c>
      <c r="O2628"/>
      <c r="Q2628"/>
    </row>
    <row r="2629" spans="1:17" hidden="1" x14ac:dyDescent="0.2">
      <c r="A2629" s="3">
        <v>45953</v>
      </c>
      <c r="B2629" s="2" t="s">
        <v>6</v>
      </c>
      <c r="C2629" s="2">
        <v>18</v>
      </c>
      <c r="D2629" s="2">
        <f t="shared" si="164"/>
        <v>2025</v>
      </c>
      <c r="E2629" s="2" t="str">
        <f t="shared" si="165"/>
        <v>2025-43</v>
      </c>
      <c r="F2629" s="2" t="str">
        <f t="shared" si="166"/>
        <v>Week 43</v>
      </c>
      <c r="G2629" s="2" t="str">
        <f t="shared" si="167"/>
        <v>Week 43-2025</v>
      </c>
      <c r="O2629"/>
      <c r="Q2629"/>
    </row>
    <row r="2630" spans="1:17" hidden="1" x14ac:dyDescent="0.2">
      <c r="A2630" s="3">
        <v>45953</v>
      </c>
      <c r="B2630" s="2" t="s">
        <v>34</v>
      </c>
      <c r="C2630" s="2">
        <v>24</v>
      </c>
      <c r="D2630" s="2">
        <f t="shared" si="164"/>
        <v>2025</v>
      </c>
      <c r="E2630" s="2" t="str">
        <f t="shared" si="165"/>
        <v>2025-43</v>
      </c>
      <c r="F2630" s="2" t="str">
        <f t="shared" si="166"/>
        <v>Week 43</v>
      </c>
      <c r="G2630" s="2" t="str">
        <f t="shared" si="167"/>
        <v>Week 43-2025</v>
      </c>
      <c r="O2630"/>
      <c r="Q2630"/>
    </row>
    <row r="2631" spans="1:17" hidden="1" x14ac:dyDescent="0.2">
      <c r="A2631" s="3">
        <v>45953</v>
      </c>
      <c r="B2631" s="2" t="s">
        <v>35</v>
      </c>
      <c r="C2631" s="2">
        <v>28</v>
      </c>
      <c r="D2631" s="2">
        <f t="shared" si="164"/>
        <v>2025</v>
      </c>
      <c r="E2631" s="2" t="str">
        <f t="shared" si="165"/>
        <v>2025-43</v>
      </c>
      <c r="F2631" s="2" t="str">
        <f t="shared" si="166"/>
        <v>Week 43</v>
      </c>
      <c r="G2631" s="2" t="str">
        <f t="shared" si="167"/>
        <v>Week 43-2025</v>
      </c>
      <c r="O2631"/>
      <c r="Q2631"/>
    </row>
    <row r="2632" spans="1:17" hidden="1" x14ac:dyDescent="0.2">
      <c r="A2632" s="3">
        <v>45953</v>
      </c>
      <c r="B2632" s="2" t="s">
        <v>3</v>
      </c>
      <c r="C2632" s="2">
        <v>14</v>
      </c>
      <c r="D2632" s="2">
        <f t="shared" si="164"/>
        <v>2025</v>
      </c>
      <c r="E2632" s="2" t="str">
        <f t="shared" si="165"/>
        <v>2025-43</v>
      </c>
      <c r="F2632" s="2" t="str">
        <f t="shared" si="166"/>
        <v>Week 43</v>
      </c>
      <c r="G2632" s="2" t="str">
        <f t="shared" si="167"/>
        <v>Week 43-2025</v>
      </c>
      <c r="O2632"/>
      <c r="Q2632"/>
    </row>
    <row r="2633" spans="1:17" hidden="1" x14ac:dyDescent="0.2">
      <c r="A2633" s="3">
        <v>45953</v>
      </c>
      <c r="B2633" s="2" t="s">
        <v>21</v>
      </c>
      <c r="C2633" s="2">
        <v>6</v>
      </c>
      <c r="D2633" s="2">
        <f t="shared" si="164"/>
        <v>2025</v>
      </c>
      <c r="E2633" s="2" t="str">
        <f t="shared" si="165"/>
        <v>2025-43</v>
      </c>
      <c r="F2633" s="2" t="str">
        <f t="shared" si="166"/>
        <v>Week 43</v>
      </c>
      <c r="G2633" s="2" t="str">
        <f t="shared" si="167"/>
        <v>Week 43-2025</v>
      </c>
      <c r="O2633"/>
      <c r="Q2633"/>
    </row>
    <row r="2634" spans="1:17" hidden="1" x14ac:dyDescent="0.2">
      <c r="A2634" s="3">
        <v>45953</v>
      </c>
      <c r="B2634" s="2" t="s">
        <v>9</v>
      </c>
      <c r="C2634" s="2">
        <v>10</v>
      </c>
      <c r="D2634" s="2">
        <f t="shared" si="164"/>
        <v>2025</v>
      </c>
      <c r="E2634" s="2" t="str">
        <f t="shared" si="165"/>
        <v>2025-43</v>
      </c>
      <c r="F2634" s="2" t="str">
        <f t="shared" si="166"/>
        <v>Week 43</v>
      </c>
      <c r="G2634" s="2" t="str">
        <f t="shared" si="167"/>
        <v>Week 43-2025</v>
      </c>
      <c r="O2634"/>
      <c r="Q2634"/>
    </row>
    <row r="2635" spans="1:17" hidden="1" x14ac:dyDescent="0.2">
      <c r="A2635" s="3">
        <v>45953</v>
      </c>
      <c r="B2635" s="2" t="s">
        <v>37</v>
      </c>
      <c r="C2635" s="2">
        <v>10</v>
      </c>
      <c r="D2635" s="2">
        <f t="shared" si="164"/>
        <v>2025</v>
      </c>
      <c r="E2635" s="2" t="str">
        <f t="shared" si="165"/>
        <v>2025-43</v>
      </c>
      <c r="F2635" s="2" t="str">
        <f t="shared" si="166"/>
        <v>Week 43</v>
      </c>
      <c r="G2635" s="2" t="str">
        <f t="shared" si="167"/>
        <v>Week 43-2025</v>
      </c>
      <c r="O2635"/>
      <c r="Q2635"/>
    </row>
    <row r="2636" spans="1:17" hidden="1" x14ac:dyDescent="0.2">
      <c r="A2636" s="3">
        <v>45953</v>
      </c>
      <c r="B2636" s="2" t="s">
        <v>42</v>
      </c>
      <c r="C2636" s="2">
        <v>14</v>
      </c>
      <c r="D2636" s="2">
        <f t="shared" si="164"/>
        <v>2025</v>
      </c>
      <c r="E2636" s="2" t="str">
        <f t="shared" si="165"/>
        <v>2025-43</v>
      </c>
      <c r="F2636" s="2" t="str">
        <f t="shared" si="166"/>
        <v>Week 43</v>
      </c>
      <c r="G2636" s="2" t="str">
        <f t="shared" si="167"/>
        <v>Week 43-2025</v>
      </c>
      <c r="O2636"/>
      <c r="Q2636"/>
    </row>
    <row r="2637" spans="1:17" hidden="1" x14ac:dyDescent="0.2">
      <c r="A2637" s="3">
        <v>45953</v>
      </c>
      <c r="B2637" s="2" t="s">
        <v>14</v>
      </c>
      <c r="C2637" s="2">
        <v>8</v>
      </c>
      <c r="D2637" s="2">
        <f t="shared" si="164"/>
        <v>2025</v>
      </c>
      <c r="E2637" s="2" t="str">
        <f t="shared" si="165"/>
        <v>2025-43</v>
      </c>
      <c r="F2637" s="2" t="str">
        <f t="shared" si="166"/>
        <v>Week 43</v>
      </c>
      <c r="G2637" s="2" t="str">
        <f t="shared" si="167"/>
        <v>Week 43-2025</v>
      </c>
      <c r="O2637"/>
      <c r="Q2637"/>
    </row>
    <row r="2638" spans="1:17" hidden="1" x14ac:dyDescent="0.2">
      <c r="A2638" s="3">
        <v>45953</v>
      </c>
      <c r="B2638" s="2" t="s">
        <v>18</v>
      </c>
      <c r="C2638" s="2">
        <v>3</v>
      </c>
      <c r="D2638" s="2">
        <f t="shared" si="164"/>
        <v>2025</v>
      </c>
      <c r="E2638" s="2" t="str">
        <f t="shared" si="165"/>
        <v>2025-43</v>
      </c>
      <c r="F2638" s="2" t="str">
        <f t="shared" si="166"/>
        <v>Week 43</v>
      </c>
      <c r="G2638" s="2" t="str">
        <f t="shared" si="167"/>
        <v>Week 43-2025</v>
      </c>
      <c r="O2638"/>
      <c r="Q2638"/>
    </row>
    <row r="2639" spans="1:17" hidden="1" x14ac:dyDescent="0.2">
      <c r="A2639" s="3">
        <v>45953</v>
      </c>
      <c r="B2639" s="2" t="s">
        <v>9</v>
      </c>
      <c r="C2639" s="2">
        <v>4</v>
      </c>
      <c r="D2639" s="2">
        <f t="shared" si="164"/>
        <v>2025</v>
      </c>
      <c r="E2639" s="2" t="str">
        <f t="shared" si="165"/>
        <v>2025-43</v>
      </c>
      <c r="F2639" s="2" t="str">
        <f t="shared" si="166"/>
        <v>Week 43</v>
      </c>
      <c r="G2639" s="2" t="str">
        <f t="shared" si="167"/>
        <v>Week 43-2025</v>
      </c>
      <c r="O2639"/>
      <c r="Q2639"/>
    </row>
    <row r="2640" spans="1:17" hidden="1" x14ac:dyDescent="0.2">
      <c r="A2640" s="3">
        <v>45953</v>
      </c>
      <c r="B2640" s="2" t="s">
        <v>13</v>
      </c>
      <c r="C2640" s="2">
        <v>4</v>
      </c>
      <c r="D2640" s="2">
        <f t="shared" si="164"/>
        <v>2025</v>
      </c>
      <c r="E2640" s="2" t="str">
        <f t="shared" si="165"/>
        <v>2025-43</v>
      </c>
      <c r="F2640" s="2" t="str">
        <f t="shared" si="166"/>
        <v>Week 43</v>
      </c>
      <c r="G2640" s="2" t="str">
        <f t="shared" si="167"/>
        <v>Week 43-2025</v>
      </c>
      <c r="O2640"/>
      <c r="Q2640"/>
    </row>
    <row r="2641" spans="1:17" hidden="1" x14ac:dyDescent="0.2">
      <c r="A2641" s="3">
        <v>45953</v>
      </c>
      <c r="B2641" s="2" t="s">
        <v>5</v>
      </c>
      <c r="C2641" s="2">
        <v>4</v>
      </c>
      <c r="D2641" s="2">
        <f t="shared" si="164"/>
        <v>2025</v>
      </c>
      <c r="E2641" s="2" t="str">
        <f t="shared" si="165"/>
        <v>2025-43</v>
      </c>
      <c r="F2641" s="2" t="str">
        <f t="shared" si="166"/>
        <v>Week 43</v>
      </c>
      <c r="G2641" s="2" t="str">
        <f t="shared" si="167"/>
        <v>Week 43-2025</v>
      </c>
      <c r="O2641"/>
      <c r="Q2641"/>
    </row>
    <row r="2642" spans="1:17" hidden="1" x14ac:dyDescent="0.2">
      <c r="A2642" s="3">
        <v>45953</v>
      </c>
      <c r="B2642" s="2" t="s">
        <v>17</v>
      </c>
      <c r="C2642" s="2">
        <v>4</v>
      </c>
      <c r="D2642" s="2">
        <f t="shared" si="164"/>
        <v>2025</v>
      </c>
      <c r="E2642" s="2" t="str">
        <f t="shared" si="165"/>
        <v>2025-43</v>
      </c>
      <c r="F2642" s="2" t="str">
        <f t="shared" si="166"/>
        <v>Week 43</v>
      </c>
      <c r="G2642" s="2" t="str">
        <f t="shared" si="167"/>
        <v>Week 43-2025</v>
      </c>
      <c r="O2642"/>
      <c r="Q2642"/>
    </row>
    <row r="2643" spans="1:17" hidden="1" x14ac:dyDescent="0.2">
      <c r="A2643" s="3">
        <v>45953</v>
      </c>
      <c r="B2643" s="2" t="s">
        <v>17</v>
      </c>
      <c r="C2643" s="2">
        <v>4</v>
      </c>
      <c r="D2643" s="2">
        <f t="shared" si="164"/>
        <v>2025</v>
      </c>
      <c r="E2643" s="2" t="str">
        <f t="shared" si="165"/>
        <v>2025-43</v>
      </c>
      <c r="F2643" s="2" t="str">
        <f t="shared" si="166"/>
        <v>Week 43</v>
      </c>
      <c r="G2643" s="2" t="str">
        <f t="shared" si="167"/>
        <v>Week 43-2025</v>
      </c>
      <c r="O2643"/>
      <c r="Q2643"/>
    </row>
    <row r="2644" spans="1:17" hidden="1" x14ac:dyDescent="0.2">
      <c r="A2644" s="3">
        <v>45953</v>
      </c>
      <c r="B2644" s="2" t="s">
        <v>5</v>
      </c>
      <c r="C2644" s="2">
        <v>4</v>
      </c>
      <c r="D2644" s="2">
        <f t="shared" si="164"/>
        <v>2025</v>
      </c>
      <c r="E2644" s="2" t="str">
        <f t="shared" si="165"/>
        <v>2025-43</v>
      </c>
      <c r="F2644" s="2" t="str">
        <f t="shared" si="166"/>
        <v>Week 43</v>
      </c>
      <c r="G2644" s="2" t="str">
        <f t="shared" si="167"/>
        <v>Week 43-2025</v>
      </c>
      <c r="O2644"/>
      <c r="Q2644"/>
    </row>
    <row r="2645" spans="1:17" hidden="1" x14ac:dyDescent="0.2">
      <c r="A2645" s="3">
        <v>45953</v>
      </c>
      <c r="B2645" s="2" t="s">
        <v>28</v>
      </c>
      <c r="C2645" s="2">
        <v>6</v>
      </c>
      <c r="D2645" s="2">
        <f t="shared" si="164"/>
        <v>2025</v>
      </c>
      <c r="E2645" s="2" t="str">
        <f t="shared" si="165"/>
        <v>2025-43</v>
      </c>
      <c r="F2645" s="2" t="str">
        <f t="shared" si="166"/>
        <v>Week 43</v>
      </c>
      <c r="G2645" s="2" t="str">
        <f t="shared" si="167"/>
        <v>Week 43-2025</v>
      </c>
      <c r="O2645"/>
      <c r="Q2645"/>
    </row>
    <row r="2646" spans="1:17" hidden="1" x14ac:dyDescent="0.2">
      <c r="A2646" s="3">
        <v>45953</v>
      </c>
      <c r="B2646" s="2" t="s">
        <v>19</v>
      </c>
      <c r="C2646" s="2">
        <v>2</v>
      </c>
      <c r="D2646" s="2">
        <f t="shared" si="164"/>
        <v>2025</v>
      </c>
      <c r="E2646" s="2" t="str">
        <f t="shared" si="165"/>
        <v>2025-43</v>
      </c>
      <c r="F2646" s="2" t="str">
        <f t="shared" si="166"/>
        <v>Week 43</v>
      </c>
      <c r="G2646" s="2" t="str">
        <f t="shared" si="167"/>
        <v>Week 43-2025</v>
      </c>
      <c r="O2646"/>
      <c r="Q2646"/>
    </row>
    <row r="2647" spans="1:17" x14ac:dyDescent="0.2">
      <c r="A2647" s="3">
        <v>45953</v>
      </c>
      <c r="B2647" s="2" t="s">
        <v>24</v>
      </c>
      <c r="C2647" s="2">
        <v>6</v>
      </c>
      <c r="D2647" s="2">
        <f t="shared" si="164"/>
        <v>2025</v>
      </c>
      <c r="E2647" s="2" t="str">
        <f t="shared" si="165"/>
        <v>2025-43</v>
      </c>
      <c r="F2647" s="2" t="str">
        <f t="shared" si="166"/>
        <v>Week 43</v>
      </c>
      <c r="G2647" s="2" t="str">
        <f t="shared" si="167"/>
        <v>Week 43-2025</v>
      </c>
      <c r="O2647"/>
      <c r="Q2647"/>
    </row>
    <row r="2648" spans="1:17" hidden="1" x14ac:dyDescent="0.2">
      <c r="A2648" s="3">
        <v>45953</v>
      </c>
      <c r="B2648" s="2" t="s">
        <v>31</v>
      </c>
      <c r="C2648" s="2">
        <v>4</v>
      </c>
      <c r="D2648" s="2">
        <f t="shared" si="164"/>
        <v>2025</v>
      </c>
      <c r="E2648" s="2" t="str">
        <f t="shared" si="165"/>
        <v>2025-43</v>
      </c>
      <c r="F2648" s="2" t="str">
        <f t="shared" si="166"/>
        <v>Week 43</v>
      </c>
      <c r="G2648" s="2" t="str">
        <f t="shared" si="167"/>
        <v>Week 43-2025</v>
      </c>
      <c r="O2648"/>
      <c r="Q2648"/>
    </row>
    <row r="2649" spans="1:17" hidden="1" x14ac:dyDescent="0.2">
      <c r="A2649" s="3">
        <v>45953</v>
      </c>
      <c r="B2649" s="2" t="s">
        <v>7</v>
      </c>
      <c r="C2649" s="2">
        <v>2</v>
      </c>
      <c r="D2649" s="2">
        <f t="shared" si="164"/>
        <v>2025</v>
      </c>
      <c r="E2649" s="2" t="str">
        <f t="shared" si="165"/>
        <v>2025-43</v>
      </c>
      <c r="F2649" s="2" t="str">
        <f t="shared" si="166"/>
        <v>Week 43</v>
      </c>
      <c r="G2649" s="2" t="str">
        <f t="shared" si="167"/>
        <v>Week 43-2025</v>
      </c>
      <c r="O2649"/>
      <c r="Q2649"/>
    </row>
    <row r="2650" spans="1:17" hidden="1" x14ac:dyDescent="0.2">
      <c r="A2650" s="3">
        <v>45953</v>
      </c>
      <c r="B2650" s="2" t="s">
        <v>30</v>
      </c>
      <c r="C2650" s="2">
        <v>4</v>
      </c>
      <c r="D2650" s="2">
        <f t="shared" si="164"/>
        <v>2025</v>
      </c>
      <c r="E2650" s="2" t="str">
        <f t="shared" si="165"/>
        <v>2025-43</v>
      </c>
      <c r="F2650" s="2" t="str">
        <f t="shared" si="166"/>
        <v>Week 43</v>
      </c>
      <c r="G2650" s="2" t="str">
        <f t="shared" si="167"/>
        <v>Week 43-2025</v>
      </c>
      <c r="O2650"/>
      <c r="Q2650"/>
    </row>
    <row r="2651" spans="1:17" hidden="1" x14ac:dyDescent="0.2">
      <c r="A2651" s="3">
        <v>45953</v>
      </c>
      <c r="B2651" s="2" t="s">
        <v>36</v>
      </c>
      <c r="C2651" s="2">
        <v>4</v>
      </c>
      <c r="D2651" s="2">
        <f t="shared" si="164"/>
        <v>2025</v>
      </c>
      <c r="E2651" s="2" t="str">
        <f t="shared" si="165"/>
        <v>2025-43</v>
      </c>
      <c r="F2651" s="2" t="str">
        <f t="shared" si="166"/>
        <v>Week 43</v>
      </c>
      <c r="G2651" s="2" t="str">
        <f t="shared" si="167"/>
        <v>Week 43-2025</v>
      </c>
      <c r="O2651"/>
      <c r="Q2651"/>
    </row>
    <row r="2652" spans="1:17" hidden="1" x14ac:dyDescent="0.2">
      <c r="A2652" s="3">
        <v>45953</v>
      </c>
      <c r="B2652" s="2" t="s">
        <v>28</v>
      </c>
      <c r="C2652" s="2">
        <v>3</v>
      </c>
      <c r="D2652" s="2">
        <f t="shared" si="164"/>
        <v>2025</v>
      </c>
      <c r="E2652" s="2" t="str">
        <f t="shared" si="165"/>
        <v>2025-43</v>
      </c>
      <c r="F2652" s="2" t="str">
        <f t="shared" si="166"/>
        <v>Week 43</v>
      </c>
      <c r="G2652" s="2" t="str">
        <f t="shared" si="167"/>
        <v>Week 43-2025</v>
      </c>
      <c r="O2652"/>
      <c r="Q2652"/>
    </row>
    <row r="2653" spans="1:17" hidden="1" x14ac:dyDescent="0.2">
      <c r="A2653" s="3">
        <v>45953</v>
      </c>
      <c r="B2653" s="2" t="s">
        <v>10</v>
      </c>
      <c r="C2653" s="2">
        <v>2</v>
      </c>
      <c r="D2653" s="2">
        <f t="shared" si="164"/>
        <v>2025</v>
      </c>
      <c r="E2653" s="2" t="str">
        <f t="shared" si="165"/>
        <v>2025-43</v>
      </c>
      <c r="F2653" s="2" t="str">
        <f t="shared" si="166"/>
        <v>Week 43</v>
      </c>
      <c r="G2653" s="2" t="str">
        <f t="shared" si="167"/>
        <v>Week 43-2025</v>
      </c>
      <c r="O2653"/>
      <c r="Q2653"/>
    </row>
    <row r="2654" spans="1:17" hidden="1" x14ac:dyDescent="0.2">
      <c r="A2654" s="3">
        <v>45953</v>
      </c>
      <c r="B2654" s="2" t="s">
        <v>14</v>
      </c>
      <c r="C2654" s="2">
        <v>2</v>
      </c>
      <c r="D2654" s="2">
        <f t="shared" si="164"/>
        <v>2025</v>
      </c>
      <c r="E2654" s="2" t="str">
        <f t="shared" si="165"/>
        <v>2025-43</v>
      </c>
      <c r="F2654" s="2" t="str">
        <f t="shared" si="166"/>
        <v>Week 43</v>
      </c>
      <c r="G2654" s="2" t="str">
        <f t="shared" si="167"/>
        <v>Week 43-2025</v>
      </c>
      <c r="O2654"/>
      <c r="Q2654"/>
    </row>
    <row r="2655" spans="1:17" hidden="1" x14ac:dyDescent="0.2">
      <c r="A2655" s="3">
        <v>45953</v>
      </c>
      <c r="B2655" s="2" t="s">
        <v>28</v>
      </c>
      <c r="C2655" s="2">
        <v>1</v>
      </c>
      <c r="D2655" s="2">
        <f t="shared" si="164"/>
        <v>2025</v>
      </c>
      <c r="E2655" s="2" t="str">
        <f t="shared" si="165"/>
        <v>2025-43</v>
      </c>
      <c r="F2655" s="2" t="str">
        <f t="shared" si="166"/>
        <v>Week 43</v>
      </c>
      <c r="G2655" s="2" t="str">
        <f t="shared" si="167"/>
        <v>Week 43-2025</v>
      </c>
      <c r="O2655"/>
      <c r="Q2655"/>
    </row>
    <row r="2656" spans="1:17" hidden="1" x14ac:dyDescent="0.2">
      <c r="A2656" s="3">
        <v>45955</v>
      </c>
      <c r="B2656" s="2" t="s">
        <v>38</v>
      </c>
      <c r="C2656" s="2">
        <v>12</v>
      </c>
      <c r="D2656" s="2">
        <f t="shared" si="164"/>
        <v>2025</v>
      </c>
      <c r="E2656" s="2" t="str">
        <f t="shared" si="165"/>
        <v>2025-43</v>
      </c>
      <c r="F2656" s="2" t="str">
        <f t="shared" si="166"/>
        <v>Week 43</v>
      </c>
      <c r="G2656" s="2" t="str">
        <f t="shared" si="167"/>
        <v>Week 43-2025</v>
      </c>
      <c r="O2656"/>
      <c r="Q2656"/>
    </row>
    <row r="2657" spans="1:17" hidden="1" x14ac:dyDescent="0.2">
      <c r="A2657" s="3">
        <v>45955</v>
      </c>
      <c r="B2657" s="2" t="s">
        <v>42</v>
      </c>
      <c r="C2657" s="2">
        <v>12</v>
      </c>
      <c r="D2657" s="2">
        <f t="shared" si="164"/>
        <v>2025</v>
      </c>
      <c r="E2657" s="2" t="str">
        <f t="shared" si="165"/>
        <v>2025-43</v>
      </c>
      <c r="F2657" s="2" t="str">
        <f t="shared" si="166"/>
        <v>Week 43</v>
      </c>
      <c r="G2657" s="2" t="str">
        <f t="shared" si="167"/>
        <v>Week 43-2025</v>
      </c>
      <c r="O2657"/>
      <c r="Q2657"/>
    </row>
    <row r="2658" spans="1:17" hidden="1" x14ac:dyDescent="0.2">
      <c r="A2658" s="3">
        <v>45955</v>
      </c>
      <c r="B2658" s="2" t="s">
        <v>14</v>
      </c>
      <c r="C2658" s="2">
        <v>8</v>
      </c>
      <c r="D2658" s="2">
        <f t="shared" si="164"/>
        <v>2025</v>
      </c>
      <c r="E2658" s="2" t="str">
        <f t="shared" si="165"/>
        <v>2025-43</v>
      </c>
      <c r="F2658" s="2" t="str">
        <f t="shared" si="166"/>
        <v>Week 43</v>
      </c>
      <c r="G2658" s="2" t="str">
        <f t="shared" si="167"/>
        <v>Week 43-2025</v>
      </c>
      <c r="O2658"/>
      <c r="Q2658"/>
    </row>
    <row r="2659" spans="1:17" hidden="1" x14ac:dyDescent="0.2">
      <c r="A2659" s="3">
        <v>45955</v>
      </c>
      <c r="B2659" s="2" t="s">
        <v>7</v>
      </c>
      <c r="C2659" s="2">
        <v>4</v>
      </c>
      <c r="D2659" s="2">
        <f t="shared" si="164"/>
        <v>2025</v>
      </c>
      <c r="E2659" s="2" t="str">
        <f t="shared" si="165"/>
        <v>2025-43</v>
      </c>
      <c r="F2659" s="2" t="str">
        <f t="shared" si="166"/>
        <v>Week 43</v>
      </c>
      <c r="G2659" s="2" t="str">
        <f t="shared" si="167"/>
        <v>Week 43-2025</v>
      </c>
      <c r="O2659"/>
      <c r="Q2659"/>
    </row>
    <row r="2660" spans="1:17" hidden="1" x14ac:dyDescent="0.2">
      <c r="A2660" s="3">
        <v>45955</v>
      </c>
      <c r="B2660" s="2" t="s">
        <v>8</v>
      </c>
      <c r="C2660" s="2">
        <v>6</v>
      </c>
      <c r="D2660" s="2">
        <f t="shared" si="164"/>
        <v>2025</v>
      </c>
      <c r="E2660" s="2" t="str">
        <f t="shared" si="165"/>
        <v>2025-43</v>
      </c>
      <c r="F2660" s="2" t="str">
        <f t="shared" si="166"/>
        <v>Week 43</v>
      </c>
      <c r="G2660" s="2" t="str">
        <f t="shared" si="167"/>
        <v>Week 43-2025</v>
      </c>
      <c r="O2660"/>
      <c r="Q2660"/>
    </row>
    <row r="2661" spans="1:17" hidden="1" x14ac:dyDescent="0.2">
      <c r="A2661" s="3">
        <v>45955</v>
      </c>
      <c r="B2661" s="2" t="s">
        <v>4</v>
      </c>
      <c r="C2661" s="2">
        <v>2</v>
      </c>
      <c r="D2661" s="2">
        <f t="shared" si="164"/>
        <v>2025</v>
      </c>
      <c r="E2661" s="2" t="str">
        <f t="shared" si="165"/>
        <v>2025-43</v>
      </c>
      <c r="F2661" s="2" t="str">
        <f t="shared" si="166"/>
        <v>Week 43</v>
      </c>
      <c r="G2661" s="2" t="str">
        <f t="shared" si="167"/>
        <v>Week 43-2025</v>
      </c>
      <c r="O2661"/>
      <c r="Q2661"/>
    </row>
    <row r="2662" spans="1:17" x14ac:dyDescent="0.2">
      <c r="A2662" s="3">
        <v>45955</v>
      </c>
      <c r="B2662" s="2" t="s">
        <v>24</v>
      </c>
      <c r="C2662" s="2">
        <v>4</v>
      </c>
      <c r="D2662" s="2">
        <f t="shared" si="164"/>
        <v>2025</v>
      </c>
      <c r="E2662" s="2" t="str">
        <f t="shared" si="165"/>
        <v>2025-43</v>
      </c>
      <c r="F2662" s="2" t="str">
        <f t="shared" si="166"/>
        <v>Week 43</v>
      </c>
      <c r="G2662" s="2" t="str">
        <f t="shared" si="167"/>
        <v>Week 43-2025</v>
      </c>
      <c r="O2662"/>
      <c r="Q2662"/>
    </row>
    <row r="2663" spans="1:17" hidden="1" x14ac:dyDescent="0.2">
      <c r="A2663" s="3">
        <v>45955</v>
      </c>
      <c r="B2663" s="2" t="s">
        <v>45</v>
      </c>
      <c r="C2663" s="2">
        <v>2</v>
      </c>
      <c r="D2663" s="2">
        <f t="shared" si="164"/>
        <v>2025</v>
      </c>
      <c r="E2663" s="2" t="str">
        <f t="shared" si="165"/>
        <v>2025-43</v>
      </c>
      <c r="F2663" s="2" t="str">
        <f t="shared" si="166"/>
        <v>Week 43</v>
      </c>
      <c r="G2663" s="2" t="str">
        <f t="shared" si="167"/>
        <v>Week 43-2025</v>
      </c>
      <c r="O2663"/>
      <c r="Q2663"/>
    </row>
    <row r="2664" spans="1:17" hidden="1" x14ac:dyDescent="0.2">
      <c r="A2664" s="3">
        <v>45955</v>
      </c>
      <c r="B2664" s="2" t="s">
        <v>17</v>
      </c>
      <c r="C2664" s="2">
        <v>1</v>
      </c>
      <c r="D2664" s="2">
        <f t="shared" si="164"/>
        <v>2025</v>
      </c>
      <c r="E2664" s="2" t="str">
        <f t="shared" si="165"/>
        <v>2025-43</v>
      </c>
      <c r="F2664" s="2" t="str">
        <f t="shared" si="166"/>
        <v>Week 43</v>
      </c>
      <c r="G2664" s="2" t="str">
        <f t="shared" si="167"/>
        <v>Week 43-2025</v>
      </c>
      <c r="O2664"/>
      <c r="Q2664"/>
    </row>
    <row r="2665" spans="1:17" hidden="1" x14ac:dyDescent="0.2">
      <c r="A2665" s="3">
        <v>45955</v>
      </c>
      <c r="B2665" s="2" t="s">
        <v>35</v>
      </c>
      <c r="C2665" s="2">
        <v>1</v>
      </c>
      <c r="D2665" s="2">
        <f t="shared" si="164"/>
        <v>2025</v>
      </c>
      <c r="E2665" s="2" t="str">
        <f t="shared" si="165"/>
        <v>2025-43</v>
      </c>
      <c r="F2665" s="2" t="str">
        <f t="shared" si="166"/>
        <v>Week 43</v>
      </c>
      <c r="G2665" s="2" t="str">
        <f t="shared" si="167"/>
        <v>Week 43-2025</v>
      </c>
      <c r="O2665"/>
      <c r="Q2665"/>
    </row>
    <row r="2666" spans="1:17" hidden="1" x14ac:dyDescent="0.2">
      <c r="A2666" s="3">
        <v>45955</v>
      </c>
      <c r="B2666" s="2" t="s">
        <v>36</v>
      </c>
      <c r="C2666" s="2">
        <v>1</v>
      </c>
      <c r="D2666" s="2">
        <f t="shared" si="164"/>
        <v>2025</v>
      </c>
      <c r="E2666" s="2" t="str">
        <f t="shared" si="165"/>
        <v>2025-43</v>
      </c>
      <c r="F2666" s="2" t="str">
        <f t="shared" si="166"/>
        <v>Week 43</v>
      </c>
      <c r="G2666" s="2" t="str">
        <f t="shared" si="167"/>
        <v>Week 43-2025</v>
      </c>
      <c r="O2666"/>
      <c r="Q2666"/>
    </row>
    <row r="2667" spans="1:17" hidden="1" x14ac:dyDescent="0.2">
      <c r="A2667" s="3">
        <v>45955</v>
      </c>
      <c r="B2667" s="2" t="s">
        <v>36</v>
      </c>
      <c r="C2667" s="2">
        <v>1</v>
      </c>
      <c r="D2667" s="2">
        <f t="shared" si="164"/>
        <v>2025</v>
      </c>
      <c r="E2667" s="2" t="str">
        <f t="shared" si="165"/>
        <v>2025-43</v>
      </c>
      <c r="F2667" s="2" t="str">
        <f t="shared" si="166"/>
        <v>Week 43</v>
      </c>
      <c r="G2667" s="2" t="str">
        <f t="shared" si="167"/>
        <v>Week 43-2025</v>
      </c>
      <c r="O2667"/>
      <c r="Q2667"/>
    </row>
    <row r="2668" spans="1:17" hidden="1" x14ac:dyDescent="0.2">
      <c r="A2668" s="3">
        <v>45957</v>
      </c>
      <c r="B2668" s="2" t="s">
        <v>6</v>
      </c>
      <c r="C2668" s="2">
        <v>32</v>
      </c>
      <c r="D2668" s="2">
        <f t="shared" si="164"/>
        <v>2025</v>
      </c>
      <c r="E2668" s="2" t="str">
        <f t="shared" si="165"/>
        <v>2025-44</v>
      </c>
      <c r="F2668" s="2" t="str">
        <f t="shared" si="166"/>
        <v>Week 44</v>
      </c>
      <c r="G2668" s="2" t="str">
        <f t="shared" si="167"/>
        <v>Week 44-2025</v>
      </c>
      <c r="O2668"/>
      <c r="Q2668"/>
    </row>
    <row r="2669" spans="1:17" hidden="1" x14ac:dyDescent="0.2">
      <c r="A2669" s="3">
        <v>45957</v>
      </c>
      <c r="B2669" s="2" t="s">
        <v>5</v>
      </c>
      <c r="C2669" s="2">
        <v>18</v>
      </c>
      <c r="D2669" s="2">
        <f t="shared" si="164"/>
        <v>2025</v>
      </c>
      <c r="E2669" s="2" t="str">
        <f t="shared" si="165"/>
        <v>2025-44</v>
      </c>
      <c r="F2669" s="2" t="str">
        <f t="shared" si="166"/>
        <v>Week 44</v>
      </c>
      <c r="G2669" s="2" t="str">
        <f t="shared" si="167"/>
        <v>Week 44-2025</v>
      </c>
      <c r="O2669"/>
      <c r="Q2669"/>
    </row>
    <row r="2670" spans="1:17" hidden="1" x14ac:dyDescent="0.2">
      <c r="A2670" s="3">
        <v>45957</v>
      </c>
      <c r="B2670" s="2" t="s">
        <v>5</v>
      </c>
      <c r="C2670" s="2">
        <v>16</v>
      </c>
      <c r="D2670" s="2">
        <f t="shared" si="164"/>
        <v>2025</v>
      </c>
      <c r="E2670" s="2" t="str">
        <f t="shared" si="165"/>
        <v>2025-44</v>
      </c>
      <c r="F2670" s="2" t="str">
        <f t="shared" si="166"/>
        <v>Week 44</v>
      </c>
      <c r="G2670" s="2" t="str">
        <f t="shared" si="167"/>
        <v>Week 44-2025</v>
      </c>
      <c r="O2670"/>
      <c r="Q2670"/>
    </row>
    <row r="2671" spans="1:17" hidden="1" x14ac:dyDescent="0.2">
      <c r="A2671" s="3">
        <v>45957</v>
      </c>
      <c r="B2671" s="2" t="s">
        <v>14</v>
      </c>
      <c r="C2671" s="2">
        <v>22</v>
      </c>
      <c r="D2671" s="2">
        <f t="shared" si="164"/>
        <v>2025</v>
      </c>
      <c r="E2671" s="2" t="str">
        <f t="shared" si="165"/>
        <v>2025-44</v>
      </c>
      <c r="F2671" s="2" t="str">
        <f t="shared" si="166"/>
        <v>Week 44</v>
      </c>
      <c r="G2671" s="2" t="str">
        <f t="shared" si="167"/>
        <v>Week 44-2025</v>
      </c>
      <c r="O2671"/>
      <c r="Q2671"/>
    </row>
    <row r="2672" spans="1:17" hidden="1" x14ac:dyDescent="0.2">
      <c r="A2672" s="3">
        <v>45957</v>
      </c>
      <c r="B2672" s="2" t="s">
        <v>12</v>
      </c>
      <c r="C2672" s="2">
        <v>4</v>
      </c>
      <c r="D2672" s="2">
        <f t="shared" si="164"/>
        <v>2025</v>
      </c>
      <c r="E2672" s="2" t="str">
        <f t="shared" si="165"/>
        <v>2025-44</v>
      </c>
      <c r="F2672" s="2" t="str">
        <f t="shared" si="166"/>
        <v>Week 44</v>
      </c>
      <c r="G2672" s="2" t="str">
        <f t="shared" si="167"/>
        <v>Week 44-2025</v>
      </c>
      <c r="O2672"/>
      <c r="Q2672"/>
    </row>
    <row r="2673" spans="1:17" hidden="1" x14ac:dyDescent="0.2">
      <c r="A2673" s="3">
        <v>45957</v>
      </c>
      <c r="B2673" s="2" t="s">
        <v>17</v>
      </c>
      <c r="C2673" s="2">
        <v>6</v>
      </c>
      <c r="D2673" s="2">
        <f t="shared" si="164"/>
        <v>2025</v>
      </c>
      <c r="E2673" s="2" t="str">
        <f t="shared" si="165"/>
        <v>2025-44</v>
      </c>
      <c r="F2673" s="2" t="str">
        <f t="shared" si="166"/>
        <v>Week 44</v>
      </c>
      <c r="G2673" s="2" t="str">
        <f t="shared" si="167"/>
        <v>Week 44-2025</v>
      </c>
      <c r="O2673"/>
      <c r="Q2673"/>
    </row>
    <row r="2674" spans="1:17" hidden="1" x14ac:dyDescent="0.2">
      <c r="A2674" s="3">
        <v>45957</v>
      </c>
      <c r="B2674" s="2" t="s">
        <v>31</v>
      </c>
      <c r="C2674" s="2">
        <v>8</v>
      </c>
      <c r="D2674" s="2">
        <f t="shared" si="164"/>
        <v>2025</v>
      </c>
      <c r="E2674" s="2" t="str">
        <f t="shared" si="165"/>
        <v>2025-44</v>
      </c>
      <c r="F2674" s="2" t="str">
        <f t="shared" si="166"/>
        <v>Week 44</v>
      </c>
      <c r="G2674" s="2" t="str">
        <f t="shared" si="167"/>
        <v>Week 44-2025</v>
      </c>
      <c r="O2674"/>
      <c r="Q2674"/>
    </row>
    <row r="2675" spans="1:17" hidden="1" x14ac:dyDescent="0.2">
      <c r="A2675" s="3">
        <v>45957</v>
      </c>
      <c r="B2675" s="2" t="s">
        <v>8</v>
      </c>
      <c r="C2675" s="2">
        <v>8</v>
      </c>
      <c r="D2675" s="2">
        <f t="shared" si="164"/>
        <v>2025</v>
      </c>
      <c r="E2675" s="2" t="str">
        <f t="shared" si="165"/>
        <v>2025-44</v>
      </c>
      <c r="F2675" s="2" t="str">
        <f t="shared" si="166"/>
        <v>Week 44</v>
      </c>
      <c r="G2675" s="2" t="str">
        <f t="shared" si="167"/>
        <v>Week 44-2025</v>
      </c>
      <c r="O2675"/>
      <c r="Q2675"/>
    </row>
    <row r="2676" spans="1:17" hidden="1" x14ac:dyDescent="0.2">
      <c r="A2676" s="3">
        <v>45957</v>
      </c>
      <c r="B2676" s="2" t="s">
        <v>3</v>
      </c>
      <c r="C2676" s="2">
        <v>4</v>
      </c>
      <c r="D2676" s="2">
        <f t="shared" si="164"/>
        <v>2025</v>
      </c>
      <c r="E2676" s="2" t="str">
        <f t="shared" si="165"/>
        <v>2025-44</v>
      </c>
      <c r="F2676" s="2" t="str">
        <f t="shared" si="166"/>
        <v>Week 44</v>
      </c>
      <c r="G2676" s="2" t="str">
        <f t="shared" si="167"/>
        <v>Week 44-2025</v>
      </c>
      <c r="O2676"/>
      <c r="Q2676"/>
    </row>
    <row r="2677" spans="1:17" hidden="1" x14ac:dyDescent="0.2">
      <c r="A2677" s="3">
        <v>45957</v>
      </c>
      <c r="B2677" s="2" t="s">
        <v>3</v>
      </c>
      <c r="C2677" s="2">
        <v>4</v>
      </c>
      <c r="D2677" s="2">
        <f t="shared" si="164"/>
        <v>2025</v>
      </c>
      <c r="E2677" s="2" t="str">
        <f t="shared" si="165"/>
        <v>2025-44</v>
      </c>
      <c r="F2677" s="2" t="str">
        <f t="shared" si="166"/>
        <v>Week 44</v>
      </c>
      <c r="G2677" s="2" t="str">
        <f t="shared" si="167"/>
        <v>Week 44-2025</v>
      </c>
      <c r="O2677"/>
      <c r="Q2677"/>
    </row>
    <row r="2678" spans="1:17" hidden="1" x14ac:dyDescent="0.2">
      <c r="A2678" s="3">
        <v>45957</v>
      </c>
      <c r="B2678" s="2" t="s">
        <v>34</v>
      </c>
      <c r="C2678" s="2">
        <v>5</v>
      </c>
      <c r="D2678" s="2">
        <f t="shared" si="164"/>
        <v>2025</v>
      </c>
      <c r="E2678" s="2" t="str">
        <f t="shared" si="165"/>
        <v>2025-44</v>
      </c>
      <c r="F2678" s="2" t="str">
        <f t="shared" si="166"/>
        <v>Week 44</v>
      </c>
      <c r="G2678" s="2" t="str">
        <f t="shared" si="167"/>
        <v>Week 44-2025</v>
      </c>
      <c r="O2678"/>
      <c r="Q2678"/>
    </row>
    <row r="2679" spans="1:17" hidden="1" x14ac:dyDescent="0.2">
      <c r="A2679" s="3">
        <v>45957</v>
      </c>
      <c r="B2679" s="2" t="s">
        <v>14</v>
      </c>
      <c r="C2679" s="2">
        <v>5</v>
      </c>
      <c r="D2679" s="2">
        <f t="shared" si="164"/>
        <v>2025</v>
      </c>
      <c r="E2679" s="2" t="str">
        <f t="shared" si="165"/>
        <v>2025-44</v>
      </c>
      <c r="F2679" s="2" t="str">
        <f t="shared" si="166"/>
        <v>Week 44</v>
      </c>
      <c r="G2679" s="2" t="str">
        <f t="shared" si="167"/>
        <v>Week 44-2025</v>
      </c>
      <c r="O2679"/>
      <c r="Q2679"/>
    </row>
    <row r="2680" spans="1:17" hidden="1" x14ac:dyDescent="0.2">
      <c r="A2680" s="3">
        <v>45957</v>
      </c>
      <c r="B2680" s="2" t="s">
        <v>9</v>
      </c>
      <c r="C2680" s="2">
        <v>2</v>
      </c>
      <c r="D2680" s="2">
        <f t="shared" si="164"/>
        <v>2025</v>
      </c>
      <c r="E2680" s="2" t="str">
        <f t="shared" si="165"/>
        <v>2025-44</v>
      </c>
      <c r="F2680" s="2" t="str">
        <f t="shared" si="166"/>
        <v>Week 44</v>
      </c>
      <c r="G2680" s="2" t="str">
        <f t="shared" si="167"/>
        <v>Week 44-2025</v>
      </c>
      <c r="O2680"/>
      <c r="Q2680"/>
    </row>
    <row r="2681" spans="1:17" hidden="1" x14ac:dyDescent="0.2">
      <c r="A2681" s="3">
        <v>45957</v>
      </c>
      <c r="B2681" s="2" t="s">
        <v>34</v>
      </c>
      <c r="C2681" s="2">
        <v>3</v>
      </c>
      <c r="D2681" s="2">
        <f t="shared" si="164"/>
        <v>2025</v>
      </c>
      <c r="E2681" s="2" t="str">
        <f t="shared" si="165"/>
        <v>2025-44</v>
      </c>
      <c r="F2681" s="2" t="str">
        <f t="shared" si="166"/>
        <v>Week 44</v>
      </c>
      <c r="G2681" s="2" t="str">
        <f t="shared" si="167"/>
        <v>Week 44-2025</v>
      </c>
      <c r="O2681"/>
      <c r="Q2681"/>
    </row>
    <row r="2682" spans="1:17" hidden="1" x14ac:dyDescent="0.2">
      <c r="A2682" s="3">
        <v>45957</v>
      </c>
      <c r="B2682" s="2" t="s">
        <v>3</v>
      </c>
      <c r="C2682" s="2">
        <v>2</v>
      </c>
      <c r="D2682" s="2">
        <f t="shared" si="164"/>
        <v>2025</v>
      </c>
      <c r="E2682" s="2" t="str">
        <f t="shared" si="165"/>
        <v>2025-44</v>
      </c>
      <c r="F2682" s="2" t="str">
        <f t="shared" si="166"/>
        <v>Week 44</v>
      </c>
      <c r="G2682" s="2" t="str">
        <f t="shared" si="167"/>
        <v>Week 44-2025</v>
      </c>
      <c r="O2682"/>
      <c r="Q2682"/>
    </row>
    <row r="2683" spans="1:17" hidden="1" x14ac:dyDescent="0.2">
      <c r="A2683" s="3">
        <v>45957</v>
      </c>
      <c r="B2683" s="2" t="s">
        <v>27</v>
      </c>
      <c r="C2683" s="2">
        <v>3</v>
      </c>
      <c r="D2683" s="2">
        <f t="shared" si="164"/>
        <v>2025</v>
      </c>
      <c r="E2683" s="2" t="str">
        <f t="shared" si="165"/>
        <v>2025-44</v>
      </c>
      <c r="F2683" s="2" t="str">
        <f t="shared" si="166"/>
        <v>Week 44</v>
      </c>
      <c r="G2683" s="2" t="str">
        <f t="shared" si="167"/>
        <v>Week 44-2025</v>
      </c>
      <c r="O2683"/>
      <c r="Q2683"/>
    </row>
    <row r="2684" spans="1:17" hidden="1" x14ac:dyDescent="0.2">
      <c r="A2684" s="3">
        <v>45957</v>
      </c>
      <c r="B2684" s="2" t="s">
        <v>30</v>
      </c>
      <c r="C2684" s="2">
        <v>1</v>
      </c>
      <c r="D2684" s="2">
        <f t="shared" si="164"/>
        <v>2025</v>
      </c>
      <c r="E2684" s="2" t="str">
        <f t="shared" si="165"/>
        <v>2025-44</v>
      </c>
      <c r="F2684" s="2" t="str">
        <f t="shared" si="166"/>
        <v>Week 44</v>
      </c>
      <c r="G2684" s="2" t="str">
        <f t="shared" si="167"/>
        <v>Week 44-2025</v>
      </c>
      <c r="O2684"/>
      <c r="Q2684"/>
    </row>
    <row r="2685" spans="1:17" hidden="1" x14ac:dyDescent="0.2">
      <c r="A2685" s="3">
        <v>45958</v>
      </c>
      <c r="B2685" s="2" t="s">
        <v>7</v>
      </c>
      <c r="C2685" s="2">
        <v>16</v>
      </c>
      <c r="D2685" s="2">
        <f t="shared" si="164"/>
        <v>2025</v>
      </c>
      <c r="E2685" s="2" t="str">
        <f t="shared" si="165"/>
        <v>2025-44</v>
      </c>
      <c r="F2685" s="2" t="str">
        <f t="shared" si="166"/>
        <v>Week 44</v>
      </c>
      <c r="G2685" s="2" t="str">
        <f t="shared" si="167"/>
        <v>Week 44-2025</v>
      </c>
      <c r="O2685"/>
      <c r="Q2685"/>
    </row>
    <row r="2686" spans="1:17" hidden="1" x14ac:dyDescent="0.2">
      <c r="A2686" s="3">
        <v>45958</v>
      </c>
      <c r="B2686" s="2" t="s">
        <v>9</v>
      </c>
      <c r="C2686" s="2">
        <v>16</v>
      </c>
      <c r="D2686" s="2">
        <f t="shared" si="164"/>
        <v>2025</v>
      </c>
      <c r="E2686" s="2" t="str">
        <f t="shared" si="165"/>
        <v>2025-44</v>
      </c>
      <c r="F2686" s="2" t="str">
        <f t="shared" si="166"/>
        <v>Week 44</v>
      </c>
      <c r="G2686" s="2" t="str">
        <f t="shared" si="167"/>
        <v>Week 44-2025</v>
      </c>
      <c r="O2686"/>
      <c r="Q2686"/>
    </row>
    <row r="2687" spans="1:17" hidden="1" x14ac:dyDescent="0.2">
      <c r="A2687" s="3">
        <v>45958</v>
      </c>
      <c r="B2687" s="2" t="s">
        <v>27</v>
      </c>
      <c r="C2687" s="2">
        <v>32</v>
      </c>
      <c r="D2687" s="2">
        <f t="shared" si="164"/>
        <v>2025</v>
      </c>
      <c r="E2687" s="2" t="str">
        <f t="shared" si="165"/>
        <v>2025-44</v>
      </c>
      <c r="F2687" s="2" t="str">
        <f t="shared" si="166"/>
        <v>Week 44</v>
      </c>
      <c r="G2687" s="2" t="str">
        <f t="shared" si="167"/>
        <v>Week 44-2025</v>
      </c>
      <c r="O2687"/>
      <c r="Q2687"/>
    </row>
    <row r="2688" spans="1:17" hidden="1" x14ac:dyDescent="0.2">
      <c r="A2688" s="3">
        <v>45958</v>
      </c>
      <c r="B2688" s="2" t="s">
        <v>4</v>
      </c>
      <c r="C2688" s="2">
        <v>14</v>
      </c>
      <c r="D2688" s="2">
        <f t="shared" si="164"/>
        <v>2025</v>
      </c>
      <c r="E2688" s="2" t="str">
        <f t="shared" si="165"/>
        <v>2025-44</v>
      </c>
      <c r="F2688" s="2" t="str">
        <f t="shared" si="166"/>
        <v>Week 44</v>
      </c>
      <c r="G2688" s="2" t="str">
        <f t="shared" si="167"/>
        <v>Week 44-2025</v>
      </c>
      <c r="O2688"/>
      <c r="Q2688"/>
    </row>
    <row r="2689" spans="1:17" hidden="1" x14ac:dyDescent="0.2">
      <c r="A2689" s="3">
        <v>45958</v>
      </c>
      <c r="B2689" s="2" t="s">
        <v>4</v>
      </c>
      <c r="C2689" s="2">
        <v>12</v>
      </c>
      <c r="D2689" s="2">
        <f t="shared" si="164"/>
        <v>2025</v>
      </c>
      <c r="E2689" s="2" t="str">
        <f t="shared" si="165"/>
        <v>2025-44</v>
      </c>
      <c r="F2689" s="2" t="str">
        <f t="shared" si="166"/>
        <v>Week 44</v>
      </c>
      <c r="G2689" s="2" t="str">
        <f t="shared" si="167"/>
        <v>Week 44-2025</v>
      </c>
      <c r="O2689"/>
      <c r="Q2689"/>
    </row>
    <row r="2690" spans="1:17" hidden="1" x14ac:dyDescent="0.2">
      <c r="A2690" s="3">
        <v>45958</v>
      </c>
      <c r="B2690" s="2" t="s">
        <v>6</v>
      </c>
      <c r="C2690" s="2">
        <v>10</v>
      </c>
      <c r="D2690" s="2">
        <f t="shared" ref="D2690:D2753" si="168">YEAR(A2690)</f>
        <v>2025</v>
      </c>
      <c r="E2690" s="2" t="str">
        <f t="shared" ref="E2690:E2753" si="169">YEAR(A2690)&amp;"-"&amp;_xlfn.ISOWEEKNUM(A2690)</f>
        <v>2025-44</v>
      </c>
      <c r="F2690" s="2" t="str">
        <f t="shared" ref="F2690:F2753" si="170">_xlfn.CONCAT("Week "&amp;WEEKNUM(A2690))</f>
        <v>Week 44</v>
      </c>
      <c r="G2690" s="2" t="str">
        <f t="shared" ref="G2690:G2753" si="171">_xlfn.CONCAT(F2690,"-",D2690)</f>
        <v>Week 44-2025</v>
      </c>
      <c r="O2690"/>
      <c r="Q2690"/>
    </row>
    <row r="2691" spans="1:17" hidden="1" x14ac:dyDescent="0.2">
      <c r="A2691" s="3">
        <v>45958</v>
      </c>
      <c r="B2691" s="2" t="s">
        <v>19</v>
      </c>
      <c r="C2691" s="2">
        <v>10</v>
      </c>
      <c r="D2691" s="2">
        <f t="shared" si="168"/>
        <v>2025</v>
      </c>
      <c r="E2691" s="2" t="str">
        <f t="shared" si="169"/>
        <v>2025-44</v>
      </c>
      <c r="F2691" s="2" t="str">
        <f t="shared" si="170"/>
        <v>Week 44</v>
      </c>
      <c r="G2691" s="2" t="str">
        <f t="shared" si="171"/>
        <v>Week 44-2025</v>
      </c>
      <c r="O2691"/>
      <c r="Q2691"/>
    </row>
    <row r="2692" spans="1:17" hidden="1" x14ac:dyDescent="0.2">
      <c r="A2692" s="3">
        <v>45958</v>
      </c>
      <c r="B2692" s="2" t="s">
        <v>29</v>
      </c>
      <c r="C2692" s="2">
        <v>12</v>
      </c>
      <c r="D2692" s="2">
        <f t="shared" si="168"/>
        <v>2025</v>
      </c>
      <c r="E2692" s="2" t="str">
        <f t="shared" si="169"/>
        <v>2025-44</v>
      </c>
      <c r="F2692" s="2" t="str">
        <f t="shared" si="170"/>
        <v>Week 44</v>
      </c>
      <c r="G2692" s="2" t="str">
        <f t="shared" si="171"/>
        <v>Week 44-2025</v>
      </c>
      <c r="O2692"/>
      <c r="Q2692"/>
    </row>
    <row r="2693" spans="1:17" hidden="1" x14ac:dyDescent="0.2">
      <c r="A2693" s="3">
        <v>45958</v>
      </c>
      <c r="B2693" s="2" t="s">
        <v>4</v>
      </c>
      <c r="C2693" s="2">
        <v>8</v>
      </c>
      <c r="D2693" s="2">
        <f t="shared" si="168"/>
        <v>2025</v>
      </c>
      <c r="E2693" s="2" t="str">
        <f t="shared" si="169"/>
        <v>2025-44</v>
      </c>
      <c r="F2693" s="2" t="str">
        <f t="shared" si="170"/>
        <v>Week 44</v>
      </c>
      <c r="G2693" s="2" t="str">
        <f t="shared" si="171"/>
        <v>Week 44-2025</v>
      </c>
      <c r="O2693"/>
      <c r="Q2693"/>
    </row>
    <row r="2694" spans="1:17" hidden="1" x14ac:dyDescent="0.2">
      <c r="A2694" s="3">
        <v>45958</v>
      </c>
      <c r="B2694" s="2" t="s">
        <v>23</v>
      </c>
      <c r="C2694" s="2">
        <v>6</v>
      </c>
      <c r="D2694" s="2">
        <f t="shared" si="168"/>
        <v>2025</v>
      </c>
      <c r="E2694" s="2" t="str">
        <f t="shared" si="169"/>
        <v>2025-44</v>
      </c>
      <c r="F2694" s="2" t="str">
        <f t="shared" si="170"/>
        <v>Week 44</v>
      </c>
      <c r="G2694" s="2" t="str">
        <f t="shared" si="171"/>
        <v>Week 44-2025</v>
      </c>
      <c r="O2694"/>
      <c r="Q2694"/>
    </row>
    <row r="2695" spans="1:17" hidden="1" x14ac:dyDescent="0.2">
      <c r="A2695" s="3">
        <v>45958</v>
      </c>
      <c r="B2695" s="2" t="s">
        <v>3</v>
      </c>
      <c r="C2695" s="2">
        <v>10</v>
      </c>
      <c r="D2695" s="2">
        <f t="shared" si="168"/>
        <v>2025</v>
      </c>
      <c r="E2695" s="2" t="str">
        <f t="shared" si="169"/>
        <v>2025-44</v>
      </c>
      <c r="F2695" s="2" t="str">
        <f t="shared" si="170"/>
        <v>Week 44</v>
      </c>
      <c r="G2695" s="2" t="str">
        <f t="shared" si="171"/>
        <v>Week 44-2025</v>
      </c>
      <c r="O2695"/>
      <c r="Q2695"/>
    </row>
    <row r="2696" spans="1:17" hidden="1" x14ac:dyDescent="0.2">
      <c r="A2696" s="3">
        <v>45958</v>
      </c>
      <c r="B2696" s="2" t="s">
        <v>28</v>
      </c>
      <c r="C2696" s="2">
        <v>17</v>
      </c>
      <c r="D2696" s="2">
        <f t="shared" si="168"/>
        <v>2025</v>
      </c>
      <c r="E2696" s="2" t="str">
        <f t="shared" si="169"/>
        <v>2025-44</v>
      </c>
      <c r="F2696" s="2" t="str">
        <f t="shared" si="170"/>
        <v>Week 44</v>
      </c>
      <c r="G2696" s="2" t="str">
        <f t="shared" si="171"/>
        <v>Week 44-2025</v>
      </c>
      <c r="O2696"/>
      <c r="Q2696"/>
    </row>
    <row r="2697" spans="1:17" hidden="1" x14ac:dyDescent="0.2">
      <c r="A2697" s="3">
        <v>45958</v>
      </c>
      <c r="B2697" s="2" t="s">
        <v>7</v>
      </c>
      <c r="C2697" s="2">
        <v>6</v>
      </c>
      <c r="D2697" s="2">
        <f t="shared" si="168"/>
        <v>2025</v>
      </c>
      <c r="E2697" s="2" t="str">
        <f t="shared" si="169"/>
        <v>2025-44</v>
      </c>
      <c r="F2697" s="2" t="str">
        <f t="shared" si="170"/>
        <v>Week 44</v>
      </c>
      <c r="G2697" s="2" t="str">
        <f t="shared" si="171"/>
        <v>Week 44-2025</v>
      </c>
      <c r="O2697"/>
      <c r="Q2697"/>
    </row>
    <row r="2698" spans="1:17" hidden="1" x14ac:dyDescent="0.2">
      <c r="A2698" s="3">
        <v>45958</v>
      </c>
      <c r="B2698" s="2" t="s">
        <v>38</v>
      </c>
      <c r="C2698" s="2">
        <v>12</v>
      </c>
      <c r="D2698" s="2">
        <f t="shared" si="168"/>
        <v>2025</v>
      </c>
      <c r="E2698" s="2" t="str">
        <f t="shared" si="169"/>
        <v>2025-44</v>
      </c>
      <c r="F2698" s="2" t="str">
        <f t="shared" si="170"/>
        <v>Week 44</v>
      </c>
      <c r="G2698" s="2" t="str">
        <f t="shared" si="171"/>
        <v>Week 44-2025</v>
      </c>
      <c r="O2698"/>
      <c r="Q2698"/>
    </row>
    <row r="2699" spans="1:17" hidden="1" x14ac:dyDescent="0.2">
      <c r="A2699" s="3">
        <v>45958</v>
      </c>
      <c r="B2699" s="2" t="s">
        <v>10</v>
      </c>
      <c r="C2699" s="2">
        <v>8</v>
      </c>
      <c r="D2699" s="2">
        <f t="shared" si="168"/>
        <v>2025</v>
      </c>
      <c r="E2699" s="2" t="str">
        <f t="shared" si="169"/>
        <v>2025-44</v>
      </c>
      <c r="F2699" s="2" t="str">
        <f t="shared" si="170"/>
        <v>Week 44</v>
      </c>
      <c r="G2699" s="2" t="str">
        <f t="shared" si="171"/>
        <v>Week 44-2025</v>
      </c>
      <c r="O2699"/>
      <c r="Q2699"/>
    </row>
    <row r="2700" spans="1:17" hidden="1" x14ac:dyDescent="0.2">
      <c r="A2700" s="3">
        <v>45958</v>
      </c>
      <c r="B2700" s="2" t="s">
        <v>8</v>
      </c>
      <c r="C2700" s="2">
        <v>10</v>
      </c>
      <c r="D2700" s="2">
        <f t="shared" si="168"/>
        <v>2025</v>
      </c>
      <c r="E2700" s="2" t="str">
        <f t="shared" si="169"/>
        <v>2025-44</v>
      </c>
      <c r="F2700" s="2" t="str">
        <f t="shared" si="170"/>
        <v>Week 44</v>
      </c>
      <c r="G2700" s="2" t="str">
        <f t="shared" si="171"/>
        <v>Week 44-2025</v>
      </c>
      <c r="O2700"/>
      <c r="Q2700"/>
    </row>
    <row r="2701" spans="1:17" hidden="1" x14ac:dyDescent="0.2">
      <c r="A2701" s="3">
        <v>45958</v>
      </c>
      <c r="B2701" s="2" t="s">
        <v>5</v>
      </c>
      <c r="C2701" s="2">
        <v>6</v>
      </c>
      <c r="D2701" s="2">
        <f t="shared" si="168"/>
        <v>2025</v>
      </c>
      <c r="E2701" s="2" t="str">
        <f t="shared" si="169"/>
        <v>2025-44</v>
      </c>
      <c r="F2701" s="2" t="str">
        <f t="shared" si="170"/>
        <v>Week 44</v>
      </c>
      <c r="G2701" s="2" t="str">
        <f t="shared" si="171"/>
        <v>Week 44-2025</v>
      </c>
      <c r="O2701"/>
      <c r="Q2701"/>
    </row>
    <row r="2702" spans="1:17" hidden="1" x14ac:dyDescent="0.2">
      <c r="A2702" s="3">
        <v>45958</v>
      </c>
      <c r="B2702" s="2" t="s">
        <v>6</v>
      </c>
      <c r="C2702" s="2">
        <v>4</v>
      </c>
      <c r="D2702" s="2">
        <f t="shared" si="168"/>
        <v>2025</v>
      </c>
      <c r="E2702" s="2" t="str">
        <f t="shared" si="169"/>
        <v>2025-44</v>
      </c>
      <c r="F2702" s="2" t="str">
        <f t="shared" si="170"/>
        <v>Week 44</v>
      </c>
      <c r="G2702" s="2" t="str">
        <f t="shared" si="171"/>
        <v>Week 44-2025</v>
      </c>
      <c r="O2702"/>
      <c r="Q2702"/>
    </row>
    <row r="2703" spans="1:17" hidden="1" x14ac:dyDescent="0.2">
      <c r="A2703" s="3">
        <v>45958</v>
      </c>
      <c r="B2703" s="2" t="s">
        <v>4</v>
      </c>
      <c r="C2703" s="2">
        <v>4</v>
      </c>
      <c r="D2703" s="2">
        <f t="shared" si="168"/>
        <v>2025</v>
      </c>
      <c r="E2703" s="2" t="str">
        <f t="shared" si="169"/>
        <v>2025-44</v>
      </c>
      <c r="F2703" s="2" t="str">
        <f t="shared" si="170"/>
        <v>Week 44</v>
      </c>
      <c r="G2703" s="2" t="str">
        <f t="shared" si="171"/>
        <v>Week 44-2025</v>
      </c>
      <c r="O2703"/>
      <c r="Q2703"/>
    </row>
    <row r="2704" spans="1:17" hidden="1" x14ac:dyDescent="0.2">
      <c r="A2704" s="3">
        <v>45958</v>
      </c>
      <c r="B2704" s="2" t="s">
        <v>7</v>
      </c>
      <c r="C2704" s="2">
        <v>4</v>
      </c>
      <c r="D2704" s="2">
        <f t="shared" si="168"/>
        <v>2025</v>
      </c>
      <c r="E2704" s="2" t="str">
        <f t="shared" si="169"/>
        <v>2025-44</v>
      </c>
      <c r="F2704" s="2" t="str">
        <f t="shared" si="170"/>
        <v>Week 44</v>
      </c>
      <c r="G2704" s="2" t="str">
        <f t="shared" si="171"/>
        <v>Week 44-2025</v>
      </c>
      <c r="O2704"/>
      <c r="Q2704"/>
    </row>
    <row r="2705" spans="1:17" hidden="1" x14ac:dyDescent="0.2">
      <c r="A2705" s="3">
        <v>45958</v>
      </c>
      <c r="B2705" s="2" t="s">
        <v>17</v>
      </c>
      <c r="C2705" s="2">
        <v>4</v>
      </c>
      <c r="D2705" s="2">
        <f t="shared" si="168"/>
        <v>2025</v>
      </c>
      <c r="E2705" s="2" t="str">
        <f t="shared" si="169"/>
        <v>2025-44</v>
      </c>
      <c r="F2705" s="2" t="str">
        <f t="shared" si="170"/>
        <v>Week 44</v>
      </c>
      <c r="G2705" s="2" t="str">
        <f t="shared" si="171"/>
        <v>Week 44-2025</v>
      </c>
      <c r="O2705"/>
      <c r="Q2705"/>
    </row>
    <row r="2706" spans="1:17" x14ac:dyDescent="0.2">
      <c r="A2706" s="3">
        <v>45958</v>
      </c>
      <c r="B2706" s="2" t="s">
        <v>24</v>
      </c>
      <c r="C2706" s="2">
        <v>6</v>
      </c>
      <c r="D2706" s="2">
        <f t="shared" si="168"/>
        <v>2025</v>
      </c>
      <c r="E2706" s="2" t="str">
        <f t="shared" si="169"/>
        <v>2025-44</v>
      </c>
      <c r="F2706" s="2" t="str">
        <f t="shared" si="170"/>
        <v>Week 44</v>
      </c>
      <c r="G2706" s="2" t="str">
        <f t="shared" si="171"/>
        <v>Week 44-2025</v>
      </c>
      <c r="O2706"/>
      <c r="Q2706"/>
    </row>
    <row r="2707" spans="1:17" hidden="1" x14ac:dyDescent="0.2">
      <c r="A2707" s="3">
        <v>45958</v>
      </c>
      <c r="B2707" s="2" t="s">
        <v>27</v>
      </c>
      <c r="C2707" s="2">
        <v>4</v>
      </c>
      <c r="D2707" s="2">
        <f t="shared" si="168"/>
        <v>2025</v>
      </c>
      <c r="E2707" s="2" t="str">
        <f t="shared" si="169"/>
        <v>2025-44</v>
      </c>
      <c r="F2707" s="2" t="str">
        <f t="shared" si="170"/>
        <v>Week 44</v>
      </c>
      <c r="G2707" s="2" t="str">
        <f t="shared" si="171"/>
        <v>Week 44-2025</v>
      </c>
      <c r="O2707"/>
      <c r="Q2707"/>
    </row>
    <row r="2708" spans="1:17" hidden="1" x14ac:dyDescent="0.2">
      <c r="A2708" s="3">
        <v>45958</v>
      </c>
      <c r="B2708" s="2" t="s">
        <v>36</v>
      </c>
      <c r="C2708" s="2">
        <v>4</v>
      </c>
      <c r="D2708" s="2">
        <f t="shared" si="168"/>
        <v>2025</v>
      </c>
      <c r="E2708" s="2" t="str">
        <f t="shared" si="169"/>
        <v>2025-44</v>
      </c>
      <c r="F2708" s="2" t="str">
        <f t="shared" si="170"/>
        <v>Week 44</v>
      </c>
      <c r="G2708" s="2" t="str">
        <f t="shared" si="171"/>
        <v>Week 44-2025</v>
      </c>
      <c r="O2708"/>
      <c r="Q2708"/>
    </row>
    <row r="2709" spans="1:17" hidden="1" x14ac:dyDescent="0.2">
      <c r="A2709" s="3">
        <v>45958</v>
      </c>
      <c r="B2709" s="2" t="s">
        <v>30</v>
      </c>
      <c r="C2709" s="2">
        <v>2</v>
      </c>
      <c r="D2709" s="2">
        <f t="shared" si="168"/>
        <v>2025</v>
      </c>
      <c r="E2709" s="2" t="str">
        <f t="shared" si="169"/>
        <v>2025-44</v>
      </c>
      <c r="F2709" s="2" t="str">
        <f t="shared" si="170"/>
        <v>Week 44</v>
      </c>
      <c r="G2709" s="2" t="str">
        <f t="shared" si="171"/>
        <v>Week 44-2025</v>
      </c>
      <c r="O2709"/>
      <c r="Q2709"/>
    </row>
    <row r="2710" spans="1:17" hidden="1" x14ac:dyDescent="0.2">
      <c r="A2710" s="3">
        <v>45958</v>
      </c>
      <c r="B2710" s="2" t="s">
        <v>15</v>
      </c>
      <c r="C2710" s="2">
        <v>2</v>
      </c>
      <c r="D2710" s="2">
        <f t="shared" si="168"/>
        <v>2025</v>
      </c>
      <c r="E2710" s="2" t="str">
        <f t="shared" si="169"/>
        <v>2025-44</v>
      </c>
      <c r="F2710" s="2" t="str">
        <f t="shared" si="170"/>
        <v>Week 44</v>
      </c>
      <c r="G2710" s="2" t="str">
        <f t="shared" si="171"/>
        <v>Week 44-2025</v>
      </c>
      <c r="O2710"/>
      <c r="Q2710"/>
    </row>
    <row r="2711" spans="1:17" hidden="1" x14ac:dyDescent="0.2">
      <c r="A2711" s="3">
        <v>45958</v>
      </c>
      <c r="B2711" s="2" t="s">
        <v>28</v>
      </c>
      <c r="C2711" s="2">
        <v>1</v>
      </c>
      <c r="D2711" s="2">
        <f t="shared" si="168"/>
        <v>2025</v>
      </c>
      <c r="E2711" s="2" t="str">
        <f t="shared" si="169"/>
        <v>2025-44</v>
      </c>
      <c r="F2711" s="2" t="str">
        <f t="shared" si="170"/>
        <v>Week 44</v>
      </c>
      <c r="G2711" s="2" t="str">
        <f t="shared" si="171"/>
        <v>Week 44-2025</v>
      </c>
      <c r="O2711"/>
      <c r="Q2711"/>
    </row>
    <row r="2712" spans="1:17" hidden="1" x14ac:dyDescent="0.2">
      <c r="A2712" s="3">
        <v>45960</v>
      </c>
      <c r="B2712" s="2" t="s">
        <v>19</v>
      </c>
      <c r="C2712" s="2">
        <v>6</v>
      </c>
      <c r="D2712" s="2">
        <f t="shared" si="168"/>
        <v>2025</v>
      </c>
      <c r="E2712" s="2" t="str">
        <f t="shared" si="169"/>
        <v>2025-44</v>
      </c>
      <c r="F2712" s="2" t="str">
        <f t="shared" si="170"/>
        <v>Week 44</v>
      </c>
      <c r="G2712" s="2" t="str">
        <f t="shared" si="171"/>
        <v>Week 44-2025</v>
      </c>
      <c r="O2712"/>
      <c r="Q2712"/>
    </row>
    <row r="2713" spans="1:17" hidden="1" x14ac:dyDescent="0.2">
      <c r="A2713" s="3">
        <v>45960</v>
      </c>
      <c r="B2713" s="2" t="s">
        <v>41</v>
      </c>
      <c r="C2713" s="2">
        <v>4</v>
      </c>
      <c r="D2713" s="2">
        <f t="shared" si="168"/>
        <v>2025</v>
      </c>
      <c r="E2713" s="2" t="str">
        <f t="shared" si="169"/>
        <v>2025-44</v>
      </c>
      <c r="F2713" s="2" t="str">
        <f t="shared" si="170"/>
        <v>Week 44</v>
      </c>
      <c r="G2713" s="2" t="str">
        <f t="shared" si="171"/>
        <v>Week 44-2025</v>
      </c>
      <c r="O2713"/>
      <c r="Q2713"/>
    </row>
    <row r="2714" spans="1:17" hidden="1" x14ac:dyDescent="0.2">
      <c r="A2714" s="3">
        <v>45960</v>
      </c>
      <c r="B2714" s="2" t="s">
        <v>31</v>
      </c>
      <c r="C2714" s="2">
        <v>8</v>
      </c>
      <c r="D2714" s="2">
        <f t="shared" si="168"/>
        <v>2025</v>
      </c>
      <c r="E2714" s="2" t="str">
        <f t="shared" si="169"/>
        <v>2025-44</v>
      </c>
      <c r="F2714" s="2" t="str">
        <f t="shared" si="170"/>
        <v>Week 44</v>
      </c>
      <c r="G2714" s="2" t="str">
        <f t="shared" si="171"/>
        <v>Week 44-2025</v>
      </c>
      <c r="O2714"/>
      <c r="Q2714"/>
    </row>
    <row r="2715" spans="1:17" hidden="1" x14ac:dyDescent="0.2">
      <c r="A2715" s="3">
        <v>45960</v>
      </c>
      <c r="B2715" s="2" t="s">
        <v>13</v>
      </c>
      <c r="C2715" s="2">
        <v>4</v>
      </c>
      <c r="D2715" s="2">
        <f t="shared" si="168"/>
        <v>2025</v>
      </c>
      <c r="E2715" s="2" t="str">
        <f t="shared" si="169"/>
        <v>2025-44</v>
      </c>
      <c r="F2715" s="2" t="str">
        <f t="shared" si="170"/>
        <v>Week 44</v>
      </c>
      <c r="G2715" s="2" t="str">
        <f t="shared" si="171"/>
        <v>Week 44-2025</v>
      </c>
      <c r="O2715"/>
      <c r="Q2715"/>
    </row>
    <row r="2716" spans="1:17" hidden="1" x14ac:dyDescent="0.2">
      <c r="A2716" s="3">
        <v>45960</v>
      </c>
      <c r="B2716" s="2" t="s">
        <v>12</v>
      </c>
      <c r="C2716" s="2">
        <v>2</v>
      </c>
      <c r="D2716" s="2">
        <f t="shared" si="168"/>
        <v>2025</v>
      </c>
      <c r="E2716" s="2" t="str">
        <f t="shared" si="169"/>
        <v>2025-44</v>
      </c>
      <c r="F2716" s="2" t="str">
        <f t="shared" si="170"/>
        <v>Week 44</v>
      </c>
      <c r="G2716" s="2" t="str">
        <f t="shared" si="171"/>
        <v>Week 44-2025</v>
      </c>
      <c r="O2716"/>
      <c r="Q2716"/>
    </row>
    <row r="2717" spans="1:17" hidden="1" x14ac:dyDescent="0.2">
      <c r="A2717" s="3">
        <v>45960</v>
      </c>
      <c r="B2717" s="2" t="s">
        <v>12</v>
      </c>
      <c r="C2717" s="2">
        <v>2</v>
      </c>
      <c r="D2717" s="2">
        <f t="shared" si="168"/>
        <v>2025</v>
      </c>
      <c r="E2717" s="2" t="str">
        <f t="shared" si="169"/>
        <v>2025-44</v>
      </c>
      <c r="F2717" s="2" t="str">
        <f t="shared" si="170"/>
        <v>Week 44</v>
      </c>
      <c r="G2717" s="2" t="str">
        <f t="shared" si="171"/>
        <v>Week 44-2025</v>
      </c>
      <c r="O2717"/>
      <c r="Q2717"/>
    </row>
    <row r="2718" spans="1:17" hidden="1" x14ac:dyDescent="0.2">
      <c r="A2718" s="3">
        <v>45960</v>
      </c>
      <c r="B2718" s="2" t="s">
        <v>15</v>
      </c>
      <c r="C2718" s="2">
        <v>6</v>
      </c>
      <c r="D2718" s="2">
        <f t="shared" si="168"/>
        <v>2025</v>
      </c>
      <c r="E2718" s="2" t="str">
        <f t="shared" si="169"/>
        <v>2025-44</v>
      </c>
      <c r="F2718" s="2" t="str">
        <f t="shared" si="170"/>
        <v>Week 44</v>
      </c>
      <c r="G2718" s="2" t="str">
        <f t="shared" si="171"/>
        <v>Week 44-2025</v>
      </c>
      <c r="O2718"/>
      <c r="Q2718"/>
    </row>
    <row r="2719" spans="1:17" hidden="1" x14ac:dyDescent="0.2">
      <c r="A2719" s="3">
        <v>45961</v>
      </c>
      <c r="B2719" s="2" t="s">
        <v>5</v>
      </c>
      <c r="C2719" s="2">
        <v>15</v>
      </c>
      <c r="D2719" s="2">
        <f t="shared" si="168"/>
        <v>2025</v>
      </c>
      <c r="E2719" s="2" t="str">
        <f t="shared" si="169"/>
        <v>2025-44</v>
      </c>
      <c r="F2719" s="2" t="str">
        <f t="shared" si="170"/>
        <v>Week 44</v>
      </c>
      <c r="G2719" s="2" t="str">
        <f t="shared" si="171"/>
        <v>Week 44-2025</v>
      </c>
      <c r="O2719"/>
      <c r="Q2719"/>
    </row>
    <row r="2720" spans="1:17" hidden="1" x14ac:dyDescent="0.2">
      <c r="A2720" s="3">
        <v>45961</v>
      </c>
      <c r="B2720" s="2" t="s">
        <v>14</v>
      </c>
      <c r="C2720" s="2">
        <v>20</v>
      </c>
      <c r="D2720" s="2">
        <f t="shared" si="168"/>
        <v>2025</v>
      </c>
      <c r="E2720" s="2" t="str">
        <f t="shared" si="169"/>
        <v>2025-44</v>
      </c>
      <c r="F2720" s="2" t="str">
        <f t="shared" si="170"/>
        <v>Week 44</v>
      </c>
      <c r="G2720" s="2" t="str">
        <f t="shared" si="171"/>
        <v>Week 44-2025</v>
      </c>
      <c r="O2720"/>
      <c r="Q2720"/>
    </row>
    <row r="2721" spans="1:17" hidden="1" x14ac:dyDescent="0.2">
      <c r="A2721" s="3">
        <v>45961</v>
      </c>
      <c r="B2721" s="2" t="s">
        <v>5</v>
      </c>
      <c r="C2721" s="2">
        <v>9</v>
      </c>
      <c r="D2721" s="2">
        <f t="shared" si="168"/>
        <v>2025</v>
      </c>
      <c r="E2721" s="2" t="str">
        <f t="shared" si="169"/>
        <v>2025-44</v>
      </c>
      <c r="F2721" s="2" t="str">
        <f t="shared" si="170"/>
        <v>Week 44</v>
      </c>
      <c r="G2721" s="2" t="str">
        <f t="shared" si="171"/>
        <v>Week 44-2025</v>
      </c>
      <c r="O2721"/>
      <c r="Q2721"/>
    </row>
    <row r="2722" spans="1:17" hidden="1" x14ac:dyDescent="0.2">
      <c r="A2722" s="3">
        <v>45961</v>
      </c>
      <c r="B2722" s="2" t="s">
        <v>5</v>
      </c>
      <c r="C2722" s="2">
        <v>9</v>
      </c>
      <c r="D2722" s="2">
        <f t="shared" si="168"/>
        <v>2025</v>
      </c>
      <c r="E2722" s="2" t="str">
        <f t="shared" si="169"/>
        <v>2025-44</v>
      </c>
      <c r="F2722" s="2" t="str">
        <f t="shared" si="170"/>
        <v>Week 44</v>
      </c>
      <c r="G2722" s="2" t="str">
        <f t="shared" si="171"/>
        <v>Week 44-2025</v>
      </c>
      <c r="O2722"/>
      <c r="Q2722"/>
    </row>
    <row r="2723" spans="1:17" hidden="1" x14ac:dyDescent="0.2">
      <c r="A2723" s="3">
        <v>45961</v>
      </c>
      <c r="B2723" s="2" t="s">
        <v>5</v>
      </c>
      <c r="C2723" s="2">
        <v>7</v>
      </c>
      <c r="D2723" s="2">
        <f t="shared" si="168"/>
        <v>2025</v>
      </c>
      <c r="E2723" s="2" t="str">
        <f t="shared" si="169"/>
        <v>2025-44</v>
      </c>
      <c r="F2723" s="2" t="str">
        <f t="shared" si="170"/>
        <v>Week 44</v>
      </c>
      <c r="G2723" s="2" t="str">
        <f t="shared" si="171"/>
        <v>Week 44-2025</v>
      </c>
      <c r="O2723"/>
      <c r="Q2723"/>
    </row>
    <row r="2724" spans="1:17" hidden="1" x14ac:dyDescent="0.2">
      <c r="A2724" s="3">
        <v>45961</v>
      </c>
      <c r="B2724" s="2" t="s">
        <v>5</v>
      </c>
      <c r="C2724" s="2">
        <v>8</v>
      </c>
      <c r="D2724" s="2">
        <f t="shared" si="168"/>
        <v>2025</v>
      </c>
      <c r="E2724" s="2" t="str">
        <f t="shared" si="169"/>
        <v>2025-44</v>
      </c>
      <c r="F2724" s="2" t="str">
        <f t="shared" si="170"/>
        <v>Week 44</v>
      </c>
      <c r="G2724" s="2" t="str">
        <f t="shared" si="171"/>
        <v>Week 44-2025</v>
      </c>
      <c r="O2724"/>
      <c r="Q2724"/>
    </row>
    <row r="2725" spans="1:17" hidden="1" x14ac:dyDescent="0.2">
      <c r="A2725" s="3">
        <v>45961</v>
      </c>
      <c r="B2725" s="2" t="s">
        <v>4</v>
      </c>
      <c r="C2725" s="2">
        <v>4</v>
      </c>
      <c r="D2725" s="2">
        <f t="shared" si="168"/>
        <v>2025</v>
      </c>
      <c r="E2725" s="2" t="str">
        <f t="shared" si="169"/>
        <v>2025-44</v>
      </c>
      <c r="F2725" s="2" t="str">
        <f t="shared" si="170"/>
        <v>Week 44</v>
      </c>
      <c r="G2725" s="2" t="str">
        <f t="shared" si="171"/>
        <v>Week 44-2025</v>
      </c>
      <c r="O2725"/>
      <c r="Q2725"/>
    </row>
    <row r="2726" spans="1:17" hidden="1" x14ac:dyDescent="0.2">
      <c r="A2726" s="3">
        <v>45961</v>
      </c>
      <c r="B2726" s="2" t="s">
        <v>38</v>
      </c>
      <c r="C2726" s="2">
        <v>8</v>
      </c>
      <c r="D2726" s="2">
        <f t="shared" si="168"/>
        <v>2025</v>
      </c>
      <c r="E2726" s="2" t="str">
        <f t="shared" si="169"/>
        <v>2025-44</v>
      </c>
      <c r="F2726" s="2" t="str">
        <f t="shared" si="170"/>
        <v>Week 44</v>
      </c>
      <c r="G2726" s="2" t="str">
        <f t="shared" si="171"/>
        <v>Week 44-2025</v>
      </c>
      <c r="O2726"/>
      <c r="Q2726"/>
    </row>
    <row r="2727" spans="1:17" hidden="1" x14ac:dyDescent="0.2">
      <c r="A2727" s="3">
        <v>45961</v>
      </c>
      <c r="B2727" s="2" t="s">
        <v>3</v>
      </c>
      <c r="C2727" s="2">
        <v>4</v>
      </c>
      <c r="D2727" s="2">
        <f t="shared" si="168"/>
        <v>2025</v>
      </c>
      <c r="E2727" s="2" t="str">
        <f t="shared" si="169"/>
        <v>2025-44</v>
      </c>
      <c r="F2727" s="2" t="str">
        <f t="shared" si="170"/>
        <v>Week 44</v>
      </c>
      <c r="G2727" s="2" t="str">
        <f t="shared" si="171"/>
        <v>Week 44-2025</v>
      </c>
      <c r="O2727"/>
      <c r="Q2727"/>
    </row>
    <row r="2728" spans="1:17" hidden="1" x14ac:dyDescent="0.2">
      <c r="A2728" s="3">
        <v>45961</v>
      </c>
      <c r="B2728" s="2" t="s">
        <v>3</v>
      </c>
      <c r="C2728" s="2">
        <v>4</v>
      </c>
      <c r="D2728" s="2">
        <f t="shared" si="168"/>
        <v>2025</v>
      </c>
      <c r="E2728" s="2" t="str">
        <f t="shared" si="169"/>
        <v>2025-44</v>
      </c>
      <c r="F2728" s="2" t="str">
        <f t="shared" si="170"/>
        <v>Week 44</v>
      </c>
      <c r="G2728" s="2" t="str">
        <f t="shared" si="171"/>
        <v>Week 44-2025</v>
      </c>
      <c r="O2728"/>
      <c r="Q2728"/>
    </row>
    <row r="2729" spans="1:17" hidden="1" x14ac:dyDescent="0.2">
      <c r="A2729" s="3">
        <v>45961</v>
      </c>
      <c r="B2729" s="2" t="s">
        <v>5</v>
      </c>
      <c r="C2729" s="2">
        <v>4</v>
      </c>
      <c r="D2729" s="2">
        <f t="shared" si="168"/>
        <v>2025</v>
      </c>
      <c r="E2729" s="2" t="str">
        <f t="shared" si="169"/>
        <v>2025-44</v>
      </c>
      <c r="F2729" s="2" t="str">
        <f t="shared" si="170"/>
        <v>Week 44</v>
      </c>
      <c r="G2729" s="2" t="str">
        <f t="shared" si="171"/>
        <v>Week 44-2025</v>
      </c>
      <c r="O2729"/>
      <c r="Q2729"/>
    </row>
    <row r="2730" spans="1:17" hidden="1" x14ac:dyDescent="0.2">
      <c r="A2730" s="3">
        <v>45961</v>
      </c>
      <c r="B2730" s="2" t="s">
        <v>19</v>
      </c>
      <c r="C2730" s="2">
        <v>2</v>
      </c>
      <c r="D2730" s="2">
        <f t="shared" si="168"/>
        <v>2025</v>
      </c>
      <c r="E2730" s="2" t="str">
        <f t="shared" si="169"/>
        <v>2025-44</v>
      </c>
      <c r="F2730" s="2" t="str">
        <f t="shared" si="170"/>
        <v>Week 44</v>
      </c>
      <c r="G2730" s="2" t="str">
        <f t="shared" si="171"/>
        <v>Week 44-2025</v>
      </c>
      <c r="O2730"/>
      <c r="Q2730"/>
    </row>
    <row r="2731" spans="1:17" hidden="1" x14ac:dyDescent="0.2">
      <c r="A2731" s="3">
        <v>45961</v>
      </c>
      <c r="B2731" s="2" t="s">
        <v>10</v>
      </c>
      <c r="C2731" s="2">
        <v>4</v>
      </c>
      <c r="D2731" s="2">
        <f t="shared" si="168"/>
        <v>2025</v>
      </c>
      <c r="E2731" s="2" t="str">
        <f t="shared" si="169"/>
        <v>2025-44</v>
      </c>
      <c r="F2731" s="2" t="str">
        <f t="shared" si="170"/>
        <v>Week 44</v>
      </c>
      <c r="G2731" s="2" t="str">
        <f t="shared" si="171"/>
        <v>Week 44-2025</v>
      </c>
      <c r="O2731"/>
      <c r="Q2731"/>
    </row>
    <row r="2732" spans="1:17" hidden="1" x14ac:dyDescent="0.2">
      <c r="A2732" s="3">
        <v>45961</v>
      </c>
      <c r="B2732" s="2" t="s">
        <v>9</v>
      </c>
      <c r="C2732" s="2">
        <v>2</v>
      </c>
      <c r="D2732" s="2">
        <f t="shared" si="168"/>
        <v>2025</v>
      </c>
      <c r="E2732" s="2" t="str">
        <f t="shared" si="169"/>
        <v>2025-44</v>
      </c>
      <c r="F2732" s="2" t="str">
        <f t="shared" si="170"/>
        <v>Week 44</v>
      </c>
      <c r="G2732" s="2" t="str">
        <f t="shared" si="171"/>
        <v>Week 44-2025</v>
      </c>
      <c r="O2732"/>
      <c r="Q2732"/>
    </row>
    <row r="2733" spans="1:17" hidden="1" x14ac:dyDescent="0.2">
      <c r="A2733" s="3">
        <v>45961</v>
      </c>
      <c r="B2733" s="2" t="s">
        <v>8</v>
      </c>
      <c r="C2733" s="2">
        <v>4</v>
      </c>
      <c r="D2733" s="2">
        <f t="shared" si="168"/>
        <v>2025</v>
      </c>
      <c r="E2733" s="2" t="str">
        <f t="shared" si="169"/>
        <v>2025-44</v>
      </c>
      <c r="F2733" s="2" t="str">
        <f t="shared" si="170"/>
        <v>Week 44</v>
      </c>
      <c r="G2733" s="2" t="str">
        <f t="shared" si="171"/>
        <v>Week 44-2025</v>
      </c>
      <c r="O2733"/>
      <c r="Q2733"/>
    </row>
    <row r="2734" spans="1:17" hidden="1" x14ac:dyDescent="0.2">
      <c r="A2734" s="3">
        <v>45961</v>
      </c>
      <c r="B2734" s="2" t="s">
        <v>9</v>
      </c>
      <c r="C2734" s="2">
        <v>2</v>
      </c>
      <c r="D2734" s="2">
        <f t="shared" si="168"/>
        <v>2025</v>
      </c>
      <c r="E2734" s="2" t="str">
        <f t="shared" si="169"/>
        <v>2025-44</v>
      </c>
      <c r="F2734" s="2" t="str">
        <f t="shared" si="170"/>
        <v>Week 44</v>
      </c>
      <c r="G2734" s="2" t="str">
        <f t="shared" si="171"/>
        <v>Week 44-2025</v>
      </c>
      <c r="O2734"/>
      <c r="Q2734"/>
    </row>
    <row r="2735" spans="1:17" hidden="1" x14ac:dyDescent="0.2">
      <c r="A2735" s="3">
        <v>45961</v>
      </c>
      <c r="B2735" s="2" t="s">
        <v>17</v>
      </c>
      <c r="C2735" s="2">
        <v>2</v>
      </c>
      <c r="D2735" s="2">
        <f t="shared" si="168"/>
        <v>2025</v>
      </c>
      <c r="E2735" s="2" t="str">
        <f t="shared" si="169"/>
        <v>2025-44</v>
      </c>
      <c r="F2735" s="2" t="str">
        <f t="shared" si="170"/>
        <v>Week 44</v>
      </c>
      <c r="G2735" s="2" t="str">
        <f t="shared" si="171"/>
        <v>Week 44-2025</v>
      </c>
      <c r="O2735"/>
      <c r="Q2735"/>
    </row>
    <row r="2736" spans="1:17" hidden="1" x14ac:dyDescent="0.2">
      <c r="A2736" s="3">
        <v>45961</v>
      </c>
      <c r="B2736" s="2" t="s">
        <v>27</v>
      </c>
      <c r="C2736" s="2">
        <v>4</v>
      </c>
      <c r="D2736" s="2">
        <f t="shared" si="168"/>
        <v>2025</v>
      </c>
      <c r="E2736" s="2" t="str">
        <f t="shared" si="169"/>
        <v>2025-44</v>
      </c>
      <c r="F2736" s="2" t="str">
        <f t="shared" si="170"/>
        <v>Week 44</v>
      </c>
      <c r="G2736" s="2" t="str">
        <f t="shared" si="171"/>
        <v>Week 44-2025</v>
      </c>
      <c r="O2736"/>
      <c r="Q2736"/>
    </row>
    <row r="2737" spans="1:17" hidden="1" x14ac:dyDescent="0.2">
      <c r="A2737" s="3">
        <v>45961</v>
      </c>
      <c r="B2737" s="2" t="s">
        <v>36</v>
      </c>
      <c r="C2737" s="2">
        <v>3</v>
      </c>
      <c r="D2737" s="2">
        <f t="shared" si="168"/>
        <v>2025</v>
      </c>
      <c r="E2737" s="2" t="str">
        <f t="shared" si="169"/>
        <v>2025-44</v>
      </c>
      <c r="F2737" s="2" t="str">
        <f t="shared" si="170"/>
        <v>Week 44</v>
      </c>
      <c r="G2737" s="2" t="str">
        <f t="shared" si="171"/>
        <v>Week 44-2025</v>
      </c>
      <c r="O2737"/>
      <c r="Q2737"/>
    </row>
    <row r="2738" spans="1:17" hidden="1" x14ac:dyDescent="0.2">
      <c r="A2738" s="3">
        <v>45961</v>
      </c>
      <c r="B2738" s="2" t="s">
        <v>8</v>
      </c>
      <c r="C2738" s="2">
        <v>2</v>
      </c>
      <c r="D2738" s="2">
        <f t="shared" si="168"/>
        <v>2025</v>
      </c>
      <c r="E2738" s="2" t="str">
        <f t="shared" si="169"/>
        <v>2025-44</v>
      </c>
      <c r="F2738" s="2" t="str">
        <f t="shared" si="170"/>
        <v>Week 44</v>
      </c>
      <c r="G2738" s="2" t="str">
        <f t="shared" si="171"/>
        <v>Week 44-2025</v>
      </c>
      <c r="O2738"/>
      <c r="Q2738"/>
    </row>
    <row r="2739" spans="1:17" hidden="1" x14ac:dyDescent="0.2">
      <c r="A2739" s="3">
        <v>45961</v>
      </c>
      <c r="B2739" s="2" t="s">
        <v>15</v>
      </c>
      <c r="C2739" s="2">
        <v>2</v>
      </c>
      <c r="D2739" s="2">
        <f t="shared" si="168"/>
        <v>2025</v>
      </c>
      <c r="E2739" s="2" t="str">
        <f t="shared" si="169"/>
        <v>2025-44</v>
      </c>
      <c r="F2739" s="2" t="str">
        <f t="shared" si="170"/>
        <v>Week 44</v>
      </c>
      <c r="G2739" s="2" t="str">
        <f t="shared" si="171"/>
        <v>Week 44-2025</v>
      </c>
      <c r="O2739"/>
      <c r="Q2739"/>
    </row>
    <row r="2740" spans="1:17" hidden="1" x14ac:dyDescent="0.2">
      <c r="A2740" s="3">
        <v>45961</v>
      </c>
      <c r="B2740" s="2" t="s">
        <v>36</v>
      </c>
      <c r="C2740" s="2">
        <v>2</v>
      </c>
      <c r="D2740" s="2">
        <f t="shared" si="168"/>
        <v>2025</v>
      </c>
      <c r="E2740" s="2" t="str">
        <f t="shared" si="169"/>
        <v>2025-44</v>
      </c>
      <c r="F2740" s="2" t="str">
        <f t="shared" si="170"/>
        <v>Week 44</v>
      </c>
      <c r="G2740" s="2" t="str">
        <f t="shared" si="171"/>
        <v>Week 44-2025</v>
      </c>
      <c r="O2740"/>
      <c r="Q2740"/>
    </row>
    <row r="2741" spans="1:17" x14ac:dyDescent="0.2">
      <c r="A2741" s="3">
        <v>45961</v>
      </c>
      <c r="B2741" s="2" t="s">
        <v>24</v>
      </c>
      <c r="C2741" s="2">
        <v>2</v>
      </c>
      <c r="D2741" s="2">
        <f t="shared" si="168"/>
        <v>2025</v>
      </c>
      <c r="E2741" s="2" t="str">
        <f t="shared" si="169"/>
        <v>2025-44</v>
      </c>
      <c r="F2741" s="2" t="str">
        <f t="shared" si="170"/>
        <v>Week 44</v>
      </c>
      <c r="G2741" s="2" t="str">
        <f t="shared" si="171"/>
        <v>Week 44-2025</v>
      </c>
      <c r="O2741"/>
      <c r="Q2741"/>
    </row>
    <row r="2742" spans="1:17" hidden="1" x14ac:dyDescent="0.2">
      <c r="A2742" s="3">
        <v>45961</v>
      </c>
      <c r="B2742" s="2" t="s">
        <v>30</v>
      </c>
      <c r="C2742" s="2">
        <v>1</v>
      </c>
      <c r="D2742" s="2">
        <f t="shared" si="168"/>
        <v>2025</v>
      </c>
      <c r="E2742" s="2" t="str">
        <f t="shared" si="169"/>
        <v>2025-44</v>
      </c>
      <c r="F2742" s="2" t="str">
        <f t="shared" si="170"/>
        <v>Week 44</v>
      </c>
      <c r="G2742" s="2" t="str">
        <f t="shared" si="171"/>
        <v>Week 44-2025</v>
      </c>
      <c r="O2742"/>
      <c r="Q2742"/>
    </row>
    <row r="2743" spans="1:17" hidden="1" x14ac:dyDescent="0.2">
      <c r="A2743" s="3">
        <v>45961</v>
      </c>
      <c r="B2743" s="2" t="s">
        <v>36</v>
      </c>
      <c r="C2743" s="2">
        <v>1</v>
      </c>
      <c r="D2743" s="2">
        <f t="shared" si="168"/>
        <v>2025</v>
      </c>
      <c r="E2743" s="2" t="str">
        <f t="shared" si="169"/>
        <v>2025-44</v>
      </c>
      <c r="F2743" s="2" t="str">
        <f t="shared" si="170"/>
        <v>Week 44</v>
      </c>
      <c r="G2743" s="2" t="str">
        <f t="shared" si="171"/>
        <v>Week 44-2025</v>
      </c>
      <c r="O2743"/>
      <c r="Q2743"/>
    </row>
    <row r="2744" spans="1:17" hidden="1" x14ac:dyDescent="0.2">
      <c r="A2744" s="3">
        <v>45963</v>
      </c>
      <c r="B2744" s="2" t="s">
        <v>9</v>
      </c>
      <c r="C2744" s="2">
        <v>12</v>
      </c>
      <c r="D2744" s="2">
        <f t="shared" si="168"/>
        <v>2025</v>
      </c>
      <c r="E2744" s="2" t="str">
        <f t="shared" si="169"/>
        <v>2025-44</v>
      </c>
      <c r="F2744" s="2" t="str">
        <f t="shared" si="170"/>
        <v>Week 45</v>
      </c>
      <c r="G2744" s="2" t="str">
        <f t="shared" si="171"/>
        <v>Week 45-2025</v>
      </c>
      <c r="O2744"/>
      <c r="Q2744"/>
    </row>
    <row r="2745" spans="1:17" hidden="1" x14ac:dyDescent="0.2">
      <c r="A2745" s="3">
        <v>45963</v>
      </c>
      <c r="B2745" s="2" t="s">
        <v>3</v>
      </c>
      <c r="C2745" s="2">
        <v>8</v>
      </c>
      <c r="D2745" s="2">
        <f t="shared" si="168"/>
        <v>2025</v>
      </c>
      <c r="E2745" s="2" t="str">
        <f t="shared" si="169"/>
        <v>2025-44</v>
      </c>
      <c r="F2745" s="2" t="str">
        <f t="shared" si="170"/>
        <v>Week 45</v>
      </c>
      <c r="G2745" s="2" t="str">
        <f t="shared" si="171"/>
        <v>Week 45-2025</v>
      </c>
      <c r="O2745"/>
      <c r="Q2745"/>
    </row>
    <row r="2746" spans="1:17" hidden="1" x14ac:dyDescent="0.2">
      <c r="A2746" s="3">
        <v>45963</v>
      </c>
      <c r="B2746" s="2" t="s">
        <v>7</v>
      </c>
      <c r="C2746" s="2">
        <v>4</v>
      </c>
      <c r="D2746" s="2">
        <f t="shared" si="168"/>
        <v>2025</v>
      </c>
      <c r="E2746" s="2" t="str">
        <f t="shared" si="169"/>
        <v>2025-44</v>
      </c>
      <c r="F2746" s="2" t="str">
        <f t="shared" si="170"/>
        <v>Week 45</v>
      </c>
      <c r="G2746" s="2" t="str">
        <f t="shared" si="171"/>
        <v>Week 45-2025</v>
      </c>
      <c r="O2746"/>
      <c r="Q2746"/>
    </row>
    <row r="2747" spans="1:17" hidden="1" x14ac:dyDescent="0.2">
      <c r="A2747" s="3">
        <v>45963</v>
      </c>
      <c r="B2747" s="2" t="s">
        <v>8</v>
      </c>
      <c r="C2747" s="2">
        <v>6</v>
      </c>
      <c r="D2747" s="2">
        <f t="shared" si="168"/>
        <v>2025</v>
      </c>
      <c r="E2747" s="2" t="str">
        <f t="shared" si="169"/>
        <v>2025-44</v>
      </c>
      <c r="F2747" s="2" t="str">
        <f t="shared" si="170"/>
        <v>Week 45</v>
      </c>
      <c r="G2747" s="2" t="str">
        <f t="shared" si="171"/>
        <v>Week 45-2025</v>
      </c>
      <c r="O2747"/>
      <c r="Q2747"/>
    </row>
    <row r="2748" spans="1:17" hidden="1" x14ac:dyDescent="0.2">
      <c r="A2748" s="3">
        <v>45964</v>
      </c>
      <c r="B2748" s="2" t="s">
        <v>7</v>
      </c>
      <c r="C2748" s="2">
        <v>16</v>
      </c>
      <c r="D2748" s="2">
        <f t="shared" si="168"/>
        <v>2025</v>
      </c>
      <c r="E2748" s="2" t="str">
        <f t="shared" si="169"/>
        <v>2025-45</v>
      </c>
      <c r="F2748" s="2" t="str">
        <f t="shared" si="170"/>
        <v>Week 45</v>
      </c>
      <c r="G2748" s="2" t="str">
        <f t="shared" si="171"/>
        <v>Week 45-2025</v>
      </c>
      <c r="O2748"/>
      <c r="Q2748"/>
    </row>
    <row r="2749" spans="1:17" hidden="1" x14ac:dyDescent="0.2">
      <c r="A2749" s="3">
        <v>45964</v>
      </c>
      <c r="B2749" s="2" t="s">
        <v>5</v>
      </c>
      <c r="C2749" s="2">
        <v>22</v>
      </c>
      <c r="D2749" s="2">
        <f t="shared" si="168"/>
        <v>2025</v>
      </c>
      <c r="E2749" s="2" t="str">
        <f t="shared" si="169"/>
        <v>2025-45</v>
      </c>
      <c r="F2749" s="2" t="str">
        <f t="shared" si="170"/>
        <v>Week 45</v>
      </c>
      <c r="G2749" s="2" t="str">
        <f t="shared" si="171"/>
        <v>Week 45-2025</v>
      </c>
      <c r="O2749"/>
      <c r="Q2749"/>
    </row>
    <row r="2750" spans="1:17" hidden="1" x14ac:dyDescent="0.2">
      <c r="A2750" s="3">
        <v>45964</v>
      </c>
      <c r="B2750" s="2" t="s">
        <v>5</v>
      </c>
      <c r="C2750" s="2">
        <v>12</v>
      </c>
      <c r="D2750" s="2">
        <f t="shared" si="168"/>
        <v>2025</v>
      </c>
      <c r="E2750" s="2" t="str">
        <f t="shared" si="169"/>
        <v>2025-45</v>
      </c>
      <c r="F2750" s="2" t="str">
        <f t="shared" si="170"/>
        <v>Week 45</v>
      </c>
      <c r="G2750" s="2" t="str">
        <f t="shared" si="171"/>
        <v>Week 45-2025</v>
      </c>
      <c r="O2750"/>
      <c r="Q2750"/>
    </row>
    <row r="2751" spans="1:17" hidden="1" x14ac:dyDescent="0.2">
      <c r="A2751" s="3">
        <v>45964</v>
      </c>
      <c r="B2751" s="2" t="s">
        <v>4</v>
      </c>
      <c r="C2751" s="2">
        <v>8</v>
      </c>
      <c r="D2751" s="2">
        <f t="shared" si="168"/>
        <v>2025</v>
      </c>
      <c r="E2751" s="2" t="str">
        <f t="shared" si="169"/>
        <v>2025-45</v>
      </c>
      <c r="F2751" s="2" t="str">
        <f t="shared" si="170"/>
        <v>Week 45</v>
      </c>
      <c r="G2751" s="2" t="str">
        <f t="shared" si="171"/>
        <v>Week 45-2025</v>
      </c>
      <c r="O2751"/>
      <c r="Q2751"/>
    </row>
    <row r="2752" spans="1:17" hidden="1" x14ac:dyDescent="0.2">
      <c r="A2752" s="3">
        <v>45964</v>
      </c>
      <c r="B2752" s="2" t="s">
        <v>18</v>
      </c>
      <c r="C2752" s="2">
        <v>4</v>
      </c>
      <c r="D2752" s="2">
        <f t="shared" si="168"/>
        <v>2025</v>
      </c>
      <c r="E2752" s="2" t="str">
        <f t="shared" si="169"/>
        <v>2025-45</v>
      </c>
      <c r="F2752" s="2" t="str">
        <f t="shared" si="170"/>
        <v>Week 45</v>
      </c>
      <c r="G2752" s="2" t="str">
        <f t="shared" si="171"/>
        <v>Week 45-2025</v>
      </c>
      <c r="O2752"/>
      <c r="Q2752"/>
    </row>
    <row r="2753" spans="1:17" hidden="1" x14ac:dyDescent="0.2">
      <c r="A2753" s="3">
        <v>45964</v>
      </c>
      <c r="B2753" s="2" t="s">
        <v>3</v>
      </c>
      <c r="C2753" s="2">
        <v>6</v>
      </c>
      <c r="D2753" s="2">
        <f t="shared" si="168"/>
        <v>2025</v>
      </c>
      <c r="E2753" s="2" t="str">
        <f t="shared" si="169"/>
        <v>2025-45</v>
      </c>
      <c r="F2753" s="2" t="str">
        <f t="shared" si="170"/>
        <v>Week 45</v>
      </c>
      <c r="G2753" s="2" t="str">
        <f t="shared" si="171"/>
        <v>Week 45-2025</v>
      </c>
      <c r="O2753"/>
      <c r="Q2753"/>
    </row>
    <row r="2754" spans="1:17" hidden="1" x14ac:dyDescent="0.2">
      <c r="A2754" s="3">
        <v>45964</v>
      </c>
      <c r="B2754" s="2" t="s">
        <v>4</v>
      </c>
      <c r="C2754" s="2">
        <v>4</v>
      </c>
      <c r="D2754" s="2">
        <f t="shared" ref="D2754:D2817" si="172">YEAR(A2754)</f>
        <v>2025</v>
      </c>
      <c r="E2754" s="2" t="str">
        <f t="shared" ref="E2754:E2817" si="173">YEAR(A2754)&amp;"-"&amp;_xlfn.ISOWEEKNUM(A2754)</f>
        <v>2025-45</v>
      </c>
      <c r="F2754" s="2" t="str">
        <f t="shared" ref="F2754:F2817" si="174">_xlfn.CONCAT("Week "&amp;WEEKNUM(A2754))</f>
        <v>Week 45</v>
      </c>
      <c r="G2754" s="2" t="str">
        <f t="shared" ref="G2754:G2817" si="175">_xlfn.CONCAT(F2754,"-",D2754)</f>
        <v>Week 45-2025</v>
      </c>
      <c r="O2754"/>
      <c r="Q2754"/>
    </row>
    <row r="2755" spans="1:17" hidden="1" x14ac:dyDescent="0.2">
      <c r="A2755" s="3">
        <v>45964</v>
      </c>
      <c r="B2755" s="2" t="s">
        <v>9</v>
      </c>
      <c r="C2755" s="2">
        <v>4</v>
      </c>
      <c r="D2755" s="2">
        <f t="shared" si="172"/>
        <v>2025</v>
      </c>
      <c r="E2755" s="2" t="str">
        <f t="shared" si="173"/>
        <v>2025-45</v>
      </c>
      <c r="F2755" s="2" t="str">
        <f t="shared" si="174"/>
        <v>Week 45</v>
      </c>
      <c r="G2755" s="2" t="str">
        <f t="shared" si="175"/>
        <v>Week 45-2025</v>
      </c>
      <c r="O2755"/>
      <c r="Q2755"/>
    </row>
    <row r="2756" spans="1:17" hidden="1" x14ac:dyDescent="0.2">
      <c r="A2756" s="3">
        <v>45964</v>
      </c>
      <c r="B2756" s="2" t="s">
        <v>19</v>
      </c>
      <c r="C2756" s="2">
        <v>1</v>
      </c>
      <c r="D2756" s="2">
        <f t="shared" si="172"/>
        <v>2025</v>
      </c>
      <c r="E2756" s="2" t="str">
        <f t="shared" si="173"/>
        <v>2025-45</v>
      </c>
      <c r="F2756" s="2" t="str">
        <f t="shared" si="174"/>
        <v>Week 45</v>
      </c>
      <c r="G2756" s="2" t="str">
        <f t="shared" si="175"/>
        <v>Week 45-2025</v>
      </c>
      <c r="O2756"/>
      <c r="Q2756"/>
    </row>
    <row r="2757" spans="1:17" hidden="1" x14ac:dyDescent="0.2">
      <c r="A2757" s="3">
        <v>45964</v>
      </c>
      <c r="B2757" s="2" t="s">
        <v>29</v>
      </c>
      <c r="C2757" s="2">
        <v>1</v>
      </c>
      <c r="D2757" s="2">
        <f t="shared" si="172"/>
        <v>2025</v>
      </c>
      <c r="E2757" s="2" t="str">
        <f t="shared" si="173"/>
        <v>2025-45</v>
      </c>
      <c r="F2757" s="2" t="str">
        <f t="shared" si="174"/>
        <v>Week 45</v>
      </c>
      <c r="G2757" s="2" t="str">
        <f t="shared" si="175"/>
        <v>Week 45-2025</v>
      </c>
      <c r="O2757"/>
      <c r="Q2757"/>
    </row>
    <row r="2758" spans="1:17" hidden="1" x14ac:dyDescent="0.2">
      <c r="A2758" s="3">
        <v>45964</v>
      </c>
      <c r="B2758" s="2" t="s">
        <v>17</v>
      </c>
      <c r="C2758" s="2">
        <v>1</v>
      </c>
      <c r="D2758" s="2">
        <f t="shared" si="172"/>
        <v>2025</v>
      </c>
      <c r="E2758" s="2" t="str">
        <f t="shared" si="173"/>
        <v>2025-45</v>
      </c>
      <c r="F2758" s="2" t="str">
        <f t="shared" si="174"/>
        <v>Week 45</v>
      </c>
      <c r="G2758" s="2" t="str">
        <f t="shared" si="175"/>
        <v>Week 45-2025</v>
      </c>
      <c r="O2758"/>
      <c r="Q2758"/>
    </row>
    <row r="2759" spans="1:17" hidden="1" x14ac:dyDescent="0.2">
      <c r="A2759" s="3">
        <v>45965</v>
      </c>
      <c r="B2759" s="2" t="s">
        <v>4</v>
      </c>
      <c r="C2759" s="2">
        <v>12</v>
      </c>
      <c r="D2759" s="2">
        <f t="shared" si="172"/>
        <v>2025</v>
      </c>
      <c r="E2759" s="2" t="str">
        <f t="shared" si="173"/>
        <v>2025-45</v>
      </c>
      <c r="F2759" s="2" t="str">
        <f t="shared" si="174"/>
        <v>Week 45</v>
      </c>
      <c r="G2759" s="2" t="str">
        <f t="shared" si="175"/>
        <v>Week 45-2025</v>
      </c>
      <c r="O2759"/>
      <c r="Q2759"/>
    </row>
    <row r="2760" spans="1:17" hidden="1" x14ac:dyDescent="0.2">
      <c r="A2760" s="3">
        <v>45965</v>
      </c>
      <c r="B2760" s="2" t="s">
        <v>6</v>
      </c>
      <c r="C2760" s="2">
        <v>2</v>
      </c>
      <c r="D2760" s="2">
        <f t="shared" si="172"/>
        <v>2025</v>
      </c>
      <c r="E2760" s="2" t="str">
        <f t="shared" si="173"/>
        <v>2025-45</v>
      </c>
      <c r="F2760" s="2" t="str">
        <f t="shared" si="174"/>
        <v>Week 45</v>
      </c>
      <c r="G2760" s="2" t="str">
        <f t="shared" si="175"/>
        <v>Week 45-2025</v>
      </c>
      <c r="O2760"/>
      <c r="Q2760"/>
    </row>
    <row r="2761" spans="1:17" hidden="1" x14ac:dyDescent="0.2">
      <c r="A2761" s="3">
        <v>45965</v>
      </c>
      <c r="B2761" s="2" t="s">
        <v>7</v>
      </c>
      <c r="C2761" s="2">
        <v>2</v>
      </c>
      <c r="D2761" s="2">
        <f t="shared" si="172"/>
        <v>2025</v>
      </c>
      <c r="E2761" s="2" t="str">
        <f t="shared" si="173"/>
        <v>2025-45</v>
      </c>
      <c r="F2761" s="2" t="str">
        <f t="shared" si="174"/>
        <v>Week 45</v>
      </c>
      <c r="G2761" s="2" t="str">
        <f t="shared" si="175"/>
        <v>Week 45-2025</v>
      </c>
      <c r="O2761"/>
      <c r="Q2761"/>
    </row>
    <row r="2762" spans="1:17" hidden="1" x14ac:dyDescent="0.2">
      <c r="A2762" s="3">
        <v>45965</v>
      </c>
      <c r="B2762" s="2" t="s">
        <v>9</v>
      </c>
      <c r="C2762" s="2">
        <v>2</v>
      </c>
      <c r="D2762" s="2">
        <f t="shared" si="172"/>
        <v>2025</v>
      </c>
      <c r="E2762" s="2" t="str">
        <f t="shared" si="173"/>
        <v>2025-45</v>
      </c>
      <c r="F2762" s="2" t="str">
        <f t="shared" si="174"/>
        <v>Week 45</v>
      </c>
      <c r="G2762" s="2" t="str">
        <f t="shared" si="175"/>
        <v>Week 45-2025</v>
      </c>
      <c r="O2762"/>
      <c r="Q2762"/>
    </row>
    <row r="2763" spans="1:17" hidden="1" x14ac:dyDescent="0.2">
      <c r="A2763" s="3">
        <v>45965</v>
      </c>
      <c r="B2763" s="2" t="s">
        <v>10</v>
      </c>
      <c r="C2763" s="2">
        <v>2</v>
      </c>
      <c r="D2763" s="2">
        <f t="shared" si="172"/>
        <v>2025</v>
      </c>
      <c r="E2763" s="2" t="str">
        <f t="shared" si="173"/>
        <v>2025-45</v>
      </c>
      <c r="F2763" s="2" t="str">
        <f t="shared" si="174"/>
        <v>Week 45</v>
      </c>
      <c r="G2763" s="2" t="str">
        <f t="shared" si="175"/>
        <v>Week 45-2025</v>
      </c>
      <c r="O2763"/>
      <c r="Q2763"/>
    </row>
    <row r="2764" spans="1:17" hidden="1" x14ac:dyDescent="0.2">
      <c r="A2764" s="3">
        <v>45965</v>
      </c>
      <c r="B2764" s="2" t="s">
        <v>17</v>
      </c>
      <c r="C2764" s="2">
        <v>1</v>
      </c>
      <c r="D2764" s="2">
        <f t="shared" si="172"/>
        <v>2025</v>
      </c>
      <c r="E2764" s="2" t="str">
        <f t="shared" si="173"/>
        <v>2025-45</v>
      </c>
      <c r="F2764" s="2" t="str">
        <f t="shared" si="174"/>
        <v>Week 45</v>
      </c>
      <c r="G2764" s="2" t="str">
        <f t="shared" si="175"/>
        <v>Week 45-2025</v>
      </c>
      <c r="O2764"/>
      <c r="Q2764"/>
    </row>
    <row r="2765" spans="1:17" hidden="1" x14ac:dyDescent="0.2">
      <c r="A2765" s="3">
        <v>45965</v>
      </c>
      <c r="B2765" s="2" t="s">
        <v>14</v>
      </c>
      <c r="C2765" s="2">
        <v>1</v>
      </c>
      <c r="D2765" s="2">
        <f t="shared" si="172"/>
        <v>2025</v>
      </c>
      <c r="E2765" s="2" t="str">
        <f t="shared" si="173"/>
        <v>2025-45</v>
      </c>
      <c r="F2765" s="2" t="str">
        <f t="shared" si="174"/>
        <v>Week 45</v>
      </c>
      <c r="G2765" s="2" t="str">
        <f t="shared" si="175"/>
        <v>Week 45-2025</v>
      </c>
      <c r="O2765"/>
      <c r="Q2765"/>
    </row>
    <row r="2766" spans="1:17" hidden="1" x14ac:dyDescent="0.2">
      <c r="A2766" s="3">
        <v>45965</v>
      </c>
      <c r="B2766" s="2" t="s">
        <v>30</v>
      </c>
      <c r="C2766" s="2">
        <v>1</v>
      </c>
      <c r="D2766" s="2">
        <f t="shared" si="172"/>
        <v>2025</v>
      </c>
      <c r="E2766" s="2" t="str">
        <f t="shared" si="173"/>
        <v>2025-45</v>
      </c>
      <c r="F2766" s="2" t="str">
        <f t="shared" si="174"/>
        <v>Week 45</v>
      </c>
      <c r="G2766" s="2" t="str">
        <f t="shared" si="175"/>
        <v>Week 45-2025</v>
      </c>
      <c r="O2766"/>
      <c r="Q2766"/>
    </row>
    <row r="2767" spans="1:17" hidden="1" x14ac:dyDescent="0.2">
      <c r="A2767" s="3">
        <v>45966</v>
      </c>
      <c r="B2767" s="2" t="s">
        <v>7</v>
      </c>
      <c r="C2767" s="2">
        <v>24</v>
      </c>
      <c r="D2767" s="2">
        <f t="shared" si="172"/>
        <v>2025</v>
      </c>
      <c r="E2767" s="2" t="str">
        <f t="shared" si="173"/>
        <v>2025-45</v>
      </c>
      <c r="F2767" s="2" t="str">
        <f t="shared" si="174"/>
        <v>Week 45</v>
      </c>
      <c r="G2767" s="2" t="str">
        <f t="shared" si="175"/>
        <v>Week 45-2025</v>
      </c>
      <c r="O2767"/>
      <c r="Q2767"/>
    </row>
    <row r="2768" spans="1:17" hidden="1" x14ac:dyDescent="0.2">
      <c r="A2768" s="3">
        <v>45966</v>
      </c>
      <c r="B2768" s="2" t="s">
        <v>5</v>
      </c>
      <c r="C2768" s="2">
        <v>21</v>
      </c>
      <c r="D2768" s="2">
        <f t="shared" si="172"/>
        <v>2025</v>
      </c>
      <c r="E2768" s="2" t="str">
        <f t="shared" si="173"/>
        <v>2025-45</v>
      </c>
      <c r="F2768" s="2" t="str">
        <f t="shared" si="174"/>
        <v>Week 45</v>
      </c>
      <c r="G2768" s="2" t="str">
        <f t="shared" si="175"/>
        <v>Week 45-2025</v>
      </c>
      <c r="O2768"/>
      <c r="Q2768"/>
    </row>
    <row r="2769" spans="1:17" hidden="1" x14ac:dyDescent="0.2">
      <c r="A2769" s="3">
        <v>45966</v>
      </c>
      <c r="B2769" s="2" t="s">
        <v>5</v>
      </c>
      <c r="C2769" s="2">
        <v>16</v>
      </c>
      <c r="D2769" s="2">
        <f t="shared" si="172"/>
        <v>2025</v>
      </c>
      <c r="E2769" s="2" t="str">
        <f t="shared" si="173"/>
        <v>2025-45</v>
      </c>
      <c r="F2769" s="2" t="str">
        <f t="shared" si="174"/>
        <v>Week 45</v>
      </c>
      <c r="G2769" s="2" t="str">
        <f t="shared" si="175"/>
        <v>Week 45-2025</v>
      </c>
      <c r="O2769"/>
      <c r="Q2769"/>
    </row>
    <row r="2770" spans="1:17" hidden="1" x14ac:dyDescent="0.2">
      <c r="A2770" s="3">
        <v>45966</v>
      </c>
      <c r="B2770" s="2" t="s">
        <v>9</v>
      </c>
      <c r="C2770" s="2">
        <v>12</v>
      </c>
      <c r="D2770" s="2">
        <f t="shared" si="172"/>
        <v>2025</v>
      </c>
      <c r="E2770" s="2" t="str">
        <f t="shared" si="173"/>
        <v>2025-45</v>
      </c>
      <c r="F2770" s="2" t="str">
        <f t="shared" si="174"/>
        <v>Week 45</v>
      </c>
      <c r="G2770" s="2" t="str">
        <f t="shared" si="175"/>
        <v>Week 45-2025</v>
      </c>
      <c r="O2770"/>
      <c r="Q2770"/>
    </row>
    <row r="2771" spans="1:17" hidden="1" x14ac:dyDescent="0.2">
      <c r="A2771" s="3">
        <v>45966</v>
      </c>
      <c r="B2771" s="2" t="s">
        <v>18</v>
      </c>
      <c r="C2771" s="2">
        <v>8</v>
      </c>
      <c r="D2771" s="2">
        <f t="shared" si="172"/>
        <v>2025</v>
      </c>
      <c r="E2771" s="2" t="str">
        <f t="shared" si="173"/>
        <v>2025-45</v>
      </c>
      <c r="F2771" s="2" t="str">
        <f t="shared" si="174"/>
        <v>Week 45</v>
      </c>
      <c r="G2771" s="2" t="str">
        <f t="shared" si="175"/>
        <v>Week 45-2025</v>
      </c>
      <c r="O2771"/>
      <c r="Q2771"/>
    </row>
    <row r="2772" spans="1:17" hidden="1" x14ac:dyDescent="0.2">
      <c r="A2772" s="3">
        <v>45966</v>
      </c>
      <c r="B2772" s="2" t="s">
        <v>10</v>
      </c>
      <c r="C2772" s="2">
        <v>12</v>
      </c>
      <c r="D2772" s="2">
        <f t="shared" si="172"/>
        <v>2025</v>
      </c>
      <c r="E2772" s="2" t="str">
        <f t="shared" si="173"/>
        <v>2025-45</v>
      </c>
      <c r="F2772" s="2" t="str">
        <f t="shared" si="174"/>
        <v>Week 45</v>
      </c>
      <c r="G2772" s="2" t="str">
        <f t="shared" si="175"/>
        <v>Week 45-2025</v>
      </c>
      <c r="O2772"/>
      <c r="Q2772"/>
    </row>
    <row r="2773" spans="1:17" hidden="1" x14ac:dyDescent="0.2">
      <c r="A2773" s="3">
        <v>45966</v>
      </c>
      <c r="B2773" s="2" t="s">
        <v>18</v>
      </c>
      <c r="C2773" s="2">
        <v>5</v>
      </c>
      <c r="D2773" s="2">
        <f t="shared" si="172"/>
        <v>2025</v>
      </c>
      <c r="E2773" s="2" t="str">
        <f t="shared" si="173"/>
        <v>2025-45</v>
      </c>
      <c r="F2773" s="2" t="str">
        <f t="shared" si="174"/>
        <v>Week 45</v>
      </c>
      <c r="G2773" s="2" t="str">
        <f t="shared" si="175"/>
        <v>Week 45-2025</v>
      </c>
      <c r="O2773"/>
      <c r="Q2773"/>
    </row>
    <row r="2774" spans="1:17" hidden="1" x14ac:dyDescent="0.2">
      <c r="A2774" s="3">
        <v>45966</v>
      </c>
      <c r="B2774" s="2" t="s">
        <v>4</v>
      </c>
      <c r="C2774" s="2">
        <v>6</v>
      </c>
      <c r="D2774" s="2">
        <f t="shared" si="172"/>
        <v>2025</v>
      </c>
      <c r="E2774" s="2" t="str">
        <f t="shared" si="173"/>
        <v>2025-45</v>
      </c>
      <c r="F2774" s="2" t="str">
        <f t="shared" si="174"/>
        <v>Week 45</v>
      </c>
      <c r="G2774" s="2" t="str">
        <f t="shared" si="175"/>
        <v>Week 45-2025</v>
      </c>
      <c r="O2774"/>
      <c r="Q2774"/>
    </row>
    <row r="2775" spans="1:17" hidden="1" x14ac:dyDescent="0.2">
      <c r="A2775" s="3">
        <v>45966</v>
      </c>
      <c r="B2775" s="2" t="s">
        <v>18</v>
      </c>
      <c r="C2775" s="2">
        <v>4</v>
      </c>
      <c r="D2775" s="2">
        <f t="shared" si="172"/>
        <v>2025</v>
      </c>
      <c r="E2775" s="2" t="str">
        <f t="shared" si="173"/>
        <v>2025-45</v>
      </c>
      <c r="F2775" s="2" t="str">
        <f t="shared" si="174"/>
        <v>Week 45</v>
      </c>
      <c r="G2775" s="2" t="str">
        <f t="shared" si="175"/>
        <v>Week 45-2025</v>
      </c>
      <c r="O2775"/>
      <c r="Q2775"/>
    </row>
    <row r="2776" spans="1:17" hidden="1" x14ac:dyDescent="0.2">
      <c r="A2776" s="3">
        <v>45966</v>
      </c>
      <c r="B2776" s="2" t="s">
        <v>6</v>
      </c>
      <c r="C2776" s="2">
        <v>4</v>
      </c>
      <c r="D2776" s="2">
        <f t="shared" si="172"/>
        <v>2025</v>
      </c>
      <c r="E2776" s="2" t="str">
        <f t="shared" si="173"/>
        <v>2025-45</v>
      </c>
      <c r="F2776" s="2" t="str">
        <f t="shared" si="174"/>
        <v>Week 45</v>
      </c>
      <c r="G2776" s="2" t="str">
        <f t="shared" si="175"/>
        <v>Week 45-2025</v>
      </c>
      <c r="O2776"/>
      <c r="Q2776"/>
    </row>
    <row r="2777" spans="1:17" hidden="1" x14ac:dyDescent="0.2">
      <c r="A2777" s="3">
        <v>45966</v>
      </c>
      <c r="B2777" s="2" t="s">
        <v>19</v>
      </c>
      <c r="C2777" s="2">
        <v>4</v>
      </c>
      <c r="D2777" s="2">
        <f t="shared" si="172"/>
        <v>2025</v>
      </c>
      <c r="E2777" s="2" t="str">
        <f t="shared" si="173"/>
        <v>2025-45</v>
      </c>
      <c r="F2777" s="2" t="str">
        <f t="shared" si="174"/>
        <v>Week 45</v>
      </c>
      <c r="G2777" s="2" t="str">
        <f t="shared" si="175"/>
        <v>Week 45-2025</v>
      </c>
      <c r="O2777"/>
      <c r="Q2777"/>
    </row>
    <row r="2778" spans="1:17" hidden="1" x14ac:dyDescent="0.2">
      <c r="A2778" s="3">
        <v>45966</v>
      </c>
      <c r="B2778" s="2" t="s">
        <v>3</v>
      </c>
      <c r="C2778" s="2">
        <v>5</v>
      </c>
      <c r="D2778" s="2">
        <f t="shared" si="172"/>
        <v>2025</v>
      </c>
      <c r="E2778" s="2" t="str">
        <f t="shared" si="173"/>
        <v>2025-45</v>
      </c>
      <c r="F2778" s="2" t="str">
        <f t="shared" si="174"/>
        <v>Week 45</v>
      </c>
      <c r="G2778" s="2" t="str">
        <f t="shared" si="175"/>
        <v>Week 45-2025</v>
      </c>
      <c r="O2778"/>
      <c r="Q2778"/>
    </row>
    <row r="2779" spans="1:17" hidden="1" x14ac:dyDescent="0.2">
      <c r="A2779" s="3">
        <v>45966</v>
      </c>
      <c r="B2779" s="2" t="s">
        <v>3</v>
      </c>
      <c r="C2779" s="2">
        <v>4</v>
      </c>
      <c r="D2779" s="2">
        <f t="shared" si="172"/>
        <v>2025</v>
      </c>
      <c r="E2779" s="2" t="str">
        <f t="shared" si="173"/>
        <v>2025-45</v>
      </c>
      <c r="F2779" s="2" t="str">
        <f t="shared" si="174"/>
        <v>Week 45</v>
      </c>
      <c r="G2779" s="2" t="str">
        <f t="shared" si="175"/>
        <v>Week 45-2025</v>
      </c>
      <c r="O2779"/>
      <c r="Q2779"/>
    </row>
    <row r="2780" spans="1:17" hidden="1" x14ac:dyDescent="0.2">
      <c r="A2780" s="3">
        <v>45966</v>
      </c>
      <c r="B2780" s="2" t="s">
        <v>3</v>
      </c>
      <c r="C2780" s="2">
        <v>3</v>
      </c>
      <c r="D2780" s="2">
        <f t="shared" si="172"/>
        <v>2025</v>
      </c>
      <c r="E2780" s="2" t="str">
        <f t="shared" si="173"/>
        <v>2025-45</v>
      </c>
      <c r="F2780" s="2" t="str">
        <f t="shared" si="174"/>
        <v>Week 45</v>
      </c>
      <c r="G2780" s="2" t="str">
        <f t="shared" si="175"/>
        <v>Week 45-2025</v>
      </c>
      <c r="O2780"/>
      <c r="Q2780"/>
    </row>
    <row r="2781" spans="1:17" hidden="1" x14ac:dyDescent="0.2">
      <c r="A2781" s="3">
        <v>45966</v>
      </c>
      <c r="B2781" s="2" t="s">
        <v>10</v>
      </c>
      <c r="C2781" s="2">
        <v>4</v>
      </c>
      <c r="D2781" s="2">
        <f t="shared" si="172"/>
        <v>2025</v>
      </c>
      <c r="E2781" s="2" t="str">
        <f t="shared" si="173"/>
        <v>2025-45</v>
      </c>
      <c r="F2781" s="2" t="str">
        <f t="shared" si="174"/>
        <v>Week 45</v>
      </c>
      <c r="G2781" s="2" t="str">
        <f t="shared" si="175"/>
        <v>Week 45-2025</v>
      </c>
      <c r="O2781"/>
      <c r="Q2781"/>
    </row>
    <row r="2782" spans="1:17" hidden="1" x14ac:dyDescent="0.2">
      <c r="A2782" s="3">
        <v>45966</v>
      </c>
      <c r="B2782" s="2" t="s">
        <v>19</v>
      </c>
      <c r="C2782" s="2">
        <v>2</v>
      </c>
      <c r="D2782" s="2">
        <f t="shared" si="172"/>
        <v>2025</v>
      </c>
      <c r="E2782" s="2" t="str">
        <f t="shared" si="173"/>
        <v>2025-45</v>
      </c>
      <c r="F2782" s="2" t="str">
        <f t="shared" si="174"/>
        <v>Week 45</v>
      </c>
      <c r="G2782" s="2" t="str">
        <f t="shared" si="175"/>
        <v>Week 45-2025</v>
      </c>
      <c r="O2782"/>
      <c r="Q2782"/>
    </row>
    <row r="2783" spans="1:17" hidden="1" x14ac:dyDescent="0.2">
      <c r="A2783" s="3">
        <v>45966</v>
      </c>
      <c r="B2783" s="2" t="s">
        <v>5</v>
      </c>
      <c r="C2783" s="2">
        <v>3</v>
      </c>
      <c r="D2783" s="2">
        <f t="shared" si="172"/>
        <v>2025</v>
      </c>
      <c r="E2783" s="2" t="str">
        <f t="shared" si="173"/>
        <v>2025-45</v>
      </c>
      <c r="F2783" s="2" t="str">
        <f t="shared" si="174"/>
        <v>Week 45</v>
      </c>
      <c r="G2783" s="2" t="str">
        <f t="shared" si="175"/>
        <v>Week 45-2025</v>
      </c>
      <c r="O2783"/>
      <c r="Q2783"/>
    </row>
    <row r="2784" spans="1:17" hidden="1" x14ac:dyDescent="0.2">
      <c r="A2784" s="3">
        <v>45966</v>
      </c>
      <c r="B2784" s="2" t="s">
        <v>14</v>
      </c>
      <c r="C2784" s="2">
        <v>4</v>
      </c>
      <c r="D2784" s="2">
        <f t="shared" si="172"/>
        <v>2025</v>
      </c>
      <c r="E2784" s="2" t="str">
        <f t="shared" si="173"/>
        <v>2025-45</v>
      </c>
      <c r="F2784" s="2" t="str">
        <f t="shared" si="174"/>
        <v>Week 45</v>
      </c>
      <c r="G2784" s="2" t="str">
        <f t="shared" si="175"/>
        <v>Week 45-2025</v>
      </c>
      <c r="O2784"/>
      <c r="Q2784"/>
    </row>
    <row r="2785" spans="1:17" hidden="1" x14ac:dyDescent="0.2">
      <c r="A2785" s="3">
        <v>45966</v>
      </c>
      <c r="B2785" s="2" t="s">
        <v>38</v>
      </c>
      <c r="C2785" s="2">
        <v>4</v>
      </c>
      <c r="D2785" s="2">
        <f t="shared" si="172"/>
        <v>2025</v>
      </c>
      <c r="E2785" s="2" t="str">
        <f t="shared" si="173"/>
        <v>2025-45</v>
      </c>
      <c r="F2785" s="2" t="str">
        <f t="shared" si="174"/>
        <v>Week 45</v>
      </c>
      <c r="G2785" s="2" t="str">
        <f t="shared" si="175"/>
        <v>Week 45-2025</v>
      </c>
      <c r="O2785"/>
      <c r="Q2785"/>
    </row>
    <row r="2786" spans="1:17" hidden="1" x14ac:dyDescent="0.2">
      <c r="A2786" s="3">
        <v>45966</v>
      </c>
      <c r="B2786" s="2" t="s">
        <v>28</v>
      </c>
      <c r="C2786" s="2">
        <v>3</v>
      </c>
      <c r="D2786" s="2">
        <f t="shared" si="172"/>
        <v>2025</v>
      </c>
      <c r="E2786" s="2" t="str">
        <f t="shared" si="173"/>
        <v>2025-45</v>
      </c>
      <c r="F2786" s="2" t="str">
        <f t="shared" si="174"/>
        <v>Week 45</v>
      </c>
      <c r="G2786" s="2" t="str">
        <f t="shared" si="175"/>
        <v>Week 45-2025</v>
      </c>
      <c r="O2786"/>
      <c r="Q2786"/>
    </row>
    <row r="2787" spans="1:17" hidden="1" x14ac:dyDescent="0.2">
      <c r="A2787" s="3">
        <v>45966</v>
      </c>
      <c r="B2787" s="2" t="s">
        <v>8</v>
      </c>
      <c r="C2787" s="2">
        <v>2</v>
      </c>
      <c r="D2787" s="2">
        <f t="shared" si="172"/>
        <v>2025</v>
      </c>
      <c r="E2787" s="2" t="str">
        <f t="shared" si="173"/>
        <v>2025-45</v>
      </c>
      <c r="F2787" s="2" t="str">
        <f t="shared" si="174"/>
        <v>Week 45</v>
      </c>
      <c r="G2787" s="2" t="str">
        <f t="shared" si="175"/>
        <v>Week 45-2025</v>
      </c>
      <c r="O2787"/>
      <c r="Q2787"/>
    </row>
    <row r="2788" spans="1:17" hidden="1" x14ac:dyDescent="0.2">
      <c r="A2788" s="3">
        <v>45966</v>
      </c>
      <c r="B2788" s="2" t="s">
        <v>42</v>
      </c>
      <c r="C2788" s="2">
        <v>2</v>
      </c>
      <c r="D2788" s="2">
        <f t="shared" si="172"/>
        <v>2025</v>
      </c>
      <c r="E2788" s="2" t="str">
        <f t="shared" si="173"/>
        <v>2025-45</v>
      </c>
      <c r="F2788" s="2" t="str">
        <f t="shared" si="174"/>
        <v>Week 45</v>
      </c>
      <c r="G2788" s="2" t="str">
        <f t="shared" si="175"/>
        <v>Week 45-2025</v>
      </c>
      <c r="O2788"/>
      <c r="Q2788"/>
    </row>
    <row r="2789" spans="1:17" hidden="1" x14ac:dyDescent="0.2">
      <c r="A2789" s="3">
        <v>45966</v>
      </c>
      <c r="B2789" s="2" t="s">
        <v>35</v>
      </c>
      <c r="C2789" s="2">
        <v>1</v>
      </c>
      <c r="D2789" s="2">
        <f t="shared" si="172"/>
        <v>2025</v>
      </c>
      <c r="E2789" s="2" t="str">
        <f t="shared" si="173"/>
        <v>2025-45</v>
      </c>
      <c r="F2789" s="2" t="str">
        <f t="shared" si="174"/>
        <v>Week 45</v>
      </c>
      <c r="G2789" s="2" t="str">
        <f t="shared" si="175"/>
        <v>Week 45-2025</v>
      </c>
      <c r="O2789"/>
      <c r="Q2789"/>
    </row>
    <row r="2790" spans="1:17" hidden="1" x14ac:dyDescent="0.2">
      <c r="A2790" s="3">
        <v>45966</v>
      </c>
      <c r="B2790" s="2" t="s">
        <v>35</v>
      </c>
      <c r="C2790" s="2">
        <v>1</v>
      </c>
      <c r="D2790" s="2">
        <f t="shared" si="172"/>
        <v>2025</v>
      </c>
      <c r="E2790" s="2" t="str">
        <f t="shared" si="173"/>
        <v>2025-45</v>
      </c>
      <c r="F2790" s="2" t="str">
        <f t="shared" si="174"/>
        <v>Week 45</v>
      </c>
      <c r="G2790" s="2" t="str">
        <f t="shared" si="175"/>
        <v>Week 45-2025</v>
      </c>
      <c r="O2790"/>
      <c r="Q2790"/>
    </row>
    <row r="2791" spans="1:17" hidden="1" x14ac:dyDescent="0.2">
      <c r="A2791" s="3">
        <v>45966</v>
      </c>
      <c r="B2791" s="2" t="s">
        <v>28</v>
      </c>
      <c r="C2791" s="2">
        <v>1</v>
      </c>
      <c r="D2791" s="2">
        <f t="shared" si="172"/>
        <v>2025</v>
      </c>
      <c r="E2791" s="2" t="str">
        <f t="shared" si="173"/>
        <v>2025-45</v>
      </c>
      <c r="F2791" s="2" t="str">
        <f t="shared" si="174"/>
        <v>Week 45</v>
      </c>
      <c r="G2791" s="2" t="str">
        <f t="shared" si="175"/>
        <v>Week 45-2025</v>
      </c>
      <c r="O2791"/>
      <c r="Q2791"/>
    </row>
    <row r="2792" spans="1:17" hidden="1" x14ac:dyDescent="0.2">
      <c r="A2792" s="3">
        <v>45967</v>
      </c>
      <c r="B2792" s="2" t="s">
        <v>6</v>
      </c>
      <c r="C2792" s="2">
        <v>43</v>
      </c>
      <c r="D2792" s="2">
        <f t="shared" si="172"/>
        <v>2025</v>
      </c>
      <c r="E2792" s="2" t="str">
        <f t="shared" si="173"/>
        <v>2025-45</v>
      </c>
      <c r="F2792" s="2" t="str">
        <f t="shared" si="174"/>
        <v>Week 45</v>
      </c>
      <c r="G2792" s="2" t="str">
        <f t="shared" si="175"/>
        <v>Week 45-2025</v>
      </c>
      <c r="O2792"/>
      <c r="Q2792"/>
    </row>
    <row r="2793" spans="1:17" hidden="1" x14ac:dyDescent="0.2">
      <c r="A2793" s="3">
        <v>45967</v>
      </c>
      <c r="B2793" s="2" t="s">
        <v>7</v>
      </c>
      <c r="C2793" s="2">
        <v>28</v>
      </c>
      <c r="D2793" s="2">
        <f t="shared" si="172"/>
        <v>2025</v>
      </c>
      <c r="E2793" s="2" t="str">
        <f t="shared" si="173"/>
        <v>2025-45</v>
      </c>
      <c r="F2793" s="2" t="str">
        <f t="shared" si="174"/>
        <v>Week 45</v>
      </c>
      <c r="G2793" s="2" t="str">
        <f t="shared" si="175"/>
        <v>Week 45-2025</v>
      </c>
      <c r="O2793"/>
      <c r="Q2793"/>
    </row>
    <row r="2794" spans="1:17" hidden="1" x14ac:dyDescent="0.2">
      <c r="A2794" s="3">
        <v>45967</v>
      </c>
      <c r="B2794" s="2" t="s">
        <v>23</v>
      </c>
      <c r="C2794" s="2">
        <v>16</v>
      </c>
      <c r="D2794" s="2">
        <f t="shared" si="172"/>
        <v>2025</v>
      </c>
      <c r="E2794" s="2" t="str">
        <f t="shared" si="173"/>
        <v>2025-45</v>
      </c>
      <c r="F2794" s="2" t="str">
        <f t="shared" si="174"/>
        <v>Week 45</v>
      </c>
      <c r="G2794" s="2" t="str">
        <f t="shared" si="175"/>
        <v>Week 45-2025</v>
      </c>
      <c r="O2794"/>
      <c r="Q2794"/>
    </row>
    <row r="2795" spans="1:17" hidden="1" x14ac:dyDescent="0.2">
      <c r="A2795" s="3">
        <v>45967</v>
      </c>
      <c r="B2795" s="2" t="s">
        <v>9</v>
      </c>
      <c r="C2795" s="2">
        <v>16</v>
      </c>
      <c r="D2795" s="2">
        <f t="shared" si="172"/>
        <v>2025</v>
      </c>
      <c r="E2795" s="2" t="str">
        <f t="shared" si="173"/>
        <v>2025-45</v>
      </c>
      <c r="F2795" s="2" t="str">
        <f t="shared" si="174"/>
        <v>Week 45</v>
      </c>
      <c r="G2795" s="2" t="str">
        <f t="shared" si="175"/>
        <v>Week 45-2025</v>
      </c>
      <c r="O2795"/>
      <c r="Q2795"/>
    </row>
    <row r="2796" spans="1:17" hidden="1" x14ac:dyDescent="0.2">
      <c r="A2796" s="3">
        <v>45967</v>
      </c>
      <c r="B2796" s="2" t="s">
        <v>6</v>
      </c>
      <c r="C2796" s="2">
        <v>8</v>
      </c>
      <c r="D2796" s="2">
        <f t="shared" si="172"/>
        <v>2025</v>
      </c>
      <c r="E2796" s="2" t="str">
        <f t="shared" si="173"/>
        <v>2025-45</v>
      </c>
      <c r="F2796" s="2" t="str">
        <f t="shared" si="174"/>
        <v>Week 45</v>
      </c>
      <c r="G2796" s="2" t="str">
        <f t="shared" si="175"/>
        <v>Week 45-2025</v>
      </c>
      <c r="O2796"/>
      <c r="Q2796"/>
    </row>
    <row r="2797" spans="1:17" hidden="1" x14ac:dyDescent="0.2">
      <c r="A2797" s="3">
        <v>45967</v>
      </c>
      <c r="B2797" s="2" t="s">
        <v>29</v>
      </c>
      <c r="C2797" s="2">
        <v>14</v>
      </c>
      <c r="D2797" s="2">
        <f t="shared" si="172"/>
        <v>2025</v>
      </c>
      <c r="E2797" s="2" t="str">
        <f t="shared" si="173"/>
        <v>2025-45</v>
      </c>
      <c r="F2797" s="2" t="str">
        <f t="shared" si="174"/>
        <v>Week 45</v>
      </c>
      <c r="G2797" s="2" t="str">
        <f t="shared" si="175"/>
        <v>Week 45-2025</v>
      </c>
      <c r="O2797"/>
      <c r="Q2797"/>
    </row>
    <row r="2798" spans="1:17" hidden="1" x14ac:dyDescent="0.2">
      <c r="A2798" s="3">
        <v>45967</v>
      </c>
      <c r="B2798" s="2" t="s">
        <v>9</v>
      </c>
      <c r="C2798" s="2">
        <v>12</v>
      </c>
      <c r="D2798" s="2">
        <f t="shared" si="172"/>
        <v>2025</v>
      </c>
      <c r="E2798" s="2" t="str">
        <f t="shared" si="173"/>
        <v>2025-45</v>
      </c>
      <c r="F2798" s="2" t="str">
        <f t="shared" si="174"/>
        <v>Week 45</v>
      </c>
      <c r="G2798" s="2" t="str">
        <f t="shared" si="175"/>
        <v>Week 45-2025</v>
      </c>
      <c r="O2798"/>
      <c r="Q2798"/>
    </row>
    <row r="2799" spans="1:17" hidden="1" x14ac:dyDescent="0.2">
      <c r="A2799" s="3">
        <v>45967</v>
      </c>
      <c r="B2799" s="2" t="s">
        <v>21</v>
      </c>
      <c r="C2799" s="2">
        <v>6</v>
      </c>
      <c r="D2799" s="2">
        <f t="shared" si="172"/>
        <v>2025</v>
      </c>
      <c r="E2799" s="2" t="str">
        <f t="shared" si="173"/>
        <v>2025-45</v>
      </c>
      <c r="F2799" s="2" t="str">
        <f t="shared" si="174"/>
        <v>Week 45</v>
      </c>
      <c r="G2799" s="2" t="str">
        <f t="shared" si="175"/>
        <v>Week 45-2025</v>
      </c>
      <c r="O2799"/>
      <c r="Q2799"/>
    </row>
    <row r="2800" spans="1:17" hidden="1" x14ac:dyDescent="0.2">
      <c r="A2800" s="3">
        <v>45967</v>
      </c>
      <c r="B2800" s="2" t="s">
        <v>40</v>
      </c>
      <c r="C2800" s="2">
        <v>8</v>
      </c>
      <c r="D2800" s="2">
        <f t="shared" si="172"/>
        <v>2025</v>
      </c>
      <c r="E2800" s="2" t="str">
        <f t="shared" si="173"/>
        <v>2025-45</v>
      </c>
      <c r="F2800" s="2" t="str">
        <f t="shared" si="174"/>
        <v>Week 45</v>
      </c>
      <c r="G2800" s="2" t="str">
        <f t="shared" si="175"/>
        <v>Week 45-2025</v>
      </c>
      <c r="O2800"/>
      <c r="Q2800"/>
    </row>
    <row r="2801" spans="1:17" hidden="1" x14ac:dyDescent="0.2">
      <c r="A2801" s="3">
        <v>45967</v>
      </c>
      <c r="B2801" s="2" t="s">
        <v>5</v>
      </c>
      <c r="C2801" s="2">
        <v>8</v>
      </c>
      <c r="D2801" s="2">
        <f t="shared" si="172"/>
        <v>2025</v>
      </c>
      <c r="E2801" s="2" t="str">
        <f t="shared" si="173"/>
        <v>2025-45</v>
      </c>
      <c r="F2801" s="2" t="str">
        <f t="shared" si="174"/>
        <v>Week 45</v>
      </c>
      <c r="G2801" s="2" t="str">
        <f t="shared" si="175"/>
        <v>Week 45-2025</v>
      </c>
      <c r="O2801"/>
      <c r="Q2801"/>
    </row>
    <row r="2802" spans="1:17" hidden="1" x14ac:dyDescent="0.2">
      <c r="A2802" s="3">
        <v>45967</v>
      </c>
      <c r="B2802" s="2" t="s">
        <v>9</v>
      </c>
      <c r="C2802" s="2">
        <v>2</v>
      </c>
      <c r="D2802" s="2">
        <f t="shared" si="172"/>
        <v>2025</v>
      </c>
      <c r="E2802" s="2" t="str">
        <f t="shared" si="173"/>
        <v>2025-45</v>
      </c>
      <c r="F2802" s="2" t="str">
        <f t="shared" si="174"/>
        <v>Week 45</v>
      </c>
      <c r="G2802" s="2" t="str">
        <f t="shared" si="175"/>
        <v>Week 45-2025</v>
      </c>
      <c r="O2802"/>
      <c r="Q2802"/>
    </row>
    <row r="2803" spans="1:17" hidden="1" x14ac:dyDescent="0.2">
      <c r="A2803" s="3">
        <v>45967</v>
      </c>
      <c r="B2803" s="2" t="s">
        <v>30</v>
      </c>
      <c r="C2803" s="2">
        <v>2</v>
      </c>
      <c r="D2803" s="2">
        <f t="shared" si="172"/>
        <v>2025</v>
      </c>
      <c r="E2803" s="2" t="str">
        <f t="shared" si="173"/>
        <v>2025-45</v>
      </c>
      <c r="F2803" s="2" t="str">
        <f t="shared" si="174"/>
        <v>Week 45</v>
      </c>
      <c r="G2803" s="2" t="str">
        <f t="shared" si="175"/>
        <v>Week 45-2025</v>
      </c>
      <c r="O2803"/>
      <c r="Q2803"/>
    </row>
    <row r="2804" spans="1:17" hidden="1" x14ac:dyDescent="0.2">
      <c r="A2804" s="3">
        <v>45967</v>
      </c>
      <c r="B2804" s="2" t="s">
        <v>30</v>
      </c>
      <c r="C2804" s="2">
        <v>2</v>
      </c>
      <c r="D2804" s="2">
        <f t="shared" si="172"/>
        <v>2025</v>
      </c>
      <c r="E2804" s="2" t="str">
        <f t="shared" si="173"/>
        <v>2025-45</v>
      </c>
      <c r="F2804" s="2" t="str">
        <f t="shared" si="174"/>
        <v>Week 45</v>
      </c>
      <c r="G2804" s="2" t="str">
        <f t="shared" si="175"/>
        <v>Week 45-2025</v>
      </c>
      <c r="O2804"/>
      <c r="Q2804"/>
    </row>
    <row r="2805" spans="1:17" hidden="1" x14ac:dyDescent="0.2">
      <c r="A2805" s="3">
        <v>45968</v>
      </c>
      <c r="B2805" s="2" t="s">
        <v>6</v>
      </c>
      <c r="C2805" s="2">
        <v>47</v>
      </c>
      <c r="D2805" s="2">
        <f t="shared" si="172"/>
        <v>2025</v>
      </c>
      <c r="E2805" s="2" t="str">
        <f t="shared" si="173"/>
        <v>2025-45</v>
      </c>
      <c r="F2805" s="2" t="str">
        <f t="shared" si="174"/>
        <v>Week 45</v>
      </c>
      <c r="G2805" s="2" t="str">
        <f t="shared" si="175"/>
        <v>Week 45-2025</v>
      </c>
      <c r="O2805"/>
      <c r="Q2805"/>
    </row>
    <row r="2806" spans="1:17" hidden="1" x14ac:dyDescent="0.2">
      <c r="A2806" s="3">
        <v>45968</v>
      </c>
      <c r="B2806" s="2" t="s">
        <v>5</v>
      </c>
      <c r="C2806" s="2">
        <v>28</v>
      </c>
      <c r="D2806" s="2">
        <f t="shared" si="172"/>
        <v>2025</v>
      </c>
      <c r="E2806" s="2" t="str">
        <f t="shared" si="173"/>
        <v>2025-45</v>
      </c>
      <c r="F2806" s="2" t="str">
        <f t="shared" si="174"/>
        <v>Week 45</v>
      </c>
      <c r="G2806" s="2" t="str">
        <f t="shared" si="175"/>
        <v>Week 45-2025</v>
      </c>
      <c r="O2806"/>
      <c r="Q2806"/>
    </row>
    <row r="2807" spans="1:17" hidden="1" x14ac:dyDescent="0.2">
      <c r="A2807" s="3">
        <v>45968</v>
      </c>
      <c r="B2807" s="2" t="s">
        <v>4</v>
      </c>
      <c r="C2807" s="2">
        <v>17</v>
      </c>
      <c r="D2807" s="2">
        <f t="shared" si="172"/>
        <v>2025</v>
      </c>
      <c r="E2807" s="2" t="str">
        <f t="shared" si="173"/>
        <v>2025-45</v>
      </c>
      <c r="F2807" s="2" t="str">
        <f t="shared" si="174"/>
        <v>Week 45</v>
      </c>
      <c r="G2807" s="2" t="str">
        <f t="shared" si="175"/>
        <v>Week 45-2025</v>
      </c>
      <c r="O2807"/>
      <c r="Q2807"/>
    </row>
    <row r="2808" spans="1:17" hidden="1" x14ac:dyDescent="0.2">
      <c r="A2808" s="3">
        <v>45968</v>
      </c>
      <c r="B2808" s="2" t="s">
        <v>4</v>
      </c>
      <c r="C2808" s="2">
        <v>16</v>
      </c>
      <c r="D2808" s="2">
        <f t="shared" si="172"/>
        <v>2025</v>
      </c>
      <c r="E2808" s="2" t="str">
        <f t="shared" si="173"/>
        <v>2025-45</v>
      </c>
      <c r="F2808" s="2" t="str">
        <f t="shared" si="174"/>
        <v>Week 45</v>
      </c>
      <c r="G2808" s="2" t="str">
        <f t="shared" si="175"/>
        <v>Week 45-2025</v>
      </c>
      <c r="O2808"/>
      <c r="Q2808"/>
    </row>
    <row r="2809" spans="1:17" hidden="1" x14ac:dyDescent="0.2">
      <c r="A2809" s="3">
        <v>45968</v>
      </c>
      <c r="B2809" s="2" t="s">
        <v>4</v>
      </c>
      <c r="C2809" s="2">
        <v>11</v>
      </c>
      <c r="D2809" s="2">
        <f t="shared" si="172"/>
        <v>2025</v>
      </c>
      <c r="E2809" s="2" t="str">
        <f t="shared" si="173"/>
        <v>2025-45</v>
      </c>
      <c r="F2809" s="2" t="str">
        <f t="shared" si="174"/>
        <v>Week 45</v>
      </c>
      <c r="G2809" s="2" t="str">
        <f t="shared" si="175"/>
        <v>Week 45-2025</v>
      </c>
      <c r="O2809"/>
      <c r="Q2809"/>
    </row>
    <row r="2810" spans="1:17" hidden="1" x14ac:dyDescent="0.2">
      <c r="A2810" s="3">
        <v>45968</v>
      </c>
      <c r="B2810" s="2" t="s">
        <v>9</v>
      </c>
      <c r="C2810" s="2">
        <v>12</v>
      </c>
      <c r="D2810" s="2">
        <f t="shared" si="172"/>
        <v>2025</v>
      </c>
      <c r="E2810" s="2" t="str">
        <f t="shared" si="173"/>
        <v>2025-45</v>
      </c>
      <c r="F2810" s="2" t="str">
        <f t="shared" si="174"/>
        <v>Week 45</v>
      </c>
      <c r="G2810" s="2" t="str">
        <f t="shared" si="175"/>
        <v>Week 45-2025</v>
      </c>
      <c r="O2810"/>
      <c r="Q2810"/>
    </row>
    <row r="2811" spans="1:17" hidden="1" x14ac:dyDescent="0.2">
      <c r="A2811" s="3">
        <v>45968</v>
      </c>
      <c r="B2811" s="2" t="s">
        <v>3</v>
      </c>
      <c r="C2811" s="2">
        <v>6</v>
      </c>
      <c r="D2811" s="2">
        <f t="shared" si="172"/>
        <v>2025</v>
      </c>
      <c r="E2811" s="2" t="str">
        <f t="shared" si="173"/>
        <v>2025-45</v>
      </c>
      <c r="F2811" s="2" t="str">
        <f t="shared" si="174"/>
        <v>Week 45</v>
      </c>
      <c r="G2811" s="2" t="str">
        <f t="shared" si="175"/>
        <v>Week 45-2025</v>
      </c>
      <c r="O2811"/>
      <c r="Q2811"/>
    </row>
    <row r="2812" spans="1:17" hidden="1" x14ac:dyDescent="0.2">
      <c r="A2812" s="3">
        <v>45968</v>
      </c>
      <c r="B2812" s="2" t="s">
        <v>5</v>
      </c>
      <c r="C2812" s="2">
        <v>6</v>
      </c>
      <c r="D2812" s="2">
        <f t="shared" si="172"/>
        <v>2025</v>
      </c>
      <c r="E2812" s="2" t="str">
        <f t="shared" si="173"/>
        <v>2025-45</v>
      </c>
      <c r="F2812" s="2" t="str">
        <f t="shared" si="174"/>
        <v>Week 45</v>
      </c>
      <c r="G2812" s="2" t="str">
        <f t="shared" si="175"/>
        <v>Week 45-2025</v>
      </c>
      <c r="O2812"/>
      <c r="Q2812"/>
    </row>
    <row r="2813" spans="1:17" hidden="1" x14ac:dyDescent="0.2">
      <c r="A2813" s="3">
        <v>45968</v>
      </c>
      <c r="B2813" s="2" t="s">
        <v>6</v>
      </c>
      <c r="C2813" s="2">
        <v>3</v>
      </c>
      <c r="D2813" s="2">
        <f t="shared" si="172"/>
        <v>2025</v>
      </c>
      <c r="E2813" s="2" t="str">
        <f t="shared" si="173"/>
        <v>2025-45</v>
      </c>
      <c r="F2813" s="2" t="str">
        <f t="shared" si="174"/>
        <v>Week 45</v>
      </c>
      <c r="G2813" s="2" t="str">
        <f t="shared" si="175"/>
        <v>Week 45-2025</v>
      </c>
      <c r="O2813"/>
      <c r="Q2813"/>
    </row>
    <row r="2814" spans="1:17" hidden="1" x14ac:dyDescent="0.2">
      <c r="A2814" s="3">
        <v>45968</v>
      </c>
      <c r="B2814" s="2" t="s">
        <v>14</v>
      </c>
      <c r="C2814" s="2">
        <v>4</v>
      </c>
      <c r="D2814" s="2">
        <f t="shared" si="172"/>
        <v>2025</v>
      </c>
      <c r="E2814" s="2" t="str">
        <f t="shared" si="173"/>
        <v>2025-45</v>
      </c>
      <c r="F2814" s="2" t="str">
        <f t="shared" si="174"/>
        <v>Week 45</v>
      </c>
      <c r="G2814" s="2" t="str">
        <f t="shared" si="175"/>
        <v>Week 45-2025</v>
      </c>
      <c r="O2814"/>
      <c r="Q2814"/>
    </row>
    <row r="2815" spans="1:17" hidden="1" x14ac:dyDescent="0.2">
      <c r="A2815" s="3">
        <v>45968</v>
      </c>
      <c r="B2815" s="2" t="s">
        <v>27</v>
      </c>
      <c r="C2815" s="2">
        <v>6</v>
      </c>
      <c r="D2815" s="2">
        <f t="shared" si="172"/>
        <v>2025</v>
      </c>
      <c r="E2815" s="2" t="str">
        <f t="shared" si="173"/>
        <v>2025-45</v>
      </c>
      <c r="F2815" s="2" t="str">
        <f t="shared" si="174"/>
        <v>Week 45</v>
      </c>
      <c r="G2815" s="2" t="str">
        <f t="shared" si="175"/>
        <v>Week 45-2025</v>
      </c>
      <c r="O2815"/>
      <c r="Q2815"/>
    </row>
    <row r="2816" spans="1:17" hidden="1" x14ac:dyDescent="0.2">
      <c r="A2816" s="3">
        <v>45968</v>
      </c>
      <c r="B2816" s="2" t="s">
        <v>37</v>
      </c>
      <c r="C2816" s="2">
        <v>4</v>
      </c>
      <c r="D2816" s="2">
        <f t="shared" si="172"/>
        <v>2025</v>
      </c>
      <c r="E2816" s="2" t="str">
        <f t="shared" si="173"/>
        <v>2025-45</v>
      </c>
      <c r="F2816" s="2" t="str">
        <f t="shared" si="174"/>
        <v>Week 45</v>
      </c>
      <c r="G2816" s="2" t="str">
        <f t="shared" si="175"/>
        <v>Week 45-2025</v>
      </c>
      <c r="O2816"/>
      <c r="Q2816"/>
    </row>
    <row r="2817" spans="1:17" hidden="1" x14ac:dyDescent="0.2">
      <c r="A2817" s="3">
        <v>45968</v>
      </c>
      <c r="B2817" s="2" t="s">
        <v>5</v>
      </c>
      <c r="C2817" s="2">
        <v>2</v>
      </c>
      <c r="D2817" s="2">
        <f t="shared" si="172"/>
        <v>2025</v>
      </c>
      <c r="E2817" s="2" t="str">
        <f t="shared" si="173"/>
        <v>2025-45</v>
      </c>
      <c r="F2817" s="2" t="str">
        <f t="shared" si="174"/>
        <v>Week 45</v>
      </c>
      <c r="G2817" s="2" t="str">
        <f t="shared" si="175"/>
        <v>Week 45-2025</v>
      </c>
      <c r="O2817"/>
      <c r="Q2817"/>
    </row>
    <row r="2818" spans="1:17" hidden="1" x14ac:dyDescent="0.2">
      <c r="A2818" s="3">
        <v>45968</v>
      </c>
      <c r="B2818" s="2" t="s">
        <v>34</v>
      </c>
      <c r="C2818" s="2">
        <v>2</v>
      </c>
      <c r="D2818" s="2">
        <f t="shared" ref="D2818:D2881" si="176">YEAR(A2818)</f>
        <v>2025</v>
      </c>
      <c r="E2818" s="2" t="str">
        <f t="shared" ref="E2818:E2881" si="177">YEAR(A2818)&amp;"-"&amp;_xlfn.ISOWEEKNUM(A2818)</f>
        <v>2025-45</v>
      </c>
      <c r="F2818" s="2" t="str">
        <f t="shared" ref="F2818:F2881" si="178">_xlfn.CONCAT("Week "&amp;WEEKNUM(A2818))</f>
        <v>Week 45</v>
      </c>
      <c r="G2818" s="2" t="str">
        <f t="shared" ref="G2818:G2881" si="179">_xlfn.CONCAT(F2818,"-",D2818)</f>
        <v>Week 45-2025</v>
      </c>
      <c r="O2818"/>
      <c r="Q2818"/>
    </row>
    <row r="2819" spans="1:17" hidden="1" x14ac:dyDescent="0.2">
      <c r="A2819" s="3">
        <v>45968</v>
      </c>
      <c r="B2819" s="2" t="s">
        <v>14</v>
      </c>
      <c r="C2819" s="2">
        <v>2</v>
      </c>
      <c r="D2819" s="2">
        <f t="shared" si="176"/>
        <v>2025</v>
      </c>
      <c r="E2819" s="2" t="str">
        <f t="shared" si="177"/>
        <v>2025-45</v>
      </c>
      <c r="F2819" s="2" t="str">
        <f t="shared" si="178"/>
        <v>Week 45</v>
      </c>
      <c r="G2819" s="2" t="str">
        <f t="shared" si="179"/>
        <v>Week 45-2025</v>
      </c>
      <c r="O2819"/>
      <c r="Q2819"/>
    </row>
    <row r="2820" spans="1:17" hidden="1" x14ac:dyDescent="0.2">
      <c r="A2820" s="3">
        <v>45968</v>
      </c>
      <c r="B2820" s="2" t="s">
        <v>14</v>
      </c>
      <c r="C2820" s="2">
        <v>2</v>
      </c>
      <c r="D2820" s="2">
        <f t="shared" si="176"/>
        <v>2025</v>
      </c>
      <c r="E2820" s="2" t="str">
        <f t="shared" si="177"/>
        <v>2025-45</v>
      </c>
      <c r="F2820" s="2" t="str">
        <f t="shared" si="178"/>
        <v>Week 45</v>
      </c>
      <c r="G2820" s="2" t="str">
        <f t="shared" si="179"/>
        <v>Week 45-2025</v>
      </c>
      <c r="O2820"/>
      <c r="Q2820"/>
    </row>
    <row r="2821" spans="1:17" hidden="1" x14ac:dyDescent="0.2">
      <c r="A2821" s="3">
        <v>45968</v>
      </c>
      <c r="B2821" s="2" t="s">
        <v>9</v>
      </c>
      <c r="C2821" s="2">
        <v>1</v>
      </c>
      <c r="D2821" s="2">
        <f t="shared" si="176"/>
        <v>2025</v>
      </c>
      <c r="E2821" s="2" t="str">
        <f t="shared" si="177"/>
        <v>2025-45</v>
      </c>
      <c r="F2821" s="2" t="str">
        <f t="shared" si="178"/>
        <v>Week 45</v>
      </c>
      <c r="G2821" s="2" t="str">
        <f t="shared" si="179"/>
        <v>Week 45-2025</v>
      </c>
      <c r="O2821"/>
      <c r="Q2821"/>
    </row>
    <row r="2822" spans="1:17" hidden="1" x14ac:dyDescent="0.2">
      <c r="A2822" s="3">
        <v>45968</v>
      </c>
      <c r="B2822" s="2" t="s">
        <v>28</v>
      </c>
      <c r="C2822" s="2">
        <v>2</v>
      </c>
      <c r="D2822" s="2">
        <f t="shared" si="176"/>
        <v>2025</v>
      </c>
      <c r="E2822" s="2" t="str">
        <f t="shared" si="177"/>
        <v>2025-45</v>
      </c>
      <c r="F2822" s="2" t="str">
        <f t="shared" si="178"/>
        <v>Week 45</v>
      </c>
      <c r="G2822" s="2" t="str">
        <f t="shared" si="179"/>
        <v>Week 45-2025</v>
      </c>
      <c r="O2822"/>
      <c r="Q2822"/>
    </row>
    <row r="2823" spans="1:17" hidden="1" x14ac:dyDescent="0.2">
      <c r="A2823" s="3">
        <v>45968</v>
      </c>
      <c r="B2823" s="2" t="s">
        <v>3</v>
      </c>
      <c r="C2823" s="2">
        <v>1</v>
      </c>
      <c r="D2823" s="2">
        <f t="shared" si="176"/>
        <v>2025</v>
      </c>
      <c r="E2823" s="2" t="str">
        <f t="shared" si="177"/>
        <v>2025-45</v>
      </c>
      <c r="F2823" s="2" t="str">
        <f t="shared" si="178"/>
        <v>Week 45</v>
      </c>
      <c r="G2823" s="2" t="str">
        <f t="shared" si="179"/>
        <v>Week 45-2025</v>
      </c>
      <c r="O2823"/>
      <c r="Q2823"/>
    </row>
    <row r="2824" spans="1:17" hidden="1" x14ac:dyDescent="0.2">
      <c r="A2824" s="3">
        <v>45970</v>
      </c>
      <c r="B2824" s="2" t="s">
        <v>12</v>
      </c>
      <c r="C2824" s="2">
        <v>8</v>
      </c>
      <c r="D2824" s="2">
        <f t="shared" si="176"/>
        <v>2025</v>
      </c>
      <c r="E2824" s="2" t="str">
        <f t="shared" si="177"/>
        <v>2025-45</v>
      </c>
      <c r="F2824" s="2" t="str">
        <f t="shared" si="178"/>
        <v>Week 46</v>
      </c>
      <c r="G2824" s="2" t="str">
        <f t="shared" si="179"/>
        <v>Week 46-2025</v>
      </c>
      <c r="O2824"/>
      <c r="Q2824"/>
    </row>
    <row r="2825" spans="1:17" hidden="1" x14ac:dyDescent="0.2">
      <c r="A2825" s="3">
        <v>45970</v>
      </c>
      <c r="B2825" s="2" t="s">
        <v>4</v>
      </c>
      <c r="C2825" s="2">
        <v>8</v>
      </c>
      <c r="D2825" s="2">
        <f t="shared" si="176"/>
        <v>2025</v>
      </c>
      <c r="E2825" s="2" t="str">
        <f t="shared" si="177"/>
        <v>2025-45</v>
      </c>
      <c r="F2825" s="2" t="str">
        <f t="shared" si="178"/>
        <v>Week 46</v>
      </c>
      <c r="G2825" s="2" t="str">
        <f t="shared" si="179"/>
        <v>Week 46-2025</v>
      </c>
      <c r="O2825"/>
      <c r="Q2825"/>
    </row>
    <row r="2826" spans="1:17" hidden="1" x14ac:dyDescent="0.2">
      <c r="A2826" s="3">
        <v>45970</v>
      </c>
      <c r="B2826" s="2" t="s">
        <v>5</v>
      </c>
      <c r="C2826" s="2">
        <v>7</v>
      </c>
      <c r="D2826" s="2">
        <f t="shared" si="176"/>
        <v>2025</v>
      </c>
      <c r="E2826" s="2" t="str">
        <f t="shared" si="177"/>
        <v>2025-45</v>
      </c>
      <c r="F2826" s="2" t="str">
        <f t="shared" si="178"/>
        <v>Week 46</v>
      </c>
      <c r="G2826" s="2" t="str">
        <f t="shared" si="179"/>
        <v>Week 46-2025</v>
      </c>
      <c r="O2826"/>
      <c r="Q2826"/>
    </row>
    <row r="2827" spans="1:17" hidden="1" x14ac:dyDescent="0.2">
      <c r="A2827" s="3">
        <v>45970</v>
      </c>
      <c r="B2827" s="2" t="s">
        <v>7</v>
      </c>
      <c r="C2827" s="2">
        <v>4</v>
      </c>
      <c r="D2827" s="2">
        <f t="shared" si="176"/>
        <v>2025</v>
      </c>
      <c r="E2827" s="2" t="str">
        <f t="shared" si="177"/>
        <v>2025-45</v>
      </c>
      <c r="F2827" s="2" t="str">
        <f t="shared" si="178"/>
        <v>Week 46</v>
      </c>
      <c r="G2827" s="2" t="str">
        <f t="shared" si="179"/>
        <v>Week 46-2025</v>
      </c>
      <c r="O2827"/>
      <c r="Q2827"/>
    </row>
    <row r="2828" spans="1:17" hidden="1" x14ac:dyDescent="0.2">
      <c r="A2828" s="3">
        <v>45970</v>
      </c>
      <c r="B2828" s="2" t="s">
        <v>30</v>
      </c>
      <c r="C2828" s="2">
        <v>8</v>
      </c>
      <c r="D2828" s="2">
        <f t="shared" si="176"/>
        <v>2025</v>
      </c>
      <c r="E2828" s="2" t="str">
        <f t="shared" si="177"/>
        <v>2025-45</v>
      </c>
      <c r="F2828" s="2" t="str">
        <f t="shared" si="178"/>
        <v>Week 46</v>
      </c>
      <c r="G2828" s="2" t="str">
        <f t="shared" si="179"/>
        <v>Week 46-2025</v>
      </c>
      <c r="O2828"/>
      <c r="Q2828"/>
    </row>
    <row r="2829" spans="1:17" hidden="1" x14ac:dyDescent="0.2">
      <c r="A2829" s="3">
        <v>45970</v>
      </c>
      <c r="B2829" s="2" t="s">
        <v>14</v>
      </c>
      <c r="C2829" s="2">
        <v>4</v>
      </c>
      <c r="D2829" s="2">
        <f t="shared" si="176"/>
        <v>2025</v>
      </c>
      <c r="E2829" s="2" t="str">
        <f t="shared" si="177"/>
        <v>2025-45</v>
      </c>
      <c r="F2829" s="2" t="str">
        <f t="shared" si="178"/>
        <v>Week 46</v>
      </c>
      <c r="G2829" s="2" t="str">
        <f t="shared" si="179"/>
        <v>Week 46-2025</v>
      </c>
      <c r="O2829"/>
      <c r="Q2829"/>
    </row>
    <row r="2830" spans="1:17" hidden="1" x14ac:dyDescent="0.2">
      <c r="A2830" s="3">
        <v>45970</v>
      </c>
      <c r="B2830" s="2" t="s">
        <v>3</v>
      </c>
      <c r="C2830" s="2">
        <v>2</v>
      </c>
      <c r="D2830" s="2">
        <f t="shared" si="176"/>
        <v>2025</v>
      </c>
      <c r="E2830" s="2" t="str">
        <f t="shared" si="177"/>
        <v>2025-45</v>
      </c>
      <c r="F2830" s="2" t="str">
        <f t="shared" si="178"/>
        <v>Week 46</v>
      </c>
      <c r="G2830" s="2" t="str">
        <f t="shared" si="179"/>
        <v>Week 46-2025</v>
      </c>
      <c r="O2830"/>
      <c r="Q2830"/>
    </row>
    <row r="2831" spans="1:17" hidden="1" x14ac:dyDescent="0.2">
      <c r="A2831" s="3">
        <v>45970</v>
      </c>
      <c r="B2831" s="2" t="s">
        <v>5</v>
      </c>
      <c r="C2831" s="2">
        <v>1</v>
      </c>
      <c r="D2831" s="2">
        <f t="shared" si="176"/>
        <v>2025</v>
      </c>
      <c r="E2831" s="2" t="str">
        <f t="shared" si="177"/>
        <v>2025-45</v>
      </c>
      <c r="F2831" s="2" t="str">
        <f t="shared" si="178"/>
        <v>Week 46</v>
      </c>
      <c r="G2831" s="2" t="str">
        <f t="shared" si="179"/>
        <v>Week 46-2025</v>
      </c>
      <c r="O2831"/>
      <c r="Q2831"/>
    </row>
    <row r="2832" spans="1:17" hidden="1" x14ac:dyDescent="0.2">
      <c r="A2832" s="3">
        <v>45971</v>
      </c>
      <c r="B2832" s="2" t="s">
        <v>5</v>
      </c>
      <c r="C2832" s="2">
        <v>12</v>
      </c>
      <c r="D2832" s="2">
        <f t="shared" si="176"/>
        <v>2025</v>
      </c>
      <c r="E2832" s="2" t="str">
        <f t="shared" si="177"/>
        <v>2025-46</v>
      </c>
      <c r="F2832" s="2" t="str">
        <f t="shared" si="178"/>
        <v>Week 46</v>
      </c>
      <c r="G2832" s="2" t="str">
        <f t="shared" si="179"/>
        <v>Week 46-2025</v>
      </c>
      <c r="O2832"/>
      <c r="Q2832"/>
    </row>
    <row r="2833" spans="1:17" hidden="1" x14ac:dyDescent="0.2">
      <c r="A2833" s="3">
        <v>45971</v>
      </c>
      <c r="B2833" s="2" t="s">
        <v>3</v>
      </c>
      <c r="C2833" s="2">
        <v>6</v>
      </c>
      <c r="D2833" s="2">
        <f t="shared" si="176"/>
        <v>2025</v>
      </c>
      <c r="E2833" s="2" t="str">
        <f t="shared" si="177"/>
        <v>2025-46</v>
      </c>
      <c r="F2833" s="2" t="str">
        <f t="shared" si="178"/>
        <v>Week 46</v>
      </c>
      <c r="G2833" s="2" t="str">
        <f t="shared" si="179"/>
        <v>Week 46-2025</v>
      </c>
      <c r="O2833"/>
      <c r="Q2833"/>
    </row>
    <row r="2834" spans="1:17" hidden="1" x14ac:dyDescent="0.2">
      <c r="A2834" s="3">
        <v>45971</v>
      </c>
      <c r="B2834" s="2" t="s">
        <v>14</v>
      </c>
      <c r="C2834" s="2">
        <v>6</v>
      </c>
      <c r="D2834" s="2">
        <f t="shared" si="176"/>
        <v>2025</v>
      </c>
      <c r="E2834" s="2" t="str">
        <f t="shared" si="177"/>
        <v>2025-46</v>
      </c>
      <c r="F2834" s="2" t="str">
        <f t="shared" si="178"/>
        <v>Week 46</v>
      </c>
      <c r="G2834" s="2" t="str">
        <f t="shared" si="179"/>
        <v>Week 46-2025</v>
      </c>
      <c r="O2834"/>
      <c r="Q2834"/>
    </row>
    <row r="2835" spans="1:17" hidden="1" x14ac:dyDescent="0.2">
      <c r="A2835" s="3">
        <v>45971</v>
      </c>
      <c r="B2835" s="2" t="s">
        <v>15</v>
      </c>
      <c r="C2835" s="2">
        <v>6</v>
      </c>
      <c r="D2835" s="2">
        <f t="shared" si="176"/>
        <v>2025</v>
      </c>
      <c r="E2835" s="2" t="str">
        <f t="shared" si="177"/>
        <v>2025-46</v>
      </c>
      <c r="F2835" s="2" t="str">
        <f t="shared" si="178"/>
        <v>Week 46</v>
      </c>
      <c r="G2835" s="2" t="str">
        <f t="shared" si="179"/>
        <v>Week 46-2025</v>
      </c>
      <c r="O2835"/>
      <c r="Q2835"/>
    </row>
    <row r="2836" spans="1:17" x14ac:dyDescent="0.2">
      <c r="A2836" s="3">
        <v>45971</v>
      </c>
      <c r="B2836" s="2" t="s">
        <v>24</v>
      </c>
      <c r="C2836" s="2">
        <v>6</v>
      </c>
      <c r="D2836" s="2">
        <f t="shared" si="176"/>
        <v>2025</v>
      </c>
      <c r="E2836" s="2" t="str">
        <f t="shared" si="177"/>
        <v>2025-46</v>
      </c>
      <c r="F2836" s="2" t="str">
        <f t="shared" si="178"/>
        <v>Week 46</v>
      </c>
      <c r="G2836" s="2" t="str">
        <f t="shared" si="179"/>
        <v>Week 46-2025</v>
      </c>
      <c r="O2836"/>
      <c r="Q2836"/>
    </row>
    <row r="2837" spans="1:17" hidden="1" x14ac:dyDescent="0.2">
      <c r="A2837" s="3">
        <v>45971</v>
      </c>
      <c r="B2837" s="2" t="s">
        <v>8</v>
      </c>
      <c r="C2837" s="2">
        <v>2</v>
      </c>
      <c r="D2837" s="2">
        <f t="shared" si="176"/>
        <v>2025</v>
      </c>
      <c r="E2837" s="2" t="str">
        <f t="shared" si="177"/>
        <v>2025-46</v>
      </c>
      <c r="F2837" s="2" t="str">
        <f t="shared" si="178"/>
        <v>Week 46</v>
      </c>
      <c r="G2837" s="2" t="str">
        <f t="shared" si="179"/>
        <v>Week 46-2025</v>
      </c>
      <c r="O2837"/>
      <c r="Q2837"/>
    </row>
    <row r="2838" spans="1:17" hidden="1" x14ac:dyDescent="0.2">
      <c r="A2838" s="3">
        <v>45971</v>
      </c>
      <c r="B2838" s="2" t="s">
        <v>27</v>
      </c>
      <c r="C2838" s="2">
        <v>2</v>
      </c>
      <c r="D2838" s="2">
        <f t="shared" si="176"/>
        <v>2025</v>
      </c>
      <c r="E2838" s="2" t="str">
        <f t="shared" si="177"/>
        <v>2025-46</v>
      </c>
      <c r="F2838" s="2" t="str">
        <f t="shared" si="178"/>
        <v>Week 46</v>
      </c>
      <c r="G2838" s="2" t="str">
        <f t="shared" si="179"/>
        <v>Week 46-2025</v>
      </c>
      <c r="O2838"/>
      <c r="Q2838"/>
    </row>
    <row r="2839" spans="1:17" hidden="1" x14ac:dyDescent="0.2">
      <c r="A2839" s="3">
        <v>45971</v>
      </c>
      <c r="B2839" s="2" t="s">
        <v>36</v>
      </c>
      <c r="C2839" s="2">
        <v>2</v>
      </c>
      <c r="D2839" s="2">
        <f t="shared" si="176"/>
        <v>2025</v>
      </c>
      <c r="E2839" s="2" t="str">
        <f t="shared" si="177"/>
        <v>2025-46</v>
      </c>
      <c r="F2839" s="2" t="str">
        <f t="shared" si="178"/>
        <v>Week 46</v>
      </c>
      <c r="G2839" s="2" t="str">
        <f t="shared" si="179"/>
        <v>Week 46-2025</v>
      </c>
      <c r="O2839"/>
      <c r="Q2839"/>
    </row>
    <row r="2840" spans="1:17" hidden="1" x14ac:dyDescent="0.2">
      <c r="A2840" s="3">
        <v>45972</v>
      </c>
      <c r="B2840" s="2" t="s">
        <v>3</v>
      </c>
      <c r="C2840" s="2">
        <v>7</v>
      </c>
      <c r="D2840" s="2">
        <f t="shared" si="176"/>
        <v>2025</v>
      </c>
      <c r="E2840" s="2" t="str">
        <f t="shared" si="177"/>
        <v>2025-46</v>
      </c>
      <c r="F2840" s="2" t="str">
        <f t="shared" si="178"/>
        <v>Week 46</v>
      </c>
      <c r="G2840" s="2" t="str">
        <f t="shared" si="179"/>
        <v>Week 46-2025</v>
      </c>
      <c r="O2840"/>
      <c r="Q2840"/>
    </row>
    <row r="2841" spans="1:17" hidden="1" x14ac:dyDescent="0.2">
      <c r="A2841" s="3">
        <v>45972</v>
      </c>
      <c r="B2841" s="2" t="s">
        <v>14</v>
      </c>
      <c r="C2841" s="2">
        <v>11</v>
      </c>
      <c r="D2841" s="2">
        <f t="shared" si="176"/>
        <v>2025</v>
      </c>
      <c r="E2841" s="2" t="str">
        <f t="shared" si="177"/>
        <v>2025-46</v>
      </c>
      <c r="F2841" s="2" t="str">
        <f t="shared" si="178"/>
        <v>Week 46</v>
      </c>
      <c r="G2841" s="2" t="str">
        <f t="shared" si="179"/>
        <v>Week 46-2025</v>
      </c>
      <c r="O2841"/>
      <c r="Q2841"/>
    </row>
    <row r="2842" spans="1:17" hidden="1" x14ac:dyDescent="0.2">
      <c r="A2842" s="3">
        <v>45972</v>
      </c>
      <c r="B2842" s="2" t="s">
        <v>10</v>
      </c>
      <c r="C2842" s="2">
        <v>6</v>
      </c>
      <c r="D2842" s="2">
        <f t="shared" si="176"/>
        <v>2025</v>
      </c>
      <c r="E2842" s="2" t="str">
        <f t="shared" si="177"/>
        <v>2025-46</v>
      </c>
      <c r="F2842" s="2" t="str">
        <f t="shared" si="178"/>
        <v>Week 46</v>
      </c>
      <c r="G2842" s="2" t="str">
        <f t="shared" si="179"/>
        <v>Week 46-2025</v>
      </c>
      <c r="O2842"/>
      <c r="Q2842"/>
    </row>
    <row r="2843" spans="1:17" hidden="1" x14ac:dyDescent="0.2">
      <c r="A2843" s="3">
        <v>45972</v>
      </c>
      <c r="B2843" s="2" t="s">
        <v>3</v>
      </c>
      <c r="C2843" s="2">
        <v>4</v>
      </c>
      <c r="D2843" s="2">
        <f t="shared" si="176"/>
        <v>2025</v>
      </c>
      <c r="E2843" s="2" t="str">
        <f t="shared" si="177"/>
        <v>2025-46</v>
      </c>
      <c r="F2843" s="2" t="str">
        <f t="shared" si="178"/>
        <v>Week 46</v>
      </c>
      <c r="G2843" s="2" t="str">
        <f t="shared" si="179"/>
        <v>Week 46-2025</v>
      </c>
      <c r="O2843"/>
      <c r="Q2843"/>
    </row>
    <row r="2844" spans="1:17" hidden="1" x14ac:dyDescent="0.2">
      <c r="A2844" s="3">
        <v>45972</v>
      </c>
      <c r="B2844" s="2" t="s">
        <v>14</v>
      </c>
      <c r="C2844" s="2">
        <v>6</v>
      </c>
      <c r="D2844" s="2">
        <f t="shared" si="176"/>
        <v>2025</v>
      </c>
      <c r="E2844" s="2" t="str">
        <f t="shared" si="177"/>
        <v>2025-46</v>
      </c>
      <c r="F2844" s="2" t="str">
        <f t="shared" si="178"/>
        <v>Week 46</v>
      </c>
      <c r="G2844" s="2" t="str">
        <f t="shared" si="179"/>
        <v>Week 46-2025</v>
      </c>
      <c r="O2844"/>
      <c r="Q2844"/>
    </row>
    <row r="2845" spans="1:17" hidden="1" x14ac:dyDescent="0.2">
      <c r="A2845" s="3">
        <v>45972</v>
      </c>
      <c r="B2845" s="2" t="s">
        <v>10</v>
      </c>
      <c r="C2845" s="2">
        <v>2</v>
      </c>
      <c r="D2845" s="2">
        <f t="shared" si="176"/>
        <v>2025</v>
      </c>
      <c r="E2845" s="2" t="str">
        <f t="shared" si="177"/>
        <v>2025-46</v>
      </c>
      <c r="F2845" s="2" t="str">
        <f t="shared" si="178"/>
        <v>Week 46</v>
      </c>
      <c r="G2845" s="2" t="str">
        <f t="shared" si="179"/>
        <v>Week 46-2025</v>
      </c>
      <c r="O2845"/>
      <c r="Q2845"/>
    </row>
    <row r="2846" spans="1:17" hidden="1" x14ac:dyDescent="0.2">
      <c r="A2846" s="3">
        <v>45973</v>
      </c>
      <c r="B2846" s="2" t="s">
        <v>4</v>
      </c>
      <c r="C2846" s="2">
        <v>17</v>
      </c>
      <c r="D2846" s="2">
        <f t="shared" si="176"/>
        <v>2025</v>
      </c>
      <c r="E2846" s="2" t="str">
        <f t="shared" si="177"/>
        <v>2025-46</v>
      </c>
      <c r="F2846" s="2" t="str">
        <f t="shared" si="178"/>
        <v>Week 46</v>
      </c>
      <c r="G2846" s="2" t="str">
        <f t="shared" si="179"/>
        <v>Week 46-2025</v>
      </c>
      <c r="O2846"/>
      <c r="Q2846"/>
    </row>
    <row r="2847" spans="1:17" hidden="1" x14ac:dyDescent="0.2">
      <c r="A2847" s="3">
        <v>45973</v>
      </c>
      <c r="B2847" s="2" t="s">
        <v>5</v>
      </c>
      <c r="C2847" s="2">
        <v>24</v>
      </c>
      <c r="D2847" s="2">
        <f t="shared" si="176"/>
        <v>2025</v>
      </c>
      <c r="E2847" s="2" t="str">
        <f t="shared" si="177"/>
        <v>2025-46</v>
      </c>
      <c r="F2847" s="2" t="str">
        <f t="shared" si="178"/>
        <v>Week 46</v>
      </c>
      <c r="G2847" s="2" t="str">
        <f t="shared" si="179"/>
        <v>Week 46-2025</v>
      </c>
      <c r="O2847"/>
      <c r="Q2847"/>
    </row>
    <row r="2848" spans="1:17" hidden="1" x14ac:dyDescent="0.2">
      <c r="A2848" s="3">
        <v>45973</v>
      </c>
      <c r="B2848" s="2" t="s">
        <v>30</v>
      </c>
      <c r="C2848" s="2">
        <v>28</v>
      </c>
      <c r="D2848" s="2">
        <f t="shared" si="176"/>
        <v>2025</v>
      </c>
      <c r="E2848" s="2" t="str">
        <f t="shared" si="177"/>
        <v>2025-46</v>
      </c>
      <c r="F2848" s="2" t="str">
        <f t="shared" si="178"/>
        <v>Week 46</v>
      </c>
      <c r="G2848" s="2" t="str">
        <f t="shared" si="179"/>
        <v>Week 46-2025</v>
      </c>
      <c r="O2848"/>
      <c r="Q2848"/>
    </row>
    <row r="2849" spans="1:17" hidden="1" x14ac:dyDescent="0.2">
      <c r="A2849" s="3">
        <v>45973</v>
      </c>
      <c r="B2849" s="2" t="s">
        <v>6</v>
      </c>
      <c r="C2849" s="2">
        <v>8</v>
      </c>
      <c r="D2849" s="2">
        <f t="shared" si="176"/>
        <v>2025</v>
      </c>
      <c r="E2849" s="2" t="str">
        <f t="shared" si="177"/>
        <v>2025-46</v>
      </c>
      <c r="F2849" s="2" t="str">
        <f t="shared" si="178"/>
        <v>Week 46</v>
      </c>
      <c r="G2849" s="2" t="str">
        <f t="shared" si="179"/>
        <v>Week 46-2025</v>
      </c>
      <c r="O2849"/>
      <c r="Q2849"/>
    </row>
    <row r="2850" spans="1:17" hidden="1" x14ac:dyDescent="0.2">
      <c r="A2850" s="3">
        <v>45973</v>
      </c>
      <c r="B2850" s="2" t="s">
        <v>10</v>
      </c>
      <c r="C2850" s="2">
        <v>12</v>
      </c>
      <c r="D2850" s="2">
        <f t="shared" si="176"/>
        <v>2025</v>
      </c>
      <c r="E2850" s="2" t="str">
        <f t="shared" si="177"/>
        <v>2025-46</v>
      </c>
      <c r="F2850" s="2" t="str">
        <f t="shared" si="178"/>
        <v>Week 46</v>
      </c>
      <c r="G2850" s="2" t="str">
        <f t="shared" si="179"/>
        <v>Week 46-2025</v>
      </c>
      <c r="O2850"/>
      <c r="Q2850"/>
    </row>
    <row r="2851" spans="1:17" hidden="1" x14ac:dyDescent="0.2">
      <c r="A2851" s="3">
        <v>45973</v>
      </c>
      <c r="B2851" s="2" t="s">
        <v>5</v>
      </c>
      <c r="C2851" s="2">
        <v>10</v>
      </c>
      <c r="D2851" s="2">
        <f t="shared" si="176"/>
        <v>2025</v>
      </c>
      <c r="E2851" s="2" t="str">
        <f t="shared" si="177"/>
        <v>2025-46</v>
      </c>
      <c r="F2851" s="2" t="str">
        <f t="shared" si="178"/>
        <v>Week 46</v>
      </c>
      <c r="G2851" s="2" t="str">
        <f t="shared" si="179"/>
        <v>Week 46-2025</v>
      </c>
      <c r="O2851"/>
      <c r="Q2851"/>
    </row>
    <row r="2852" spans="1:17" hidden="1" x14ac:dyDescent="0.2">
      <c r="A2852" s="3">
        <v>45973</v>
      </c>
      <c r="B2852" s="2" t="s">
        <v>4</v>
      </c>
      <c r="C2852" s="2">
        <v>7</v>
      </c>
      <c r="D2852" s="2">
        <f t="shared" si="176"/>
        <v>2025</v>
      </c>
      <c r="E2852" s="2" t="str">
        <f t="shared" si="177"/>
        <v>2025-46</v>
      </c>
      <c r="F2852" s="2" t="str">
        <f t="shared" si="178"/>
        <v>Week 46</v>
      </c>
      <c r="G2852" s="2" t="str">
        <f t="shared" si="179"/>
        <v>Week 46-2025</v>
      </c>
      <c r="O2852"/>
      <c r="Q2852"/>
    </row>
    <row r="2853" spans="1:17" hidden="1" x14ac:dyDescent="0.2">
      <c r="A2853" s="3">
        <v>45973</v>
      </c>
      <c r="B2853" s="2" t="s">
        <v>3</v>
      </c>
      <c r="C2853" s="2">
        <v>8</v>
      </c>
      <c r="D2853" s="2">
        <f t="shared" si="176"/>
        <v>2025</v>
      </c>
      <c r="E2853" s="2" t="str">
        <f t="shared" si="177"/>
        <v>2025-46</v>
      </c>
      <c r="F2853" s="2" t="str">
        <f t="shared" si="178"/>
        <v>Week 46</v>
      </c>
      <c r="G2853" s="2" t="str">
        <f t="shared" si="179"/>
        <v>Week 46-2025</v>
      </c>
      <c r="O2853"/>
      <c r="Q2853"/>
    </row>
    <row r="2854" spans="1:17" hidden="1" x14ac:dyDescent="0.2">
      <c r="A2854" s="3">
        <v>45973</v>
      </c>
      <c r="B2854" s="2" t="s">
        <v>3</v>
      </c>
      <c r="C2854" s="2">
        <v>8</v>
      </c>
      <c r="D2854" s="2">
        <f t="shared" si="176"/>
        <v>2025</v>
      </c>
      <c r="E2854" s="2" t="str">
        <f t="shared" si="177"/>
        <v>2025-46</v>
      </c>
      <c r="F2854" s="2" t="str">
        <f t="shared" si="178"/>
        <v>Week 46</v>
      </c>
      <c r="G2854" s="2" t="str">
        <f t="shared" si="179"/>
        <v>Week 46-2025</v>
      </c>
      <c r="O2854"/>
      <c r="Q2854"/>
    </row>
    <row r="2855" spans="1:17" hidden="1" x14ac:dyDescent="0.2">
      <c r="A2855" s="3">
        <v>45973</v>
      </c>
      <c r="B2855" s="2" t="s">
        <v>27</v>
      </c>
      <c r="C2855" s="2">
        <v>12</v>
      </c>
      <c r="D2855" s="2">
        <f t="shared" si="176"/>
        <v>2025</v>
      </c>
      <c r="E2855" s="2" t="str">
        <f t="shared" si="177"/>
        <v>2025-46</v>
      </c>
      <c r="F2855" s="2" t="str">
        <f t="shared" si="178"/>
        <v>Week 46</v>
      </c>
      <c r="G2855" s="2" t="str">
        <f t="shared" si="179"/>
        <v>Week 46-2025</v>
      </c>
      <c r="O2855"/>
      <c r="Q2855"/>
    </row>
    <row r="2856" spans="1:17" hidden="1" x14ac:dyDescent="0.2">
      <c r="A2856" s="3">
        <v>45973</v>
      </c>
      <c r="B2856" s="2" t="s">
        <v>8</v>
      </c>
      <c r="C2856" s="2">
        <v>8</v>
      </c>
      <c r="D2856" s="2">
        <f t="shared" si="176"/>
        <v>2025</v>
      </c>
      <c r="E2856" s="2" t="str">
        <f t="shared" si="177"/>
        <v>2025-46</v>
      </c>
      <c r="F2856" s="2" t="str">
        <f t="shared" si="178"/>
        <v>Week 46</v>
      </c>
      <c r="G2856" s="2" t="str">
        <f t="shared" si="179"/>
        <v>Week 46-2025</v>
      </c>
      <c r="O2856"/>
      <c r="Q2856"/>
    </row>
    <row r="2857" spans="1:17" hidden="1" x14ac:dyDescent="0.2">
      <c r="A2857" s="3">
        <v>45973</v>
      </c>
      <c r="B2857" s="2" t="s">
        <v>12</v>
      </c>
      <c r="C2857" s="2">
        <v>2</v>
      </c>
      <c r="D2857" s="2">
        <f t="shared" si="176"/>
        <v>2025</v>
      </c>
      <c r="E2857" s="2" t="str">
        <f t="shared" si="177"/>
        <v>2025-46</v>
      </c>
      <c r="F2857" s="2" t="str">
        <f t="shared" si="178"/>
        <v>Week 46</v>
      </c>
      <c r="G2857" s="2" t="str">
        <f t="shared" si="179"/>
        <v>Week 46-2025</v>
      </c>
      <c r="O2857"/>
      <c r="Q2857"/>
    </row>
    <row r="2858" spans="1:17" hidden="1" x14ac:dyDescent="0.2">
      <c r="A2858" s="3">
        <v>45973</v>
      </c>
      <c r="B2858" s="2" t="s">
        <v>17</v>
      </c>
      <c r="C2858" s="2">
        <v>4</v>
      </c>
      <c r="D2858" s="2">
        <f t="shared" si="176"/>
        <v>2025</v>
      </c>
      <c r="E2858" s="2" t="str">
        <f t="shared" si="177"/>
        <v>2025-46</v>
      </c>
      <c r="F2858" s="2" t="str">
        <f t="shared" si="178"/>
        <v>Week 46</v>
      </c>
      <c r="G2858" s="2" t="str">
        <f t="shared" si="179"/>
        <v>Week 46-2025</v>
      </c>
      <c r="O2858"/>
      <c r="Q2858"/>
    </row>
    <row r="2859" spans="1:17" hidden="1" x14ac:dyDescent="0.2">
      <c r="A2859" s="3">
        <v>45973</v>
      </c>
      <c r="B2859" s="2" t="s">
        <v>14</v>
      </c>
      <c r="C2859" s="2">
        <v>6</v>
      </c>
      <c r="D2859" s="2">
        <f t="shared" si="176"/>
        <v>2025</v>
      </c>
      <c r="E2859" s="2" t="str">
        <f t="shared" si="177"/>
        <v>2025-46</v>
      </c>
      <c r="F2859" s="2" t="str">
        <f t="shared" si="178"/>
        <v>Week 46</v>
      </c>
      <c r="G2859" s="2" t="str">
        <f t="shared" si="179"/>
        <v>Week 46-2025</v>
      </c>
      <c r="O2859"/>
      <c r="Q2859"/>
    </row>
    <row r="2860" spans="1:17" x14ac:dyDescent="0.2">
      <c r="A2860" s="3">
        <v>45973</v>
      </c>
      <c r="B2860" s="2" t="s">
        <v>24</v>
      </c>
      <c r="C2860" s="2">
        <v>8</v>
      </c>
      <c r="D2860" s="2">
        <f t="shared" si="176"/>
        <v>2025</v>
      </c>
      <c r="E2860" s="2" t="str">
        <f t="shared" si="177"/>
        <v>2025-46</v>
      </c>
      <c r="F2860" s="2" t="str">
        <f t="shared" si="178"/>
        <v>Week 46</v>
      </c>
      <c r="G2860" s="2" t="str">
        <f t="shared" si="179"/>
        <v>Week 46-2025</v>
      </c>
      <c r="O2860"/>
      <c r="Q2860"/>
    </row>
    <row r="2861" spans="1:17" hidden="1" x14ac:dyDescent="0.2">
      <c r="A2861" s="3">
        <v>45973</v>
      </c>
      <c r="B2861" s="2" t="s">
        <v>28</v>
      </c>
      <c r="C2861" s="2">
        <v>6</v>
      </c>
      <c r="D2861" s="2">
        <f t="shared" si="176"/>
        <v>2025</v>
      </c>
      <c r="E2861" s="2" t="str">
        <f t="shared" si="177"/>
        <v>2025-46</v>
      </c>
      <c r="F2861" s="2" t="str">
        <f t="shared" si="178"/>
        <v>Week 46</v>
      </c>
      <c r="G2861" s="2" t="str">
        <f t="shared" si="179"/>
        <v>Week 46-2025</v>
      </c>
      <c r="O2861"/>
      <c r="Q2861"/>
    </row>
    <row r="2862" spans="1:17" hidden="1" x14ac:dyDescent="0.2">
      <c r="A2862" s="3">
        <v>45973</v>
      </c>
      <c r="B2862" s="2" t="s">
        <v>31</v>
      </c>
      <c r="C2862" s="2">
        <v>3</v>
      </c>
      <c r="D2862" s="2">
        <f t="shared" si="176"/>
        <v>2025</v>
      </c>
      <c r="E2862" s="2" t="str">
        <f t="shared" si="177"/>
        <v>2025-46</v>
      </c>
      <c r="F2862" s="2" t="str">
        <f t="shared" si="178"/>
        <v>Week 46</v>
      </c>
      <c r="G2862" s="2" t="str">
        <f t="shared" si="179"/>
        <v>Week 46-2025</v>
      </c>
      <c r="O2862"/>
      <c r="Q2862"/>
    </row>
    <row r="2863" spans="1:17" hidden="1" x14ac:dyDescent="0.2">
      <c r="A2863" s="3">
        <v>45973</v>
      </c>
      <c r="B2863" s="2" t="s">
        <v>7</v>
      </c>
      <c r="C2863" s="2">
        <v>2</v>
      </c>
      <c r="D2863" s="2">
        <f t="shared" si="176"/>
        <v>2025</v>
      </c>
      <c r="E2863" s="2" t="str">
        <f t="shared" si="177"/>
        <v>2025-46</v>
      </c>
      <c r="F2863" s="2" t="str">
        <f t="shared" si="178"/>
        <v>Week 46</v>
      </c>
      <c r="G2863" s="2" t="str">
        <f t="shared" si="179"/>
        <v>Week 46-2025</v>
      </c>
      <c r="O2863"/>
      <c r="Q2863"/>
    </row>
    <row r="2864" spans="1:17" hidden="1" x14ac:dyDescent="0.2">
      <c r="A2864" s="3">
        <v>45973</v>
      </c>
      <c r="B2864" s="2" t="s">
        <v>27</v>
      </c>
      <c r="C2864" s="2">
        <v>4</v>
      </c>
      <c r="D2864" s="2">
        <f t="shared" si="176"/>
        <v>2025</v>
      </c>
      <c r="E2864" s="2" t="str">
        <f t="shared" si="177"/>
        <v>2025-46</v>
      </c>
      <c r="F2864" s="2" t="str">
        <f t="shared" si="178"/>
        <v>Week 46</v>
      </c>
      <c r="G2864" s="2" t="str">
        <f t="shared" si="179"/>
        <v>Week 46-2025</v>
      </c>
      <c r="O2864"/>
      <c r="Q2864"/>
    </row>
    <row r="2865" spans="1:17" hidden="1" x14ac:dyDescent="0.2">
      <c r="A2865" s="3">
        <v>45973</v>
      </c>
      <c r="B2865" s="2" t="s">
        <v>36</v>
      </c>
      <c r="C2865" s="2">
        <v>4</v>
      </c>
      <c r="D2865" s="2">
        <f t="shared" si="176"/>
        <v>2025</v>
      </c>
      <c r="E2865" s="2" t="str">
        <f t="shared" si="177"/>
        <v>2025-46</v>
      </c>
      <c r="F2865" s="2" t="str">
        <f t="shared" si="178"/>
        <v>Week 46</v>
      </c>
      <c r="G2865" s="2" t="str">
        <f t="shared" si="179"/>
        <v>Week 46-2025</v>
      </c>
      <c r="O2865"/>
      <c r="Q2865"/>
    </row>
    <row r="2866" spans="1:17" hidden="1" x14ac:dyDescent="0.2">
      <c r="A2866" s="3">
        <v>45973</v>
      </c>
      <c r="B2866" s="2" t="s">
        <v>10</v>
      </c>
      <c r="C2866" s="2">
        <v>2</v>
      </c>
      <c r="D2866" s="2">
        <f t="shared" si="176"/>
        <v>2025</v>
      </c>
      <c r="E2866" s="2" t="str">
        <f t="shared" si="177"/>
        <v>2025-46</v>
      </c>
      <c r="F2866" s="2" t="str">
        <f t="shared" si="178"/>
        <v>Week 46</v>
      </c>
      <c r="G2866" s="2" t="str">
        <f t="shared" si="179"/>
        <v>Week 46-2025</v>
      </c>
      <c r="O2866"/>
      <c r="Q2866"/>
    </row>
    <row r="2867" spans="1:17" hidden="1" x14ac:dyDescent="0.2">
      <c r="A2867" s="3">
        <v>45973</v>
      </c>
      <c r="B2867" s="2" t="s">
        <v>10</v>
      </c>
      <c r="C2867" s="2">
        <v>2</v>
      </c>
      <c r="D2867" s="2">
        <f t="shared" si="176"/>
        <v>2025</v>
      </c>
      <c r="E2867" s="2" t="str">
        <f t="shared" si="177"/>
        <v>2025-46</v>
      </c>
      <c r="F2867" s="2" t="str">
        <f t="shared" si="178"/>
        <v>Week 46</v>
      </c>
      <c r="G2867" s="2" t="str">
        <f t="shared" si="179"/>
        <v>Week 46-2025</v>
      </c>
      <c r="O2867"/>
      <c r="Q2867"/>
    </row>
    <row r="2868" spans="1:17" hidden="1" x14ac:dyDescent="0.2">
      <c r="A2868" s="3">
        <v>45973</v>
      </c>
      <c r="B2868" s="2" t="s">
        <v>31</v>
      </c>
      <c r="C2868" s="2">
        <v>2</v>
      </c>
      <c r="D2868" s="2">
        <f t="shared" si="176"/>
        <v>2025</v>
      </c>
      <c r="E2868" s="2" t="str">
        <f t="shared" si="177"/>
        <v>2025-46</v>
      </c>
      <c r="F2868" s="2" t="str">
        <f t="shared" si="178"/>
        <v>Week 46</v>
      </c>
      <c r="G2868" s="2" t="str">
        <f t="shared" si="179"/>
        <v>Week 46-2025</v>
      </c>
      <c r="O2868"/>
      <c r="Q2868"/>
    </row>
    <row r="2869" spans="1:17" hidden="1" x14ac:dyDescent="0.2">
      <c r="A2869" s="3">
        <v>45973</v>
      </c>
      <c r="B2869" s="2" t="s">
        <v>31</v>
      </c>
      <c r="C2869" s="2">
        <v>2</v>
      </c>
      <c r="D2869" s="2">
        <f t="shared" si="176"/>
        <v>2025</v>
      </c>
      <c r="E2869" s="2" t="str">
        <f t="shared" si="177"/>
        <v>2025-46</v>
      </c>
      <c r="F2869" s="2" t="str">
        <f t="shared" si="178"/>
        <v>Week 46</v>
      </c>
      <c r="G2869" s="2" t="str">
        <f t="shared" si="179"/>
        <v>Week 46-2025</v>
      </c>
      <c r="O2869"/>
      <c r="Q2869"/>
    </row>
    <row r="2870" spans="1:17" hidden="1" x14ac:dyDescent="0.2">
      <c r="A2870" s="3">
        <v>45973</v>
      </c>
      <c r="B2870" s="2" t="s">
        <v>14</v>
      </c>
      <c r="C2870" s="2">
        <v>2</v>
      </c>
      <c r="D2870" s="2">
        <f t="shared" si="176"/>
        <v>2025</v>
      </c>
      <c r="E2870" s="2" t="str">
        <f t="shared" si="177"/>
        <v>2025-46</v>
      </c>
      <c r="F2870" s="2" t="str">
        <f t="shared" si="178"/>
        <v>Week 46</v>
      </c>
      <c r="G2870" s="2" t="str">
        <f t="shared" si="179"/>
        <v>Week 46-2025</v>
      </c>
      <c r="O2870"/>
      <c r="Q2870"/>
    </row>
    <row r="2871" spans="1:17" hidden="1" x14ac:dyDescent="0.2">
      <c r="A2871" s="3">
        <v>45973</v>
      </c>
      <c r="B2871" s="2" t="s">
        <v>31</v>
      </c>
      <c r="C2871" s="2">
        <v>1</v>
      </c>
      <c r="D2871" s="2">
        <f t="shared" si="176"/>
        <v>2025</v>
      </c>
      <c r="E2871" s="2" t="str">
        <f t="shared" si="177"/>
        <v>2025-46</v>
      </c>
      <c r="F2871" s="2" t="str">
        <f t="shared" si="178"/>
        <v>Week 46</v>
      </c>
      <c r="G2871" s="2" t="str">
        <f t="shared" si="179"/>
        <v>Week 46-2025</v>
      </c>
      <c r="O2871"/>
      <c r="Q2871"/>
    </row>
    <row r="2872" spans="1:17" hidden="1" x14ac:dyDescent="0.2">
      <c r="A2872" s="3">
        <v>45974</v>
      </c>
      <c r="B2872" s="2" t="s">
        <v>9</v>
      </c>
      <c r="C2872" s="2">
        <v>14</v>
      </c>
      <c r="D2872" s="2">
        <f t="shared" si="176"/>
        <v>2025</v>
      </c>
      <c r="E2872" s="2" t="str">
        <f t="shared" si="177"/>
        <v>2025-46</v>
      </c>
      <c r="F2872" s="2" t="str">
        <f t="shared" si="178"/>
        <v>Week 46</v>
      </c>
      <c r="G2872" s="2" t="str">
        <f t="shared" si="179"/>
        <v>Week 46-2025</v>
      </c>
      <c r="O2872"/>
      <c r="Q2872"/>
    </row>
    <row r="2873" spans="1:17" hidden="1" x14ac:dyDescent="0.2">
      <c r="A2873" s="3">
        <v>45974</v>
      </c>
      <c r="B2873" s="2" t="s">
        <v>14</v>
      </c>
      <c r="C2873" s="2">
        <v>21</v>
      </c>
      <c r="D2873" s="2">
        <f t="shared" si="176"/>
        <v>2025</v>
      </c>
      <c r="E2873" s="2" t="str">
        <f t="shared" si="177"/>
        <v>2025-46</v>
      </c>
      <c r="F2873" s="2" t="str">
        <f t="shared" si="178"/>
        <v>Week 46</v>
      </c>
      <c r="G2873" s="2" t="str">
        <f t="shared" si="179"/>
        <v>Week 46-2025</v>
      </c>
      <c r="O2873"/>
      <c r="Q2873"/>
    </row>
    <row r="2874" spans="1:17" hidden="1" x14ac:dyDescent="0.2">
      <c r="A2874" s="3">
        <v>45974</v>
      </c>
      <c r="B2874" s="2" t="s">
        <v>14</v>
      </c>
      <c r="C2874" s="2">
        <v>17</v>
      </c>
      <c r="D2874" s="2">
        <f t="shared" si="176"/>
        <v>2025</v>
      </c>
      <c r="E2874" s="2" t="str">
        <f t="shared" si="177"/>
        <v>2025-46</v>
      </c>
      <c r="F2874" s="2" t="str">
        <f t="shared" si="178"/>
        <v>Week 46</v>
      </c>
      <c r="G2874" s="2" t="str">
        <f t="shared" si="179"/>
        <v>Week 46-2025</v>
      </c>
      <c r="O2874"/>
      <c r="Q2874"/>
    </row>
    <row r="2875" spans="1:17" hidden="1" x14ac:dyDescent="0.2">
      <c r="A2875" s="3">
        <v>45974</v>
      </c>
      <c r="B2875" s="2" t="s">
        <v>5</v>
      </c>
      <c r="C2875" s="2">
        <v>12</v>
      </c>
      <c r="D2875" s="2">
        <f t="shared" si="176"/>
        <v>2025</v>
      </c>
      <c r="E2875" s="2" t="str">
        <f t="shared" si="177"/>
        <v>2025-46</v>
      </c>
      <c r="F2875" s="2" t="str">
        <f t="shared" si="178"/>
        <v>Week 46</v>
      </c>
      <c r="G2875" s="2" t="str">
        <f t="shared" si="179"/>
        <v>Week 46-2025</v>
      </c>
      <c r="O2875"/>
      <c r="Q2875"/>
    </row>
    <row r="2876" spans="1:17" hidden="1" x14ac:dyDescent="0.2">
      <c r="A2876" s="3">
        <v>45974</v>
      </c>
      <c r="B2876" s="2" t="s">
        <v>15</v>
      </c>
      <c r="C2876" s="2">
        <v>4</v>
      </c>
      <c r="D2876" s="2">
        <f t="shared" si="176"/>
        <v>2025</v>
      </c>
      <c r="E2876" s="2" t="str">
        <f t="shared" si="177"/>
        <v>2025-46</v>
      </c>
      <c r="F2876" s="2" t="str">
        <f t="shared" si="178"/>
        <v>Week 46</v>
      </c>
      <c r="G2876" s="2" t="str">
        <f t="shared" si="179"/>
        <v>Week 46-2025</v>
      </c>
      <c r="O2876"/>
      <c r="Q2876"/>
    </row>
    <row r="2877" spans="1:17" x14ac:dyDescent="0.2">
      <c r="A2877" s="3">
        <v>45974</v>
      </c>
      <c r="B2877" s="2" t="s">
        <v>24</v>
      </c>
      <c r="C2877" s="2">
        <v>2</v>
      </c>
      <c r="D2877" s="2">
        <f t="shared" si="176"/>
        <v>2025</v>
      </c>
      <c r="E2877" s="2" t="str">
        <f t="shared" si="177"/>
        <v>2025-46</v>
      </c>
      <c r="F2877" s="2" t="str">
        <f t="shared" si="178"/>
        <v>Week 46</v>
      </c>
      <c r="G2877" s="2" t="str">
        <f t="shared" si="179"/>
        <v>Week 46-2025</v>
      </c>
      <c r="O2877"/>
      <c r="Q2877"/>
    </row>
    <row r="2878" spans="1:17" hidden="1" x14ac:dyDescent="0.2">
      <c r="A2878" s="3">
        <v>45975</v>
      </c>
      <c r="B2878" s="2" t="s">
        <v>3</v>
      </c>
      <c r="C2878" s="2">
        <v>3</v>
      </c>
      <c r="D2878" s="2">
        <f t="shared" si="176"/>
        <v>2025</v>
      </c>
      <c r="E2878" s="2" t="str">
        <f t="shared" si="177"/>
        <v>2025-46</v>
      </c>
      <c r="F2878" s="2" t="str">
        <f t="shared" si="178"/>
        <v>Week 46</v>
      </c>
      <c r="G2878" s="2" t="str">
        <f t="shared" si="179"/>
        <v>Week 46-2025</v>
      </c>
      <c r="O2878"/>
      <c r="Q2878"/>
    </row>
    <row r="2879" spans="1:17" hidden="1" x14ac:dyDescent="0.2">
      <c r="A2879" s="3">
        <v>45976</v>
      </c>
      <c r="B2879" s="2" t="s">
        <v>5</v>
      </c>
      <c r="C2879" s="2">
        <v>8</v>
      </c>
      <c r="D2879" s="2">
        <f t="shared" si="176"/>
        <v>2025</v>
      </c>
      <c r="E2879" s="2" t="str">
        <f t="shared" si="177"/>
        <v>2025-46</v>
      </c>
      <c r="F2879" s="2" t="str">
        <f t="shared" si="178"/>
        <v>Week 46</v>
      </c>
      <c r="G2879" s="2" t="str">
        <f t="shared" si="179"/>
        <v>Week 46-2025</v>
      </c>
      <c r="O2879"/>
      <c r="Q2879"/>
    </row>
    <row r="2880" spans="1:17" hidden="1" x14ac:dyDescent="0.2">
      <c r="A2880" s="3">
        <v>45976</v>
      </c>
      <c r="B2880" s="2" t="s">
        <v>13</v>
      </c>
      <c r="C2880" s="2">
        <v>1</v>
      </c>
      <c r="D2880" s="2">
        <f t="shared" si="176"/>
        <v>2025</v>
      </c>
      <c r="E2880" s="2" t="str">
        <f t="shared" si="177"/>
        <v>2025-46</v>
      </c>
      <c r="F2880" s="2" t="str">
        <f t="shared" si="178"/>
        <v>Week 46</v>
      </c>
      <c r="G2880" s="2" t="str">
        <f t="shared" si="179"/>
        <v>Week 46-2025</v>
      </c>
      <c r="O2880"/>
      <c r="Q2880"/>
    </row>
    <row r="2881" spans="1:17" hidden="1" x14ac:dyDescent="0.2">
      <c r="A2881" s="3">
        <v>45976</v>
      </c>
      <c r="B2881" s="2" t="s">
        <v>45</v>
      </c>
      <c r="C2881" s="2">
        <v>1</v>
      </c>
      <c r="D2881" s="2">
        <f t="shared" si="176"/>
        <v>2025</v>
      </c>
      <c r="E2881" s="2" t="str">
        <f t="shared" si="177"/>
        <v>2025-46</v>
      </c>
      <c r="F2881" s="2" t="str">
        <f t="shared" si="178"/>
        <v>Week 46</v>
      </c>
      <c r="G2881" s="2" t="str">
        <f t="shared" si="179"/>
        <v>Week 46-2025</v>
      </c>
      <c r="O2881"/>
      <c r="Q2881"/>
    </row>
    <row r="2882" spans="1:17" hidden="1" x14ac:dyDescent="0.2">
      <c r="A2882" s="3">
        <v>45977</v>
      </c>
      <c r="B2882" s="2" t="s">
        <v>4</v>
      </c>
      <c r="C2882" s="2">
        <v>4</v>
      </c>
      <c r="D2882" s="2">
        <f t="shared" ref="D2882:D2945" si="180">YEAR(A2882)</f>
        <v>2025</v>
      </c>
      <c r="E2882" s="2" t="str">
        <f t="shared" ref="E2882:E2945" si="181">YEAR(A2882)&amp;"-"&amp;_xlfn.ISOWEEKNUM(A2882)</f>
        <v>2025-46</v>
      </c>
      <c r="F2882" s="2" t="str">
        <f t="shared" ref="F2882:F2945" si="182">_xlfn.CONCAT("Week "&amp;WEEKNUM(A2882))</f>
        <v>Week 47</v>
      </c>
      <c r="G2882" s="2" t="str">
        <f t="shared" ref="G2882:G2945" si="183">_xlfn.CONCAT(F2882,"-",D2882)</f>
        <v>Week 47-2025</v>
      </c>
      <c r="O2882"/>
      <c r="Q2882"/>
    </row>
    <row r="2883" spans="1:17" hidden="1" x14ac:dyDescent="0.2">
      <c r="A2883" s="3">
        <v>45977</v>
      </c>
      <c r="B2883" s="2" t="s">
        <v>3</v>
      </c>
      <c r="C2883" s="2">
        <v>4</v>
      </c>
      <c r="D2883" s="2">
        <f t="shared" si="180"/>
        <v>2025</v>
      </c>
      <c r="E2883" s="2" t="str">
        <f t="shared" si="181"/>
        <v>2025-46</v>
      </c>
      <c r="F2883" s="2" t="str">
        <f t="shared" si="182"/>
        <v>Week 47</v>
      </c>
      <c r="G2883" s="2" t="str">
        <f t="shared" si="183"/>
        <v>Week 47-2025</v>
      </c>
      <c r="O2883"/>
      <c r="Q2883"/>
    </row>
    <row r="2884" spans="1:17" hidden="1" x14ac:dyDescent="0.2">
      <c r="A2884" s="3">
        <v>45977</v>
      </c>
      <c r="B2884" s="2" t="s">
        <v>14</v>
      </c>
      <c r="C2884" s="2">
        <v>8</v>
      </c>
      <c r="D2884" s="2">
        <f t="shared" si="180"/>
        <v>2025</v>
      </c>
      <c r="E2884" s="2" t="str">
        <f t="shared" si="181"/>
        <v>2025-46</v>
      </c>
      <c r="F2884" s="2" t="str">
        <f t="shared" si="182"/>
        <v>Week 47</v>
      </c>
      <c r="G2884" s="2" t="str">
        <f t="shared" si="183"/>
        <v>Week 47-2025</v>
      </c>
      <c r="O2884"/>
      <c r="Q2884"/>
    </row>
    <row r="2885" spans="1:17" hidden="1" x14ac:dyDescent="0.2">
      <c r="A2885" s="3">
        <v>45977</v>
      </c>
      <c r="B2885" s="2" t="s">
        <v>18</v>
      </c>
      <c r="C2885" s="2">
        <v>2</v>
      </c>
      <c r="D2885" s="2">
        <f t="shared" si="180"/>
        <v>2025</v>
      </c>
      <c r="E2885" s="2" t="str">
        <f t="shared" si="181"/>
        <v>2025-46</v>
      </c>
      <c r="F2885" s="2" t="str">
        <f t="shared" si="182"/>
        <v>Week 47</v>
      </c>
      <c r="G2885" s="2" t="str">
        <f t="shared" si="183"/>
        <v>Week 47-2025</v>
      </c>
      <c r="O2885"/>
      <c r="Q2885"/>
    </row>
    <row r="2886" spans="1:17" hidden="1" x14ac:dyDescent="0.2">
      <c r="A2886" s="3">
        <v>45977</v>
      </c>
      <c r="B2886" s="2" t="s">
        <v>17</v>
      </c>
      <c r="C2886" s="2">
        <v>4</v>
      </c>
      <c r="D2886" s="2">
        <f t="shared" si="180"/>
        <v>2025</v>
      </c>
      <c r="E2886" s="2" t="str">
        <f t="shared" si="181"/>
        <v>2025-46</v>
      </c>
      <c r="F2886" s="2" t="str">
        <f t="shared" si="182"/>
        <v>Week 47</v>
      </c>
      <c r="G2886" s="2" t="str">
        <f t="shared" si="183"/>
        <v>Week 47-2025</v>
      </c>
      <c r="O2886"/>
      <c r="Q2886"/>
    </row>
    <row r="2887" spans="1:17" hidden="1" x14ac:dyDescent="0.2">
      <c r="A2887" s="3">
        <v>45977</v>
      </c>
      <c r="B2887" s="2" t="s">
        <v>19</v>
      </c>
      <c r="C2887" s="2">
        <v>2</v>
      </c>
      <c r="D2887" s="2">
        <f t="shared" si="180"/>
        <v>2025</v>
      </c>
      <c r="E2887" s="2" t="str">
        <f t="shared" si="181"/>
        <v>2025-46</v>
      </c>
      <c r="F2887" s="2" t="str">
        <f t="shared" si="182"/>
        <v>Week 47</v>
      </c>
      <c r="G2887" s="2" t="str">
        <f t="shared" si="183"/>
        <v>Week 47-2025</v>
      </c>
      <c r="O2887"/>
      <c r="Q2887"/>
    </row>
    <row r="2888" spans="1:17" hidden="1" x14ac:dyDescent="0.2">
      <c r="A2888" s="3">
        <v>45977</v>
      </c>
      <c r="B2888" s="2" t="s">
        <v>3</v>
      </c>
      <c r="C2888" s="2">
        <v>2</v>
      </c>
      <c r="D2888" s="2">
        <f t="shared" si="180"/>
        <v>2025</v>
      </c>
      <c r="E2888" s="2" t="str">
        <f t="shared" si="181"/>
        <v>2025-46</v>
      </c>
      <c r="F2888" s="2" t="str">
        <f t="shared" si="182"/>
        <v>Week 47</v>
      </c>
      <c r="G2888" s="2" t="str">
        <f t="shared" si="183"/>
        <v>Week 47-2025</v>
      </c>
      <c r="O2888"/>
      <c r="Q2888"/>
    </row>
    <row r="2889" spans="1:17" hidden="1" x14ac:dyDescent="0.2">
      <c r="A2889" s="3">
        <v>45977</v>
      </c>
      <c r="B2889" s="2" t="s">
        <v>46</v>
      </c>
      <c r="C2889" s="2">
        <v>2</v>
      </c>
      <c r="D2889" s="2">
        <f t="shared" si="180"/>
        <v>2025</v>
      </c>
      <c r="E2889" s="2" t="str">
        <f t="shared" si="181"/>
        <v>2025-46</v>
      </c>
      <c r="F2889" s="2" t="str">
        <f t="shared" si="182"/>
        <v>Week 47</v>
      </c>
      <c r="G2889" s="2" t="str">
        <f t="shared" si="183"/>
        <v>Week 47-2025</v>
      </c>
      <c r="O2889"/>
      <c r="Q2889"/>
    </row>
    <row r="2890" spans="1:17" hidden="1" x14ac:dyDescent="0.2">
      <c r="A2890" s="3">
        <v>45977</v>
      </c>
      <c r="B2890" s="2" t="s">
        <v>8</v>
      </c>
      <c r="C2890" s="2">
        <v>2</v>
      </c>
      <c r="D2890" s="2">
        <f t="shared" si="180"/>
        <v>2025</v>
      </c>
      <c r="E2890" s="2" t="str">
        <f t="shared" si="181"/>
        <v>2025-46</v>
      </c>
      <c r="F2890" s="2" t="str">
        <f t="shared" si="182"/>
        <v>Week 47</v>
      </c>
      <c r="G2890" s="2" t="str">
        <f t="shared" si="183"/>
        <v>Week 47-2025</v>
      </c>
      <c r="O2890"/>
      <c r="Q2890"/>
    </row>
    <row r="2891" spans="1:17" hidden="1" x14ac:dyDescent="0.2">
      <c r="A2891" s="3">
        <v>45977</v>
      </c>
      <c r="B2891" s="2" t="s">
        <v>36</v>
      </c>
      <c r="C2891" s="2">
        <v>2</v>
      </c>
      <c r="D2891" s="2">
        <f t="shared" si="180"/>
        <v>2025</v>
      </c>
      <c r="E2891" s="2" t="str">
        <f t="shared" si="181"/>
        <v>2025-46</v>
      </c>
      <c r="F2891" s="2" t="str">
        <f t="shared" si="182"/>
        <v>Week 47</v>
      </c>
      <c r="G2891" s="2" t="str">
        <f t="shared" si="183"/>
        <v>Week 47-2025</v>
      </c>
      <c r="O2891"/>
      <c r="Q2891"/>
    </row>
    <row r="2892" spans="1:17" hidden="1" x14ac:dyDescent="0.2">
      <c r="A2892" s="3">
        <v>45978</v>
      </c>
      <c r="B2892" s="2" t="s">
        <v>18</v>
      </c>
      <c r="C2892" s="2">
        <v>10</v>
      </c>
      <c r="D2892" s="2">
        <f t="shared" si="180"/>
        <v>2025</v>
      </c>
      <c r="E2892" s="2" t="str">
        <f t="shared" si="181"/>
        <v>2025-47</v>
      </c>
      <c r="F2892" s="2" t="str">
        <f t="shared" si="182"/>
        <v>Week 47</v>
      </c>
      <c r="G2892" s="2" t="str">
        <f t="shared" si="183"/>
        <v>Week 47-2025</v>
      </c>
      <c r="O2892"/>
      <c r="Q2892"/>
    </row>
    <row r="2893" spans="1:17" hidden="1" x14ac:dyDescent="0.2">
      <c r="A2893" s="3">
        <v>45978</v>
      </c>
      <c r="B2893" s="2" t="s">
        <v>12</v>
      </c>
      <c r="C2893" s="2">
        <v>2</v>
      </c>
      <c r="D2893" s="2">
        <f t="shared" si="180"/>
        <v>2025</v>
      </c>
      <c r="E2893" s="2" t="str">
        <f t="shared" si="181"/>
        <v>2025-47</v>
      </c>
      <c r="F2893" s="2" t="str">
        <f t="shared" si="182"/>
        <v>Week 47</v>
      </c>
      <c r="G2893" s="2" t="str">
        <f t="shared" si="183"/>
        <v>Week 47-2025</v>
      </c>
      <c r="O2893"/>
      <c r="Q2893"/>
    </row>
    <row r="2894" spans="1:17" hidden="1" x14ac:dyDescent="0.2">
      <c r="A2894" s="3">
        <v>45979</v>
      </c>
      <c r="B2894" s="2" t="s">
        <v>9</v>
      </c>
      <c r="C2894" s="2">
        <v>50</v>
      </c>
      <c r="D2894" s="2">
        <f t="shared" si="180"/>
        <v>2025</v>
      </c>
      <c r="E2894" s="2" t="str">
        <f t="shared" si="181"/>
        <v>2025-47</v>
      </c>
      <c r="F2894" s="2" t="str">
        <f t="shared" si="182"/>
        <v>Week 47</v>
      </c>
      <c r="G2894" s="2" t="str">
        <f t="shared" si="183"/>
        <v>Week 47-2025</v>
      </c>
      <c r="O2894"/>
      <c r="Q2894"/>
    </row>
    <row r="2895" spans="1:17" hidden="1" x14ac:dyDescent="0.2">
      <c r="A2895" s="3">
        <v>45979</v>
      </c>
      <c r="B2895" s="2" t="s">
        <v>3</v>
      </c>
      <c r="C2895" s="2">
        <v>56</v>
      </c>
      <c r="D2895" s="2">
        <f t="shared" si="180"/>
        <v>2025</v>
      </c>
      <c r="E2895" s="2" t="str">
        <f t="shared" si="181"/>
        <v>2025-47</v>
      </c>
      <c r="F2895" s="2" t="str">
        <f t="shared" si="182"/>
        <v>Week 47</v>
      </c>
      <c r="G2895" s="2" t="str">
        <f t="shared" si="183"/>
        <v>Week 47-2025</v>
      </c>
      <c r="O2895"/>
      <c r="Q2895"/>
    </row>
    <row r="2896" spans="1:17" hidden="1" x14ac:dyDescent="0.2">
      <c r="A2896" s="3">
        <v>45979</v>
      </c>
      <c r="B2896" s="2" t="s">
        <v>4</v>
      </c>
      <c r="C2896" s="2">
        <v>32</v>
      </c>
      <c r="D2896" s="2">
        <f t="shared" si="180"/>
        <v>2025</v>
      </c>
      <c r="E2896" s="2" t="str">
        <f t="shared" si="181"/>
        <v>2025-47</v>
      </c>
      <c r="F2896" s="2" t="str">
        <f t="shared" si="182"/>
        <v>Week 47</v>
      </c>
      <c r="G2896" s="2" t="str">
        <f t="shared" si="183"/>
        <v>Week 47-2025</v>
      </c>
      <c r="O2896"/>
      <c r="Q2896"/>
    </row>
    <row r="2897" spans="1:17" hidden="1" x14ac:dyDescent="0.2">
      <c r="A2897" s="3">
        <v>45979</v>
      </c>
      <c r="B2897" s="2" t="s">
        <v>5</v>
      </c>
      <c r="C2897" s="2">
        <v>30</v>
      </c>
      <c r="D2897" s="2">
        <f t="shared" si="180"/>
        <v>2025</v>
      </c>
      <c r="E2897" s="2" t="str">
        <f t="shared" si="181"/>
        <v>2025-47</v>
      </c>
      <c r="F2897" s="2" t="str">
        <f t="shared" si="182"/>
        <v>Week 47</v>
      </c>
      <c r="G2897" s="2" t="str">
        <f t="shared" si="183"/>
        <v>Week 47-2025</v>
      </c>
      <c r="O2897"/>
      <c r="Q2897"/>
    </row>
    <row r="2898" spans="1:17" hidden="1" x14ac:dyDescent="0.2">
      <c r="A2898" s="3">
        <v>45979</v>
      </c>
      <c r="B2898" s="2" t="s">
        <v>5</v>
      </c>
      <c r="C2898" s="2">
        <v>22</v>
      </c>
      <c r="D2898" s="2">
        <f t="shared" si="180"/>
        <v>2025</v>
      </c>
      <c r="E2898" s="2" t="str">
        <f t="shared" si="181"/>
        <v>2025-47</v>
      </c>
      <c r="F2898" s="2" t="str">
        <f t="shared" si="182"/>
        <v>Week 47</v>
      </c>
      <c r="G2898" s="2" t="str">
        <f t="shared" si="183"/>
        <v>Week 47-2025</v>
      </c>
      <c r="O2898"/>
      <c r="Q2898"/>
    </row>
    <row r="2899" spans="1:17" hidden="1" x14ac:dyDescent="0.2">
      <c r="A2899" s="3">
        <v>45979</v>
      </c>
      <c r="B2899" s="2" t="s">
        <v>14</v>
      </c>
      <c r="C2899" s="2">
        <v>25</v>
      </c>
      <c r="D2899" s="2">
        <f t="shared" si="180"/>
        <v>2025</v>
      </c>
      <c r="E2899" s="2" t="str">
        <f t="shared" si="181"/>
        <v>2025-47</v>
      </c>
      <c r="F2899" s="2" t="str">
        <f t="shared" si="182"/>
        <v>Week 47</v>
      </c>
      <c r="G2899" s="2" t="str">
        <f t="shared" si="183"/>
        <v>Week 47-2025</v>
      </c>
      <c r="O2899"/>
      <c r="Q2899"/>
    </row>
    <row r="2900" spans="1:17" hidden="1" x14ac:dyDescent="0.2">
      <c r="A2900" s="3">
        <v>45979</v>
      </c>
      <c r="B2900" s="2" t="s">
        <v>19</v>
      </c>
      <c r="C2900" s="2">
        <v>11</v>
      </c>
      <c r="D2900" s="2">
        <f t="shared" si="180"/>
        <v>2025</v>
      </c>
      <c r="E2900" s="2" t="str">
        <f t="shared" si="181"/>
        <v>2025-47</v>
      </c>
      <c r="F2900" s="2" t="str">
        <f t="shared" si="182"/>
        <v>Week 47</v>
      </c>
      <c r="G2900" s="2" t="str">
        <f t="shared" si="183"/>
        <v>Week 47-2025</v>
      </c>
      <c r="O2900"/>
      <c r="Q2900"/>
    </row>
    <row r="2901" spans="1:17" hidden="1" x14ac:dyDescent="0.2">
      <c r="A2901" s="3">
        <v>45979</v>
      </c>
      <c r="B2901" s="2" t="s">
        <v>19</v>
      </c>
      <c r="C2901" s="2">
        <v>5</v>
      </c>
      <c r="D2901" s="2">
        <f t="shared" si="180"/>
        <v>2025</v>
      </c>
      <c r="E2901" s="2" t="str">
        <f t="shared" si="181"/>
        <v>2025-47</v>
      </c>
      <c r="F2901" s="2" t="str">
        <f t="shared" si="182"/>
        <v>Week 47</v>
      </c>
      <c r="G2901" s="2" t="str">
        <f t="shared" si="183"/>
        <v>Week 47-2025</v>
      </c>
      <c r="O2901"/>
      <c r="Q2901"/>
    </row>
    <row r="2902" spans="1:17" hidden="1" x14ac:dyDescent="0.2">
      <c r="A2902" s="3">
        <v>45979</v>
      </c>
      <c r="B2902" s="2" t="s">
        <v>6</v>
      </c>
      <c r="C2902" s="2">
        <v>4</v>
      </c>
      <c r="D2902" s="2">
        <f t="shared" si="180"/>
        <v>2025</v>
      </c>
      <c r="E2902" s="2" t="str">
        <f t="shared" si="181"/>
        <v>2025-47</v>
      </c>
      <c r="F2902" s="2" t="str">
        <f t="shared" si="182"/>
        <v>Week 47</v>
      </c>
      <c r="G2902" s="2" t="str">
        <f t="shared" si="183"/>
        <v>Week 47-2025</v>
      </c>
      <c r="O2902"/>
      <c r="Q2902"/>
    </row>
    <row r="2903" spans="1:17" hidden="1" x14ac:dyDescent="0.2">
      <c r="A2903" s="3">
        <v>45979</v>
      </c>
      <c r="B2903" s="2" t="s">
        <v>9</v>
      </c>
      <c r="C2903" s="2">
        <v>4</v>
      </c>
      <c r="D2903" s="2">
        <f t="shared" si="180"/>
        <v>2025</v>
      </c>
      <c r="E2903" s="2" t="str">
        <f t="shared" si="181"/>
        <v>2025-47</v>
      </c>
      <c r="F2903" s="2" t="str">
        <f t="shared" si="182"/>
        <v>Week 47</v>
      </c>
      <c r="G2903" s="2" t="str">
        <f t="shared" si="183"/>
        <v>Week 47-2025</v>
      </c>
      <c r="O2903"/>
      <c r="Q2903"/>
    </row>
    <row r="2904" spans="1:17" hidden="1" x14ac:dyDescent="0.2">
      <c r="A2904" s="3">
        <v>45979</v>
      </c>
      <c r="B2904" s="2" t="s">
        <v>14</v>
      </c>
      <c r="C2904" s="2">
        <v>8</v>
      </c>
      <c r="D2904" s="2">
        <f t="shared" si="180"/>
        <v>2025</v>
      </c>
      <c r="E2904" s="2" t="str">
        <f t="shared" si="181"/>
        <v>2025-47</v>
      </c>
      <c r="F2904" s="2" t="str">
        <f t="shared" si="182"/>
        <v>Week 47</v>
      </c>
      <c r="G2904" s="2" t="str">
        <f t="shared" si="183"/>
        <v>Week 47-2025</v>
      </c>
      <c r="O2904"/>
      <c r="Q2904"/>
    </row>
    <row r="2905" spans="1:17" hidden="1" x14ac:dyDescent="0.2">
      <c r="A2905" s="3">
        <v>45979</v>
      </c>
      <c r="B2905" s="2" t="s">
        <v>10</v>
      </c>
      <c r="C2905" s="2">
        <v>6</v>
      </c>
      <c r="D2905" s="2">
        <f t="shared" si="180"/>
        <v>2025</v>
      </c>
      <c r="E2905" s="2" t="str">
        <f t="shared" si="181"/>
        <v>2025-47</v>
      </c>
      <c r="F2905" s="2" t="str">
        <f t="shared" si="182"/>
        <v>Week 47</v>
      </c>
      <c r="G2905" s="2" t="str">
        <f t="shared" si="183"/>
        <v>Week 47-2025</v>
      </c>
      <c r="O2905"/>
      <c r="Q2905"/>
    </row>
    <row r="2906" spans="1:17" hidden="1" x14ac:dyDescent="0.2">
      <c r="A2906" s="3">
        <v>45979</v>
      </c>
      <c r="B2906" s="2" t="s">
        <v>29</v>
      </c>
      <c r="C2906" s="2">
        <v>4</v>
      </c>
      <c r="D2906" s="2">
        <f t="shared" si="180"/>
        <v>2025</v>
      </c>
      <c r="E2906" s="2" t="str">
        <f t="shared" si="181"/>
        <v>2025-47</v>
      </c>
      <c r="F2906" s="2" t="str">
        <f t="shared" si="182"/>
        <v>Week 47</v>
      </c>
      <c r="G2906" s="2" t="str">
        <f t="shared" si="183"/>
        <v>Week 47-2025</v>
      </c>
      <c r="O2906"/>
      <c r="Q2906"/>
    </row>
    <row r="2907" spans="1:17" hidden="1" x14ac:dyDescent="0.2">
      <c r="A2907" s="3">
        <v>45979</v>
      </c>
      <c r="B2907" s="2" t="s">
        <v>34</v>
      </c>
      <c r="C2907" s="2">
        <v>4</v>
      </c>
      <c r="D2907" s="2">
        <f t="shared" si="180"/>
        <v>2025</v>
      </c>
      <c r="E2907" s="2" t="str">
        <f t="shared" si="181"/>
        <v>2025-47</v>
      </c>
      <c r="F2907" s="2" t="str">
        <f t="shared" si="182"/>
        <v>Week 47</v>
      </c>
      <c r="G2907" s="2" t="str">
        <f t="shared" si="183"/>
        <v>Week 47-2025</v>
      </c>
      <c r="O2907"/>
      <c r="Q2907"/>
    </row>
    <row r="2908" spans="1:17" hidden="1" x14ac:dyDescent="0.2">
      <c r="A2908" s="3">
        <v>45979</v>
      </c>
      <c r="B2908" s="2" t="s">
        <v>10</v>
      </c>
      <c r="C2908" s="2">
        <v>4</v>
      </c>
      <c r="D2908" s="2">
        <f t="shared" si="180"/>
        <v>2025</v>
      </c>
      <c r="E2908" s="2" t="str">
        <f t="shared" si="181"/>
        <v>2025-47</v>
      </c>
      <c r="F2908" s="2" t="str">
        <f t="shared" si="182"/>
        <v>Week 47</v>
      </c>
      <c r="G2908" s="2" t="str">
        <f t="shared" si="183"/>
        <v>Week 47-2025</v>
      </c>
      <c r="O2908"/>
      <c r="Q2908"/>
    </row>
    <row r="2909" spans="1:17" hidden="1" x14ac:dyDescent="0.2">
      <c r="A2909" s="3">
        <v>45979</v>
      </c>
      <c r="B2909" s="2" t="s">
        <v>34</v>
      </c>
      <c r="C2909" s="2">
        <v>4</v>
      </c>
      <c r="D2909" s="2">
        <f t="shared" si="180"/>
        <v>2025</v>
      </c>
      <c r="E2909" s="2" t="str">
        <f t="shared" si="181"/>
        <v>2025-47</v>
      </c>
      <c r="F2909" s="2" t="str">
        <f t="shared" si="182"/>
        <v>Week 47</v>
      </c>
      <c r="G2909" s="2" t="str">
        <f t="shared" si="183"/>
        <v>Week 47-2025</v>
      </c>
      <c r="O2909"/>
      <c r="Q2909"/>
    </row>
    <row r="2910" spans="1:17" hidden="1" x14ac:dyDescent="0.2">
      <c r="A2910" s="3">
        <v>45979</v>
      </c>
      <c r="B2910" s="2" t="s">
        <v>7</v>
      </c>
      <c r="C2910" s="2">
        <v>2</v>
      </c>
      <c r="D2910" s="2">
        <f t="shared" si="180"/>
        <v>2025</v>
      </c>
      <c r="E2910" s="2" t="str">
        <f t="shared" si="181"/>
        <v>2025-47</v>
      </c>
      <c r="F2910" s="2" t="str">
        <f t="shared" si="182"/>
        <v>Week 47</v>
      </c>
      <c r="G2910" s="2" t="str">
        <f t="shared" si="183"/>
        <v>Week 47-2025</v>
      </c>
      <c r="O2910"/>
      <c r="Q2910"/>
    </row>
    <row r="2911" spans="1:17" hidden="1" x14ac:dyDescent="0.2">
      <c r="A2911" s="3">
        <v>45979</v>
      </c>
      <c r="B2911" s="2" t="s">
        <v>8</v>
      </c>
      <c r="C2911" s="2">
        <v>4</v>
      </c>
      <c r="D2911" s="2">
        <f t="shared" si="180"/>
        <v>2025</v>
      </c>
      <c r="E2911" s="2" t="str">
        <f t="shared" si="181"/>
        <v>2025-47</v>
      </c>
      <c r="F2911" s="2" t="str">
        <f t="shared" si="182"/>
        <v>Week 47</v>
      </c>
      <c r="G2911" s="2" t="str">
        <f t="shared" si="183"/>
        <v>Week 47-2025</v>
      </c>
      <c r="O2911"/>
      <c r="Q2911"/>
    </row>
    <row r="2912" spans="1:17" hidden="1" x14ac:dyDescent="0.2">
      <c r="A2912" s="3">
        <v>45979</v>
      </c>
      <c r="B2912" s="2" t="s">
        <v>9</v>
      </c>
      <c r="C2912" s="2">
        <v>2</v>
      </c>
      <c r="D2912" s="2">
        <f t="shared" si="180"/>
        <v>2025</v>
      </c>
      <c r="E2912" s="2" t="str">
        <f t="shared" si="181"/>
        <v>2025-47</v>
      </c>
      <c r="F2912" s="2" t="str">
        <f t="shared" si="182"/>
        <v>Week 47</v>
      </c>
      <c r="G2912" s="2" t="str">
        <f t="shared" si="183"/>
        <v>Week 47-2025</v>
      </c>
      <c r="O2912"/>
      <c r="Q2912"/>
    </row>
    <row r="2913" spans="1:17" hidden="1" x14ac:dyDescent="0.2">
      <c r="A2913" s="3">
        <v>45979</v>
      </c>
      <c r="B2913" s="2" t="s">
        <v>10</v>
      </c>
      <c r="C2913" s="2">
        <v>2</v>
      </c>
      <c r="D2913" s="2">
        <f t="shared" si="180"/>
        <v>2025</v>
      </c>
      <c r="E2913" s="2" t="str">
        <f t="shared" si="181"/>
        <v>2025-47</v>
      </c>
      <c r="F2913" s="2" t="str">
        <f t="shared" si="182"/>
        <v>Week 47</v>
      </c>
      <c r="G2913" s="2" t="str">
        <f t="shared" si="183"/>
        <v>Week 47-2025</v>
      </c>
      <c r="O2913"/>
      <c r="Q2913"/>
    </row>
    <row r="2914" spans="1:17" hidden="1" x14ac:dyDescent="0.2">
      <c r="A2914" s="3">
        <v>45979</v>
      </c>
      <c r="B2914" s="2" t="s">
        <v>8</v>
      </c>
      <c r="C2914" s="2">
        <v>2</v>
      </c>
      <c r="D2914" s="2">
        <f t="shared" si="180"/>
        <v>2025</v>
      </c>
      <c r="E2914" s="2" t="str">
        <f t="shared" si="181"/>
        <v>2025-47</v>
      </c>
      <c r="F2914" s="2" t="str">
        <f t="shared" si="182"/>
        <v>Week 47</v>
      </c>
      <c r="G2914" s="2" t="str">
        <f t="shared" si="183"/>
        <v>Week 47-2025</v>
      </c>
      <c r="O2914"/>
      <c r="Q2914"/>
    </row>
    <row r="2915" spans="1:17" hidden="1" x14ac:dyDescent="0.2">
      <c r="A2915" s="3">
        <v>45979</v>
      </c>
      <c r="B2915" s="2" t="s">
        <v>15</v>
      </c>
      <c r="C2915" s="2">
        <v>2</v>
      </c>
      <c r="D2915" s="2">
        <f t="shared" si="180"/>
        <v>2025</v>
      </c>
      <c r="E2915" s="2" t="str">
        <f t="shared" si="181"/>
        <v>2025-47</v>
      </c>
      <c r="F2915" s="2" t="str">
        <f t="shared" si="182"/>
        <v>Week 47</v>
      </c>
      <c r="G2915" s="2" t="str">
        <f t="shared" si="183"/>
        <v>Week 47-2025</v>
      </c>
      <c r="O2915"/>
      <c r="Q2915"/>
    </row>
    <row r="2916" spans="1:17" hidden="1" x14ac:dyDescent="0.2">
      <c r="A2916" s="3">
        <v>45979</v>
      </c>
      <c r="B2916" s="2" t="s">
        <v>34</v>
      </c>
      <c r="C2916" s="2">
        <v>1</v>
      </c>
      <c r="D2916" s="2">
        <f t="shared" si="180"/>
        <v>2025</v>
      </c>
      <c r="E2916" s="2" t="str">
        <f t="shared" si="181"/>
        <v>2025-47</v>
      </c>
      <c r="F2916" s="2" t="str">
        <f t="shared" si="182"/>
        <v>Week 47</v>
      </c>
      <c r="G2916" s="2" t="str">
        <f t="shared" si="183"/>
        <v>Week 47-2025</v>
      </c>
      <c r="O2916"/>
      <c r="Q2916"/>
    </row>
    <row r="2917" spans="1:17" hidden="1" x14ac:dyDescent="0.2">
      <c r="A2917" s="3">
        <v>45980</v>
      </c>
      <c r="B2917" s="2" t="s">
        <v>18</v>
      </c>
      <c r="C2917" s="2">
        <v>16</v>
      </c>
      <c r="D2917" s="2">
        <f t="shared" si="180"/>
        <v>2025</v>
      </c>
      <c r="E2917" s="2" t="str">
        <f t="shared" si="181"/>
        <v>2025-47</v>
      </c>
      <c r="F2917" s="2" t="str">
        <f t="shared" si="182"/>
        <v>Week 47</v>
      </c>
      <c r="G2917" s="2" t="str">
        <f t="shared" si="183"/>
        <v>Week 47-2025</v>
      </c>
      <c r="O2917"/>
      <c r="Q2917"/>
    </row>
    <row r="2918" spans="1:17" hidden="1" x14ac:dyDescent="0.2">
      <c r="A2918" s="3">
        <v>45980</v>
      </c>
      <c r="B2918" s="2" t="s">
        <v>6</v>
      </c>
      <c r="C2918" s="2">
        <v>16</v>
      </c>
      <c r="D2918" s="2">
        <f t="shared" si="180"/>
        <v>2025</v>
      </c>
      <c r="E2918" s="2" t="str">
        <f t="shared" si="181"/>
        <v>2025-47</v>
      </c>
      <c r="F2918" s="2" t="str">
        <f t="shared" si="182"/>
        <v>Week 47</v>
      </c>
      <c r="G2918" s="2" t="str">
        <f t="shared" si="183"/>
        <v>Week 47-2025</v>
      </c>
      <c r="O2918"/>
      <c r="Q2918"/>
    </row>
    <row r="2919" spans="1:17" hidden="1" x14ac:dyDescent="0.2">
      <c r="A2919" s="3">
        <v>45980</v>
      </c>
      <c r="B2919" s="2" t="s">
        <v>3</v>
      </c>
      <c r="C2919" s="2">
        <v>17</v>
      </c>
      <c r="D2919" s="2">
        <f t="shared" si="180"/>
        <v>2025</v>
      </c>
      <c r="E2919" s="2" t="str">
        <f t="shared" si="181"/>
        <v>2025-47</v>
      </c>
      <c r="F2919" s="2" t="str">
        <f t="shared" si="182"/>
        <v>Week 47</v>
      </c>
      <c r="G2919" s="2" t="str">
        <f t="shared" si="183"/>
        <v>Week 47-2025</v>
      </c>
      <c r="O2919"/>
      <c r="Q2919"/>
    </row>
    <row r="2920" spans="1:17" hidden="1" x14ac:dyDescent="0.2">
      <c r="A2920" s="3">
        <v>45980</v>
      </c>
      <c r="B2920" s="2" t="s">
        <v>3</v>
      </c>
      <c r="C2920" s="2">
        <v>16</v>
      </c>
      <c r="D2920" s="2">
        <f t="shared" si="180"/>
        <v>2025</v>
      </c>
      <c r="E2920" s="2" t="str">
        <f t="shared" si="181"/>
        <v>2025-47</v>
      </c>
      <c r="F2920" s="2" t="str">
        <f t="shared" si="182"/>
        <v>Week 47</v>
      </c>
      <c r="G2920" s="2" t="str">
        <f t="shared" si="183"/>
        <v>Week 47-2025</v>
      </c>
      <c r="O2920"/>
      <c r="Q2920"/>
    </row>
    <row r="2921" spans="1:17" hidden="1" x14ac:dyDescent="0.2">
      <c r="A2921" s="3">
        <v>45980</v>
      </c>
      <c r="B2921" s="2" t="s">
        <v>3</v>
      </c>
      <c r="C2921" s="2">
        <v>13</v>
      </c>
      <c r="D2921" s="2">
        <f t="shared" si="180"/>
        <v>2025</v>
      </c>
      <c r="E2921" s="2" t="str">
        <f t="shared" si="181"/>
        <v>2025-47</v>
      </c>
      <c r="F2921" s="2" t="str">
        <f t="shared" si="182"/>
        <v>Week 47</v>
      </c>
      <c r="G2921" s="2" t="str">
        <f t="shared" si="183"/>
        <v>Week 47-2025</v>
      </c>
      <c r="O2921"/>
      <c r="Q2921"/>
    </row>
    <row r="2922" spans="1:17" hidden="1" x14ac:dyDescent="0.2">
      <c r="A2922" s="3">
        <v>45980</v>
      </c>
      <c r="B2922" s="2" t="s">
        <v>7</v>
      </c>
      <c r="C2922" s="2">
        <v>10</v>
      </c>
      <c r="D2922" s="2">
        <f t="shared" si="180"/>
        <v>2025</v>
      </c>
      <c r="E2922" s="2" t="str">
        <f t="shared" si="181"/>
        <v>2025-47</v>
      </c>
      <c r="F2922" s="2" t="str">
        <f t="shared" si="182"/>
        <v>Week 47</v>
      </c>
      <c r="G2922" s="2" t="str">
        <f t="shared" si="183"/>
        <v>Week 47-2025</v>
      </c>
      <c r="O2922"/>
      <c r="Q2922"/>
    </row>
    <row r="2923" spans="1:17" hidden="1" x14ac:dyDescent="0.2">
      <c r="A2923" s="3">
        <v>45980</v>
      </c>
      <c r="B2923" s="2" t="s">
        <v>3</v>
      </c>
      <c r="C2923" s="2">
        <v>8</v>
      </c>
      <c r="D2923" s="2">
        <f t="shared" si="180"/>
        <v>2025</v>
      </c>
      <c r="E2923" s="2" t="str">
        <f t="shared" si="181"/>
        <v>2025-47</v>
      </c>
      <c r="F2923" s="2" t="str">
        <f t="shared" si="182"/>
        <v>Week 47</v>
      </c>
      <c r="G2923" s="2" t="str">
        <f t="shared" si="183"/>
        <v>Week 47-2025</v>
      </c>
      <c r="O2923"/>
      <c r="Q2923"/>
    </row>
    <row r="2924" spans="1:17" hidden="1" x14ac:dyDescent="0.2">
      <c r="A2924" s="3">
        <v>45980</v>
      </c>
      <c r="B2924" s="2" t="s">
        <v>5</v>
      </c>
      <c r="C2924" s="2">
        <v>10</v>
      </c>
      <c r="D2924" s="2">
        <f t="shared" si="180"/>
        <v>2025</v>
      </c>
      <c r="E2924" s="2" t="str">
        <f t="shared" si="181"/>
        <v>2025-47</v>
      </c>
      <c r="F2924" s="2" t="str">
        <f t="shared" si="182"/>
        <v>Week 47</v>
      </c>
      <c r="G2924" s="2" t="str">
        <f t="shared" si="183"/>
        <v>Week 47-2025</v>
      </c>
      <c r="O2924"/>
      <c r="Q2924"/>
    </row>
    <row r="2925" spans="1:17" hidden="1" x14ac:dyDescent="0.2">
      <c r="A2925" s="3">
        <v>45980</v>
      </c>
      <c r="B2925" s="2" t="s">
        <v>10</v>
      </c>
      <c r="C2925" s="2">
        <v>8</v>
      </c>
      <c r="D2925" s="2">
        <f t="shared" si="180"/>
        <v>2025</v>
      </c>
      <c r="E2925" s="2" t="str">
        <f t="shared" si="181"/>
        <v>2025-47</v>
      </c>
      <c r="F2925" s="2" t="str">
        <f t="shared" si="182"/>
        <v>Week 47</v>
      </c>
      <c r="G2925" s="2" t="str">
        <f t="shared" si="183"/>
        <v>Week 47-2025</v>
      </c>
      <c r="O2925"/>
      <c r="Q2925"/>
    </row>
    <row r="2926" spans="1:17" hidden="1" x14ac:dyDescent="0.2">
      <c r="A2926" s="3">
        <v>45980</v>
      </c>
      <c r="B2926" s="2" t="s">
        <v>5</v>
      </c>
      <c r="C2926" s="2">
        <v>4</v>
      </c>
      <c r="D2926" s="2">
        <f t="shared" si="180"/>
        <v>2025</v>
      </c>
      <c r="E2926" s="2" t="str">
        <f t="shared" si="181"/>
        <v>2025-47</v>
      </c>
      <c r="F2926" s="2" t="str">
        <f t="shared" si="182"/>
        <v>Week 47</v>
      </c>
      <c r="G2926" s="2" t="str">
        <f t="shared" si="183"/>
        <v>Week 47-2025</v>
      </c>
      <c r="O2926"/>
      <c r="Q2926"/>
    </row>
    <row r="2927" spans="1:17" hidden="1" x14ac:dyDescent="0.2">
      <c r="A2927" s="3">
        <v>45980</v>
      </c>
      <c r="B2927" s="2" t="s">
        <v>9</v>
      </c>
      <c r="C2927" s="2">
        <v>3</v>
      </c>
      <c r="D2927" s="2">
        <f t="shared" si="180"/>
        <v>2025</v>
      </c>
      <c r="E2927" s="2" t="str">
        <f t="shared" si="181"/>
        <v>2025-47</v>
      </c>
      <c r="F2927" s="2" t="str">
        <f t="shared" si="182"/>
        <v>Week 47</v>
      </c>
      <c r="G2927" s="2" t="str">
        <f t="shared" si="183"/>
        <v>Week 47-2025</v>
      </c>
      <c r="O2927"/>
      <c r="Q2927"/>
    </row>
    <row r="2928" spans="1:17" hidden="1" x14ac:dyDescent="0.2">
      <c r="A2928" s="3">
        <v>45980</v>
      </c>
      <c r="B2928" s="2" t="s">
        <v>3</v>
      </c>
      <c r="C2928" s="2">
        <v>3</v>
      </c>
      <c r="D2928" s="2">
        <f t="shared" si="180"/>
        <v>2025</v>
      </c>
      <c r="E2928" s="2" t="str">
        <f t="shared" si="181"/>
        <v>2025-47</v>
      </c>
      <c r="F2928" s="2" t="str">
        <f t="shared" si="182"/>
        <v>Week 47</v>
      </c>
      <c r="G2928" s="2" t="str">
        <f t="shared" si="183"/>
        <v>Week 47-2025</v>
      </c>
      <c r="O2928"/>
      <c r="Q2928"/>
    </row>
    <row r="2929" spans="1:17" hidden="1" x14ac:dyDescent="0.2">
      <c r="A2929" s="3">
        <v>45980</v>
      </c>
      <c r="B2929" s="2" t="s">
        <v>3</v>
      </c>
      <c r="C2929" s="2">
        <v>2</v>
      </c>
      <c r="D2929" s="2">
        <f t="shared" si="180"/>
        <v>2025</v>
      </c>
      <c r="E2929" s="2" t="str">
        <f t="shared" si="181"/>
        <v>2025-47</v>
      </c>
      <c r="F2929" s="2" t="str">
        <f t="shared" si="182"/>
        <v>Week 47</v>
      </c>
      <c r="G2929" s="2" t="str">
        <f t="shared" si="183"/>
        <v>Week 47-2025</v>
      </c>
      <c r="O2929"/>
      <c r="Q2929"/>
    </row>
    <row r="2930" spans="1:17" hidden="1" x14ac:dyDescent="0.2">
      <c r="A2930" s="3">
        <v>45980</v>
      </c>
      <c r="B2930" s="2" t="s">
        <v>8</v>
      </c>
      <c r="C2930" s="2">
        <v>4</v>
      </c>
      <c r="D2930" s="2">
        <f t="shared" si="180"/>
        <v>2025</v>
      </c>
      <c r="E2930" s="2" t="str">
        <f t="shared" si="181"/>
        <v>2025-47</v>
      </c>
      <c r="F2930" s="2" t="str">
        <f t="shared" si="182"/>
        <v>Week 47</v>
      </c>
      <c r="G2930" s="2" t="str">
        <f t="shared" si="183"/>
        <v>Week 47-2025</v>
      </c>
      <c r="O2930"/>
      <c r="Q2930"/>
    </row>
    <row r="2931" spans="1:17" hidden="1" x14ac:dyDescent="0.2">
      <c r="A2931" s="3">
        <v>45980</v>
      </c>
      <c r="B2931" s="2" t="s">
        <v>35</v>
      </c>
      <c r="C2931" s="2">
        <v>4</v>
      </c>
      <c r="D2931" s="2">
        <f t="shared" si="180"/>
        <v>2025</v>
      </c>
      <c r="E2931" s="2" t="str">
        <f t="shared" si="181"/>
        <v>2025-47</v>
      </c>
      <c r="F2931" s="2" t="str">
        <f t="shared" si="182"/>
        <v>Week 47</v>
      </c>
      <c r="G2931" s="2" t="str">
        <f t="shared" si="183"/>
        <v>Week 47-2025</v>
      </c>
      <c r="O2931"/>
      <c r="Q2931"/>
    </row>
    <row r="2932" spans="1:17" hidden="1" x14ac:dyDescent="0.2">
      <c r="A2932" s="3">
        <v>45980</v>
      </c>
      <c r="B2932" s="2" t="s">
        <v>5</v>
      </c>
      <c r="C2932" s="2">
        <v>2</v>
      </c>
      <c r="D2932" s="2">
        <f t="shared" si="180"/>
        <v>2025</v>
      </c>
      <c r="E2932" s="2" t="str">
        <f t="shared" si="181"/>
        <v>2025-47</v>
      </c>
      <c r="F2932" s="2" t="str">
        <f t="shared" si="182"/>
        <v>Week 47</v>
      </c>
      <c r="G2932" s="2" t="str">
        <f t="shared" si="183"/>
        <v>Week 47-2025</v>
      </c>
      <c r="O2932"/>
      <c r="Q2932"/>
    </row>
    <row r="2933" spans="1:17" hidden="1" x14ac:dyDescent="0.2">
      <c r="A2933" s="3">
        <v>45980</v>
      </c>
      <c r="B2933" s="2" t="s">
        <v>14</v>
      </c>
      <c r="C2933" s="2">
        <v>2</v>
      </c>
      <c r="D2933" s="2">
        <f t="shared" si="180"/>
        <v>2025</v>
      </c>
      <c r="E2933" s="2" t="str">
        <f t="shared" si="181"/>
        <v>2025-47</v>
      </c>
      <c r="F2933" s="2" t="str">
        <f t="shared" si="182"/>
        <v>Week 47</v>
      </c>
      <c r="G2933" s="2" t="str">
        <f t="shared" si="183"/>
        <v>Week 47-2025</v>
      </c>
      <c r="O2933"/>
      <c r="Q2933"/>
    </row>
    <row r="2934" spans="1:17" hidden="1" x14ac:dyDescent="0.2">
      <c r="A2934" s="3">
        <v>45980</v>
      </c>
      <c r="B2934" s="2" t="s">
        <v>8</v>
      </c>
      <c r="C2934" s="2">
        <v>2</v>
      </c>
      <c r="D2934" s="2">
        <f t="shared" si="180"/>
        <v>2025</v>
      </c>
      <c r="E2934" s="2" t="str">
        <f t="shared" si="181"/>
        <v>2025-47</v>
      </c>
      <c r="F2934" s="2" t="str">
        <f t="shared" si="182"/>
        <v>Week 47</v>
      </c>
      <c r="G2934" s="2" t="str">
        <f t="shared" si="183"/>
        <v>Week 47-2025</v>
      </c>
      <c r="O2934"/>
      <c r="Q2934"/>
    </row>
    <row r="2935" spans="1:17" hidden="1" x14ac:dyDescent="0.2">
      <c r="A2935" s="3">
        <v>45981</v>
      </c>
      <c r="B2935" s="2" t="s">
        <v>3</v>
      </c>
      <c r="C2935" s="2">
        <v>20</v>
      </c>
      <c r="D2935" s="2">
        <f t="shared" si="180"/>
        <v>2025</v>
      </c>
      <c r="E2935" s="2" t="str">
        <f t="shared" si="181"/>
        <v>2025-47</v>
      </c>
      <c r="F2935" s="2" t="str">
        <f t="shared" si="182"/>
        <v>Week 47</v>
      </c>
      <c r="G2935" s="2" t="str">
        <f t="shared" si="183"/>
        <v>Week 47-2025</v>
      </c>
      <c r="O2935"/>
      <c r="Q2935"/>
    </row>
    <row r="2936" spans="1:17" hidden="1" x14ac:dyDescent="0.2">
      <c r="A2936" s="3">
        <v>45981</v>
      </c>
      <c r="B2936" s="2" t="s">
        <v>5</v>
      </c>
      <c r="C2936" s="2">
        <v>28</v>
      </c>
      <c r="D2936" s="2">
        <f t="shared" si="180"/>
        <v>2025</v>
      </c>
      <c r="E2936" s="2" t="str">
        <f t="shared" si="181"/>
        <v>2025-47</v>
      </c>
      <c r="F2936" s="2" t="str">
        <f t="shared" si="182"/>
        <v>Week 47</v>
      </c>
      <c r="G2936" s="2" t="str">
        <f t="shared" si="183"/>
        <v>Week 47-2025</v>
      </c>
      <c r="O2936"/>
      <c r="Q2936"/>
    </row>
    <row r="2937" spans="1:17" hidden="1" x14ac:dyDescent="0.2">
      <c r="A2937" s="3">
        <v>45981</v>
      </c>
      <c r="B2937" s="2" t="s">
        <v>30</v>
      </c>
      <c r="C2937" s="2">
        <v>22</v>
      </c>
      <c r="D2937" s="2">
        <f t="shared" si="180"/>
        <v>2025</v>
      </c>
      <c r="E2937" s="2" t="str">
        <f t="shared" si="181"/>
        <v>2025-47</v>
      </c>
      <c r="F2937" s="2" t="str">
        <f t="shared" si="182"/>
        <v>Week 47</v>
      </c>
      <c r="G2937" s="2" t="str">
        <f t="shared" si="183"/>
        <v>Week 47-2025</v>
      </c>
      <c r="O2937"/>
      <c r="Q2937"/>
    </row>
    <row r="2938" spans="1:17" hidden="1" x14ac:dyDescent="0.2">
      <c r="A2938" s="3">
        <v>45981</v>
      </c>
      <c r="B2938" s="2" t="s">
        <v>3</v>
      </c>
      <c r="C2938" s="2">
        <v>16</v>
      </c>
      <c r="D2938" s="2">
        <f t="shared" si="180"/>
        <v>2025</v>
      </c>
      <c r="E2938" s="2" t="str">
        <f t="shared" si="181"/>
        <v>2025-47</v>
      </c>
      <c r="F2938" s="2" t="str">
        <f t="shared" si="182"/>
        <v>Week 47</v>
      </c>
      <c r="G2938" s="2" t="str">
        <f t="shared" si="183"/>
        <v>Week 47-2025</v>
      </c>
      <c r="O2938"/>
      <c r="Q2938"/>
    </row>
    <row r="2939" spans="1:17" hidden="1" x14ac:dyDescent="0.2">
      <c r="A2939" s="3">
        <v>45981</v>
      </c>
      <c r="B2939" s="2" t="s">
        <v>5</v>
      </c>
      <c r="C2939" s="2">
        <v>16</v>
      </c>
      <c r="D2939" s="2">
        <f t="shared" si="180"/>
        <v>2025</v>
      </c>
      <c r="E2939" s="2" t="str">
        <f t="shared" si="181"/>
        <v>2025-47</v>
      </c>
      <c r="F2939" s="2" t="str">
        <f t="shared" si="182"/>
        <v>Week 47</v>
      </c>
      <c r="G2939" s="2" t="str">
        <f t="shared" si="183"/>
        <v>Week 47-2025</v>
      </c>
      <c r="O2939"/>
      <c r="Q2939"/>
    </row>
    <row r="2940" spans="1:17" hidden="1" x14ac:dyDescent="0.2">
      <c r="A2940" s="3">
        <v>45981</v>
      </c>
      <c r="B2940" s="2" t="s">
        <v>9</v>
      </c>
      <c r="C2940" s="2">
        <v>8</v>
      </c>
      <c r="D2940" s="2">
        <f t="shared" si="180"/>
        <v>2025</v>
      </c>
      <c r="E2940" s="2" t="str">
        <f t="shared" si="181"/>
        <v>2025-47</v>
      </c>
      <c r="F2940" s="2" t="str">
        <f t="shared" si="182"/>
        <v>Week 47</v>
      </c>
      <c r="G2940" s="2" t="str">
        <f t="shared" si="183"/>
        <v>Week 47-2025</v>
      </c>
      <c r="O2940"/>
      <c r="Q2940"/>
    </row>
    <row r="2941" spans="1:17" hidden="1" x14ac:dyDescent="0.2">
      <c r="A2941" s="3">
        <v>45981</v>
      </c>
      <c r="B2941" s="2" t="s">
        <v>8</v>
      </c>
      <c r="C2941" s="2">
        <v>22</v>
      </c>
      <c r="D2941" s="2">
        <f t="shared" si="180"/>
        <v>2025</v>
      </c>
      <c r="E2941" s="2" t="str">
        <f t="shared" si="181"/>
        <v>2025-47</v>
      </c>
      <c r="F2941" s="2" t="str">
        <f t="shared" si="182"/>
        <v>Week 47</v>
      </c>
      <c r="G2941" s="2" t="str">
        <f t="shared" si="183"/>
        <v>Week 47-2025</v>
      </c>
      <c r="O2941"/>
      <c r="Q2941"/>
    </row>
    <row r="2942" spans="1:17" hidden="1" x14ac:dyDescent="0.2">
      <c r="A2942" s="3">
        <v>45981</v>
      </c>
      <c r="B2942" s="2" t="s">
        <v>9</v>
      </c>
      <c r="C2942" s="2">
        <v>8</v>
      </c>
      <c r="D2942" s="2">
        <f t="shared" si="180"/>
        <v>2025</v>
      </c>
      <c r="E2942" s="2" t="str">
        <f t="shared" si="181"/>
        <v>2025-47</v>
      </c>
      <c r="F2942" s="2" t="str">
        <f t="shared" si="182"/>
        <v>Week 47</v>
      </c>
      <c r="G2942" s="2" t="str">
        <f t="shared" si="183"/>
        <v>Week 47-2025</v>
      </c>
      <c r="O2942"/>
      <c r="Q2942"/>
    </row>
    <row r="2943" spans="1:17" hidden="1" x14ac:dyDescent="0.2">
      <c r="A2943" s="3">
        <v>45981</v>
      </c>
      <c r="B2943" s="2" t="s">
        <v>5</v>
      </c>
      <c r="C2943" s="2">
        <v>8</v>
      </c>
      <c r="D2943" s="2">
        <f t="shared" si="180"/>
        <v>2025</v>
      </c>
      <c r="E2943" s="2" t="str">
        <f t="shared" si="181"/>
        <v>2025-47</v>
      </c>
      <c r="F2943" s="2" t="str">
        <f t="shared" si="182"/>
        <v>Week 47</v>
      </c>
      <c r="G2943" s="2" t="str">
        <f t="shared" si="183"/>
        <v>Week 47-2025</v>
      </c>
      <c r="O2943"/>
      <c r="Q2943"/>
    </row>
    <row r="2944" spans="1:17" hidden="1" x14ac:dyDescent="0.2">
      <c r="A2944" s="3">
        <v>45981</v>
      </c>
      <c r="B2944" s="2" t="s">
        <v>3</v>
      </c>
      <c r="C2944" s="2">
        <v>10</v>
      </c>
      <c r="D2944" s="2">
        <f t="shared" si="180"/>
        <v>2025</v>
      </c>
      <c r="E2944" s="2" t="str">
        <f t="shared" si="181"/>
        <v>2025-47</v>
      </c>
      <c r="F2944" s="2" t="str">
        <f t="shared" si="182"/>
        <v>Week 47</v>
      </c>
      <c r="G2944" s="2" t="str">
        <f t="shared" si="183"/>
        <v>Week 47-2025</v>
      </c>
      <c r="O2944"/>
      <c r="Q2944"/>
    </row>
    <row r="2945" spans="1:17" hidden="1" x14ac:dyDescent="0.2">
      <c r="A2945" s="3">
        <v>45981</v>
      </c>
      <c r="B2945" s="2" t="s">
        <v>3</v>
      </c>
      <c r="C2945" s="2">
        <v>9</v>
      </c>
      <c r="D2945" s="2">
        <f t="shared" si="180"/>
        <v>2025</v>
      </c>
      <c r="E2945" s="2" t="str">
        <f t="shared" si="181"/>
        <v>2025-47</v>
      </c>
      <c r="F2945" s="2" t="str">
        <f t="shared" si="182"/>
        <v>Week 47</v>
      </c>
      <c r="G2945" s="2" t="str">
        <f t="shared" si="183"/>
        <v>Week 47-2025</v>
      </c>
      <c r="O2945"/>
      <c r="Q2945"/>
    </row>
    <row r="2946" spans="1:17" hidden="1" x14ac:dyDescent="0.2">
      <c r="A2946" s="3">
        <v>45981</v>
      </c>
      <c r="B2946" s="2" t="s">
        <v>10</v>
      </c>
      <c r="C2946" s="2">
        <v>8</v>
      </c>
      <c r="D2946" s="2">
        <f t="shared" ref="D2946:D3009" si="184">YEAR(A2946)</f>
        <v>2025</v>
      </c>
      <c r="E2946" s="2" t="str">
        <f t="shared" ref="E2946:E3009" si="185">YEAR(A2946)&amp;"-"&amp;_xlfn.ISOWEEKNUM(A2946)</f>
        <v>2025-47</v>
      </c>
      <c r="F2946" s="2" t="str">
        <f t="shared" ref="F2946:F3009" si="186">_xlfn.CONCAT("Week "&amp;WEEKNUM(A2946))</f>
        <v>Week 47</v>
      </c>
      <c r="G2946" s="2" t="str">
        <f t="shared" ref="G2946:G3009" si="187">_xlfn.CONCAT(F2946,"-",D2946)</f>
        <v>Week 47-2025</v>
      </c>
      <c r="O2946"/>
      <c r="Q2946"/>
    </row>
    <row r="2947" spans="1:17" hidden="1" x14ac:dyDescent="0.2">
      <c r="A2947" s="3">
        <v>45981</v>
      </c>
      <c r="B2947" s="2" t="s">
        <v>3</v>
      </c>
      <c r="C2947" s="2">
        <v>8</v>
      </c>
      <c r="D2947" s="2">
        <f t="shared" si="184"/>
        <v>2025</v>
      </c>
      <c r="E2947" s="2" t="str">
        <f t="shared" si="185"/>
        <v>2025-47</v>
      </c>
      <c r="F2947" s="2" t="str">
        <f t="shared" si="186"/>
        <v>Week 47</v>
      </c>
      <c r="G2947" s="2" t="str">
        <f t="shared" si="187"/>
        <v>Week 47-2025</v>
      </c>
      <c r="O2947"/>
      <c r="Q2947"/>
    </row>
    <row r="2948" spans="1:17" hidden="1" x14ac:dyDescent="0.2">
      <c r="A2948" s="3">
        <v>45981</v>
      </c>
      <c r="B2948" s="2" t="s">
        <v>3</v>
      </c>
      <c r="C2948" s="2">
        <v>8</v>
      </c>
      <c r="D2948" s="2">
        <f t="shared" si="184"/>
        <v>2025</v>
      </c>
      <c r="E2948" s="2" t="str">
        <f t="shared" si="185"/>
        <v>2025-47</v>
      </c>
      <c r="F2948" s="2" t="str">
        <f t="shared" si="186"/>
        <v>Week 47</v>
      </c>
      <c r="G2948" s="2" t="str">
        <f t="shared" si="187"/>
        <v>Week 47-2025</v>
      </c>
      <c r="O2948"/>
      <c r="Q2948"/>
    </row>
    <row r="2949" spans="1:17" hidden="1" x14ac:dyDescent="0.2">
      <c r="A2949" s="3">
        <v>45981</v>
      </c>
      <c r="B2949" s="2" t="s">
        <v>19</v>
      </c>
      <c r="C2949" s="2">
        <v>4</v>
      </c>
      <c r="D2949" s="2">
        <f t="shared" si="184"/>
        <v>2025</v>
      </c>
      <c r="E2949" s="2" t="str">
        <f t="shared" si="185"/>
        <v>2025-47</v>
      </c>
      <c r="F2949" s="2" t="str">
        <f t="shared" si="186"/>
        <v>Week 47</v>
      </c>
      <c r="G2949" s="2" t="str">
        <f t="shared" si="187"/>
        <v>Week 47-2025</v>
      </c>
      <c r="O2949"/>
      <c r="Q2949"/>
    </row>
    <row r="2950" spans="1:17" hidden="1" x14ac:dyDescent="0.2">
      <c r="A2950" s="3">
        <v>45981</v>
      </c>
      <c r="B2950" s="2" t="s">
        <v>5</v>
      </c>
      <c r="C2950" s="2">
        <v>9</v>
      </c>
      <c r="D2950" s="2">
        <f t="shared" si="184"/>
        <v>2025</v>
      </c>
      <c r="E2950" s="2" t="str">
        <f t="shared" si="185"/>
        <v>2025-47</v>
      </c>
      <c r="F2950" s="2" t="str">
        <f t="shared" si="186"/>
        <v>Week 47</v>
      </c>
      <c r="G2950" s="2" t="str">
        <f t="shared" si="187"/>
        <v>Week 47-2025</v>
      </c>
      <c r="O2950"/>
      <c r="Q2950"/>
    </row>
    <row r="2951" spans="1:17" hidden="1" x14ac:dyDescent="0.2">
      <c r="A2951" s="3">
        <v>45981</v>
      </c>
      <c r="B2951" s="2" t="s">
        <v>9</v>
      </c>
      <c r="C2951" s="2">
        <v>6</v>
      </c>
      <c r="D2951" s="2">
        <f t="shared" si="184"/>
        <v>2025</v>
      </c>
      <c r="E2951" s="2" t="str">
        <f t="shared" si="185"/>
        <v>2025-47</v>
      </c>
      <c r="F2951" s="2" t="str">
        <f t="shared" si="186"/>
        <v>Week 47</v>
      </c>
      <c r="G2951" s="2" t="str">
        <f t="shared" si="187"/>
        <v>Week 47-2025</v>
      </c>
      <c r="O2951"/>
      <c r="Q2951"/>
    </row>
    <row r="2952" spans="1:17" hidden="1" x14ac:dyDescent="0.2">
      <c r="A2952" s="3">
        <v>45981</v>
      </c>
      <c r="B2952" s="2" t="s">
        <v>9</v>
      </c>
      <c r="C2952" s="2">
        <v>6</v>
      </c>
      <c r="D2952" s="2">
        <f t="shared" si="184"/>
        <v>2025</v>
      </c>
      <c r="E2952" s="2" t="str">
        <f t="shared" si="185"/>
        <v>2025-47</v>
      </c>
      <c r="F2952" s="2" t="str">
        <f t="shared" si="186"/>
        <v>Week 47</v>
      </c>
      <c r="G2952" s="2" t="str">
        <f t="shared" si="187"/>
        <v>Week 47-2025</v>
      </c>
      <c r="O2952"/>
      <c r="Q2952"/>
    </row>
    <row r="2953" spans="1:17" hidden="1" x14ac:dyDescent="0.2">
      <c r="A2953" s="3">
        <v>45981</v>
      </c>
      <c r="B2953" s="2" t="s">
        <v>7</v>
      </c>
      <c r="C2953" s="2">
        <v>4</v>
      </c>
      <c r="D2953" s="2">
        <f t="shared" si="184"/>
        <v>2025</v>
      </c>
      <c r="E2953" s="2" t="str">
        <f t="shared" si="185"/>
        <v>2025-47</v>
      </c>
      <c r="F2953" s="2" t="str">
        <f t="shared" si="186"/>
        <v>Week 47</v>
      </c>
      <c r="G2953" s="2" t="str">
        <f t="shared" si="187"/>
        <v>Week 47-2025</v>
      </c>
      <c r="O2953"/>
      <c r="Q2953"/>
    </row>
    <row r="2954" spans="1:17" hidden="1" x14ac:dyDescent="0.2">
      <c r="A2954" s="3">
        <v>45981</v>
      </c>
      <c r="B2954" s="2" t="s">
        <v>14</v>
      </c>
      <c r="C2954" s="2">
        <v>8</v>
      </c>
      <c r="D2954" s="2">
        <f t="shared" si="184"/>
        <v>2025</v>
      </c>
      <c r="E2954" s="2" t="str">
        <f t="shared" si="185"/>
        <v>2025-47</v>
      </c>
      <c r="F2954" s="2" t="str">
        <f t="shared" si="186"/>
        <v>Week 47</v>
      </c>
      <c r="G2954" s="2" t="str">
        <f t="shared" si="187"/>
        <v>Week 47-2025</v>
      </c>
      <c r="O2954"/>
      <c r="Q2954"/>
    </row>
    <row r="2955" spans="1:17" hidden="1" x14ac:dyDescent="0.2">
      <c r="A2955" s="3">
        <v>45981</v>
      </c>
      <c r="B2955" s="2" t="s">
        <v>14</v>
      </c>
      <c r="C2955" s="2">
        <v>8</v>
      </c>
      <c r="D2955" s="2">
        <f t="shared" si="184"/>
        <v>2025</v>
      </c>
      <c r="E2955" s="2" t="str">
        <f t="shared" si="185"/>
        <v>2025-47</v>
      </c>
      <c r="F2955" s="2" t="str">
        <f t="shared" si="186"/>
        <v>Week 47</v>
      </c>
      <c r="G2955" s="2" t="str">
        <f t="shared" si="187"/>
        <v>Week 47-2025</v>
      </c>
      <c r="O2955"/>
      <c r="Q2955"/>
    </row>
    <row r="2956" spans="1:17" hidden="1" x14ac:dyDescent="0.2">
      <c r="A2956" s="3">
        <v>45981</v>
      </c>
      <c r="B2956" s="2" t="s">
        <v>4</v>
      </c>
      <c r="C2956" s="2">
        <v>4</v>
      </c>
      <c r="D2956" s="2">
        <f t="shared" si="184"/>
        <v>2025</v>
      </c>
      <c r="E2956" s="2" t="str">
        <f t="shared" si="185"/>
        <v>2025-47</v>
      </c>
      <c r="F2956" s="2" t="str">
        <f t="shared" si="186"/>
        <v>Week 47</v>
      </c>
      <c r="G2956" s="2" t="str">
        <f t="shared" si="187"/>
        <v>Week 47-2025</v>
      </c>
      <c r="O2956"/>
      <c r="Q2956"/>
    </row>
    <row r="2957" spans="1:17" hidden="1" x14ac:dyDescent="0.2">
      <c r="A2957" s="3">
        <v>45981</v>
      </c>
      <c r="B2957" s="2" t="s">
        <v>4</v>
      </c>
      <c r="C2957" s="2">
        <v>4</v>
      </c>
      <c r="D2957" s="2">
        <f t="shared" si="184"/>
        <v>2025</v>
      </c>
      <c r="E2957" s="2" t="str">
        <f t="shared" si="185"/>
        <v>2025-47</v>
      </c>
      <c r="F2957" s="2" t="str">
        <f t="shared" si="186"/>
        <v>Week 47</v>
      </c>
      <c r="G2957" s="2" t="str">
        <f t="shared" si="187"/>
        <v>Week 47-2025</v>
      </c>
      <c r="O2957"/>
      <c r="Q2957"/>
    </row>
    <row r="2958" spans="1:17" hidden="1" x14ac:dyDescent="0.2">
      <c r="A2958" s="3">
        <v>45981</v>
      </c>
      <c r="B2958" s="2" t="s">
        <v>27</v>
      </c>
      <c r="C2958" s="2">
        <v>10</v>
      </c>
      <c r="D2958" s="2">
        <f t="shared" si="184"/>
        <v>2025</v>
      </c>
      <c r="E2958" s="2" t="str">
        <f t="shared" si="185"/>
        <v>2025-47</v>
      </c>
      <c r="F2958" s="2" t="str">
        <f t="shared" si="186"/>
        <v>Week 47</v>
      </c>
      <c r="G2958" s="2" t="str">
        <f t="shared" si="187"/>
        <v>Week 47-2025</v>
      </c>
      <c r="O2958"/>
      <c r="Q2958"/>
    </row>
    <row r="2959" spans="1:17" hidden="1" x14ac:dyDescent="0.2">
      <c r="A2959" s="3">
        <v>45981</v>
      </c>
      <c r="B2959" s="2" t="s">
        <v>3</v>
      </c>
      <c r="C2959" s="2">
        <v>4</v>
      </c>
      <c r="D2959" s="2">
        <f t="shared" si="184"/>
        <v>2025</v>
      </c>
      <c r="E2959" s="2" t="str">
        <f t="shared" si="185"/>
        <v>2025-47</v>
      </c>
      <c r="F2959" s="2" t="str">
        <f t="shared" si="186"/>
        <v>Week 47</v>
      </c>
      <c r="G2959" s="2" t="str">
        <f t="shared" si="187"/>
        <v>Week 47-2025</v>
      </c>
      <c r="O2959"/>
      <c r="Q2959"/>
    </row>
    <row r="2960" spans="1:17" hidden="1" x14ac:dyDescent="0.2">
      <c r="A2960" s="3">
        <v>45981</v>
      </c>
      <c r="B2960" s="2" t="s">
        <v>18</v>
      </c>
      <c r="C2960" s="2">
        <v>2</v>
      </c>
      <c r="D2960" s="2">
        <f t="shared" si="184"/>
        <v>2025</v>
      </c>
      <c r="E2960" s="2" t="str">
        <f t="shared" si="185"/>
        <v>2025-47</v>
      </c>
      <c r="F2960" s="2" t="str">
        <f t="shared" si="186"/>
        <v>Week 47</v>
      </c>
      <c r="G2960" s="2" t="str">
        <f t="shared" si="187"/>
        <v>Week 47-2025</v>
      </c>
      <c r="O2960"/>
      <c r="Q2960"/>
    </row>
    <row r="2961" spans="1:17" hidden="1" x14ac:dyDescent="0.2">
      <c r="A2961" s="3">
        <v>45981</v>
      </c>
      <c r="B2961" s="2" t="s">
        <v>18</v>
      </c>
      <c r="C2961" s="2">
        <v>2</v>
      </c>
      <c r="D2961" s="2">
        <f t="shared" si="184"/>
        <v>2025</v>
      </c>
      <c r="E2961" s="2" t="str">
        <f t="shared" si="185"/>
        <v>2025-47</v>
      </c>
      <c r="F2961" s="2" t="str">
        <f t="shared" si="186"/>
        <v>Week 47</v>
      </c>
      <c r="G2961" s="2" t="str">
        <f t="shared" si="187"/>
        <v>Week 47-2025</v>
      </c>
      <c r="O2961"/>
      <c r="Q2961"/>
    </row>
    <row r="2962" spans="1:17" hidden="1" x14ac:dyDescent="0.2">
      <c r="A2962" s="3">
        <v>45981</v>
      </c>
      <c r="B2962" s="2" t="s">
        <v>18</v>
      </c>
      <c r="C2962" s="2">
        <v>2</v>
      </c>
      <c r="D2962" s="2">
        <f t="shared" si="184"/>
        <v>2025</v>
      </c>
      <c r="E2962" s="2" t="str">
        <f t="shared" si="185"/>
        <v>2025-47</v>
      </c>
      <c r="F2962" s="2" t="str">
        <f t="shared" si="186"/>
        <v>Week 47</v>
      </c>
      <c r="G2962" s="2" t="str">
        <f t="shared" si="187"/>
        <v>Week 47-2025</v>
      </c>
      <c r="O2962"/>
      <c r="Q2962"/>
    </row>
    <row r="2963" spans="1:17" hidden="1" x14ac:dyDescent="0.2">
      <c r="A2963" s="3">
        <v>45981</v>
      </c>
      <c r="B2963" s="2" t="s">
        <v>14</v>
      </c>
      <c r="C2963" s="2">
        <v>6</v>
      </c>
      <c r="D2963" s="2">
        <f t="shared" si="184"/>
        <v>2025</v>
      </c>
      <c r="E2963" s="2" t="str">
        <f t="shared" si="185"/>
        <v>2025-47</v>
      </c>
      <c r="F2963" s="2" t="str">
        <f t="shared" si="186"/>
        <v>Week 47</v>
      </c>
      <c r="G2963" s="2" t="str">
        <f t="shared" si="187"/>
        <v>Week 47-2025</v>
      </c>
      <c r="O2963"/>
      <c r="Q2963"/>
    </row>
    <row r="2964" spans="1:17" hidden="1" x14ac:dyDescent="0.2">
      <c r="A2964" s="3">
        <v>45981</v>
      </c>
      <c r="B2964" s="2" t="s">
        <v>4</v>
      </c>
      <c r="C2964" s="2">
        <v>3</v>
      </c>
      <c r="D2964" s="2">
        <f t="shared" si="184"/>
        <v>2025</v>
      </c>
      <c r="E2964" s="2" t="str">
        <f t="shared" si="185"/>
        <v>2025-47</v>
      </c>
      <c r="F2964" s="2" t="str">
        <f t="shared" si="186"/>
        <v>Week 47</v>
      </c>
      <c r="G2964" s="2" t="str">
        <f t="shared" si="187"/>
        <v>Week 47-2025</v>
      </c>
      <c r="O2964"/>
      <c r="Q2964"/>
    </row>
    <row r="2965" spans="1:17" hidden="1" x14ac:dyDescent="0.2">
      <c r="A2965" s="3">
        <v>45981</v>
      </c>
      <c r="B2965" s="2" t="s">
        <v>13</v>
      </c>
      <c r="C2965" s="2">
        <v>4</v>
      </c>
      <c r="D2965" s="2">
        <f t="shared" si="184"/>
        <v>2025</v>
      </c>
      <c r="E2965" s="2" t="str">
        <f t="shared" si="185"/>
        <v>2025-47</v>
      </c>
      <c r="F2965" s="2" t="str">
        <f t="shared" si="186"/>
        <v>Week 47</v>
      </c>
      <c r="G2965" s="2" t="str">
        <f t="shared" si="187"/>
        <v>Week 47-2025</v>
      </c>
      <c r="O2965"/>
      <c r="Q2965"/>
    </row>
    <row r="2966" spans="1:17" hidden="1" x14ac:dyDescent="0.2">
      <c r="A2966" s="3">
        <v>45981</v>
      </c>
      <c r="B2966" s="2" t="s">
        <v>27</v>
      </c>
      <c r="C2966" s="2">
        <v>6</v>
      </c>
      <c r="D2966" s="2">
        <f t="shared" si="184"/>
        <v>2025</v>
      </c>
      <c r="E2966" s="2" t="str">
        <f t="shared" si="185"/>
        <v>2025-47</v>
      </c>
      <c r="F2966" s="2" t="str">
        <f t="shared" si="186"/>
        <v>Week 47</v>
      </c>
      <c r="G2966" s="2" t="str">
        <f t="shared" si="187"/>
        <v>Week 47-2025</v>
      </c>
      <c r="O2966"/>
      <c r="Q2966"/>
    </row>
    <row r="2967" spans="1:17" hidden="1" x14ac:dyDescent="0.2">
      <c r="A2967" s="3">
        <v>45981</v>
      </c>
      <c r="B2967" s="2" t="s">
        <v>5</v>
      </c>
      <c r="C2967" s="2">
        <v>3</v>
      </c>
      <c r="D2967" s="2">
        <f t="shared" si="184"/>
        <v>2025</v>
      </c>
      <c r="E2967" s="2" t="str">
        <f t="shared" si="185"/>
        <v>2025-47</v>
      </c>
      <c r="F2967" s="2" t="str">
        <f t="shared" si="186"/>
        <v>Week 47</v>
      </c>
      <c r="G2967" s="2" t="str">
        <f t="shared" si="187"/>
        <v>Week 47-2025</v>
      </c>
      <c r="O2967"/>
      <c r="Q2967"/>
    </row>
    <row r="2968" spans="1:17" hidden="1" x14ac:dyDescent="0.2">
      <c r="A2968" s="3">
        <v>45981</v>
      </c>
      <c r="B2968" s="2" t="s">
        <v>31</v>
      </c>
      <c r="C2968" s="2">
        <v>4</v>
      </c>
      <c r="D2968" s="2">
        <f t="shared" si="184"/>
        <v>2025</v>
      </c>
      <c r="E2968" s="2" t="str">
        <f t="shared" si="185"/>
        <v>2025-47</v>
      </c>
      <c r="F2968" s="2" t="str">
        <f t="shared" si="186"/>
        <v>Week 47</v>
      </c>
      <c r="G2968" s="2" t="str">
        <f t="shared" si="187"/>
        <v>Week 47-2025</v>
      </c>
      <c r="O2968"/>
      <c r="Q2968"/>
    </row>
    <row r="2969" spans="1:17" hidden="1" x14ac:dyDescent="0.2">
      <c r="A2969" s="3">
        <v>45981</v>
      </c>
      <c r="B2969" s="2" t="s">
        <v>14</v>
      </c>
      <c r="C2969" s="2">
        <v>4</v>
      </c>
      <c r="D2969" s="2">
        <f t="shared" si="184"/>
        <v>2025</v>
      </c>
      <c r="E2969" s="2" t="str">
        <f t="shared" si="185"/>
        <v>2025-47</v>
      </c>
      <c r="F2969" s="2" t="str">
        <f t="shared" si="186"/>
        <v>Week 47</v>
      </c>
      <c r="G2969" s="2" t="str">
        <f t="shared" si="187"/>
        <v>Week 47-2025</v>
      </c>
      <c r="O2969"/>
      <c r="Q2969"/>
    </row>
    <row r="2970" spans="1:17" hidden="1" x14ac:dyDescent="0.2">
      <c r="A2970" s="3">
        <v>45981</v>
      </c>
      <c r="B2970" s="2" t="s">
        <v>10</v>
      </c>
      <c r="C2970" s="2">
        <v>3</v>
      </c>
      <c r="D2970" s="2">
        <f t="shared" si="184"/>
        <v>2025</v>
      </c>
      <c r="E2970" s="2" t="str">
        <f t="shared" si="185"/>
        <v>2025-47</v>
      </c>
      <c r="F2970" s="2" t="str">
        <f t="shared" si="186"/>
        <v>Week 47</v>
      </c>
      <c r="G2970" s="2" t="str">
        <f t="shared" si="187"/>
        <v>Week 47-2025</v>
      </c>
      <c r="O2970"/>
      <c r="Q2970"/>
    </row>
    <row r="2971" spans="1:17" hidden="1" x14ac:dyDescent="0.2">
      <c r="A2971" s="3">
        <v>45981</v>
      </c>
      <c r="B2971" s="2" t="s">
        <v>28</v>
      </c>
      <c r="C2971" s="2">
        <v>4</v>
      </c>
      <c r="D2971" s="2">
        <f t="shared" si="184"/>
        <v>2025</v>
      </c>
      <c r="E2971" s="2" t="str">
        <f t="shared" si="185"/>
        <v>2025-47</v>
      </c>
      <c r="F2971" s="2" t="str">
        <f t="shared" si="186"/>
        <v>Week 47</v>
      </c>
      <c r="G2971" s="2" t="str">
        <f t="shared" si="187"/>
        <v>Week 47-2025</v>
      </c>
      <c r="O2971"/>
      <c r="Q2971"/>
    </row>
    <row r="2972" spans="1:17" hidden="1" x14ac:dyDescent="0.2">
      <c r="A2972" s="3">
        <v>45981</v>
      </c>
      <c r="B2972" s="2" t="s">
        <v>28</v>
      </c>
      <c r="C2972" s="2">
        <v>2</v>
      </c>
      <c r="D2972" s="2">
        <f t="shared" si="184"/>
        <v>2025</v>
      </c>
      <c r="E2972" s="2" t="str">
        <f t="shared" si="185"/>
        <v>2025-47</v>
      </c>
      <c r="F2972" s="2" t="str">
        <f t="shared" si="186"/>
        <v>Week 47</v>
      </c>
      <c r="G2972" s="2" t="str">
        <f t="shared" si="187"/>
        <v>Week 47-2025</v>
      </c>
      <c r="O2972"/>
      <c r="Q2972"/>
    </row>
    <row r="2973" spans="1:17" hidden="1" x14ac:dyDescent="0.2">
      <c r="A2973" s="3">
        <v>45981</v>
      </c>
      <c r="B2973" s="2" t="s">
        <v>51</v>
      </c>
      <c r="C2973" s="2">
        <v>2</v>
      </c>
      <c r="D2973" s="2">
        <f t="shared" si="184"/>
        <v>2025</v>
      </c>
      <c r="E2973" s="2" t="str">
        <f t="shared" si="185"/>
        <v>2025-47</v>
      </c>
      <c r="F2973" s="2" t="str">
        <f t="shared" si="186"/>
        <v>Week 47</v>
      </c>
      <c r="G2973" s="2" t="str">
        <f t="shared" si="187"/>
        <v>Week 47-2025</v>
      </c>
      <c r="O2973"/>
      <c r="Q2973"/>
    </row>
    <row r="2974" spans="1:17" hidden="1" x14ac:dyDescent="0.2">
      <c r="A2974" s="3">
        <v>45981</v>
      </c>
      <c r="B2974" s="2" t="s">
        <v>14</v>
      </c>
      <c r="C2974" s="2">
        <v>1</v>
      </c>
      <c r="D2974" s="2">
        <f t="shared" si="184"/>
        <v>2025</v>
      </c>
      <c r="E2974" s="2" t="str">
        <f t="shared" si="185"/>
        <v>2025-47</v>
      </c>
      <c r="F2974" s="2" t="str">
        <f t="shared" si="186"/>
        <v>Week 47</v>
      </c>
      <c r="G2974" s="2" t="str">
        <f t="shared" si="187"/>
        <v>Week 47-2025</v>
      </c>
      <c r="O2974"/>
      <c r="Q2974"/>
    </row>
    <row r="2975" spans="1:17" hidden="1" x14ac:dyDescent="0.2">
      <c r="A2975" s="3">
        <v>45982</v>
      </c>
      <c r="B2975" s="2" t="s">
        <v>5</v>
      </c>
      <c r="C2975" s="2">
        <v>48</v>
      </c>
      <c r="D2975" s="2">
        <f t="shared" si="184"/>
        <v>2025</v>
      </c>
      <c r="E2975" s="2" t="str">
        <f t="shared" si="185"/>
        <v>2025-47</v>
      </c>
      <c r="F2975" s="2" t="str">
        <f t="shared" si="186"/>
        <v>Week 47</v>
      </c>
      <c r="G2975" s="2" t="str">
        <f t="shared" si="187"/>
        <v>Week 47-2025</v>
      </c>
      <c r="O2975"/>
      <c r="Q2975"/>
    </row>
    <row r="2976" spans="1:17" hidden="1" x14ac:dyDescent="0.2">
      <c r="A2976" s="3">
        <v>45982</v>
      </c>
      <c r="B2976" s="2" t="s">
        <v>3</v>
      </c>
      <c r="C2976" s="2">
        <v>40</v>
      </c>
      <c r="D2976" s="2">
        <f t="shared" si="184"/>
        <v>2025</v>
      </c>
      <c r="E2976" s="2" t="str">
        <f t="shared" si="185"/>
        <v>2025-47</v>
      </c>
      <c r="F2976" s="2" t="str">
        <f t="shared" si="186"/>
        <v>Week 47</v>
      </c>
      <c r="G2976" s="2" t="str">
        <f t="shared" si="187"/>
        <v>Week 47-2025</v>
      </c>
      <c r="O2976"/>
      <c r="Q2976"/>
    </row>
    <row r="2977" spans="1:17" hidden="1" x14ac:dyDescent="0.2">
      <c r="A2977" s="3">
        <v>45982</v>
      </c>
      <c r="B2977" s="2" t="s">
        <v>9</v>
      </c>
      <c r="C2977" s="2">
        <v>25</v>
      </c>
      <c r="D2977" s="2">
        <f t="shared" si="184"/>
        <v>2025</v>
      </c>
      <c r="E2977" s="2" t="str">
        <f t="shared" si="185"/>
        <v>2025-47</v>
      </c>
      <c r="F2977" s="2" t="str">
        <f t="shared" si="186"/>
        <v>Week 47</v>
      </c>
      <c r="G2977" s="2" t="str">
        <f t="shared" si="187"/>
        <v>Week 47-2025</v>
      </c>
      <c r="O2977"/>
      <c r="Q2977"/>
    </row>
    <row r="2978" spans="1:17" hidden="1" x14ac:dyDescent="0.2">
      <c r="A2978" s="3">
        <v>45982</v>
      </c>
      <c r="B2978" s="2" t="s">
        <v>14</v>
      </c>
      <c r="C2978" s="2">
        <v>32</v>
      </c>
      <c r="D2978" s="2">
        <f t="shared" si="184"/>
        <v>2025</v>
      </c>
      <c r="E2978" s="2" t="str">
        <f t="shared" si="185"/>
        <v>2025-47</v>
      </c>
      <c r="F2978" s="2" t="str">
        <f t="shared" si="186"/>
        <v>Week 47</v>
      </c>
      <c r="G2978" s="2" t="str">
        <f t="shared" si="187"/>
        <v>Week 47-2025</v>
      </c>
      <c r="O2978"/>
      <c r="Q2978"/>
    </row>
    <row r="2979" spans="1:17" hidden="1" x14ac:dyDescent="0.2">
      <c r="A2979" s="3">
        <v>45982</v>
      </c>
      <c r="B2979" s="2" t="s">
        <v>6</v>
      </c>
      <c r="C2979" s="2">
        <v>8</v>
      </c>
      <c r="D2979" s="2">
        <f t="shared" si="184"/>
        <v>2025</v>
      </c>
      <c r="E2979" s="2" t="str">
        <f t="shared" si="185"/>
        <v>2025-47</v>
      </c>
      <c r="F2979" s="2" t="str">
        <f t="shared" si="186"/>
        <v>Week 47</v>
      </c>
      <c r="G2979" s="2" t="str">
        <f t="shared" si="187"/>
        <v>Week 47-2025</v>
      </c>
      <c r="O2979"/>
      <c r="Q2979"/>
    </row>
    <row r="2980" spans="1:17" hidden="1" x14ac:dyDescent="0.2">
      <c r="A2980" s="3">
        <v>45982</v>
      </c>
      <c r="B2980" s="2" t="s">
        <v>6</v>
      </c>
      <c r="C2980" s="2">
        <v>8</v>
      </c>
      <c r="D2980" s="2">
        <f t="shared" si="184"/>
        <v>2025</v>
      </c>
      <c r="E2980" s="2" t="str">
        <f t="shared" si="185"/>
        <v>2025-47</v>
      </c>
      <c r="F2980" s="2" t="str">
        <f t="shared" si="186"/>
        <v>Week 47</v>
      </c>
      <c r="G2980" s="2" t="str">
        <f t="shared" si="187"/>
        <v>Week 47-2025</v>
      </c>
      <c r="O2980"/>
      <c r="Q2980"/>
    </row>
    <row r="2981" spans="1:17" hidden="1" x14ac:dyDescent="0.2">
      <c r="A2981" s="3">
        <v>45982</v>
      </c>
      <c r="B2981" s="2" t="s">
        <v>4</v>
      </c>
      <c r="C2981" s="2">
        <v>10</v>
      </c>
      <c r="D2981" s="2">
        <f t="shared" si="184"/>
        <v>2025</v>
      </c>
      <c r="E2981" s="2" t="str">
        <f t="shared" si="185"/>
        <v>2025-47</v>
      </c>
      <c r="F2981" s="2" t="str">
        <f t="shared" si="186"/>
        <v>Week 47</v>
      </c>
      <c r="G2981" s="2" t="str">
        <f t="shared" si="187"/>
        <v>Week 47-2025</v>
      </c>
      <c r="O2981"/>
      <c r="Q2981"/>
    </row>
    <row r="2982" spans="1:17" hidden="1" x14ac:dyDescent="0.2">
      <c r="A2982" s="3">
        <v>45982</v>
      </c>
      <c r="B2982" s="2" t="s">
        <v>7</v>
      </c>
      <c r="C2982" s="2">
        <v>6</v>
      </c>
      <c r="D2982" s="2">
        <f t="shared" si="184"/>
        <v>2025</v>
      </c>
      <c r="E2982" s="2" t="str">
        <f t="shared" si="185"/>
        <v>2025-47</v>
      </c>
      <c r="F2982" s="2" t="str">
        <f t="shared" si="186"/>
        <v>Week 47</v>
      </c>
      <c r="G2982" s="2" t="str">
        <f t="shared" si="187"/>
        <v>Week 47-2025</v>
      </c>
      <c r="O2982"/>
      <c r="Q2982"/>
    </row>
    <row r="2983" spans="1:17" hidden="1" x14ac:dyDescent="0.2">
      <c r="A2983" s="3">
        <v>45982</v>
      </c>
      <c r="B2983" s="2" t="s">
        <v>5</v>
      </c>
      <c r="C2983" s="2">
        <v>7</v>
      </c>
      <c r="D2983" s="2">
        <f t="shared" si="184"/>
        <v>2025</v>
      </c>
      <c r="E2983" s="2" t="str">
        <f t="shared" si="185"/>
        <v>2025-47</v>
      </c>
      <c r="F2983" s="2" t="str">
        <f t="shared" si="186"/>
        <v>Week 47</v>
      </c>
      <c r="G2983" s="2" t="str">
        <f t="shared" si="187"/>
        <v>Week 47-2025</v>
      </c>
      <c r="O2983"/>
      <c r="Q2983"/>
    </row>
    <row r="2984" spans="1:17" hidden="1" x14ac:dyDescent="0.2">
      <c r="A2984" s="3">
        <v>45982</v>
      </c>
      <c r="B2984" s="2" t="s">
        <v>14</v>
      </c>
      <c r="C2984" s="2">
        <v>8</v>
      </c>
      <c r="D2984" s="2">
        <f t="shared" si="184"/>
        <v>2025</v>
      </c>
      <c r="E2984" s="2" t="str">
        <f t="shared" si="185"/>
        <v>2025-47</v>
      </c>
      <c r="F2984" s="2" t="str">
        <f t="shared" si="186"/>
        <v>Week 47</v>
      </c>
      <c r="G2984" s="2" t="str">
        <f t="shared" si="187"/>
        <v>Week 47-2025</v>
      </c>
      <c r="O2984"/>
      <c r="Q2984"/>
    </row>
    <row r="2985" spans="1:17" hidden="1" x14ac:dyDescent="0.2">
      <c r="A2985" s="3">
        <v>45982</v>
      </c>
      <c r="B2985" s="2" t="s">
        <v>8</v>
      </c>
      <c r="C2985" s="2">
        <v>9</v>
      </c>
      <c r="D2985" s="2">
        <f t="shared" si="184"/>
        <v>2025</v>
      </c>
      <c r="E2985" s="2" t="str">
        <f t="shared" si="185"/>
        <v>2025-47</v>
      </c>
      <c r="F2985" s="2" t="str">
        <f t="shared" si="186"/>
        <v>Week 47</v>
      </c>
      <c r="G2985" s="2" t="str">
        <f t="shared" si="187"/>
        <v>Week 47-2025</v>
      </c>
      <c r="O2985"/>
      <c r="Q2985"/>
    </row>
    <row r="2986" spans="1:17" hidden="1" x14ac:dyDescent="0.2">
      <c r="A2986" s="3">
        <v>45982</v>
      </c>
      <c r="B2986" s="2" t="s">
        <v>5</v>
      </c>
      <c r="C2986" s="2">
        <v>5</v>
      </c>
      <c r="D2986" s="2">
        <f t="shared" si="184"/>
        <v>2025</v>
      </c>
      <c r="E2986" s="2" t="str">
        <f t="shared" si="185"/>
        <v>2025-47</v>
      </c>
      <c r="F2986" s="2" t="str">
        <f t="shared" si="186"/>
        <v>Week 47</v>
      </c>
      <c r="G2986" s="2" t="str">
        <f t="shared" si="187"/>
        <v>Week 47-2025</v>
      </c>
      <c r="O2986"/>
      <c r="Q2986"/>
    </row>
    <row r="2987" spans="1:17" hidden="1" x14ac:dyDescent="0.2">
      <c r="A2987" s="3">
        <v>45982</v>
      </c>
      <c r="B2987" s="2" t="s">
        <v>5</v>
      </c>
      <c r="C2987" s="2">
        <v>4</v>
      </c>
      <c r="D2987" s="2">
        <f t="shared" si="184"/>
        <v>2025</v>
      </c>
      <c r="E2987" s="2" t="str">
        <f t="shared" si="185"/>
        <v>2025-47</v>
      </c>
      <c r="F2987" s="2" t="str">
        <f t="shared" si="186"/>
        <v>Week 47</v>
      </c>
      <c r="G2987" s="2" t="str">
        <f t="shared" si="187"/>
        <v>Week 47-2025</v>
      </c>
      <c r="O2987"/>
      <c r="Q2987"/>
    </row>
    <row r="2988" spans="1:17" hidden="1" x14ac:dyDescent="0.2">
      <c r="A2988" s="3">
        <v>45982</v>
      </c>
      <c r="B2988" s="2" t="s">
        <v>19</v>
      </c>
      <c r="C2988" s="2">
        <v>2</v>
      </c>
      <c r="D2988" s="2">
        <f t="shared" si="184"/>
        <v>2025</v>
      </c>
      <c r="E2988" s="2" t="str">
        <f t="shared" si="185"/>
        <v>2025-47</v>
      </c>
      <c r="F2988" s="2" t="str">
        <f t="shared" si="186"/>
        <v>Week 47</v>
      </c>
      <c r="G2988" s="2" t="str">
        <f t="shared" si="187"/>
        <v>Week 47-2025</v>
      </c>
      <c r="O2988"/>
      <c r="Q2988"/>
    </row>
    <row r="2989" spans="1:17" hidden="1" x14ac:dyDescent="0.2">
      <c r="A2989" s="3">
        <v>45982</v>
      </c>
      <c r="B2989" s="2" t="s">
        <v>3</v>
      </c>
      <c r="C2989" s="2">
        <v>2</v>
      </c>
      <c r="D2989" s="2">
        <f t="shared" si="184"/>
        <v>2025</v>
      </c>
      <c r="E2989" s="2" t="str">
        <f t="shared" si="185"/>
        <v>2025-47</v>
      </c>
      <c r="F2989" s="2" t="str">
        <f t="shared" si="186"/>
        <v>Week 47</v>
      </c>
      <c r="G2989" s="2" t="str">
        <f t="shared" si="187"/>
        <v>Week 47-2025</v>
      </c>
      <c r="O2989"/>
      <c r="Q2989"/>
    </row>
    <row r="2990" spans="1:17" hidden="1" x14ac:dyDescent="0.2">
      <c r="A2990" s="3">
        <v>45982</v>
      </c>
      <c r="B2990" s="2" t="s">
        <v>3</v>
      </c>
      <c r="C2990" s="2">
        <v>2</v>
      </c>
      <c r="D2990" s="2">
        <f t="shared" si="184"/>
        <v>2025</v>
      </c>
      <c r="E2990" s="2" t="str">
        <f t="shared" si="185"/>
        <v>2025-47</v>
      </c>
      <c r="F2990" s="2" t="str">
        <f t="shared" si="186"/>
        <v>Week 47</v>
      </c>
      <c r="G2990" s="2" t="str">
        <f t="shared" si="187"/>
        <v>Week 47-2025</v>
      </c>
      <c r="O2990"/>
      <c r="Q2990"/>
    </row>
    <row r="2991" spans="1:17" hidden="1" x14ac:dyDescent="0.2">
      <c r="A2991" s="3">
        <v>45982</v>
      </c>
      <c r="B2991" s="2" t="s">
        <v>27</v>
      </c>
      <c r="C2991" s="2">
        <v>4</v>
      </c>
      <c r="D2991" s="2">
        <f t="shared" si="184"/>
        <v>2025</v>
      </c>
      <c r="E2991" s="2" t="str">
        <f t="shared" si="185"/>
        <v>2025-47</v>
      </c>
      <c r="F2991" s="2" t="str">
        <f t="shared" si="186"/>
        <v>Week 47</v>
      </c>
      <c r="G2991" s="2" t="str">
        <f t="shared" si="187"/>
        <v>Week 47-2025</v>
      </c>
      <c r="O2991"/>
      <c r="Q2991"/>
    </row>
    <row r="2992" spans="1:17" hidden="1" x14ac:dyDescent="0.2">
      <c r="A2992" s="3">
        <v>45982</v>
      </c>
      <c r="B2992" s="2" t="s">
        <v>15</v>
      </c>
      <c r="C2992" s="2">
        <v>2</v>
      </c>
      <c r="D2992" s="2">
        <f t="shared" si="184"/>
        <v>2025</v>
      </c>
      <c r="E2992" s="2" t="str">
        <f t="shared" si="185"/>
        <v>2025-47</v>
      </c>
      <c r="F2992" s="2" t="str">
        <f t="shared" si="186"/>
        <v>Week 47</v>
      </c>
      <c r="G2992" s="2" t="str">
        <f t="shared" si="187"/>
        <v>Week 47-2025</v>
      </c>
      <c r="O2992"/>
      <c r="Q2992"/>
    </row>
    <row r="2993" spans="1:17" hidden="1" x14ac:dyDescent="0.2">
      <c r="A2993" s="3">
        <v>45983</v>
      </c>
      <c r="B2993" s="2" t="s">
        <v>5</v>
      </c>
      <c r="C2993" s="2">
        <v>33</v>
      </c>
      <c r="D2993" s="2">
        <f t="shared" si="184"/>
        <v>2025</v>
      </c>
      <c r="E2993" s="2" t="str">
        <f t="shared" si="185"/>
        <v>2025-47</v>
      </c>
      <c r="F2993" s="2" t="str">
        <f t="shared" si="186"/>
        <v>Week 47</v>
      </c>
      <c r="G2993" s="2" t="str">
        <f t="shared" si="187"/>
        <v>Week 47-2025</v>
      </c>
      <c r="O2993"/>
      <c r="Q2993"/>
    </row>
    <row r="2994" spans="1:17" hidden="1" x14ac:dyDescent="0.2">
      <c r="A2994" s="3">
        <v>45983</v>
      </c>
      <c r="B2994" s="2" t="s">
        <v>10</v>
      </c>
      <c r="C2994" s="2">
        <v>8</v>
      </c>
      <c r="D2994" s="2">
        <f t="shared" si="184"/>
        <v>2025</v>
      </c>
      <c r="E2994" s="2" t="str">
        <f t="shared" si="185"/>
        <v>2025-47</v>
      </c>
      <c r="F2994" s="2" t="str">
        <f t="shared" si="186"/>
        <v>Week 47</v>
      </c>
      <c r="G2994" s="2" t="str">
        <f t="shared" si="187"/>
        <v>Week 47-2025</v>
      </c>
      <c r="O2994"/>
      <c r="Q2994"/>
    </row>
    <row r="2995" spans="1:17" hidden="1" x14ac:dyDescent="0.2">
      <c r="A2995" s="3">
        <v>45983</v>
      </c>
      <c r="B2995" s="2" t="s">
        <v>14</v>
      </c>
      <c r="C2995" s="2">
        <v>9</v>
      </c>
      <c r="D2995" s="2">
        <f t="shared" si="184"/>
        <v>2025</v>
      </c>
      <c r="E2995" s="2" t="str">
        <f t="shared" si="185"/>
        <v>2025-47</v>
      </c>
      <c r="F2995" s="2" t="str">
        <f t="shared" si="186"/>
        <v>Week 47</v>
      </c>
      <c r="G2995" s="2" t="str">
        <f t="shared" si="187"/>
        <v>Week 47-2025</v>
      </c>
      <c r="O2995"/>
      <c r="Q2995"/>
    </row>
    <row r="2996" spans="1:17" hidden="1" x14ac:dyDescent="0.2">
      <c r="A2996" s="3">
        <v>45983</v>
      </c>
      <c r="B2996" s="2" t="s">
        <v>19</v>
      </c>
      <c r="C2996" s="2">
        <v>2</v>
      </c>
      <c r="D2996" s="2">
        <f t="shared" si="184"/>
        <v>2025</v>
      </c>
      <c r="E2996" s="2" t="str">
        <f t="shared" si="185"/>
        <v>2025-47</v>
      </c>
      <c r="F2996" s="2" t="str">
        <f t="shared" si="186"/>
        <v>Week 47</v>
      </c>
      <c r="G2996" s="2" t="str">
        <f t="shared" si="187"/>
        <v>Week 47-2025</v>
      </c>
      <c r="O2996"/>
      <c r="Q2996"/>
    </row>
    <row r="2997" spans="1:17" hidden="1" x14ac:dyDescent="0.2">
      <c r="A2997" s="3">
        <v>45983</v>
      </c>
      <c r="B2997" s="2" t="s">
        <v>8</v>
      </c>
      <c r="C2997" s="2">
        <v>4</v>
      </c>
      <c r="D2997" s="2">
        <f t="shared" si="184"/>
        <v>2025</v>
      </c>
      <c r="E2997" s="2" t="str">
        <f t="shared" si="185"/>
        <v>2025-47</v>
      </c>
      <c r="F2997" s="2" t="str">
        <f t="shared" si="186"/>
        <v>Week 47</v>
      </c>
      <c r="G2997" s="2" t="str">
        <f t="shared" si="187"/>
        <v>Week 47-2025</v>
      </c>
      <c r="O2997"/>
      <c r="Q2997"/>
    </row>
    <row r="2998" spans="1:17" hidden="1" x14ac:dyDescent="0.2">
      <c r="A2998" s="3">
        <v>45983</v>
      </c>
      <c r="B2998" s="2" t="s">
        <v>8</v>
      </c>
      <c r="C2998" s="2">
        <v>4</v>
      </c>
      <c r="D2998" s="2">
        <f t="shared" si="184"/>
        <v>2025</v>
      </c>
      <c r="E2998" s="2" t="str">
        <f t="shared" si="185"/>
        <v>2025-47</v>
      </c>
      <c r="F2998" s="2" t="str">
        <f t="shared" si="186"/>
        <v>Week 47</v>
      </c>
      <c r="G2998" s="2" t="str">
        <f t="shared" si="187"/>
        <v>Week 47-2025</v>
      </c>
      <c r="O2998"/>
      <c r="Q2998"/>
    </row>
    <row r="2999" spans="1:17" hidden="1" x14ac:dyDescent="0.2">
      <c r="A2999" s="3">
        <v>45983</v>
      </c>
      <c r="B2999" s="2" t="s">
        <v>37</v>
      </c>
      <c r="C2999" s="2">
        <v>2</v>
      </c>
      <c r="D2999" s="2">
        <f t="shared" si="184"/>
        <v>2025</v>
      </c>
      <c r="E2999" s="2" t="str">
        <f t="shared" si="185"/>
        <v>2025-47</v>
      </c>
      <c r="F2999" s="2" t="str">
        <f t="shared" si="186"/>
        <v>Week 47</v>
      </c>
      <c r="G2999" s="2" t="str">
        <f t="shared" si="187"/>
        <v>Week 47-2025</v>
      </c>
      <c r="O2999"/>
      <c r="Q2999"/>
    </row>
    <row r="3000" spans="1:17" hidden="1" x14ac:dyDescent="0.2">
      <c r="A3000" s="3">
        <v>45983</v>
      </c>
      <c r="B3000" s="2" t="s">
        <v>9</v>
      </c>
      <c r="C3000" s="2">
        <v>1</v>
      </c>
      <c r="D3000" s="2">
        <f t="shared" si="184"/>
        <v>2025</v>
      </c>
      <c r="E3000" s="2" t="str">
        <f t="shared" si="185"/>
        <v>2025-47</v>
      </c>
      <c r="F3000" s="2" t="str">
        <f t="shared" si="186"/>
        <v>Week 47</v>
      </c>
      <c r="G3000" s="2" t="str">
        <f t="shared" si="187"/>
        <v>Week 47-2025</v>
      </c>
      <c r="O3000"/>
      <c r="Q3000"/>
    </row>
    <row r="3001" spans="1:17" hidden="1" x14ac:dyDescent="0.2">
      <c r="A3001" s="3">
        <v>45983</v>
      </c>
      <c r="B3001" s="2" t="s">
        <v>3</v>
      </c>
      <c r="C3001" s="2">
        <v>1</v>
      </c>
      <c r="D3001" s="2">
        <f t="shared" si="184"/>
        <v>2025</v>
      </c>
      <c r="E3001" s="2" t="str">
        <f t="shared" si="185"/>
        <v>2025-47</v>
      </c>
      <c r="F3001" s="2" t="str">
        <f t="shared" si="186"/>
        <v>Week 47</v>
      </c>
      <c r="G3001" s="2" t="str">
        <f t="shared" si="187"/>
        <v>Week 47-2025</v>
      </c>
      <c r="O3001"/>
      <c r="Q3001"/>
    </row>
    <row r="3002" spans="1:17" hidden="1" x14ac:dyDescent="0.2">
      <c r="A3002" s="3">
        <v>45984</v>
      </c>
      <c r="B3002" s="2" t="s">
        <v>14</v>
      </c>
      <c r="C3002" s="2">
        <v>8</v>
      </c>
      <c r="D3002" s="2">
        <f t="shared" si="184"/>
        <v>2025</v>
      </c>
      <c r="E3002" s="2" t="str">
        <f t="shared" si="185"/>
        <v>2025-47</v>
      </c>
      <c r="F3002" s="2" t="str">
        <f t="shared" si="186"/>
        <v>Week 48</v>
      </c>
      <c r="G3002" s="2" t="str">
        <f t="shared" si="187"/>
        <v>Week 48-2025</v>
      </c>
      <c r="O3002"/>
      <c r="Q3002"/>
    </row>
    <row r="3003" spans="1:17" hidden="1" x14ac:dyDescent="0.2">
      <c r="A3003" s="3">
        <v>45984</v>
      </c>
      <c r="B3003" s="2" t="s">
        <v>6</v>
      </c>
      <c r="C3003" s="2">
        <v>1</v>
      </c>
      <c r="D3003" s="2">
        <f t="shared" si="184"/>
        <v>2025</v>
      </c>
      <c r="E3003" s="2" t="str">
        <f t="shared" si="185"/>
        <v>2025-47</v>
      </c>
      <c r="F3003" s="2" t="str">
        <f t="shared" si="186"/>
        <v>Week 48</v>
      </c>
      <c r="G3003" s="2" t="str">
        <f t="shared" si="187"/>
        <v>Week 48-2025</v>
      </c>
      <c r="O3003"/>
      <c r="Q3003"/>
    </row>
    <row r="3004" spans="1:17" hidden="1" x14ac:dyDescent="0.2">
      <c r="A3004" s="3">
        <v>45984</v>
      </c>
      <c r="B3004" s="2" t="s">
        <v>8</v>
      </c>
      <c r="C3004" s="2">
        <v>2</v>
      </c>
      <c r="D3004" s="2">
        <f t="shared" si="184"/>
        <v>2025</v>
      </c>
      <c r="E3004" s="2" t="str">
        <f t="shared" si="185"/>
        <v>2025-47</v>
      </c>
      <c r="F3004" s="2" t="str">
        <f t="shared" si="186"/>
        <v>Week 48</v>
      </c>
      <c r="G3004" s="2" t="str">
        <f t="shared" si="187"/>
        <v>Week 48-2025</v>
      </c>
      <c r="O3004"/>
      <c r="Q3004"/>
    </row>
    <row r="3005" spans="1:17" hidden="1" x14ac:dyDescent="0.2">
      <c r="A3005" s="3">
        <v>45985</v>
      </c>
      <c r="B3005" s="2" t="s">
        <v>5</v>
      </c>
      <c r="C3005" s="2">
        <v>12</v>
      </c>
      <c r="D3005" s="2">
        <f t="shared" si="184"/>
        <v>2025</v>
      </c>
      <c r="E3005" s="2" t="str">
        <f t="shared" si="185"/>
        <v>2025-48</v>
      </c>
      <c r="F3005" s="2" t="str">
        <f t="shared" si="186"/>
        <v>Week 48</v>
      </c>
      <c r="G3005" s="2" t="str">
        <f t="shared" si="187"/>
        <v>Week 48-2025</v>
      </c>
      <c r="O3005"/>
      <c r="Q3005"/>
    </row>
    <row r="3006" spans="1:17" hidden="1" x14ac:dyDescent="0.2">
      <c r="A3006" s="3">
        <v>45985</v>
      </c>
      <c r="B3006" s="2" t="s">
        <v>3</v>
      </c>
      <c r="C3006" s="2">
        <v>6</v>
      </c>
      <c r="D3006" s="2">
        <f t="shared" si="184"/>
        <v>2025</v>
      </c>
      <c r="E3006" s="2" t="str">
        <f t="shared" si="185"/>
        <v>2025-48</v>
      </c>
      <c r="F3006" s="2" t="str">
        <f t="shared" si="186"/>
        <v>Week 48</v>
      </c>
      <c r="G3006" s="2" t="str">
        <f t="shared" si="187"/>
        <v>Week 48-2025</v>
      </c>
      <c r="O3006"/>
      <c r="Q3006"/>
    </row>
    <row r="3007" spans="1:17" hidden="1" x14ac:dyDescent="0.2">
      <c r="A3007" s="3">
        <v>45985</v>
      </c>
      <c r="B3007" s="2" t="s">
        <v>10</v>
      </c>
      <c r="C3007" s="2">
        <v>6</v>
      </c>
      <c r="D3007" s="2">
        <f t="shared" si="184"/>
        <v>2025</v>
      </c>
      <c r="E3007" s="2" t="str">
        <f t="shared" si="185"/>
        <v>2025-48</v>
      </c>
      <c r="F3007" s="2" t="str">
        <f t="shared" si="186"/>
        <v>Week 48</v>
      </c>
      <c r="G3007" s="2" t="str">
        <f t="shared" si="187"/>
        <v>Week 48-2025</v>
      </c>
      <c r="O3007"/>
      <c r="Q3007"/>
    </row>
    <row r="3008" spans="1:17" hidden="1" x14ac:dyDescent="0.2">
      <c r="A3008" s="3">
        <v>45985</v>
      </c>
      <c r="B3008" s="2" t="s">
        <v>3</v>
      </c>
      <c r="C3008" s="2">
        <v>4</v>
      </c>
      <c r="D3008" s="2">
        <f t="shared" si="184"/>
        <v>2025</v>
      </c>
      <c r="E3008" s="2" t="str">
        <f t="shared" si="185"/>
        <v>2025-48</v>
      </c>
      <c r="F3008" s="2" t="str">
        <f t="shared" si="186"/>
        <v>Week 48</v>
      </c>
      <c r="G3008" s="2" t="str">
        <f t="shared" si="187"/>
        <v>Week 48-2025</v>
      </c>
      <c r="O3008"/>
      <c r="Q3008"/>
    </row>
    <row r="3009" spans="1:17" hidden="1" x14ac:dyDescent="0.2">
      <c r="A3009" s="3">
        <v>45985</v>
      </c>
      <c r="B3009" s="2" t="s">
        <v>3</v>
      </c>
      <c r="C3009" s="2">
        <v>4</v>
      </c>
      <c r="D3009" s="2">
        <f t="shared" si="184"/>
        <v>2025</v>
      </c>
      <c r="E3009" s="2" t="str">
        <f t="shared" si="185"/>
        <v>2025-48</v>
      </c>
      <c r="F3009" s="2" t="str">
        <f t="shared" si="186"/>
        <v>Week 48</v>
      </c>
      <c r="G3009" s="2" t="str">
        <f t="shared" si="187"/>
        <v>Week 48-2025</v>
      </c>
      <c r="O3009"/>
      <c r="Q3009"/>
    </row>
    <row r="3010" spans="1:17" hidden="1" x14ac:dyDescent="0.2">
      <c r="A3010" s="3">
        <v>45985</v>
      </c>
      <c r="B3010" s="2" t="s">
        <v>5</v>
      </c>
      <c r="C3010" s="2">
        <v>4</v>
      </c>
      <c r="D3010" s="2">
        <f t="shared" ref="D3010:D3073" si="188">YEAR(A3010)</f>
        <v>2025</v>
      </c>
      <c r="E3010" s="2" t="str">
        <f t="shared" ref="E3010:E3073" si="189">YEAR(A3010)&amp;"-"&amp;_xlfn.ISOWEEKNUM(A3010)</f>
        <v>2025-48</v>
      </c>
      <c r="F3010" s="2" t="str">
        <f t="shared" ref="F3010:F3073" si="190">_xlfn.CONCAT("Week "&amp;WEEKNUM(A3010))</f>
        <v>Week 48</v>
      </c>
      <c r="G3010" s="2" t="str">
        <f t="shared" ref="G3010:G3073" si="191">_xlfn.CONCAT(F3010,"-",D3010)</f>
        <v>Week 48-2025</v>
      </c>
      <c r="O3010"/>
      <c r="Q3010"/>
    </row>
    <row r="3011" spans="1:17" hidden="1" x14ac:dyDescent="0.2">
      <c r="A3011" s="3">
        <v>45985</v>
      </c>
      <c r="B3011" s="2" t="s">
        <v>5</v>
      </c>
      <c r="C3011" s="2">
        <v>4</v>
      </c>
      <c r="D3011" s="2">
        <f t="shared" si="188"/>
        <v>2025</v>
      </c>
      <c r="E3011" s="2" t="str">
        <f t="shared" si="189"/>
        <v>2025-48</v>
      </c>
      <c r="F3011" s="2" t="str">
        <f t="shared" si="190"/>
        <v>Week 48</v>
      </c>
      <c r="G3011" s="2" t="str">
        <f t="shared" si="191"/>
        <v>Week 48-2025</v>
      </c>
      <c r="O3011"/>
      <c r="Q3011"/>
    </row>
    <row r="3012" spans="1:17" hidden="1" x14ac:dyDescent="0.2">
      <c r="A3012" s="3">
        <v>45985</v>
      </c>
      <c r="B3012" s="2" t="s">
        <v>34</v>
      </c>
      <c r="C3012" s="2">
        <v>4</v>
      </c>
      <c r="D3012" s="2">
        <f t="shared" si="188"/>
        <v>2025</v>
      </c>
      <c r="E3012" s="2" t="str">
        <f t="shared" si="189"/>
        <v>2025-48</v>
      </c>
      <c r="F3012" s="2" t="str">
        <f t="shared" si="190"/>
        <v>Week 48</v>
      </c>
      <c r="G3012" s="2" t="str">
        <f t="shared" si="191"/>
        <v>Week 48-2025</v>
      </c>
      <c r="O3012"/>
      <c r="Q3012"/>
    </row>
    <row r="3013" spans="1:17" hidden="1" x14ac:dyDescent="0.2">
      <c r="A3013" s="3">
        <v>45985</v>
      </c>
      <c r="B3013" s="2" t="s">
        <v>37</v>
      </c>
      <c r="C3013" s="2">
        <v>4</v>
      </c>
      <c r="D3013" s="2">
        <f t="shared" si="188"/>
        <v>2025</v>
      </c>
      <c r="E3013" s="2" t="str">
        <f t="shared" si="189"/>
        <v>2025-48</v>
      </c>
      <c r="F3013" s="2" t="str">
        <f t="shared" si="190"/>
        <v>Week 48</v>
      </c>
      <c r="G3013" s="2" t="str">
        <f t="shared" si="191"/>
        <v>Week 48-2025</v>
      </c>
      <c r="O3013"/>
      <c r="Q3013"/>
    </row>
    <row r="3014" spans="1:17" hidden="1" x14ac:dyDescent="0.2">
      <c r="A3014" s="3">
        <v>45985</v>
      </c>
      <c r="B3014" s="2" t="s">
        <v>37</v>
      </c>
      <c r="C3014" s="2">
        <v>4</v>
      </c>
      <c r="D3014" s="2">
        <f t="shared" si="188"/>
        <v>2025</v>
      </c>
      <c r="E3014" s="2" t="str">
        <f t="shared" si="189"/>
        <v>2025-48</v>
      </c>
      <c r="F3014" s="2" t="str">
        <f t="shared" si="190"/>
        <v>Week 48</v>
      </c>
      <c r="G3014" s="2" t="str">
        <f t="shared" si="191"/>
        <v>Week 48-2025</v>
      </c>
      <c r="O3014"/>
      <c r="Q3014"/>
    </row>
    <row r="3015" spans="1:17" hidden="1" x14ac:dyDescent="0.2">
      <c r="A3015" s="3">
        <v>45985</v>
      </c>
      <c r="B3015" s="2" t="s">
        <v>14</v>
      </c>
      <c r="C3015" s="2">
        <v>4</v>
      </c>
      <c r="D3015" s="2">
        <f t="shared" si="188"/>
        <v>2025</v>
      </c>
      <c r="E3015" s="2" t="str">
        <f t="shared" si="189"/>
        <v>2025-48</v>
      </c>
      <c r="F3015" s="2" t="str">
        <f t="shared" si="190"/>
        <v>Week 48</v>
      </c>
      <c r="G3015" s="2" t="str">
        <f t="shared" si="191"/>
        <v>Week 48-2025</v>
      </c>
      <c r="O3015"/>
      <c r="Q3015"/>
    </row>
    <row r="3016" spans="1:17" hidden="1" x14ac:dyDescent="0.2">
      <c r="A3016" s="3">
        <v>45985</v>
      </c>
      <c r="B3016" s="2" t="s">
        <v>27</v>
      </c>
      <c r="C3016" s="2">
        <v>2</v>
      </c>
      <c r="D3016" s="2">
        <f t="shared" si="188"/>
        <v>2025</v>
      </c>
      <c r="E3016" s="2" t="str">
        <f t="shared" si="189"/>
        <v>2025-48</v>
      </c>
      <c r="F3016" s="2" t="str">
        <f t="shared" si="190"/>
        <v>Week 48</v>
      </c>
      <c r="G3016" s="2" t="str">
        <f t="shared" si="191"/>
        <v>Week 48-2025</v>
      </c>
      <c r="O3016"/>
      <c r="Q3016"/>
    </row>
    <row r="3017" spans="1:17" hidden="1" x14ac:dyDescent="0.2">
      <c r="A3017" s="3">
        <v>45985</v>
      </c>
      <c r="B3017" s="2" t="s">
        <v>10</v>
      </c>
      <c r="C3017" s="2">
        <v>1</v>
      </c>
      <c r="D3017" s="2">
        <f t="shared" si="188"/>
        <v>2025</v>
      </c>
      <c r="E3017" s="2" t="str">
        <f t="shared" si="189"/>
        <v>2025-48</v>
      </c>
      <c r="F3017" s="2" t="str">
        <f t="shared" si="190"/>
        <v>Week 48</v>
      </c>
      <c r="G3017" s="2" t="str">
        <f t="shared" si="191"/>
        <v>Week 48-2025</v>
      </c>
      <c r="O3017"/>
      <c r="Q3017"/>
    </row>
    <row r="3018" spans="1:17" hidden="1" x14ac:dyDescent="0.2">
      <c r="A3018" s="3">
        <v>45985</v>
      </c>
      <c r="B3018" s="2" t="s">
        <v>10</v>
      </c>
      <c r="C3018" s="2">
        <v>1</v>
      </c>
      <c r="D3018" s="2">
        <f t="shared" si="188"/>
        <v>2025</v>
      </c>
      <c r="E3018" s="2" t="str">
        <f t="shared" si="189"/>
        <v>2025-48</v>
      </c>
      <c r="F3018" s="2" t="str">
        <f t="shared" si="190"/>
        <v>Week 48</v>
      </c>
      <c r="G3018" s="2" t="str">
        <f t="shared" si="191"/>
        <v>Week 48-2025</v>
      </c>
      <c r="O3018"/>
      <c r="Q3018"/>
    </row>
    <row r="3019" spans="1:17" hidden="1" x14ac:dyDescent="0.2">
      <c r="A3019" s="3">
        <v>45985</v>
      </c>
      <c r="B3019" s="2" t="s">
        <v>10</v>
      </c>
      <c r="C3019" s="2">
        <v>1</v>
      </c>
      <c r="D3019" s="2">
        <f t="shared" si="188"/>
        <v>2025</v>
      </c>
      <c r="E3019" s="2" t="str">
        <f t="shared" si="189"/>
        <v>2025-48</v>
      </c>
      <c r="F3019" s="2" t="str">
        <f t="shared" si="190"/>
        <v>Week 48</v>
      </c>
      <c r="G3019" s="2" t="str">
        <f t="shared" si="191"/>
        <v>Week 48-2025</v>
      </c>
      <c r="O3019"/>
      <c r="Q3019"/>
    </row>
    <row r="3020" spans="1:17" hidden="1" x14ac:dyDescent="0.2">
      <c r="A3020" s="3">
        <v>45985</v>
      </c>
      <c r="B3020" s="2" t="s">
        <v>10</v>
      </c>
      <c r="C3020" s="2">
        <v>1</v>
      </c>
      <c r="D3020" s="2">
        <f t="shared" si="188"/>
        <v>2025</v>
      </c>
      <c r="E3020" s="2" t="str">
        <f t="shared" si="189"/>
        <v>2025-48</v>
      </c>
      <c r="F3020" s="2" t="str">
        <f t="shared" si="190"/>
        <v>Week 48</v>
      </c>
      <c r="G3020" s="2" t="str">
        <f t="shared" si="191"/>
        <v>Week 48-2025</v>
      </c>
      <c r="O3020"/>
      <c r="Q3020"/>
    </row>
    <row r="3021" spans="1:17" hidden="1" x14ac:dyDescent="0.2">
      <c r="A3021" s="3">
        <v>45986</v>
      </c>
      <c r="B3021" s="2" t="s">
        <v>5</v>
      </c>
      <c r="C3021" s="2">
        <v>100</v>
      </c>
      <c r="D3021" s="2">
        <f t="shared" si="188"/>
        <v>2025</v>
      </c>
      <c r="E3021" s="2" t="str">
        <f t="shared" si="189"/>
        <v>2025-48</v>
      </c>
      <c r="F3021" s="2" t="str">
        <f t="shared" si="190"/>
        <v>Week 48</v>
      </c>
      <c r="G3021" s="2" t="str">
        <f t="shared" si="191"/>
        <v>Week 48-2025</v>
      </c>
      <c r="O3021"/>
      <c r="Q3021"/>
    </row>
    <row r="3022" spans="1:17" hidden="1" x14ac:dyDescent="0.2">
      <c r="A3022" s="3">
        <v>45986</v>
      </c>
      <c r="B3022" s="2" t="s">
        <v>7</v>
      </c>
      <c r="C3022" s="2">
        <v>21</v>
      </c>
      <c r="D3022" s="2">
        <f t="shared" si="188"/>
        <v>2025</v>
      </c>
      <c r="E3022" s="2" t="str">
        <f t="shared" si="189"/>
        <v>2025-48</v>
      </c>
      <c r="F3022" s="2" t="str">
        <f t="shared" si="190"/>
        <v>Week 48</v>
      </c>
      <c r="G3022" s="2" t="str">
        <f t="shared" si="191"/>
        <v>Week 48-2025</v>
      </c>
      <c r="O3022"/>
      <c r="Q3022"/>
    </row>
    <row r="3023" spans="1:17" hidden="1" x14ac:dyDescent="0.2">
      <c r="A3023" s="3">
        <v>45986</v>
      </c>
      <c r="B3023" s="2" t="s">
        <v>5</v>
      </c>
      <c r="C3023" s="2">
        <v>20</v>
      </c>
      <c r="D3023" s="2">
        <f t="shared" si="188"/>
        <v>2025</v>
      </c>
      <c r="E3023" s="2" t="str">
        <f t="shared" si="189"/>
        <v>2025-48</v>
      </c>
      <c r="F3023" s="2" t="str">
        <f t="shared" si="190"/>
        <v>Week 48</v>
      </c>
      <c r="G3023" s="2" t="str">
        <f t="shared" si="191"/>
        <v>Week 48-2025</v>
      </c>
      <c r="O3023"/>
      <c r="Q3023"/>
    </row>
    <row r="3024" spans="1:17" hidden="1" x14ac:dyDescent="0.2">
      <c r="A3024" s="3">
        <v>45986</v>
      </c>
      <c r="B3024" s="2" t="s">
        <v>9</v>
      </c>
      <c r="C3024" s="2">
        <v>23</v>
      </c>
      <c r="D3024" s="2">
        <f t="shared" si="188"/>
        <v>2025</v>
      </c>
      <c r="E3024" s="2" t="str">
        <f t="shared" si="189"/>
        <v>2025-48</v>
      </c>
      <c r="F3024" s="2" t="str">
        <f t="shared" si="190"/>
        <v>Week 48</v>
      </c>
      <c r="G3024" s="2" t="str">
        <f t="shared" si="191"/>
        <v>Week 48-2025</v>
      </c>
      <c r="O3024"/>
      <c r="Q3024"/>
    </row>
    <row r="3025" spans="1:17" hidden="1" x14ac:dyDescent="0.2">
      <c r="A3025" s="3">
        <v>45986</v>
      </c>
      <c r="B3025" s="2" t="s">
        <v>17</v>
      </c>
      <c r="C3025" s="2">
        <v>30</v>
      </c>
      <c r="D3025" s="2">
        <f t="shared" si="188"/>
        <v>2025</v>
      </c>
      <c r="E3025" s="2" t="str">
        <f t="shared" si="189"/>
        <v>2025-48</v>
      </c>
      <c r="F3025" s="2" t="str">
        <f t="shared" si="190"/>
        <v>Week 48</v>
      </c>
      <c r="G3025" s="2" t="str">
        <f t="shared" si="191"/>
        <v>Week 48-2025</v>
      </c>
      <c r="O3025"/>
      <c r="Q3025"/>
    </row>
    <row r="3026" spans="1:17" hidden="1" x14ac:dyDescent="0.2">
      <c r="A3026" s="3">
        <v>45986</v>
      </c>
      <c r="B3026" s="2" t="s">
        <v>14</v>
      </c>
      <c r="C3026" s="2">
        <v>30</v>
      </c>
      <c r="D3026" s="2">
        <f t="shared" si="188"/>
        <v>2025</v>
      </c>
      <c r="E3026" s="2" t="str">
        <f t="shared" si="189"/>
        <v>2025-48</v>
      </c>
      <c r="F3026" s="2" t="str">
        <f t="shared" si="190"/>
        <v>Week 48</v>
      </c>
      <c r="G3026" s="2" t="str">
        <f t="shared" si="191"/>
        <v>Week 48-2025</v>
      </c>
      <c r="O3026"/>
      <c r="Q3026"/>
    </row>
    <row r="3027" spans="1:17" hidden="1" x14ac:dyDescent="0.2">
      <c r="A3027" s="3">
        <v>45986</v>
      </c>
      <c r="B3027" s="2" t="s">
        <v>3</v>
      </c>
      <c r="C3027" s="2">
        <v>8</v>
      </c>
      <c r="D3027" s="2">
        <f t="shared" si="188"/>
        <v>2025</v>
      </c>
      <c r="E3027" s="2" t="str">
        <f t="shared" si="189"/>
        <v>2025-48</v>
      </c>
      <c r="F3027" s="2" t="str">
        <f t="shared" si="190"/>
        <v>Week 48</v>
      </c>
      <c r="G3027" s="2" t="str">
        <f t="shared" si="191"/>
        <v>Week 48-2025</v>
      </c>
      <c r="O3027"/>
      <c r="Q3027"/>
    </row>
    <row r="3028" spans="1:17" hidden="1" x14ac:dyDescent="0.2">
      <c r="A3028" s="3">
        <v>45986</v>
      </c>
      <c r="B3028" s="2" t="s">
        <v>7</v>
      </c>
      <c r="C3028" s="2">
        <v>9</v>
      </c>
      <c r="D3028" s="2">
        <f t="shared" si="188"/>
        <v>2025</v>
      </c>
      <c r="E3028" s="2" t="str">
        <f t="shared" si="189"/>
        <v>2025-48</v>
      </c>
      <c r="F3028" s="2" t="str">
        <f t="shared" si="190"/>
        <v>Week 48</v>
      </c>
      <c r="G3028" s="2" t="str">
        <f t="shared" si="191"/>
        <v>Week 48-2025</v>
      </c>
      <c r="O3028"/>
      <c r="Q3028"/>
    </row>
    <row r="3029" spans="1:17" hidden="1" x14ac:dyDescent="0.2">
      <c r="A3029" s="3">
        <v>45986</v>
      </c>
      <c r="B3029" s="2" t="s">
        <v>9</v>
      </c>
      <c r="C3029" s="2">
        <v>7</v>
      </c>
      <c r="D3029" s="2">
        <f t="shared" si="188"/>
        <v>2025</v>
      </c>
      <c r="E3029" s="2" t="str">
        <f t="shared" si="189"/>
        <v>2025-48</v>
      </c>
      <c r="F3029" s="2" t="str">
        <f t="shared" si="190"/>
        <v>Week 48</v>
      </c>
      <c r="G3029" s="2" t="str">
        <f t="shared" si="191"/>
        <v>Week 48-2025</v>
      </c>
      <c r="O3029"/>
      <c r="Q3029"/>
    </row>
    <row r="3030" spans="1:17" hidden="1" x14ac:dyDescent="0.2">
      <c r="A3030" s="3">
        <v>45986</v>
      </c>
      <c r="B3030" s="2" t="s">
        <v>9</v>
      </c>
      <c r="C3030" s="2">
        <v>4</v>
      </c>
      <c r="D3030" s="2">
        <f t="shared" si="188"/>
        <v>2025</v>
      </c>
      <c r="E3030" s="2" t="str">
        <f t="shared" si="189"/>
        <v>2025-48</v>
      </c>
      <c r="F3030" s="2" t="str">
        <f t="shared" si="190"/>
        <v>Week 48</v>
      </c>
      <c r="G3030" s="2" t="str">
        <f t="shared" si="191"/>
        <v>Week 48-2025</v>
      </c>
      <c r="O3030"/>
      <c r="Q3030"/>
    </row>
    <row r="3031" spans="1:17" hidden="1" x14ac:dyDescent="0.2">
      <c r="A3031" s="3">
        <v>45986</v>
      </c>
      <c r="B3031" s="2" t="s">
        <v>14</v>
      </c>
      <c r="C3031" s="2">
        <v>7</v>
      </c>
      <c r="D3031" s="2">
        <f t="shared" si="188"/>
        <v>2025</v>
      </c>
      <c r="E3031" s="2" t="str">
        <f t="shared" si="189"/>
        <v>2025-48</v>
      </c>
      <c r="F3031" s="2" t="str">
        <f t="shared" si="190"/>
        <v>Week 48</v>
      </c>
      <c r="G3031" s="2" t="str">
        <f t="shared" si="191"/>
        <v>Week 48-2025</v>
      </c>
      <c r="O3031"/>
      <c r="Q3031"/>
    </row>
    <row r="3032" spans="1:17" hidden="1" x14ac:dyDescent="0.2">
      <c r="A3032" s="3">
        <v>45986</v>
      </c>
      <c r="B3032" s="2" t="s">
        <v>4</v>
      </c>
      <c r="C3032" s="2">
        <v>5</v>
      </c>
      <c r="D3032" s="2">
        <f t="shared" si="188"/>
        <v>2025</v>
      </c>
      <c r="E3032" s="2" t="str">
        <f t="shared" si="189"/>
        <v>2025-48</v>
      </c>
      <c r="F3032" s="2" t="str">
        <f t="shared" si="190"/>
        <v>Week 48</v>
      </c>
      <c r="G3032" s="2" t="str">
        <f t="shared" si="191"/>
        <v>Week 48-2025</v>
      </c>
      <c r="O3032"/>
      <c r="Q3032"/>
    </row>
    <row r="3033" spans="1:17" hidden="1" x14ac:dyDescent="0.2">
      <c r="A3033" s="3">
        <v>45986</v>
      </c>
      <c r="B3033" s="2" t="s">
        <v>4</v>
      </c>
      <c r="C3033" s="2">
        <v>3</v>
      </c>
      <c r="D3033" s="2">
        <f t="shared" si="188"/>
        <v>2025</v>
      </c>
      <c r="E3033" s="2" t="str">
        <f t="shared" si="189"/>
        <v>2025-48</v>
      </c>
      <c r="F3033" s="2" t="str">
        <f t="shared" si="190"/>
        <v>Week 48</v>
      </c>
      <c r="G3033" s="2" t="str">
        <f t="shared" si="191"/>
        <v>Week 48-2025</v>
      </c>
      <c r="O3033"/>
      <c r="Q3033"/>
    </row>
    <row r="3034" spans="1:17" hidden="1" x14ac:dyDescent="0.2">
      <c r="A3034" s="3">
        <v>45986</v>
      </c>
      <c r="B3034" s="2" t="s">
        <v>14</v>
      </c>
      <c r="C3034" s="2">
        <v>1</v>
      </c>
      <c r="D3034" s="2">
        <f t="shared" si="188"/>
        <v>2025</v>
      </c>
      <c r="E3034" s="2" t="str">
        <f t="shared" si="189"/>
        <v>2025-48</v>
      </c>
      <c r="F3034" s="2" t="str">
        <f t="shared" si="190"/>
        <v>Week 48</v>
      </c>
      <c r="G3034" s="2" t="str">
        <f t="shared" si="191"/>
        <v>Week 48-2025</v>
      </c>
      <c r="O3034"/>
      <c r="Q3034"/>
    </row>
    <row r="3035" spans="1:17" hidden="1" x14ac:dyDescent="0.2">
      <c r="A3035" s="3">
        <v>45987</v>
      </c>
      <c r="B3035" s="2" t="s">
        <v>6</v>
      </c>
      <c r="C3035" s="2">
        <v>11</v>
      </c>
      <c r="D3035" s="2">
        <f t="shared" si="188"/>
        <v>2025</v>
      </c>
      <c r="E3035" s="2" t="str">
        <f t="shared" si="189"/>
        <v>2025-48</v>
      </c>
      <c r="F3035" s="2" t="str">
        <f t="shared" si="190"/>
        <v>Week 48</v>
      </c>
      <c r="G3035" s="2" t="str">
        <f t="shared" si="191"/>
        <v>Week 48-2025</v>
      </c>
      <c r="O3035"/>
      <c r="Q3035"/>
    </row>
    <row r="3036" spans="1:17" hidden="1" x14ac:dyDescent="0.2">
      <c r="A3036" s="3">
        <v>45987</v>
      </c>
      <c r="B3036" s="2" t="s">
        <v>3</v>
      </c>
      <c r="C3036" s="2">
        <v>8</v>
      </c>
      <c r="D3036" s="2">
        <f t="shared" si="188"/>
        <v>2025</v>
      </c>
      <c r="E3036" s="2" t="str">
        <f t="shared" si="189"/>
        <v>2025-48</v>
      </c>
      <c r="F3036" s="2" t="str">
        <f t="shared" si="190"/>
        <v>Week 48</v>
      </c>
      <c r="G3036" s="2" t="str">
        <f t="shared" si="191"/>
        <v>Week 48-2025</v>
      </c>
      <c r="O3036"/>
      <c r="Q3036"/>
    </row>
    <row r="3037" spans="1:17" hidden="1" x14ac:dyDescent="0.2">
      <c r="A3037" s="3">
        <v>45987</v>
      </c>
      <c r="B3037" s="2" t="s">
        <v>3</v>
      </c>
      <c r="C3037" s="2">
        <v>8</v>
      </c>
      <c r="D3037" s="2">
        <f t="shared" si="188"/>
        <v>2025</v>
      </c>
      <c r="E3037" s="2" t="str">
        <f t="shared" si="189"/>
        <v>2025-48</v>
      </c>
      <c r="F3037" s="2" t="str">
        <f t="shared" si="190"/>
        <v>Week 48</v>
      </c>
      <c r="G3037" s="2" t="str">
        <f t="shared" si="191"/>
        <v>Week 48-2025</v>
      </c>
      <c r="O3037"/>
      <c r="Q3037"/>
    </row>
    <row r="3038" spans="1:17" hidden="1" x14ac:dyDescent="0.2">
      <c r="A3038" s="3">
        <v>45987</v>
      </c>
      <c r="B3038" s="2" t="s">
        <v>5</v>
      </c>
      <c r="C3038" s="2">
        <v>4</v>
      </c>
      <c r="D3038" s="2">
        <f t="shared" si="188"/>
        <v>2025</v>
      </c>
      <c r="E3038" s="2" t="str">
        <f t="shared" si="189"/>
        <v>2025-48</v>
      </c>
      <c r="F3038" s="2" t="str">
        <f t="shared" si="190"/>
        <v>Week 48</v>
      </c>
      <c r="G3038" s="2" t="str">
        <f t="shared" si="191"/>
        <v>Week 48-2025</v>
      </c>
      <c r="O3038"/>
      <c r="Q3038"/>
    </row>
    <row r="3039" spans="1:17" hidden="1" x14ac:dyDescent="0.2">
      <c r="A3039" s="3">
        <v>45987</v>
      </c>
      <c r="B3039" s="2" t="s">
        <v>5</v>
      </c>
      <c r="C3039" s="2">
        <v>4</v>
      </c>
      <c r="D3039" s="2">
        <f t="shared" si="188"/>
        <v>2025</v>
      </c>
      <c r="E3039" s="2" t="str">
        <f t="shared" si="189"/>
        <v>2025-48</v>
      </c>
      <c r="F3039" s="2" t="str">
        <f t="shared" si="190"/>
        <v>Week 48</v>
      </c>
      <c r="G3039" s="2" t="str">
        <f t="shared" si="191"/>
        <v>Week 48-2025</v>
      </c>
      <c r="O3039"/>
      <c r="Q3039"/>
    </row>
    <row r="3040" spans="1:17" hidden="1" x14ac:dyDescent="0.2">
      <c r="A3040" s="3">
        <v>45987</v>
      </c>
      <c r="B3040" s="2" t="s">
        <v>9</v>
      </c>
      <c r="C3040" s="2">
        <v>2</v>
      </c>
      <c r="D3040" s="2">
        <f t="shared" si="188"/>
        <v>2025</v>
      </c>
      <c r="E3040" s="2" t="str">
        <f t="shared" si="189"/>
        <v>2025-48</v>
      </c>
      <c r="F3040" s="2" t="str">
        <f t="shared" si="190"/>
        <v>Week 48</v>
      </c>
      <c r="G3040" s="2" t="str">
        <f t="shared" si="191"/>
        <v>Week 48-2025</v>
      </c>
      <c r="O3040"/>
      <c r="Q3040"/>
    </row>
    <row r="3041" spans="1:17" hidden="1" x14ac:dyDescent="0.2">
      <c r="A3041" s="3">
        <v>45987</v>
      </c>
      <c r="B3041" s="2" t="s">
        <v>9</v>
      </c>
      <c r="C3041" s="2">
        <v>2</v>
      </c>
      <c r="D3041" s="2">
        <f t="shared" si="188"/>
        <v>2025</v>
      </c>
      <c r="E3041" s="2" t="str">
        <f t="shared" si="189"/>
        <v>2025-48</v>
      </c>
      <c r="F3041" s="2" t="str">
        <f t="shared" si="190"/>
        <v>Week 48</v>
      </c>
      <c r="G3041" s="2" t="str">
        <f t="shared" si="191"/>
        <v>Week 48-2025</v>
      </c>
      <c r="O3041"/>
      <c r="Q3041"/>
    </row>
    <row r="3042" spans="1:17" hidden="1" x14ac:dyDescent="0.2">
      <c r="A3042" s="3">
        <v>45987</v>
      </c>
      <c r="B3042" s="2" t="s">
        <v>5</v>
      </c>
      <c r="C3042" s="2">
        <v>1</v>
      </c>
      <c r="D3042" s="2">
        <f t="shared" si="188"/>
        <v>2025</v>
      </c>
      <c r="E3042" s="2" t="str">
        <f t="shared" si="189"/>
        <v>2025-48</v>
      </c>
      <c r="F3042" s="2" t="str">
        <f t="shared" si="190"/>
        <v>Week 48</v>
      </c>
      <c r="G3042" s="2" t="str">
        <f t="shared" si="191"/>
        <v>Week 48-2025</v>
      </c>
      <c r="O3042"/>
      <c r="Q3042"/>
    </row>
    <row r="3043" spans="1:17" hidden="1" x14ac:dyDescent="0.2">
      <c r="A3043" s="3">
        <v>45988</v>
      </c>
      <c r="B3043" s="2" t="s">
        <v>5</v>
      </c>
      <c r="C3043" s="2">
        <v>30</v>
      </c>
      <c r="D3043" s="2">
        <f t="shared" si="188"/>
        <v>2025</v>
      </c>
      <c r="E3043" s="2" t="str">
        <f t="shared" si="189"/>
        <v>2025-48</v>
      </c>
      <c r="F3043" s="2" t="str">
        <f t="shared" si="190"/>
        <v>Week 48</v>
      </c>
      <c r="G3043" s="2" t="str">
        <f t="shared" si="191"/>
        <v>Week 48-2025</v>
      </c>
      <c r="O3043"/>
      <c r="Q3043"/>
    </row>
    <row r="3044" spans="1:17" hidden="1" x14ac:dyDescent="0.2">
      <c r="A3044" s="3">
        <v>45988</v>
      </c>
      <c r="B3044" s="2" t="s">
        <v>6</v>
      </c>
      <c r="C3044" s="2">
        <v>13</v>
      </c>
      <c r="D3044" s="2">
        <f t="shared" si="188"/>
        <v>2025</v>
      </c>
      <c r="E3044" s="2" t="str">
        <f t="shared" si="189"/>
        <v>2025-48</v>
      </c>
      <c r="F3044" s="2" t="str">
        <f t="shared" si="190"/>
        <v>Week 48</v>
      </c>
      <c r="G3044" s="2" t="str">
        <f t="shared" si="191"/>
        <v>Week 48-2025</v>
      </c>
      <c r="O3044"/>
      <c r="Q3044"/>
    </row>
    <row r="3045" spans="1:17" hidden="1" x14ac:dyDescent="0.2">
      <c r="A3045" s="3">
        <v>45988</v>
      </c>
      <c r="B3045" s="2" t="s">
        <v>3</v>
      </c>
      <c r="C3045" s="2">
        <v>21</v>
      </c>
      <c r="D3045" s="2">
        <f t="shared" si="188"/>
        <v>2025</v>
      </c>
      <c r="E3045" s="2" t="str">
        <f t="shared" si="189"/>
        <v>2025-48</v>
      </c>
      <c r="F3045" s="2" t="str">
        <f t="shared" si="190"/>
        <v>Week 48</v>
      </c>
      <c r="G3045" s="2" t="str">
        <f t="shared" si="191"/>
        <v>Week 48-2025</v>
      </c>
      <c r="O3045"/>
      <c r="Q3045"/>
    </row>
    <row r="3046" spans="1:17" hidden="1" x14ac:dyDescent="0.2">
      <c r="A3046" s="3">
        <v>45988</v>
      </c>
      <c r="B3046" s="2" t="s">
        <v>9</v>
      </c>
      <c r="C3046" s="2">
        <v>8</v>
      </c>
      <c r="D3046" s="2">
        <f t="shared" si="188"/>
        <v>2025</v>
      </c>
      <c r="E3046" s="2" t="str">
        <f t="shared" si="189"/>
        <v>2025-48</v>
      </c>
      <c r="F3046" s="2" t="str">
        <f t="shared" si="190"/>
        <v>Week 48</v>
      </c>
      <c r="G3046" s="2" t="str">
        <f t="shared" si="191"/>
        <v>Week 48-2025</v>
      </c>
      <c r="O3046"/>
      <c r="Q3046"/>
    </row>
    <row r="3047" spans="1:17" hidden="1" x14ac:dyDescent="0.2">
      <c r="A3047" s="3">
        <v>45988</v>
      </c>
      <c r="B3047" s="2" t="s">
        <v>5</v>
      </c>
      <c r="C3047" s="2">
        <v>10</v>
      </c>
      <c r="D3047" s="2">
        <f t="shared" si="188"/>
        <v>2025</v>
      </c>
      <c r="E3047" s="2" t="str">
        <f t="shared" si="189"/>
        <v>2025-48</v>
      </c>
      <c r="F3047" s="2" t="str">
        <f t="shared" si="190"/>
        <v>Week 48</v>
      </c>
      <c r="G3047" s="2" t="str">
        <f t="shared" si="191"/>
        <v>Week 48-2025</v>
      </c>
      <c r="O3047"/>
      <c r="Q3047"/>
    </row>
    <row r="3048" spans="1:17" hidden="1" x14ac:dyDescent="0.2">
      <c r="A3048" s="3">
        <v>45988</v>
      </c>
      <c r="B3048" s="2" t="s">
        <v>13</v>
      </c>
      <c r="C3048" s="2">
        <v>8</v>
      </c>
      <c r="D3048" s="2">
        <f t="shared" si="188"/>
        <v>2025</v>
      </c>
      <c r="E3048" s="2" t="str">
        <f t="shared" si="189"/>
        <v>2025-48</v>
      </c>
      <c r="F3048" s="2" t="str">
        <f t="shared" si="190"/>
        <v>Week 48</v>
      </c>
      <c r="G3048" s="2" t="str">
        <f t="shared" si="191"/>
        <v>Week 48-2025</v>
      </c>
      <c r="O3048"/>
      <c r="Q3048"/>
    </row>
    <row r="3049" spans="1:17" hidden="1" x14ac:dyDescent="0.2">
      <c r="A3049" s="3">
        <v>45988</v>
      </c>
      <c r="B3049" s="2" t="s">
        <v>3</v>
      </c>
      <c r="C3049" s="2">
        <v>8</v>
      </c>
      <c r="D3049" s="2">
        <f t="shared" si="188"/>
        <v>2025</v>
      </c>
      <c r="E3049" s="2" t="str">
        <f t="shared" si="189"/>
        <v>2025-48</v>
      </c>
      <c r="F3049" s="2" t="str">
        <f t="shared" si="190"/>
        <v>Week 48</v>
      </c>
      <c r="G3049" s="2" t="str">
        <f t="shared" si="191"/>
        <v>Week 48-2025</v>
      </c>
      <c r="O3049"/>
      <c r="Q3049"/>
    </row>
    <row r="3050" spans="1:17" hidden="1" x14ac:dyDescent="0.2">
      <c r="A3050" s="3">
        <v>45988</v>
      </c>
      <c r="B3050" s="2" t="s">
        <v>5</v>
      </c>
      <c r="C3050" s="2">
        <v>8</v>
      </c>
      <c r="D3050" s="2">
        <f t="shared" si="188"/>
        <v>2025</v>
      </c>
      <c r="E3050" s="2" t="str">
        <f t="shared" si="189"/>
        <v>2025-48</v>
      </c>
      <c r="F3050" s="2" t="str">
        <f t="shared" si="190"/>
        <v>Week 48</v>
      </c>
      <c r="G3050" s="2" t="str">
        <f t="shared" si="191"/>
        <v>Week 48-2025</v>
      </c>
      <c r="O3050"/>
      <c r="Q3050"/>
    </row>
    <row r="3051" spans="1:17" hidden="1" x14ac:dyDescent="0.2">
      <c r="A3051" s="3">
        <v>45988</v>
      </c>
      <c r="B3051" s="2" t="s">
        <v>6</v>
      </c>
      <c r="C3051" s="2">
        <v>4</v>
      </c>
      <c r="D3051" s="2">
        <f t="shared" si="188"/>
        <v>2025</v>
      </c>
      <c r="E3051" s="2" t="str">
        <f t="shared" si="189"/>
        <v>2025-48</v>
      </c>
      <c r="F3051" s="2" t="str">
        <f t="shared" si="190"/>
        <v>Week 48</v>
      </c>
      <c r="G3051" s="2" t="str">
        <f t="shared" si="191"/>
        <v>Week 48-2025</v>
      </c>
      <c r="O3051"/>
      <c r="Q3051"/>
    </row>
    <row r="3052" spans="1:17" hidden="1" x14ac:dyDescent="0.2">
      <c r="A3052" s="3">
        <v>45988</v>
      </c>
      <c r="B3052" s="2" t="s">
        <v>17</v>
      </c>
      <c r="C3052" s="2">
        <v>8</v>
      </c>
      <c r="D3052" s="2">
        <f t="shared" si="188"/>
        <v>2025</v>
      </c>
      <c r="E3052" s="2" t="str">
        <f t="shared" si="189"/>
        <v>2025-48</v>
      </c>
      <c r="F3052" s="2" t="str">
        <f t="shared" si="190"/>
        <v>Week 48</v>
      </c>
      <c r="G3052" s="2" t="str">
        <f t="shared" si="191"/>
        <v>Week 48-2025</v>
      </c>
      <c r="O3052"/>
      <c r="Q3052"/>
    </row>
    <row r="3053" spans="1:17" hidden="1" x14ac:dyDescent="0.2">
      <c r="A3053" s="3">
        <v>45988</v>
      </c>
      <c r="B3053" s="2" t="s">
        <v>14</v>
      </c>
      <c r="C3053" s="2">
        <v>8</v>
      </c>
      <c r="D3053" s="2">
        <f t="shared" si="188"/>
        <v>2025</v>
      </c>
      <c r="E3053" s="2" t="str">
        <f t="shared" si="189"/>
        <v>2025-48</v>
      </c>
      <c r="F3053" s="2" t="str">
        <f t="shared" si="190"/>
        <v>Week 48</v>
      </c>
      <c r="G3053" s="2" t="str">
        <f t="shared" si="191"/>
        <v>Week 48-2025</v>
      </c>
      <c r="O3053"/>
      <c r="Q3053"/>
    </row>
    <row r="3054" spans="1:17" hidden="1" x14ac:dyDescent="0.2">
      <c r="A3054" s="3">
        <v>45988</v>
      </c>
      <c r="B3054" s="2" t="s">
        <v>14</v>
      </c>
      <c r="C3054" s="2">
        <v>8</v>
      </c>
      <c r="D3054" s="2">
        <f t="shared" si="188"/>
        <v>2025</v>
      </c>
      <c r="E3054" s="2" t="str">
        <f t="shared" si="189"/>
        <v>2025-48</v>
      </c>
      <c r="F3054" s="2" t="str">
        <f t="shared" si="190"/>
        <v>Week 48</v>
      </c>
      <c r="G3054" s="2" t="str">
        <f t="shared" si="191"/>
        <v>Week 48-2025</v>
      </c>
      <c r="O3054"/>
      <c r="Q3054"/>
    </row>
    <row r="3055" spans="1:17" hidden="1" x14ac:dyDescent="0.2">
      <c r="A3055" s="3">
        <v>45988</v>
      </c>
      <c r="B3055" s="2" t="s">
        <v>8</v>
      </c>
      <c r="C3055" s="2">
        <v>8</v>
      </c>
      <c r="D3055" s="2">
        <f t="shared" si="188"/>
        <v>2025</v>
      </c>
      <c r="E3055" s="2" t="str">
        <f t="shared" si="189"/>
        <v>2025-48</v>
      </c>
      <c r="F3055" s="2" t="str">
        <f t="shared" si="190"/>
        <v>Week 48</v>
      </c>
      <c r="G3055" s="2" t="str">
        <f t="shared" si="191"/>
        <v>Week 48-2025</v>
      </c>
      <c r="O3055"/>
      <c r="Q3055"/>
    </row>
    <row r="3056" spans="1:17" hidden="1" x14ac:dyDescent="0.2">
      <c r="A3056" s="3">
        <v>45988</v>
      </c>
      <c r="B3056" s="2" t="s">
        <v>9</v>
      </c>
      <c r="C3056" s="2">
        <v>4</v>
      </c>
      <c r="D3056" s="2">
        <f t="shared" si="188"/>
        <v>2025</v>
      </c>
      <c r="E3056" s="2" t="str">
        <f t="shared" si="189"/>
        <v>2025-48</v>
      </c>
      <c r="F3056" s="2" t="str">
        <f t="shared" si="190"/>
        <v>Week 48</v>
      </c>
      <c r="G3056" s="2" t="str">
        <f t="shared" si="191"/>
        <v>Week 48-2025</v>
      </c>
      <c r="O3056"/>
      <c r="Q3056"/>
    </row>
    <row r="3057" spans="1:17" hidden="1" x14ac:dyDescent="0.2">
      <c r="A3057" s="3">
        <v>45988</v>
      </c>
      <c r="B3057" s="2" t="s">
        <v>9</v>
      </c>
      <c r="C3057" s="2">
        <v>4</v>
      </c>
      <c r="D3057" s="2">
        <f t="shared" si="188"/>
        <v>2025</v>
      </c>
      <c r="E3057" s="2" t="str">
        <f t="shared" si="189"/>
        <v>2025-48</v>
      </c>
      <c r="F3057" s="2" t="str">
        <f t="shared" si="190"/>
        <v>Week 48</v>
      </c>
      <c r="G3057" s="2" t="str">
        <f t="shared" si="191"/>
        <v>Week 48-2025</v>
      </c>
      <c r="O3057"/>
      <c r="Q3057"/>
    </row>
    <row r="3058" spans="1:17" hidden="1" x14ac:dyDescent="0.2">
      <c r="A3058" s="3">
        <v>45988</v>
      </c>
      <c r="B3058" s="2" t="s">
        <v>5</v>
      </c>
      <c r="C3058" s="2">
        <v>5</v>
      </c>
      <c r="D3058" s="2">
        <f t="shared" si="188"/>
        <v>2025</v>
      </c>
      <c r="E3058" s="2" t="str">
        <f t="shared" si="189"/>
        <v>2025-48</v>
      </c>
      <c r="F3058" s="2" t="str">
        <f t="shared" si="190"/>
        <v>Week 48</v>
      </c>
      <c r="G3058" s="2" t="str">
        <f t="shared" si="191"/>
        <v>Week 48-2025</v>
      </c>
      <c r="O3058"/>
      <c r="Q3058"/>
    </row>
    <row r="3059" spans="1:17" hidden="1" x14ac:dyDescent="0.2">
      <c r="A3059" s="3">
        <v>45988</v>
      </c>
      <c r="B3059" s="2" t="s">
        <v>3</v>
      </c>
      <c r="C3059" s="2">
        <v>4</v>
      </c>
      <c r="D3059" s="2">
        <f t="shared" si="188"/>
        <v>2025</v>
      </c>
      <c r="E3059" s="2" t="str">
        <f t="shared" si="189"/>
        <v>2025-48</v>
      </c>
      <c r="F3059" s="2" t="str">
        <f t="shared" si="190"/>
        <v>Week 48</v>
      </c>
      <c r="G3059" s="2" t="str">
        <f t="shared" si="191"/>
        <v>Week 48-2025</v>
      </c>
      <c r="O3059"/>
      <c r="Q3059"/>
    </row>
    <row r="3060" spans="1:17" hidden="1" x14ac:dyDescent="0.2">
      <c r="A3060" s="3">
        <v>45988</v>
      </c>
      <c r="B3060" s="2" t="s">
        <v>34</v>
      </c>
      <c r="C3060" s="2">
        <v>4</v>
      </c>
      <c r="D3060" s="2">
        <f t="shared" si="188"/>
        <v>2025</v>
      </c>
      <c r="E3060" s="2" t="str">
        <f t="shared" si="189"/>
        <v>2025-48</v>
      </c>
      <c r="F3060" s="2" t="str">
        <f t="shared" si="190"/>
        <v>Week 48</v>
      </c>
      <c r="G3060" s="2" t="str">
        <f t="shared" si="191"/>
        <v>Week 48-2025</v>
      </c>
      <c r="O3060"/>
      <c r="Q3060"/>
    </row>
    <row r="3061" spans="1:17" hidden="1" x14ac:dyDescent="0.2">
      <c r="A3061" s="3">
        <v>45988</v>
      </c>
      <c r="B3061" s="2" t="s">
        <v>3</v>
      </c>
      <c r="C3061" s="2">
        <v>3</v>
      </c>
      <c r="D3061" s="2">
        <f t="shared" si="188"/>
        <v>2025</v>
      </c>
      <c r="E3061" s="2" t="str">
        <f t="shared" si="189"/>
        <v>2025-48</v>
      </c>
      <c r="F3061" s="2" t="str">
        <f t="shared" si="190"/>
        <v>Week 48</v>
      </c>
      <c r="G3061" s="2" t="str">
        <f t="shared" si="191"/>
        <v>Week 48-2025</v>
      </c>
      <c r="O3061"/>
      <c r="Q3061"/>
    </row>
    <row r="3062" spans="1:17" hidden="1" x14ac:dyDescent="0.2">
      <c r="A3062" s="3">
        <v>45988</v>
      </c>
      <c r="B3062" s="2" t="s">
        <v>14</v>
      </c>
      <c r="C3062" s="2">
        <v>4</v>
      </c>
      <c r="D3062" s="2">
        <f t="shared" si="188"/>
        <v>2025</v>
      </c>
      <c r="E3062" s="2" t="str">
        <f t="shared" si="189"/>
        <v>2025-48</v>
      </c>
      <c r="F3062" s="2" t="str">
        <f t="shared" si="190"/>
        <v>Week 48</v>
      </c>
      <c r="G3062" s="2" t="str">
        <f t="shared" si="191"/>
        <v>Week 48-2025</v>
      </c>
      <c r="O3062"/>
      <c r="Q3062"/>
    </row>
    <row r="3063" spans="1:17" hidden="1" x14ac:dyDescent="0.2">
      <c r="A3063" s="3">
        <v>45988</v>
      </c>
      <c r="B3063" s="2" t="s">
        <v>14</v>
      </c>
      <c r="C3063" s="2">
        <v>4</v>
      </c>
      <c r="D3063" s="2">
        <f t="shared" si="188"/>
        <v>2025</v>
      </c>
      <c r="E3063" s="2" t="str">
        <f t="shared" si="189"/>
        <v>2025-48</v>
      </c>
      <c r="F3063" s="2" t="str">
        <f t="shared" si="190"/>
        <v>Week 48</v>
      </c>
      <c r="G3063" s="2" t="str">
        <f t="shared" si="191"/>
        <v>Week 48-2025</v>
      </c>
      <c r="O3063"/>
      <c r="Q3063"/>
    </row>
    <row r="3064" spans="1:17" hidden="1" x14ac:dyDescent="0.2">
      <c r="A3064" s="3">
        <v>45988</v>
      </c>
      <c r="B3064" s="2" t="s">
        <v>14</v>
      </c>
      <c r="C3064" s="2">
        <v>4</v>
      </c>
      <c r="D3064" s="2">
        <f t="shared" si="188"/>
        <v>2025</v>
      </c>
      <c r="E3064" s="2" t="str">
        <f t="shared" si="189"/>
        <v>2025-48</v>
      </c>
      <c r="F3064" s="2" t="str">
        <f t="shared" si="190"/>
        <v>Week 48</v>
      </c>
      <c r="G3064" s="2" t="str">
        <f t="shared" si="191"/>
        <v>Week 48-2025</v>
      </c>
      <c r="O3064"/>
      <c r="Q3064"/>
    </row>
    <row r="3065" spans="1:17" hidden="1" x14ac:dyDescent="0.2">
      <c r="A3065" s="3">
        <v>45988</v>
      </c>
      <c r="B3065" s="2" t="s">
        <v>14</v>
      </c>
      <c r="C3065" s="2">
        <v>4</v>
      </c>
      <c r="D3065" s="2">
        <f t="shared" si="188"/>
        <v>2025</v>
      </c>
      <c r="E3065" s="2" t="str">
        <f t="shared" si="189"/>
        <v>2025-48</v>
      </c>
      <c r="F3065" s="2" t="str">
        <f t="shared" si="190"/>
        <v>Week 48</v>
      </c>
      <c r="G3065" s="2" t="str">
        <f t="shared" si="191"/>
        <v>Week 48-2025</v>
      </c>
      <c r="O3065"/>
      <c r="Q3065"/>
    </row>
    <row r="3066" spans="1:17" hidden="1" x14ac:dyDescent="0.2">
      <c r="A3066" s="3">
        <v>45988</v>
      </c>
      <c r="B3066" s="2" t="s">
        <v>4</v>
      </c>
      <c r="C3066" s="2">
        <v>2</v>
      </c>
      <c r="D3066" s="2">
        <f t="shared" si="188"/>
        <v>2025</v>
      </c>
      <c r="E3066" s="2" t="str">
        <f t="shared" si="189"/>
        <v>2025-48</v>
      </c>
      <c r="F3066" s="2" t="str">
        <f t="shared" si="190"/>
        <v>Week 48</v>
      </c>
      <c r="G3066" s="2" t="str">
        <f t="shared" si="191"/>
        <v>Week 48-2025</v>
      </c>
      <c r="O3066"/>
      <c r="Q3066"/>
    </row>
    <row r="3067" spans="1:17" hidden="1" x14ac:dyDescent="0.2">
      <c r="A3067" s="3">
        <v>45988</v>
      </c>
      <c r="B3067" s="2" t="s">
        <v>28</v>
      </c>
      <c r="C3067" s="2">
        <v>4</v>
      </c>
      <c r="D3067" s="2">
        <f t="shared" si="188"/>
        <v>2025</v>
      </c>
      <c r="E3067" s="2" t="str">
        <f t="shared" si="189"/>
        <v>2025-48</v>
      </c>
      <c r="F3067" s="2" t="str">
        <f t="shared" si="190"/>
        <v>Week 48</v>
      </c>
      <c r="G3067" s="2" t="str">
        <f t="shared" si="191"/>
        <v>Week 48-2025</v>
      </c>
      <c r="O3067"/>
      <c r="Q3067"/>
    </row>
    <row r="3068" spans="1:17" hidden="1" x14ac:dyDescent="0.2">
      <c r="A3068" s="3">
        <v>45988</v>
      </c>
      <c r="B3068" s="2" t="s">
        <v>12</v>
      </c>
      <c r="C3068" s="2">
        <v>1</v>
      </c>
      <c r="D3068" s="2">
        <f t="shared" si="188"/>
        <v>2025</v>
      </c>
      <c r="E3068" s="2" t="str">
        <f t="shared" si="189"/>
        <v>2025-48</v>
      </c>
      <c r="F3068" s="2" t="str">
        <f t="shared" si="190"/>
        <v>Week 48</v>
      </c>
      <c r="G3068" s="2" t="str">
        <f t="shared" si="191"/>
        <v>Week 48-2025</v>
      </c>
      <c r="O3068"/>
      <c r="Q3068"/>
    </row>
    <row r="3069" spans="1:17" hidden="1" x14ac:dyDescent="0.2">
      <c r="A3069" s="3">
        <v>45988</v>
      </c>
      <c r="B3069" s="2" t="s">
        <v>12</v>
      </c>
      <c r="C3069" s="2">
        <v>1</v>
      </c>
      <c r="D3069" s="2">
        <f t="shared" si="188"/>
        <v>2025</v>
      </c>
      <c r="E3069" s="2" t="str">
        <f t="shared" si="189"/>
        <v>2025-48</v>
      </c>
      <c r="F3069" s="2" t="str">
        <f t="shared" si="190"/>
        <v>Week 48</v>
      </c>
      <c r="G3069" s="2" t="str">
        <f t="shared" si="191"/>
        <v>Week 48-2025</v>
      </c>
      <c r="O3069"/>
      <c r="Q3069"/>
    </row>
    <row r="3070" spans="1:17" hidden="1" x14ac:dyDescent="0.2">
      <c r="A3070" s="3">
        <v>45988</v>
      </c>
      <c r="B3070" s="2" t="s">
        <v>5</v>
      </c>
      <c r="C3070" s="2">
        <v>2</v>
      </c>
      <c r="D3070" s="2">
        <f t="shared" si="188"/>
        <v>2025</v>
      </c>
      <c r="E3070" s="2" t="str">
        <f t="shared" si="189"/>
        <v>2025-48</v>
      </c>
      <c r="F3070" s="2" t="str">
        <f t="shared" si="190"/>
        <v>Week 48</v>
      </c>
      <c r="G3070" s="2" t="str">
        <f t="shared" si="191"/>
        <v>Week 48-2025</v>
      </c>
      <c r="O3070"/>
      <c r="Q3070"/>
    </row>
    <row r="3071" spans="1:17" hidden="1" x14ac:dyDescent="0.2">
      <c r="A3071" s="3">
        <v>45988</v>
      </c>
      <c r="B3071" s="2" t="s">
        <v>10</v>
      </c>
      <c r="C3071" s="2">
        <v>2</v>
      </c>
      <c r="D3071" s="2">
        <f t="shared" si="188"/>
        <v>2025</v>
      </c>
      <c r="E3071" s="2" t="str">
        <f t="shared" si="189"/>
        <v>2025-48</v>
      </c>
      <c r="F3071" s="2" t="str">
        <f t="shared" si="190"/>
        <v>Week 48</v>
      </c>
      <c r="G3071" s="2" t="str">
        <f t="shared" si="191"/>
        <v>Week 48-2025</v>
      </c>
      <c r="O3071"/>
      <c r="Q3071"/>
    </row>
    <row r="3072" spans="1:17" hidden="1" x14ac:dyDescent="0.2">
      <c r="A3072" s="3">
        <v>45988</v>
      </c>
      <c r="B3072" s="2" t="s">
        <v>5</v>
      </c>
      <c r="C3072" s="2">
        <v>1</v>
      </c>
      <c r="D3072" s="2">
        <f t="shared" si="188"/>
        <v>2025</v>
      </c>
      <c r="E3072" s="2" t="str">
        <f t="shared" si="189"/>
        <v>2025-48</v>
      </c>
      <c r="F3072" s="2" t="str">
        <f t="shared" si="190"/>
        <v>Week 48</v>
      </c>
      <c r="G3072" s="2" t="str">
        <f t="shared" si="191"/>
        <v>Week 48-2025</v>
      </c>
      <c r="O3072"/>
      <c r="Q3072"/>
    </row>
    <row r="3073" spans="1:17" x14ac:dyDescent="0.2">
      <c r="A3073" s="3">
        <v>45988</v>
      </c>
      <c r="B3073" s="2" t="s">
        <v>24</v>
      </c>
      <c r="C3073" s="2">
        <v>2</v>
      </c>
      <c r="D3073" s="2">
        <f t="shared" si="188"/>
        <v>2025</v>
      </c>
      <c r="E3073" s="2" t="str">
        <f t="shared" si="189"/>
        <v>2025-48</v>
      </c>
      <c r="F3073" s="2" t="str">
        <f t="shared" si="190"/>
        <v>Week 48</v>
      </c>
      <c r="G3073" s="2" t="str">
        <f t="shared" si="191"/>
        <v>Week 48-2025</v>
      </c>
      <c r="O3073"/>
      <c r="Q3073"/>
    </row>
    <row r="3074" spans="1:17" hidden="1" x14ac:dyDescent="0.2">
      <c r="A3074" s="3">
        <v>45988</v>
      </c>
      <c r="B3074" s="2" t="s">
        <v>14</v>
      </c>
      <c r="C3074" s="2">
        <v>1</v>
      </c>
      <c r="D3074" s="2">
        <f t="shared" ref="D3074:D3137" si="192">YEAR(A3074)</f>
        <v>2025</v>
      </c>
      <c r="E3074" s="2" t="str">
        <f t="shared" ref="E3074:E3137" si="193">YEAR(A3074)&amp;"-"&amp;_xlfn.ISOWEEKNUM(A3074)</f>
        <v>2025-48</v>
      </c>
      <c r="F3074" s="2" t="str">
        <f t="shared" ref="F3074:F3137" si="194">_xlfn.CONCAT("Week "&amp;WEEKNUM(A3074))</f>
        <v>Week 48</v>
      </c>
      <c r="G3074" s="2" t="str">
        <f t="shared" ref="G3074:G3137" si="195">_xlfn.CONCAT(F3074,"-",D3074)</f>
        <v>Week 48-2025</v>
      </c>
      <c r="O3074"/>
      <c r="Q3074"/>
    </row>
    <row r="3075" spans="1:17" hidden="1" x14ac:dyDescent="0.2">
      <c r="A3075" s="3">
        <v>45990</v>
      </c>
      <c r="B3075" s="2" t="s">
        <v>5</v>
      </c>
      <c r="C3075" s="2">
        <v>14</v>
      </c>
      <c r="D3075" s="2">
        <f t="shared" si="192"/>
        <v>2025</v>
      </c>
      <c r="E3075" s="2" t="str">
        <f t="shared" si="193"/>
        <v>2025-48</v>
      </c>
      <c r="F3075" s="2" t="str">
        <f t="shared" si="194"/>
        <v>Week 48</v>
      </c>
      <c r="G3075" s="2" t="str">
        <f t="shared" si="195"/>
        <v>Week 48-2025</v>
      </c>
      <c r="O3075"/>
      <c r="Q3075"/>
    </row>
    <row r="3076" spans="1:17" hidden="1" x14ac:dyDescent="0.2">
      <c r="A3076" s="3">
        <v>45990</v>
      </c>
      <c r="B3076" s="2" t="s">
        <v>4</v>
      </c>
      <c r="C3076" s="2">
        <v>8</v>
      </c>
      <c r="D3076" s="2">
        <f t="shared" si="192"/>
        <v>2025</v>
      </c>
      <c r="E3076" s="2" t="str">
        <f t="shared" si="193"/>
        <v>2025-48</v>
      </c>
      <c r="F3076" s="2" t="str">
        <f t="shared" si="194"/>
        <v>Week 48</v>
      </c>
      <c r="G3076" s="2" t="str">
        <f t="shared" si="195"/>
        <v>Week 48-2025</v>
      </c>
      <c r="O3076"/>
      <c r="Q3076"/>
    </row>
    <row r="3077" spans="1:17" hidden="1" x14ac:dyDescent="0.2">
      <c r="A3077" s="3">
        <v>45990</v>
      </c>
      <c r="B3077" s="2" t="s">
        <v>19</v>
      </c>
      <c r="C3077" s="2">
        <v>8</v>
      </c>
      <c r="D3077" s="2">
        <f t="shared" si="192"/>
        <v>2025</v>
      </c>
      <c r="E3077" s="2" t="str">
        <f t="shared" si="193"/>
        <v>2025-48</v>
      </c>
      <c r="F3077" s="2" t="str">
        <f t="shared" si="194"/>
        <v>Week 48</v>
      </c>
      <c r="G3077" s="2" t="str">
        <f t="shared" si="195"/>
        <v>Week 48-2025</v>
      </c>
      <c r="O3077"/>
      <c r="Q3077"/>
    </row>
    <row r="3078" spans="1:17" hidden="1" x14ac:dyDescent="0.2">
      <c r="A3078" s="3">
        <v>45990</v>
      </c>
      <c r="B3078" s="2" t="s">
        <v>9</v>
      </c>
      <c r="C3078" s="2">
        <v>8</v>
      </c>
      <c r="D3078" s="2">
        <f t="shared" si="192"/>
        <v>2025</v>
      </c>
      <c r="E3078" s="2" t="str">
        <f t="shared" si="193"/>
        <v>2025-48</v>
      </c>
      <c r="F3078" s="2" t="str">
        <f t="shared" si="194"/>
        <v>Week 48</v>
      </c>
      <c r="G3078" s="2" t="str">
        <f t="shared" si="195"/>
        <v>Week 48-2025</v>
      </c>
      <c r="O3078"/>
      <c r="Q3078"/>
    </row>
    <row r="3079" spans="1:17" hidden="1" x14ac:dyDescent="0.2">
      <c r="A3079" s="3">
        <v>45990</v>
      </c>
      <c r="B3079" s="2" t="s">
        <v>27</v>
      </c>
      <c r="C3079" s="2">
        <v>2</v>
      </c>
      <c r="D3079" s="2">
        <f t="shared" si="192"/>
        <v>2025</v>
      </c>
      <c r="E3079" s="2" t="str">
        <f t="shared" si="193"/>
        <v>2025-48</v>
      </c>
      <c r="F3079" s="2" t="str">
        <f t="shared" si="194"/>
        <v>Week 48</v>
      </c>
      <c r="G3079" s="2" t="str">
        <f t="shared" si="195"/>
        <v>Week 48-2025</v>
      </c>
      <c r="O3079"/>
      <c r="Q3079"/>
    </row>
    <row r="3080" spans="1:17" hidden="1" x14ac:dyDescent="0.2">
      <c r="A3080" s="3">
        <v>45992</v>
      </c>
      <c r="B3080" s="2" t="s">
        <v>19</v>
      </c>
      <c r="C3080" s="2">
        <v>12</v>
      </c>
      <c r="D3080" s="2">
        <f t="shared" si="192"/>
        <v>2025</v>
      </c>
      <c r="E3080" s="2" t="str">
        <f t="shared" si="193"/>
        <v>2025-49</v>
      </c>
      <c r="F3080" s="2" t="str">
        <f t="shared" si="194"/>
        <v>Week 49</v>
      </c>
      <c r="G3080" s="2" t="str">
        <f t="shared" si="195"/>
        <v>Week 49-2025</v>
      </c>
      <c r="O3080"/>
      <c r="Q3080"/>
    </row>
    <row r="3081" spans="1:17" hidden="1" x14ac:dyDescent="0.2">
      <c r="A3081" s="3">
        <v>45992</v>
      </c>
      <c r="B3081" s="2" t="s">
        <v>19</v>
      </c>
      <c r="C3081" s="2">
        <v>2</v>
      </c>
      <c r="D3081" s="2">
        <f t="shared" si="192"/>
        <v>2025</v>
      </c>
      <c r="E3081" s="2" t="str">
        <f t="shared" si="193"/>
        <v>2025-49</v>
      </c>
      <c r="F3081" s="2" t="str">
        <f t="shared" si="194"/>
        <v>Week 49</v>
      </c>
      <c r="G3081" s="2" t="str">
        <f t="shared" si="195"/>
        <v>Week 49-2025</v>
      </c>
      <c r="O3081"/>
      <c r="Q3081"/>
    </row>
    <row r="3082" spans="1:17" hidden="1" x14ac:dyDescent="0.2">
      <c r="A3082" s="3">
        <v>45993</v>
      </c>
      <c r="B3082" s="2" t="s">
        <v>5</v>
      </c>
      <c r="C3082" s="2">
        <v>44</v>
      </c>
      <c r="D3082" s="2">
        <f t="shared" si="192"/>
        <v>2025</v>
      </c>
      <c r="E3082" s="2" t="str">
        <f t="shared" si="193"/>
        <v>2025-49</v>
      </c>
      <c r="F3082" s="2" t="str">
        <f t="shared" si="194"/>
        <v>Week 49</v>
      </c>
      <c r="G3082" s="2" t="str">
        <f t="shared" si="195"/>
        <v>Week 49-2025</v>
      </c>
      <c r="O3082"/>
      <c r="Q3082"/>
    </row>
    <row r="3083" spans="1:17" hidden="1" x14ac:dyDescent="0.2">
      <c r="A3083" s="3">
        <v>45993</v>
      </c>
      <c r="B3083" s="2" t="s">
        <v>4</v>
      </c>
      <c r="C3083" s="2">
        <v>16</v>
      </c>
      <c r="D3083" s="2">
        <f t="shared" si="192"/>
        <v>2025</v>
      </c>
      <c r="E3083" s="2" t="str">
        <f t="shared" si="193"/>
        <v>2025-49</v>
      </c>
      <c r="F3083" s="2" t="str">
        <f t="shared" si="194"/>
        <v>Week 49</v>
      </c>
      <c r="G3083" s="2" t="str">
        <f t="shared" si="195"/>
        <v>Week 49-2025</v>
      </c>
      <c r="O3083"/>
      <c r="Q3083"/>
    </row>
    <row r="3084" spans="1:17" hidden="1" x14ac:dyDescent="0.2">
      <c r="A3084" s="3">
        <v>45993</v>
      </c>
      <c r="B3084" s="2" t="s">
        <v>9</v>
      </c>
      <c r="C3084" s="2">
        <v>13</v>
      </c>
      <c r="D3084" s="2">
        <f t="shared" si="192"/>
        <v>2025</v>
      </c>
      <c r="E3084" s="2" t="str">
        <f t="shared" si="193"/>
        <v>2025-49</v>
      </c>
      <c r="F3084" s="2" t="str">
        <f t="shared" si="194"/>
        <v>Week 49</v>
      </c>
      <c r="G3084" s="2" t="str">
        <f t="shared" si="195"/>
        <v>Week 49-2025</v>
      </c>
      <c r="O3084"/>
      <c r="Q3084"/>
    </row>
    <row r="3085" spans="1:17" hidden="1" x14ac:dyDescent="0.2">
      <c r="A3085" s="3">
        <v>45993</v>
      </c>
      <c r="B3085" s="2" t="s">
        <v>5</v>
      </c>
      <c r="C3085" s="2">
        <v>14</v>
      </c>
      <c r="D3085" s="2">
        <f t="shared" si="192"/>
        <v>2025</v>
      </c>
      <c r="E3085" s="2" t="str">
        <f t="shared" si="193"/>
        <v>2025-49</v>
      </c>
      <c r="F3085" s="2" t="str">
        <f t="shared" si="194"/>
        <v>Week 49</v>
      </c>
      <c r="G3085" s="2" t="str">
        <f t="shared" si="195"/>
        <v>Week 49-2025</v>
      </c>
      <c r="O3085"/>
      <c r="Q3085"/>
    </row>
    <row r="3086" spans="1:17" hidden="1" x14ac:dyDescent="0.2">
      <c r="A3086" s="3">
        <v>45993</v>
      </c>
      <c r="B3086" s="2" t="s">
        <v>5</v>
      </c>
      <c r="C3086" s="2">
        <v>10</v>
      </c>
      <c r="D3086" s="2">
        <f t="shared" si="192"/>
        <v>2025</v>
      </c>
      <c r="E3086" s="2" t="str">
        <f t="shared" si="193"/>
        <v>2025-49</v>
      </c>
      <c r="F3086" s="2" t="str">
        <f t="shared" si="194"/>
        <v>Week 49</v>
      </c>
      <c r="G3086" s="2" t="str">
        <f t="shared" si="195"/>
        <v>Week 49-2025</v>
      </c>
      <c r="O3086"/>
      <c r="Q3086"/>
    </row>
    <row r="3087" spans="1:17" hidden="1" x14ac:dyDescent="0.2">
      <c r="A3087" s="3">
        <v>45993</v>
      </c>
      <c r="B3087" s="2" t="s">
        <v>3</v>
      </c>
      <c r="C3087" s="2">
        <v>8</v>
      </c>
      <c r="D3087" s="2">
        <f t="shared" si="192"/>
        <v>2025</v>
      </c>
      <c r="E3087" s="2" t="str">
        <f t="shared" si="193"/>
        <v>2025-49</v>
      </c>
      <c r="F3087" s="2" t="str">
        <f t="shared" si="194"/>
        <v>Week 49</v>
      </c>
      <c r="G3087" s="2" t="str">
        <f t="shared" si="195"/>
        <v>Week 49-2025</v>
      </c>
      <c r="O3087"/>
      <c r="Q3087"/>
    </row>
    <row r="3088" spans="1:17" hidden="1" x14ac:dyDescent="0.2">
      <c r="A3088" s="3">
        <v>45993</v>
      </c>
      <c r="B3088" s="2" t="s">
        <v>3</v>
      </c>
      <c r="C3088" s="2">
        <v>6</v>
      </c>
      <c r="D3088" s="2">
        <f t="shared" si="192"/>
        <v>2025</v>
      </c>
      <c r="E3088" s="2" t="str">
        <f t="shared" si="193"/>
        <v>2025-49</v>
      </c>
      <c r="F3088" s="2" t="str">
        <f t="shared" si="194"/>
        <v>Week 49</v>
      </c>
      <c r="G3088" s="2" t="str">
        <f t="shared" si="195"/>
        <v>Week 49-2025</v>
      </c>
      <c r="O3088"/>
      <c r="Q3088"/>
    </row>
    <row r="3089" spans="1:17" hidden="1" x14ac:dyDescent="0.2">
      <c r="A3089" s="3">
        <v>45993</v>
      </c>
      <c r="B3089" s="2" t="s">
        <v>9</v>
      </c>
      <c r="C3089" s="2">
        <v>5</v>
      </c>
      <c r="D3089" s="2">
        <f t="shared" si="192"/>
        <v>2025</v>
      </c>
      <c r="E3089" s="2" t="str">
        <f t="shared" si="193"/>
        <v>2025-49</v>
      </c>
      <c r="F3089" s="2" t="str">
        <f t="shared" si="194"/>
        <v>Week 49</v>
      </c>
      <c r="G3089" s="2" t="str">
        <f t="shared" si="195"/>
        <v>Week 49-2025</v>
      </c>
      <c r="O3089"/>
      <c r="Q3089"/>
    </row>
    <row r="3090" spans="1:17" hidden="1" x14ac:dyDescent="0.2">
      <c r="A3090" s="3">
        <v>45993</v>
      </c>
      <c r="B3090" s="2" t="s">
        <v>14</v>
      </c>
      <c r="C3090" s="2">
        <v>8</v>
      </c>
      <c r="D3090" s="2">
        <f t="shared" si="192"/>
        <v>2025</v>
      </c>
      <c r="E3090" s="2" t="str">
        <f t="shared" si="193"/>
        <v>2025-49</v>
      </c>
      <c r="F3090" s="2" t="str">
        <f t="shared" si="194"/>
        <v>Week 49</v>
      </c>
      <c r="G3090" s="2" t="str">
        <f t="shared" si="195"/>
        <v>Week 49-2025</v>
      </c>
      <c r="O3090"/>
      <c r="Q3090"/>
    </row>
    <row r="3091" spans="1:17" hidden="1" x14ac:dyDescent="0.2">
      <c r="A3091" s="3">
        <v>45993</v>
      </c>
      <c r="B3091" s="2" t="s">
        <v>38</v>
      </c>
      <c r="C3091" s="2">
        <v>8</v>
      </c>
      <c r="D3091" s="2">
        <f t="shared" si="192"/>
        <v>2025</v>
      </c>
      <c r="E3091" s="2" t="str">
        <f t="shared" si="193"/>
        <v>2025-49</v>
      </c>
      <c r="F3091" s="2" t="str">
        <f t="shared" si="194"/>
        <v>Week 49</v>
      </c>
      <c r="G3091" s="2" t="str">
        <f t="shared" si="195"/>
        <v>Week 49-2025</v>
      </c>
      <c r="O3091"/>
      <c r="Q3091"/>
    </row>
    <row r="3092" spans="1:17" hidden="1" x14ac:dyDescent="0.2">
      <c r="A3092" s="3">
        <v>45993</v>
      </c>
      <c r="B3092" s="2" t="s">
        <v>46</v>
      </c>
      <c r="C3092" s="2">
        <v>8</v>
      </c>
      <c r="D3092" s="2">
        <f t="shared" si="192"/>
        <v>2025</v>
      </c>
      <c r="E3092" s="2" t="str">
        <f t="shared" si="193"/>
        <v>2025-49</v>
      </c>
      <c r="F3092" s="2" t="str">
        <f t="shared" si="194"/>
        <v>Week 49</v>
      </c>
      <c r="G3092" s="2" t="str">
        <f t="shared" si="195"/>
        <v>Week 49-2025</v>
      </c>
      <c r="O3092"/>
      <c r="Q3092"/>
    </row>
    <row r="3093" spans="1:17" hidden="1" x14ac:dyDescent="0.2">
      <c r="A3093" s="3">
        <v>45993</v>
      </c>
      <c r="B3093" s="2" t="s">
        <v>9</v>
      </c>
      <c r="C3093" s="2">
        <v>4</v>
      </c>
      <c r="D3093" s="2">
        <f t="shared" si="192"/>
        <v>2025</v>
      </c>
      <c r="E3093" s="2" t="str">
        <f t="shared" si="193"/>
        <v>2025-49</v>
      </c>
      <c r="F3093" s="2" t="str">
        <f t="shared" si="194"/>
        <v>Week 49</v>
      </c>
      <c r="G3093" s="2" t="str">
        <f t="shared" si="195"/>
        <v>Week 49-2025</v>
      </c>
      <c r="O3093"/>
      <c r="Q3093"/>
    </row>
    <row r="3094" spans="1:17" hidden="1" x14ac:dyDescent="0.2">
      <c r="A3094" s="3">
        <v>45993</v>
      </c>
      <c r="B3094" s="2" t="s">
        <v>10</v>
      </c>
      <c r="C3094" s="2">
        <v>6</v>
      </c>
      <c r="D3094" s="2">
        <f t="shared" si="192"/>
        <v>2025</v>
      </c>
      <c r="E3094" s="2" t="str">
        <f t="shared" si="193"/>
        <v>2025-49</v>
      </c>
      <c r="F3094" s="2" t="str">
        <f t="shared" si="194"/>
        <v>Week 49</v>
      </c>
      <c r="G3094" s="2" t="str">
        <f t="shared" si="195"/>
        <v>Week 49-2025</v>
      </c>
      <c r="O3094"/>
      <c r="Q3094"/>
    </row>
    <row r="3095" spans="1:17" hidden="1" x14ac:dyDescent="0.2">
      <c r="A3095" s="3">
        <v>45993</v>
      </c>
      <c r="B3095" s="2" t="s">
        <v>14</v>
      </c>
      <c r="C3095" s="2">
        <v>6</v>
      </c>
      <c r="D3095" s="2">
        <f t="shared" si="192"/>
        <v>2025</v>
      </c>
      <c r="E3095" s="2" t="str">
        <f t="shared" si="193"/>
        <v>2025-49</v>
      </c>
      <c r="F3095" s="2" t="str">
        <f t="shared" si="194"/>
        <v>Week 49</v>
      </c>
      <c r="G3095" s="2" t="str">
        <f t="shared" si="195"/>
        <v>Week 49-2025</v>
      </c>
      <c r="O3095"/>
      <c r="Q3095"/>
    </row>
    <row r="3096" spans="1:17" hidden="1" x14ac:dyDescent="0.2">
      <c r="A3096" s="3">
        <v>45993</v>
      </c>
      <c r="B3096" s="2" t="s">
        <v>12</v>
      </c>
      <c r="C3096" s="2">
        <v>2</v>
      </c>
      <c r="D3096" s="2">
        <f t="shared" si="192"/>
        <v>2025</v>
      </c>
      <c r="E3096" s="2" t="str">
        <f t="shared" si="193"/>
        <v>2025-49</v>
      </c>
      <c r="F3096" s="2" t="str">
        <f t="shared" si="194"/>
        <v>Week 49</v>
      </c>
      <c r="G3096" s="2" t="str">
        <f t="shared" si="195"/>
        <v>Week 49-2025</v>
      </c>
      <c r="O3096"/>
      <c r="Q3096"/>
    </row>
    <row r="3097" spans="1:17" hidden="1" x14ac:dyDescent="0.2">
      <c r="A3097" s="3">
        <v>45993</v>
      </c>
      <c r="B3097" s="2" t="s">
        <v>15</v>
      </c>
      <c r="C3097" s="2">
        <v>7</v>
      </c>
      <c r="D3097" s="2">
        <f t="shared" si="192"/>
        <v>2025</v>
      </c>
      <c r="E3097" s="2" t="str">
        <f t="shared" si="193"/>
        <v>2025-49</v>
      </c>
      <c r="F3097" s="2" t="str">
        <f t="shared" si="194"/>
        <v>Week 49</v>
      </c>
      <c r="G3097" s="2" t="str">
        <f t="shared" si="195"/>
        <v>Week 49-2025</v>
      </c>
      <c r="O3097"/>
      <c r="Q3097"/>
    </row>
    <row r="3098" spans="1:17" hidden="1" x14ac:dyDescent="0.2">
      <c r="A3098" s="3">
        <v>45993</v>
      </c>
      <c r="B3098" s="2" t="s">
        <v>6</v>
      </c>
      <c r="C3098" s="2">
        <v>2</v>
      </c>
      <c r="D3098" s="2">
        <f t="shared" si="192"/>
        <v>2025</v>
      </c>
      <c r="E3098" s="2" t="str">
        <f t="shared" si="193"/>
        <v>2025-49</v>
      </c>
      <c r="F3098" s="2" t="str">
        <f t="shared" si="194"/>
        <v>Week 49</v>
      </c>
      <c r="G3098" s="2" t="str">
        <f t="shared" si="195"/>
        <v>Week 49-2025</v>
      </c>
      <c r="O3098"/>
      <c r="Q3098"/>
    </row>
    <row r="3099" spans="1:17" hidden="1" x14ac:dyDescent="0.2">
      <c r="A3099" s="3">
        <v>45993</v>
      </c>
      <c r="B3099" s="2" t="s">
        <v>37</v>
      </c>
      <c r="C3099" s="2">
        <v>4</v>
      </c>
      <c r="D3099" s="2">
        <f t="shared" si="192"/>
        <v>2025</v>
      </c>
      <c r="E3099" s="2" t="str">
        <f t="shared" si="193"/>
        <v>2025-49</v>
      </c>
      <c r="F3099" s="2" t="str">
        <f t="shared" si="194"/>
        <v>Week 49</v>
      </c>
      <c r="G3099" s="2" t="str">
        <f t="shared" si="195"/>
        <v>Week 49-2025</v>
      </c>
      <c r="O3099"/>
      <c r="Q3099"/>
    </row>
    <row r="3100" spans="1:17" hidden="1" x14ac:dyDescent="0.2">
      <c r="A3100" s="3">
        <v>45993</v>
      </c>
      <c r="B3100" s="2" t="s">
        <v>7</v>
      </c>
      <c r="C3100" s="2">
        <v>2</v>
      </c>
      <c r="D3100" s="2">
        <f t="shared" si="192"/>
        <v>2025</v>
      </c>
      <c r="E3100" s="2" t="str">
        <f t="shared" si="193"/>
        <v>2025-49</v>
      </c>
      <c r="F3100" s="2" t="str">
        <f t="shared" si="194"/>
        <v>Week 49</v>
      </c>
      <c r="G3100" s="2" t="str">
        <f t="shared" si="195"/>
        <v>Week 49-2025</v>
      </c>
      <c r="O3100"/>
      <c r="Q3100"/>
    </row>
    <row r="3101" spans="1:17" hidden="1" x14ac:dyDescent="0.2">
      <c r="A3101" s="3">
        <v>45993</v>
      </c>
      <c r="B3101" s="2" t="s">
        <v>4</v>
      </c>
      <c r="C3101" s="2">
        <v>2</v>
      </c>
      <c r="D3101" s="2">
        <f t="shared" si="192"/>
        <v>2025</v>
      </c>
      <c r="E3101" s="2" t="str">
        <f t="shared" si="193"/>
        <v>2025-49</v>
      </c>
      <c r="F3101" s="2" t="str">
        <f t="shared" si="194"/>
        <v>Week 49</v>
      </c>
      <c r="G3101" s="2" t="str">
        <f t="shared" si="195"/>
        <v>Week 49-2025</v>
      </c>
      <c r="O3101"/>
      <c r="Q3101"/>
    </row>
    <row r="3102" spans="1:17" hidden="1" x14ac:dyDescent="0.2">
      <c r="A3102" s="3">
        <v>45993</v>
      </c>
      <c r="B3102" s="2" t="s">
        <v>8</v>
      </c>
      <c r="C3102" s="2">
        <v>4</v>
      </c>
      <c r="D3102" s="2">
        <f t="shared" si="192"/>
        <v>2025</v>
      </c>
      <c r="E3102" s="2" t="str">
        <f t="shared" si="193"/>
        <v>2025-49</v>
      </c>
      <c r="F3102" s="2" t="str">
        <f t="shared" si="194"/>
        <v>Week 49</v>
      </c>
      <c r="G3102" s="2" t="str">
        <f t="shared" si="195"/>
        <v>Week 49-2025</v>
      </c>
      <c r="O3102"/>
      <c r="Q3102"/>
    </row>
    <row r="3103" spans="1:17" hidden="1" x14ac:dyDescent="0.2">
      <c r="A3103" s="3">
        <v>45993</v>
      </c>
      <c r="B3103" s="2" t="s">
        <v>9</v>
      </c>
      <c r="C3103" s="2">
        <v>2</v>
      </c>
      <c r="D3103" s="2">
        <f t="shared" si="192"/>
        <v>2025</v>
      </c>
      <c r="E3103" s="2" t="str">
        <f t="shared" si="193"/>
        <v>2025-49</v>
      </c>
      <c r="F3103" s="2" t="str">
        <f t="shared" si="194"/>
        <v>Week 49</v>
      </c>
      <c r="G3103" s="2" t="str">
        <f t="shared" si="195"/>
        <v>Week 49-2025</v>
      </c>
      <c r="O3103"/>
      <c r="Q3103"/>
    </row>
    <row r="3104" spans="1:17" hidden="1" x14ac:dyDescent="0.2">
      <c r="A3104" s="3">
        <v>45993</v>
      </c>
      <c r="B3104" s="2" t="s">
        <v>27</v>
      </c>
      <c r="C3104" s="2">
        <v>4</v>
      </c>
      <c r="D3104" s="2">
        <f t="shared" si="192"/>
        <v>2025</v>
      </c>
      <c r="E3104" s="2" t="str">
        <f t="shared" si="193"/>
        <v>2025-49</v>
      </c>
      <c r="F3104" s="2" t="str">
        <f t="shared" si="194"/>
        <v>Week 49</v>
      </c>
      <c r="G3104" s="2" t="str">
        <f t="shared" si="195"/>
        <v>Week 49-2025</v>
      </c>
      <c r="O3104"/>
      <c r="Q3104"/>
    </row>
    <row r="3105" spans="1:17" hidden="1" x14ac:dyDescent="0.2">
      <c r="A3105" s="3">
        <v>45993</v>
      </c>
      <c r="B3105" s="2" t="s">
        <v>15</v>
      </c>
      <c r="C3105" s="2">
        <v>1</v>
      </c>
      <c r="D3105" s="2">
        <f t="shared" si="192"/>
        <v>2025</v>
      </c>
      <c r="E3105" s="2" t="str">
        <f t="shared" si="193"/>
        <v>2025-49</v>
      </c>
      <c r="F3105" s="2" t="str">
        <f t="shared" si="194"/>
        <v>Week 49</v>
      </c>
      <c r="G3105" s="2" t="str">
        <f t="shared" si="195"/>
        <v>Week 49-2025</v>
      </c>
      <c r="O3105"/>
      <c r="Q3105"/>
    </row>
    <row r="3106" spans="1:17" hidden="1" x14ac:dyDescent="0.2">
      <c r="A3106" s="3">
        <v>45994</v>
      </c>
      <c r="B3106" s="2" t="s">
        <v>5</v>
      </c>
      <c r="C3106" s="2">
        <v>22</v>
      </c>
      <c r="D3106" s="2">
        <f t="shared" si="192"/>
        <v>2025</v>
      </c>
      <c r="E3106" s="2" t="str">
        <f t="shared" si="193"/>
        <v>2025-49</v>
      </c>
      <c r="F3106" s="2" t="str">
        <f t="shared" si="194"/>
        <v>Week 49</v>
      </c>
      <c r="G3106" s="2" t="str">
        <f t="shared" si="195"/>
        <v>Week 49-2025</v>
      </c>
      <c r="O3106"/>
      <c r="Q3106"/>
    </row>
    <row r="3107" spans="1:17" hidden="1" x14ac:dyDescent="0.2">
      <c r="A3107" s="3">
        <v>45994</v>
      </c>
      <c r="B3107" s="2" t="s">
        <v>14</v>
      </c>
      <c r="C3107" s="2">
        <v>21</v>
      </c>
      <c r="D3107" s="2">
        <f t="shared" si="192"/>
        <v>2025</v>
      </c>
      <c r="E3107" s="2" t="str">
        <f t="shared" si="193"/>
        <v>2025-49</v>
      </c>
      <c r="F3107" s="2" t="str">
        <f t="shared" si="194"/>
        <v>Week 49</v>
      </c>
      <c r="G3107" s="2" t="str">
        <f t="shared" si="195"/>
        <v>Week 49-2025</v>
      </c>
      <c r="O3107"/>
      <c r="Q3107"/>
    </row>
    <row r="3108" spans="1:17" hidden="1" x14ac:dyDescent="0.2">
      <c r="A3108" s="3">
        <v>45994</v>
      </c>
      <c r="B3108" s="2" t="s">
        <v>5</v>
      </c>
      <c r="C3108" s="2">
        <v>13</v>
      </c>
      <c r="D3108" s="2">
        <f t="shared" si="192"/>
        <v>2025</v>
      </c>
      <c r="E3108" s="2" t="str">
        <f t="shared" si="193"/>
        <v>2025-49</v>
      </c>
      <c r="F3108" s="2" t="str">
        <f t="shared" si="194"/>
        <v>Week 49</v>
      </c>
      <c r="G3108" s="2" t="str">
        <f t="shared" si="195"/>
        <v>Week 49-2025</v>
      </c>
      <c r="O3108"/>
      <c r="Q3108"/>
    </row>
    <row r="3109" spans="1:17" hidden="1" x14ac:dyDescent="0.2">
      <c r="A3109" s="3">
        <v>45994</v>
      </c>
      <c r="B3109" s="2" t="s">
        <v>5</v>
      </c>
      <c r="C3109" s="2">
        <v>12</v>
      </c>
      <c r="D3109" s="2">
        <f t="shared" si="192"/>
        <v>2025</v>
      </c>
      <c r="E3109" s="2" t="str">
        <f t="shared" si="193"/>
        <v>2025-49</v>
      </c>
      <c r="F3109" s="2" t="str">
        <f t="shared" si="194"/>
        <v>Week 49</v>
      </c>
      <c r="G3109" s="2" t="str">
        <f t="shared" si="195"/>
        <v>Week 49-2025</v>
      </c>
      <c r="O3109"/>
      <c r="Q3109"/>
    </row>
    <row r="3110" spans="1:17" hidden="1" x14ac:dyDescent="0.2">
      <c r="A3110" s="3">
        <v>45994</v>
      </c>
      <c r="B3110" s="2" t="s">
        <v>3</v>
      </c>
      <c r="C3110" s="2">
        <v>8</v>
      </c>
      <c r="D3110" s="2">
        <f t="shared" si="192"/>
        <v>2025</v>
      </c>
      <c r="E3110" s="2" t="str">
        <f t="shared" si="193"/>
        <v>2025-49</v>
      </c>
      <c r="F3110" s="2" t="str">
        <f t="shared" si="194"/>
        <v>Week 49</v>
      </c>
      <c r="G3110" s="2" t="str">
        <f t="shared" si="195"/>
        <v>Week 49-2025</v>
      </c>
      <c r="O3110"/>
      <c r="Q3110"/>
    </row>
    <row r="3111" spans="1:17" hidden="1" x14ac:dyDescent="0.2">
      <c r="A3111" s="3">
        <v>45994</v>
      </c>
      <c r="B3111" s="2" t="s">
        <v>9</v>
      </c>
      <c r="C3111" s="2">
        <v>4</v>
      </c>
      <c r="D3111" s="2">
        <f t="shared" si="192"/>
        <v>2025</v>
      </c>
      <c r="E3111" s="2" t="str">
        <f t="shared" si="193"/>
        <v>2025-49</v>
      </c>
      <c r="F3111" s="2" t="str">
        <f t="shared" si="194"/>
        <v>Week 49</v>
      </c>
      <c r="G3111" s="2" t="str">
        <f t="shared" si="195"/>
        <v>Week 49-2025</v>
      </c>
      <c r="O3111"/>
      <c r="Q3111"/>
    </row>
    <row r="3112" spans="1:17" hidden="1" x14ac:dyDescent="0.2">
      <c r="A3112" s="3">
        <v>45994</v>
      </c>
      <c r="B3112" s="2" t="s">
        <v>19</v>
      </c>
      <c r="C3112" s="2">
        <v>2</v>
      </c>
      <c r="D3112" s="2">
        <f t="shared" si="192"/>
        <v>2025</v>
      </c>
      <c r="E3112" s="2" t="str">
        <f t="shared" si="193"/>
        <v>2025-49</v>
      </c>
      <c r="F3112" s="2" t="str">
        <f t="shared" si="194"/>
        <v>Week 49</v>
      </c>
      <c r="G3112" s="2" t="str">
        <f t="shared" si="195"/>
        <v>Week 49-2025</v>
      </c>
      <c r="O3112"/>
      <c r="Q3112"/>
    </row>
    <row r="3113" spans="1:17" hidden="1" x14ac:dyDescent="0.2">
      <c r="A3113" s="3">
        <v>45994</v>
      </c>
      <c r="B3113" s="2" t="s">
        <v>14</v>
      </c>
      <c r="C3113" s="2">
        <v>3</v>
      </c>
      <c r="D3113" s="2">
        <f t="shared" si="192"/>
        <v>2025</v>
      </c>
      <c r="E3113" s="2" t="str">
        <f t="shared" si="193"/>
        <v>2025-49</v>
      </c>
      <c r="F3113" s="2" t="str">
        <f t="shared" si="194"/>
        <v>Week 49</v>
      </c>
      <c r="G3113" s="2" t="str">
        <f t="shared" si="195"/>
        <v>Week 49-2025</v>
      </c>
      <c r="O3113"/>
      <c r="Q3113"/>
    </row>
    <row r="3114" spans="1:17" hidden="1" x14ac:dyDescent="0.2">
      <c r="A3114" s="3">
        <v>45994</v>
      </c>
      <c r="B3114" s="2" t="s">
        <v>8</v>
      </c>
      <c r="C3114" s="2">
        <v>2</v>
      </c>
      <c r="D3114" s="2">
        <f t="shared" si="192"/>
        <v>2025</v>
      </c>
      <c r="E3114" s="2" t="str">
        <f t="shared" si="193"/>
        <v>2025-49</v>
      </c>
      <c r="F3114" s="2" t="str">
        <f t="shared" si="194"/>
        <v>Week 49</v>
      </c>
      <c r="G3114" s="2" t="str">
        <f t="shared" si="195"/>
        <v>Week 49-2025</v>
      </c>
      <c r="O3114"/>
      <c r="Q3114"/>
    </row>
    <row r="3115" spans="1:17" hidden="1" x14ac:dyDescent="0.2">
      <c r="A3115" s="3">
        <v>45995</v>
      </c>
      <c r="B3115" s="2" t="s">
        <v>6</v>
      </c>
      <c r="C3115" s="2">
        <v>26</v>
      </c>
      <c r="D3115" s="2">
        <f t="shared" si="192"/>
        <v>2025</v>
      </c>
      <c r="E3115" s="2" t="str">
        <f t="shared" si="193"/>
        <v>2025-49</v>
      </c>
      <c r="F3115" s="2" t="str">
        <f t="shared" si="194"/>
        <v>Week 49</v>
      </c>
      <c r="G3115" s="2" t="str">
        <f t="shared" si="195"/>
        <v>Week 49-2025</v>
      </c>
      <c r="O3115"/>
      <c r="Q3115"/>
    </row>
    <row r="3116" spans="1:17" hidden="1" x14ac:dyDescent="0.2">
      <c r="A3116" s="3">
        <v>45995</v>
      </c>
      <c r="B3116" s="2" t="s">
        <v>9</v>
      </c>
      <c r="C3116" s="2">
        <v>28</v>
      </c>
      <c r="D3116" s="2">
        <f t="shared" si="192"/>
        <v>2025</v>
      </c>
      <c r="E3116" s="2" t="str">
        <f t="shared" si="193"/>
        <v>2025-49</v>
      </c>
      <c r="F3116" s="2" t="str">
        <f t="shared" si="194"/>
        <v>Week 49</v>
      </c>
      <c r="G3116" s="2" t="str">
        <f t="shared" si="195"/>
        <v>Week 49-2025</v>
      </c>
      <c r="O3116"/>
      <c r="Q3116"/>
    </row>
    <row r="3117" spans="1:17" hidden="1" x14ac:dyDescent="0.2">
      <c r="A3117" s="3">
        <v>45995</v>
      </c>
      <c r="B3117" s="2" t="s">
        <v>6</v>
      </c>
      <c r="C3117" s="2">
        <v>20</v>
      </c>
      <c r="D3117" s="2">
        <f t="shared" si="192"/>
        <v>2025</v>
      </c>
      <c r="E3117" s="2" t="str">
        <f t="shared" si="193"/>
        <v>2025-49</v>
      </c>
      <c r="F3117" s="2" t="str">
        <f t="shared" si="194"/>
        <v>Week 49</v>
      </c>
      <c r="G3117" s="2" t="str">
        <f t="shared" si="195"/>
        <v>Week 49-2025</v>
      </c>
      <c r="O3117"/>
      <c r="Q3117"/>
    </row>
    <row r="3118" spans="1:17" hidden="1" x14ac:dyDescent="0.2">
      <c r="A3118" s="3">
        <v>45995</v>
      </c>
      <c r="B3118" s="2" t="s">
        <v>6</v>
      </c>
      <c r="C3118" s="2">
        <v>12</v>
      </c>
      <c r="D3118" s="2">
        <f t="shared" si="192"/>
        <v>2025</v>
      </c>
      <c r="E3118" s="2" t="str">
        <f t="shared" si="193"/>
        <v>2025-49</v>
      </c>
      <c r="F3118" s="2" t="str">
        <f t="shared" si="194"/>
        <v>Week 49</v>
      </c>
      <c r="G3118" s="2" t="str">
        <f t="shared" si="195"/>
        <v>Week 49-2025</v>
      </c>
      <c r="O3118"/>
      <c r="Q3118"/>
    </row>
    <row r="3119" spans="1:17" hidden="1" x14ac:dyDescent="0.2">
      <c r="A3119" s="3">
        <v>45995</v>
      </c>
      <c r="B3119" s="2" t="s">
        <v>6</v>
      </c>
      <c r="C3119" s="2">
        <v>12</v>
      </c>
      <c r="D3119" s="2">
        <f t="shared" si="192"/>
        <v>2025</v>
      </c>
      <c r="E3119" s="2" t="str">
        <f t="shared" si="193"/>
        <v>2025-49</v>
      </c>
      <c r="F3119" s="2" t="str">
        <f t="shared" si="194"/>
        <v>Week 49</v>
      </c>
      <c r="G3119" s="2" t="str">
        <f t="shared" si="195"/>
        <v>Week 49-2025</v>
      </c>
      <c r="O3119"/>
      <c r="Q3119"/>
    </row>
    <row r="3120" spans="1:17" hidden="1" x14ac:dyDescent="0.2">
      <c r="A3120" s="3">
        <v>45995</v>
      </c>
      <c r="B3120" s="2" t="s">
        <v>9</v>
      </c>
      <c r="C3120" s="2">
        <v>6</v>
      </c>
      <c r="D3120" s="2">
        <f t="shared" si="192"/>
        <v>2025</v>
      </c>
      <c r="E3120" s="2" t="str">
        <f t="shared" si="193"/>
        <v>2025-49</v>
      </c>
      <c r="F3120" s="2" t="str">
        <f t="shared" si="194"/>
        <v>Week 49</v>
      </c>
      <c r="G3120" s="2" t="str">
        <f t="shared" si="195"/>
        <v>Week 49-2025</v>
      </c>
      <c r="O3120"/>
      <c r="Q3120"/>
    </row>
    <row r="3121" spans="1:17" hidden="1" x14ac:dyDescent="0.2">
      <c r="A3121" s="3">
        <v>45995</v>
      </c>
      <c r="B3121" s="2" t="s">
        <v>4</v>
      </c>
      <c r="C3121" s="2">
        <v>4</v>
      </c>
      <c r="D3121" s="2">
        <f t="shared" si="192"/>
        <v>2025</v>
      </c>
      <c r="E3121" s="2" t="str">
        <f t="shared" si="193"/>
        <v>2025-49</v>
      </c>
      <c r="F3121" s="2" t="str">
        <f t="shared" si="194"/>
        <v>Week 49</v>
      </c>
      <c r="G3121" s="2" t="str">
        <f t="shared" si="195"/>
        <v>Week 49-2025</v>
      </c>
      <c r="O3121"/>
      <c r="Q3121"/>
    </row>
    <row r="3122" spans="1:17" hidden="1" x14ac:dyDescent="0.2">
      <c r="A3122" s="3">
        <v>45995</v>
      </c>
      <c r="B3122" s="2" t="s">
        <v>29</v>
      </c>
      <c r="C3122" s="2">
        <v>2</v>
      </c>
      <c r="D3122" s="2">
        <f t="shared" si="192"/>
        <v>2025</v>
      </c>
      <c r="E3122" s="2" t="str">
        <f t="shared" si="193"/>
        <v>2025-49</v>
      </c>
      <c r="F3122" s="2" t="str">
        <f t="shared" si="194"/>
        <v>Week 49</v>
      </c>
      <c r="G3122" s="2" t="str">
        <f t="shared" si="195"/>
        <v>Week 49-2025</v>
      </c>
      <c r="O3122"/>
      <c r="Q3122"/>
    </row>
    <row r="3123" spans="1:17" hidden="1" x14ac:dyDescent="0.2">
      <c r="A3123" s="3">
        <v>45995</v>
      </c>
      <c r="B3123" s="2" t="s">
        <v>17</v>
      </c>
      <c r="C3123" s="2">
        <v>2</v>
      </c>
      <c r="D3123" s="2">
        <f t="shared" si="192"/>
        <v>2025</v>
      </c>
      <c r="E3123" s="2" t="str">
        <f t="shared" si="193"/>
        <v>2025-49</v>
      </c>
      <c r="F3123" s="2" t="str">
        <f t="shared" si="194"/>
        <v>Week 49</v>
      </c>
      <c r="G3123" s="2" t="str">
        <f t="shared" si="195"/>
        <v>Week 49-2025</v>
      </c>
      <c r="O3123"/>
      <c r="Q3123"/>
    </row>
    <row r="3124" spans="1:17" hidden="1" x14ac:dyDescent="0.2">
      <c r="A3124" s="3">
        <v>45996</v>
      </c>
      <c r="B3124" s="2" t="s">
        <v>7</v>
      </c>
      <c r="C3124" s="2">
        <v>12</v>
      </c>
      <c r="D3124" s="2">
        <f t="shared" si="192"/>
        <v>2025</v>
      </c>
      <c r="E3124" s="2" t="str">
        <f t="shared" si="193"/>
        <v>2025-49</v>
      </c>
      <c r="F3124" s="2" t="str">
        <f t="shared" si="194"/>
        <v>Week 49</v>
      </c>
      <c r="G3124" s="2" t="str">
        <f t="shared" si="195"/>
        <v>Week 49-2025</v>
      </c>
      <c r="O3124"/>
      <c r="Q3124"/>
    </row>
    <row r="3125" spans="1:17" hidden="1" x14ac:dyDescent="0.2">
      <c r="A3125" s="3">
        <v>45996</v>
      </c>
      <c r="B3125" s="2" t="s">
        <v>4</v>
      </c>
      <c r="C3125" s="2">
        <v>13</v>
      </c>
      <c r="D3125" s="2">
        <f t="shared" si="192"/>
        <v>2025</v>
      </c>
      <c r="E3125" s="2" t="str">
        <f t="shared" si="193"/>
        <v>2025-49</v>
      </c>
      <c r="F3125" s="2" t="str">
        <f t="shared" si="194"/>
        <v>Week 49</v>
      </c>
      <c r="G3125" s="2" t="str">
        <f t="shared" si="195"/>
        <v>Week 49-2025</v>
      </c>
      <c r="O3125"/>
      <c r="Q3125"/>
    </row>
    <row r="3126" spans="1:17" hidden="1" x14ac:dyDescent="0.2">
      <c r="A3126" s="3">
        <v>45996</v>
      </c>
      <c r="B3126" s="2" t="s">
        <v>6</v>
      </c>
      <c r="C3126" s="2">
        <v>8</v>
      </c>
      <c r="D3126" s="2">
        <f t="shared" si="192"/>
        <v>2025</v>
      </c>
      <c r="E3126" s="2" t="str">
        <f t="shared" si="193"/>
        <v>2025-49</v>
      </c>
      <c r="F3126" s="2" t="str">
        <f t="shared" si="194"/>
        <v>Week 49</v>
      </c>
      <c r="G3126" s="2" t="str">
        <f t="shared" si="195"/>
        <v>Week 49-2025</v>
      </c>
      <c r="O3126"/>
      <c r="Q3126"/>
    </row>
    <row r="3127" spans="1:17" hidden="1" x14ac:dyDescent="0.2">
      <c r="A3127" s="3">
        <v>45996</v>
      </c>
      <c r="B3127" s="2" t="s">
        <v>17</v>
      </c>
      <c r="C3127" s="2">
        <v>15</v>
      </c>
      <c r="D3127" s="2">
        <f t="shared" si="192"/>
        <v>2025</v>
      </c>
      <c r="E3127" s="2" t="str">
        <f t="shared" si="193"/>
        <v>2025-49</v>
      </c>
      <c r="F3127" s="2" t="str">
        <f t="shared" si="194"/>
        <v>Week 49</v>
      </c>
      <c r="G3127" s="2" t="str">
        <f t="shared" si="195"/>
        <v>Week 49-2025</v>
      </c>
      <c r="O3127"/>
      <c r="Q3127"/>
    </row>
    <row r="3128" spans="1:17" hidden="1" x14ac:dyDescent="0.2">
      <c r="A3128" s="3">
        <v>45996</v>
      </c>
      <c r="B3128" s="2" t="s">
        <v>12</v>
      </c>
      <c r="C3128" s="2">
        <v>5</v>
      </c>
      <c r="D3128" s="2">
        <f t="shared" si="192"/>
        <v>2025</v>
      </c>
      <c r="E3128" s="2" t="str">
        <f t="shared" si="193"/>
        <v>2025-49</v>
      </c>
      <c r="F3128" s="2" t="str">
        <f t="shared" si="194"/>
        <v>Week 49</v>
      </c>
      <c r="G3128" s="2" t="str">
        <f t="shared" si="195"/>
        <v>Week 49-2025</v>
      </c>
      <c r="O3128"/>
      <c r="Q3128"/>
    </row>
    <row r="3129" spans="1:17" hidden="1" x14ac:dyDescent="0.2">
      <c r="A3129" s="3">
        <v>45996</v>
      </c>
      <c r="B3129" s="2" t="s">
        <v>12</v>
      </c>
      <c r="C3129" s="2">
        <v>4</v>
      </c>
      <c r="D3129" s="2">
        <f t="shared" si="192"/>
        <v>2025</v>
      </c>
      <c r="E3129" s="2" t="str">
        <f t="shared" si="193"/>
        <v>2025-49</v>
      </c>
      <c r="F3129" s="2" t="str">
        <f t="shared" si="194"/>
        <v>Week 49</v>
      </c>
      <c r="G3129" s="2" t="str">
        <f t="shared" si="195"/>
        <v>Week 49-2025</v>
      </c>
      <c r="O3129"/>
      <c r="Q3129"/>
    </row>
    <row r="3130" spans="1:17" hidden="1" x14ac:dyDescent="0.2">
      <c r="A3130" s="3">
        <v>45996</v>
      </c>
      <c r="B3130" s="2" t="s">
        <v>6</v>
      </c>
      <c r="C3130" s="2">
        <v>5</v>
      </c>
      <c r="D3130" s="2">
        <f t="shared" si="192"/>
        <v>2025</v>
      </c>
      <c r="E3130" s="2" t="str">
        <f t="shared" si="193"/>
        <v>2025-49</v>
      </c>
      <c r="F3130" s="2" t="str">
        <f t="shared" si="194"/>
        <v>Week 49</v>
      </c>
      <c r="G3130" s="2" t="str">
        <f t="shared" si="195"/>
        <v>Week 49-2025</v>
      </c>
      <c r="O3130"/>
      <c r="Q3130"/>
    </row>
    <row r="3131" spans="1:17" hidden="1" x14ac:dyDescent="0.2">
      <c r="A3131" s="3">
        <v>45996</v>
      </c>
      <c r="B3131" s="2" t="s">
        <v>23</v>
      </c>
      <c r="C3131" s="2">
        <v>4</v>
      </c>
      <c r="D3131" s="2">
        <f t="shared" si="192"/>
        <v>2025</v>
      </c>
      <c r="E3131" s="2" t="str">
        <f t="shared" si="193"/>
        <v>2025-49</v>
      </c>
      <c r="F3131" s="2" t="str">
        <f t="shared" si="194"/>
        <v>Week 49</v>
      </c>
      <c r="G3131" s="2" t="str">
        <f t="shared" si="195"/>
        <v>Week 49-2025</v>
      </c>
      <c r="O3131"/>
      <c r="Q3131"/>
    </row>
    <row r="3132" spans="1:17" hidden="1" x14ac:dyDescent="0.2">
      <c r="A3132" s="3">
        <v>45996</v>
      </c>
      <c r="B3132" s="2" t="s">
        <v>6</v>
      </c>
      <c r="C3132" s="2">
        <v>4</v>
      </c>
      <c r="D3132" s="2">
        <f t="shared" si="192"/>
        <v>2025</v>
      </c>
      <c r="E3132" s="2" t="str">
        <f t="shared" si="193"/>
        <v>2025-49</v>
      </c>
      <c r="F3132" s="2" t="str">
        <f t="shared" si="194"/>
        <v>Week 49</v>
      </c>
      <c r="G3132" s="2" t="str">
        <f t="shared" si="195"/>
        <v>Week 49-2025</v>
      </c>
      <c r="O3132"/>
      <c r="Q3132"/>
    </row>
    <row r="3133" spans="1:17" hidden="1" x14ac:dyDescent="0.2">
      <c r="A3133" s="3">
        <v>45996</v>
      </c>
      <c r="B3133" s="2" t="s">
        <v>6</v>
      </c>
      <c r="C3133" s="2">
        <v>4</v>
      </c>
      <c r="D3133" s="2">
        <f t="shared" si="192"/>
        <v>2025</v>
      </c>
      <c r="E3133" s="2" t="str">
        <f t="shared" si="193"/>
        <v>2025-49</v>
      </c>
      <c r="F3133" s="2" t="str">
        <f t="shared" si="194"/>
        <v>Week 49</v>
      </c>
      <c r="G3133" s="2" t="str">
        <f t="shared" si="195"/>
        <v>Week 49-2025</v>
      </c>
      <c r="O3133"/>
      <c r="Q3133"/>
    </row>
    <row r="3134" spans="1:17" hidden="1" x14ac:dyDescent="0.2">
      <c r="A3134" s="3">
        <v>45996</v>
      </c>
      <c r="B3134" s="2" t="s">
        <v>7</v>
      </c>
      <c r="C3134" s="2">
        <v>4</v>
      </c>
      <c r="D3134" s="2">
        <f t="shared" si="192"/>
        <v>2025</v>
      </c>
      <c r="E3134" s="2" t="str">
        <f t="shared" si="193"/>
        <v>2025-49</v>
      </c>
      <c r="F3134" s="2" t="str">
        <f t="shared" si="194"/>
        <v>Week 49</v>
      </c>
      <c r="G3134" s="2" t="str">
        <f t="shared" si="195"/>
        <v>Week 49-2025</v>
      </c>
      <c r="O3134"/>
      <c r="Q3134"/>
    </row>
    <row r="3135" spans="1:17" hidden="1" x14ac:dyDescent="0.2">
      <c r="A3135" s="3">
        <v>45996</v>
      </c>
      <c r="B3135" s="2" t="s">
        <v>9</v>
      </c>
      <c r="C3135" s="2">
        <v>5</v>
      </c>
      <c r="D3135" s="2">
        <f t="shared" si="192"/>
        <v>2025</v>
      </c>
      <c r="E3135" s="2" t="str">
        <f t="shared" si="193"/>
        <v>2025-49</v>
      </c>
      <c r="F3135" s="2" t="str">
        <f t="shared" si="194"/>
        <v>Week 49</v>
      </c>
      <c r="G3135" s="2" t="str">
        <f t="shared" si="195"/>
        <v>Week 49-2025</v>
      </c>
      <c r="O3135"/>
      <c r="Q3135"/>
    </row>
    <row r="3136" spans="1:17" hidden="1" x14ac:dyDescent="0.2">
      <c r="A3136" s="3">
        <v>45996</v>
      </c>
      <c r="B3136" s="2" t="s">
        <v>21</v>
      </c>
      <c r="C3136" s="2">
        <v>3</v>
      </c>
      <c r="D3136" s="2">
        <f t="shared" si="192"/>
        <v>2025</v>
      </c>
      <c r="E3136" s="2" t="str">
        <f t="shared" si="193"/>
        <v>2025-49</v>
      </c>
      <c r="F3136" s="2" t="str">
        <f t="shared" si="194"/>
        <v>Week 49</v>
      </c>
      <c r="G3136" s="2" t="str">
        <f t="shared" si="195"/>
        <v>Week 49-2025</v>
      </c>
      <c r="O3136"/>
      <c r="Q3136"/>
    </row>
    <row r="3137" spans="1:17" hidden="1" x14ac:dyDescent="0.2">
      <c r="A3137" s="3">
        <v>45996</v>
      </c>
      <c r="B3137" s="2" t="s">
        <v>3</v>
      </c>
      <c r="C3137" s="2">
        <v>6</v>
      </c>
      <c r="D3137" s="2">
        <f t="shared" si="192"/>
        <v>2025</v>
      </c>
      <c r="E3137" s="2" t="str">
        <f t="shared" si="193"/>
        <v>2025-49</v>
      </c>
      <c r="F3137" s="2" t="str">
        <f t="shared" si="194"/>
        <v>Week 49</v>
      </c>
      <c r="G3137" s="2" t="str">
        <f t="shared" si="195"/>
        <v>Week 49-2025</v>
      </c>
      <c r="O3137"/>
      <c r="Q3137"/>
    </row>
    <row r="3138" spans="1:17" hidden="1" x14ac:dyDescent="0.2">
      <c r="A3138" s="3">
        <v>45996</v>
      </c>
      <c r="B3138" s="2" t="s">
        <v>14</v>
      </c>
      <c r="C3138" s="2">
        <v>8</v>
      </c>
      <c r="D3138" s="2">
        <f t="shared" ref="D3138:D3201" si="196">YEAR(A3138)</f>
        <v>2025</v>
      </c>
      <c r="E3138" s="2" t="str">
        <f t="shared" ref="E3138:E3201" si="197">YEAR(A3138)&amp;"-"&amp;_xlfn.ISOWEEKNUM(A3138)</f>
        <v>2025-49</v>
      </c>
      <c r="F3138" s="2" t="str">
        <f t="shared" ref="F3138:F3201" si="198">_xlfn.CONCAT("Week "&amp;WEEKNUM(A3138))</f>
        <v>Week 49</v>
      </c>
      <c r="G3138" s="2" t="str">
        <f t="shared" ref="G3138:G3201" si="199">_xlfn.CONCAT(F3138,"-",D3138)</f>
        <v>Week 49-2025</v>
      </c>
      <c r="O3138"/>
      <c r="Q3138"/>
    </row>
    <row r="3139" spans="1:17" hidden="1" x14ac:dyDescent="0.2">
      <c r="A3139" s="3">
        <v>45996</v>
      </c>
      <c r="B3139" s="2" t="s">
        <v>29</v>
      </c>
      <c r="C3139" s="2">
        <v>4</v>
      </c>
      <c r="D3139" s="2">
        <f t="shared" si="196"/>
        <v>2025</v>
      </c>
      <c r="E3139" s="2" t="str">
        <f t="shared" si="197"/>
        <v>2025-49</v>
      </c>
      <c r="F3139" s="2" t="str">
        <f t="shared" si="198"/>
        <v>Week 49</v>
      </c>
      <c r="G3139" s="2" t="str">
        <f t="shared" si="199"/>
        <v>Week 49-2025</v>
      </c>
      <c r="O3139"/>
      <c r="Q3139"/>
    </row>
    <row r="3140" spans="1:17" hidden="1" x14ac:dyDescent="0.2">
      <c r="A3140" s="3">
        <v>45996</v>
      </c>
      <c r="B3140" s="2" t="s">
        <v>4</v>
      </c>
      <c r="C3140" s="2">
        <v>3</v>
      </c>
      <c r="D3140" s="2">
        <f t="shared" si="196"/>
        <v>2025</v>
      </c>
      <c r="E3140" s="2" t="str">
        <f t="shared" si="197"/>
        <v>2025-49</v>
      </c>
      <c r="F3140" s="2" t="str">
        <f t="shared" si="198"/>
        <v>Week 49</v>
      </c>
      <c r="G3140" s="2" t="str">
        <f t="shared" si="199"/>
        <v>Week 49-2025</v>
      </c>
      <c r="O3140"/>
      <c r="Q3140"/>
    </row>
    <row r="3141" spans="1:17" hidden="1" x14ac:dyDescent="0.2">
      <c r="A3141" s="3">
        <v>45996</v>
      </c>
      <c r="B3141" s="2" t="s">
        <v>3</v>
      </c>
      <c r="C3141" s="2">
        <v>4</v>
      </c>
      <c r="D3141" s="2">
        <f t="shared" si="196"/>
        <v>2025</v>
      </c>
      <c r="E3141" s="2" t="str">
        <f t="shared" si="197"/>
        <v>2025-49</v>
      </c>
      <c r="F3141" s="2" t="str">
        <f t="shared" si="198"/>
        <v>Week 49</v>
      </c>
      <c r="G3141" s="2" t="str">
        <f t="shared" si="199"/>
        <v>Week 49-2025</v>
      </c>
      <c r="O3141"/>
      <c r="Q3141"/>
    </row>
    <row r="3142" spans="1:17" hidden="1" x14ac:dyDescent="0.2">
      <c r="A3142" s="3">
        <v>45996</v>
      </c>
      <c r="B3142" s="2" t="s">
        <v>18</v>
      </c>
      <c r="C3142" s="2">
        <v>2</v>
      </c>
      <c r="D3142" s="2">
        <f t="shared" si="196"/>
        <v>2025</v>
      </c>
      <c r="E3142" s="2" t="str">
        <f t="shared" si="197"/>
        <v>2025-49</v>
      </c>
      <c r="F3142" s="2" t="str">
        <f t="shared" si="198"/>
        <v>Week 49</v>
      </c>
      <c r="G3142" s="2" t="str">
        <f t="shared" si="199"/>
        <v>Week 49-2025</v>
      </c>
      <c r="O3142"/>
      <c r="Q3142"/>
    </row>
    <row r="3143" spans="1:17" hidden="1" x14ac:dyDescent="0.2">
      <c r="A3143" s="3">
        <v>45996</v>
      </c>
      <c r="B3143" s="2" t="s">
        <v>34</v>
      </c>
      <c r="C3143" s="2">
        <v>4</v>
      </c>
      <c r="D3143" s="2">
        <f t="shared" si="196"/>
        <v>2025</v>
      </c>
      <c r="E3143" s="2" t="str">
        <f t="shared" si="197"/>
        <v>2025-49</v>
      </c>
      <c r="F3143" s="2" t="str">
        <f t="shared" si="198"/>
        <v>Week 49</v>
      </c>
      <c r="G3143" s="2" t="str">
        <f t="shared" si="199"/>
        <v>Week 49-2025</v>
      </c>
      <c r="O3143"/>
      <c r="Q3143"/>
    </row>
    <row r="3144" spans="1:17" hidden="1" x14ac:dyDescent="0.2">
      <c r="A3144" s="3">
        <v>45996</v>
      </c>
      <c r="B3144" s="2" t="s">
        <v>7</v>
      </c>
      <c r="C3144" s="2">
        <v>2</v>
      </c>
      <c r="D3144" s="2">
        <f t="shared" si="196"/>
        <v>2025</v>
      </c>
      <c r="E3144" s="2" t="str">
        <f t="shared" si="197"/>
        <v>2025-49</v>
      </c>
      <c r="F3144" s="2" t="str">
        <f t="shared" si="198"/>
        <v>Week 49</v>
      </c>
      <c r="G3144" s="2" t="str">
        <f t="shared" si="199"/>
        <v>Week 49-2025</v>
      </c>
      <c r="O3144"/>
      <c r="Q3144"/>
    </row>
    <row r="3145" spans="1:17" hidden="1" x14ac:dyDescent="0.2">
      <c r="A3145" s="3">
        <v>45996</v>
      </c>
      <c r="B3145" s="2" t="s">
        <v>14</v>
      </c>
      <c r="C3145" s="2">
        <v>3</v>
      </c>
      <c r="D3145" s="2">
        <f t="shared" si="196"/>
        <v>2025</v>
      </c>
      <c r="E3145" s="2" t="str">
        <f t="shared" si="197"/>
        <v>2025-49</v>
      </c>
      <c r="F3145" s="2" t="str">
        <f t="shared" si="198"/>
        <v>Week 49</v>
      </c>
      <c r="G3145" s="2" t="str">
        <f t="shared" si="199"/>
        <v>Week 49-2025</v>
      </c>
      <c r="O3145"/>
      <c r="Q3145"/>
    </row>
    <row r="3146" spans="1:17" hidden="1" x14ac:dyDescent="0.2">
      <c r="A3146" s="3">
        <v>45996</v>
      </c>
      <c r="B3146" s="2" t="s">
        <v>38</v>
      </c>
      <c r="C3146" s="2">
        <v>3</v>
      </c>
      <c r="D3146" s="2">
        <f t="shared" si="196"/>
        <v>2025</v>
      </c>
      <c r="E3146" s="2" t="str">
        <f t="shared" si="197"/>
        <v>2025-49</v>
      </c>
      <c r="F3146" s="2" t="str">
        <f t="shared" si="198"/>
        <v>Week 49</v>
      </c>
      <c r="G3146" s="2" t="str">
        <f t="shared" si="199"/>
        <v>Week 49-2025</v>
      </c>
      <c r="O3146"/>
      <c r="Q3146"/>
    </row>
    <row r="3147" spans="1:17" hidden="1" x14ac:dyDescent="0.2">
      <c r="A3147" s="3">
        <v>45996</v>
      </c>
      <c r="B3147" s="2" t="s">
        <v>10</v>
      </c>
      <c r="C3147" s="2">
        <v>2</v>
      </c>
      <c r="D3147" s="2">
        <f t="shared" si="196"/>
        <v>2025</v>
      </c>
      <c r="E3147" s="2" t="str">
        <f t="shared" si="197"/>
        <v>2025-49</v>
      </c>
      <c r="F3147" s="2" t="str">
        <f t="shared" si="198"/>
        <v>Week 49</v>
      </c>
      <c r="G3147" s="2" t="str">
        <f t="shared" si="199"/>
        <v>Week 49-2025</v>
      </c>
      <c r="O3147"/>
      <c r="Q3147"/>
    </row>
    <row r="3148" spans="1:17" hidden="1" x14ac:dyDescent="0.2">
      <c r="A3148" s="3">
        <v>45996</v>
      </c>
      <c r="B3148" s="2" t="s">
        <v>37</v>
      </c>
      <c r="C3148" s="2">
        <v>2</v>
      </c>
      <c r="D3148" s="2">
        <f t="shared" si="196"/>
        <v>2025</v>
      </c>
      <c r="E3148" s="2" t="str">
        <f t="shared" si="197"/>
        <v>2025-49</v>
      </c>
      <c r="F3148" s="2" t="str">
        <f t="shared" si="198"/>
        <v>Week 49</v>
      </c>
      <c r="G3148" s="2" t="str">
        <f t="shared" si="199"/>
        <v>Week 49-2025</v>
      </c>
      <c r="O3148"/>
      <c r="Q3148"/>
    </row>
    <row r="3149" spans="1:17" hidden="1" x14ac:dyDescent="0.2">
      <c r="A3149" s="3">
        <v>45996</v>
      </c>
      <c r="B3149" s="2" t="s">
        <v>34</v>
      </c>
      <c r="C3149" s="2">
        <v>1</v>
      </c>
      <c r="D3149" s="2">
        <f t="shared" si="196"/>
        <v>2025</v>
      </c>
      <c r="E3149" s="2" t="str">
        <f t="shared" si="197"/>
        <v>2025-49</v>
      </c>
      <c r="F3149" s="2" t="str">
        <f t="shared" si="198"/>
        <v>Week 49</v>
      </c>
      <c r="G3149" s="2" t="str">
        <f t="shared" si="199"/>
        <v>Week 49-2025</v>
      </c>
      <c r="O3149"/>
      <c r="Q3149"/>
    </row>
    <row r="3150" spans="1:17" hidden="1" x14ac:dyDescent="0.2">
      <c r="A3150" s="3">
        <v>45996</v>
      </c>
      <c r="B3150" s="2" t="s">
        <v>28</v>
      </c>
      <c r="C3150" s="2">
        <v>1</v>
      </c>
      <c r="D3150" s="2">
        <f t="shared" si="196"/>
        <v>2025</v>
      </c>
      <c r="E3150" s="2" t="str">
        <f t="shared" si="197"/>
        <v>2025-49</v>
      </c>
      <c r="F3150" s="2" t="str">
        <f t="shared" si="198"/>
        <v>Week 49</v>
      </c>
      <c r="G3150" s="2" t="str">
        <f t="shared" si="199"/>
        <v>Week 49-2025</v>
      </c>
      <c r="O3150"/>
      <c r="Q3150"/>
    </row>
    <row r="3151" spans="1:17" hidden="1" x14ac:dyDescent="0.2">
      <c r="A3151" s="3">
        <v>45997</v>
      </c>
      <c r="B3151" s="2" t="s">
        <v>5</v>
      </c>
      <c r="C3151" s="2">
        <v>30</v>
      </c>
      <c r="D3151" s="2">
        <f t="shared" si="196"/>
        <v>2025</v>
      </c>
      <c r="E3151" s="2" t="str">
        <f t="shared" si="197"/>
        <v>2025-49</v>
      </c>
      <c r="F3151" s="2" t="str">
        <f t="shared" si="198"/>
        <v>Week 49</v>
      </c>
      <c r="G3151" s="2" t="str">
        <f t="shared" si="199"/>
        <v>Week 49-2025</v>
      </c>
      <c r="O3151"/>
      <c r="Q3151"/>
    </row>
    <row r="3152" spans="1:17" hidden="1" x14ac:dyDescent="0.2">
      <c r="A3152" s="3">
        <v>45997</v>
      </c>
      <c r="B3152" s="2" t="s">
        <v>14</v>
      </c>
      <c r="C3152" s="2">
        <v>22</v>
      </c>
      <c r="D3152" s="2">
        <f t="shared" si="196"/>
        <v>2025</v>
      </c>
      <c r="E3152" s="2" t="str">
        <f t="shared" si="197"/>
        <v>2025-49</v>
      </c>
      <c r="F3152" s="2" t="str">
        <f t="shared" si="198"/>
        <v>Week 49</v>
      </c>
      <c r="G3152" s="2" t="str">
        <f t="shared" si="199"/>
        <v>Week 49-2025</v>
      </c>
      <c r="O3152"/>
      <c r="Q3152"/>
    </row>
    <row r="3153" spans="1:17" hidden="1" x14ac:dyDescent="0.2">
      <c r="A3153" s="3">
        <v>45997</v>
      </c>
      <c r="B3153" s="2" t="s">
        <v>3</v>
      </c>
      <c r="C3153" s="2">
        <v>8</v>
      </c>
      <c r="D3153" s="2">
        <f t="shared" si="196"/>
        <v>2025</v>
      </c>
      <c r="E3153" s="2" t="str">
        <f t="shared" si="197"/>
        <v>2025-49</v>
      </c>
      <c r="F3153" s="2" t="str">
        <f t="shared" si="198"/>
        <v>Week 49</v>
      </c>
      <c r="G3153" s="2" t="str">
        <f t="shared" si="199"/>
        <v>Week 49-2025</v>
      </c>
      <c r="O3153"/>
      <c r="Q3153"/>
    </row>
    <row r="3154" spans="1:17" hidden="1" x14ac:dyDescent="0.2">
      <c r="A3154" s="3">
        <v>45997</v>
      </c>
      <c r="B3154" s="2" t="s">
        <v>38</v>
      </c>
      <c r="C3154" s="2">
        <v>10</v>
      </c>
      <c r="D3154" s="2">
        <f t="shared" si="196"/>
        <v>2025</v>
      </c>
      <c r="E3154" s="2" t="str">
        <f t="shared" si="197"/>
        <v>2025-49</v>
      </c>
      <c r="F3154" s="2" t="str">
        <f t="shared" si="198"/>
        <v>Week 49</v>
      </c>
      <c r="G3154" s="2" t="str">
        <f t="shared" si="199"/>
        <v>Week 49-2025</v>
      </c>
      <c r="O3154"/>
      <c r="Q3154"/>
    </row>
    <row r="3155" spans="1:17" hidden="1" x14ac:dyDescent="0.2">
      <c r="A3155" s="3">
        <v>45997</v>
      </c>
      <c r="B3155" s="2" t="s">
        <v>5</v>
      </c>
      <c r="C3155" s="2">
        <v>6</v>
      </c>
      <c r="D3155" s="2">
        <f t="shared" si="196"/>
        <v>2025</v>
      </c>
      <c r="E3155" s="2" t="str">
        <f t="shared" si="197"/>
        <v>2025-49</v>
      </c>
      <c r="F3155" s="2" t="str">
        <f t="shared" si="198"/>
        <v>Week 49</v>
      </c>
      <c r="G3155" s="2" t="str">
        <f t="shared" si="199"/>
        <v>Week 49-2025</v>
      </c>
      <c r="O3155"/>
      <c r="Q3155"/>
    </row>
    <row r="3156" spans="1:17" hidden="1" x14ac:dyDescent="0.2">
      <c r="A3156" s="3">
        <v>45997</v>
      </c>
      <c r="B3156" s="2" t="s">
        <v>15</v>
      </c>
      <c r="C3156" s="2">
        <v>13</v>
      </c>
      <c r="D3156" s="2">
        <f t="shared" si="196"/>
        <v>2025</v>
      </c>
      <c r="E3156" s="2" t="str">
        <f t="shared" si="197"/>
        <v>2025-49</v>
      </c>
      <c r="F3156" s="2" t="str">
        <f t="shared" si="198"/>
        <v>Week 49</v>
      </c>
      <c r="G3156" s="2" t="str">
        <f t="shared" si="199"/>
        <v>Week 49-2025</v>
      </c>
      <c r="O3156"/>
      <c r="Q3156"/>
    </row>
    <row r="3157" spans="1:17" hidden="1" x14ac:dyDescent="0.2">
      <c r="A3157" s="3">
        <v>45997</v>
      </c>
      <c r="B3157" s="2" t="s">
        <v>4</v>
      </c>
      <c r="C3157" s="2">
        <v>4</v>
      </c>
      <c r="D3157" s="2">
        <f t="shared" si="196"/>
        <v>2025</v>
      </c>
      <c r="E3157" s="2" t="str">
        <f t="shared" si="197"/>
        <v>2025-49</v>
      </c>
      <c r="F3157" s="2" t="str">
        <f t="shared" si="198"/>
        <v>Week 49</v>
      </c>
      <c r="G3157" s="2" t="str">
        <f t="shared" si="199"/>
        <v>Week 49-2025</v>
      </c>
      <c r="O3157"/>
      <c r="Q3157"/>
    </row>
    <row r="3158" spans="1:17" hidden="1" x14ac:dyDescent="0.2">
      <c r="A3158" s="3">
        <v>45997</v>
      </c>
      <c r="B3158" s="2" t="s">
        <v>14</v>
      </c>
      <c r="C3158" s="2">
        <v>7</v>
      </c>
      <c r="D3158" s="2">
        <f t="shared" si="196"/>
        <v>2025</v>
      </c>
      <c r="E3158" s="2" t="str">
        <f t="shared" si="197"/>
        <v>2025-49</v>
      </c>
      <c r="F3158" s="2" t="str">
        <f t="shared" si="198"/>
        <v>Week 49</v>
      </c>
      <c r="G3158" s="2" t="str">
        <f t="shared" si="199"/>
        <v>Week 49-2025</v>
      </c>
      <c r="O3158"/>
      <c r="Q3158"/>
    </row>
    <row r="3159" spans="1:17" hidden="1" x14ac:dyDescent="0.2">
      <c r="A3159" s="3">
        <v>45997</v>
      </c>
      <c r="B3159" s="2" t="s">
        <v>8</v>
      </c>
      <c r="C3159" s="2">
        <v>6</v>
      </c>
      <c r="D3159" s="2">
        <f t="shared" si="196"/>
        <v>2025</v>
      </c>
      <c r="E3159" s="2" t="str">
        <f t="shared" si="197"/>
        <v>2025-49</v>
      </c>
      <c r="F3159" s="2" t="str">
        <f t="shared" si="198"/>
        <v>Week 49</v>
      </c>
      <c r="G3159" s="2" t="str">
        <f t="shared" si="199"/>
        <v>Week 49-2025</v>
      </c>
      <c r="O3159"/>
      <c r="Q3159"/>
    </row>
    <row r="3160" spans="1:17" hidden="1" x14ac:dyDescent="0.2">
      <c r="A3160" s="3">
        <v>45997</v>
      </c>
      <c r="B3160" s="2" t="s">
        <v>27</v>
      </c>
      <c r="C3160" s="2">
        <v>7</v>
      </c>
      <c r="D3160" s="2">
        <f t="shared" si="196"/>
        <v>2025</v>
      </c>
      <c r="E3160" s="2" t="str">
        <f t="shared" si="197"/>
        <v>2025-49</v>
      </c>
      <c r="F3160" s="2" t="str">
        <f t="shared" si="198"/>
        <v>Week 49</v>
      </c>
      <c r="G3160" s="2" t="str">
        <f t="shared" si="199"/>
        <v>Week 49-2025</v>
      </c>
      <c r="O3160"/>
      <c r="Q3160"/>
    </row>
    <row r="3161" spans="1:17" hidden="1" x14ac:dyDescent="0.2">
      <c r="A3161" s="3">
        <v>45997</v>
      </c>
      <c r="B3161" s="2" t="s">
        <v>28</v>
      </c>
      <c r="C3161" s="2">
        <v>8</v>
      </c>
      <c r="D3161" s="2">
        <f t="shared" si="196"/>
        <v>2025</v>
      </c>
      <c r="E3161" s="2" t="str">
        <f t="shared" si="197"/>
        <v>2025-49</v>
      </c>
      <c r="F3161" s="2" t="str">
        <f t="shared" si="198"/>
        <v>Week 49</v>
      </c>
      <c r="G3161" s="2" t="str">
        <f t="shared" si="199"/>
        <v>Week 49-2025</v>
      </c>
      <c r="O3161"/>
      <c r="Q3161"/>
    </row>
    <row r="3162" spans="1:17" hidden="1" x14ac:dyDescent="0.2">
      <c r="A3162" s="3">
        <v>45997</v>
      </c>
      <c r="B3162" s="2" t="s">
        <v>14</v>
      </c>
      <c r="C3162" s="2">
        <v>5</v>
      </c>
      <c r="D3162" s="2">
        <f t="shared" si="196"/>
        <v>2025</v>
      </c>
      <c r="E3162" s="2" t="str">
        <f t="shared" si="197"/>
        <v>2025-49</v>
      </c>
      <c r="F3162" s="2" t="str">
        <f t="shared" si="198"/>
        <v>Week 49</v>
      </c>
      <c r="G3162" s="2" t="str">
        <f t="shared" si="199"/>
        <v>Week 49-2025</v>
      </c>
      <c r="O3162"/>
      <c r="Q3162"/>
    </row>
    <row r="3163" spans="1:17" hidden="1" x14ac:dyDescent="0.2">
      <c r="A3163" s="3">
        <v>45997</v>
      </c>
      <c r="B3163" s="2" t="s">
        <v>8</v>
      </c>
      <c r="C3163" s="2">
        <v>5</v>
      </c>
      <c r="D3163" s="2">
        <f t="shared" si="196"/>
        <v>2025</v>
      </c>
      <c r="E3163" s="2" t="str">
        <f t="shared" si="197"/>
        <v>2025-49</v>
      </c>
      <c r="F3163" s="2" t="str">
        <f t="shared" si="198"/>
        <v>Week 49</v>
      </c>
      <c r="G3163" s="2" t="str">
        <f t="shared" si="199"/>
        <v>Week 49-2025</v>
      </c>
      <c r="O3163"/>
      <c r="Q3163"/>
    </row>
    <row r="3164" spans="1:17" hidden="1" x14ac:dyDescent="0.2">
      <c r="A3164" s="3">
        <v>45997</v>
      </c>
      <c r="B3164" s="2" t="s">
        <v>34</v>
      </c>
      <c r="C3164" s="2">
        <v>4</v>
      </c>
      <c r="D3164" s="2">
        <f t="shared" si="196"/>
        <v>2025</v>
      </c>
      <c r="E3164" s="2" t="str">
        <f t="shared" si="197"/>
        <v>2025-49</v>
      </c>
      <c r="F3164" s="2" t="str">
        <f t="shared" si="198"/>
        <v>Week 49</v>
      </c>
      <c r="G3164" s="2" t="str">
        <f t="shared" si="199"/>
        <v>Week 49-2025</v>
      </c>
      <c r="O3164"/>
      <c r="Q3164"/>
    </row>
    <row r="3165" spans="1:17" hidden="1" x14ac:dyDescent="0.2">
      <c r="A3165" s="3">
        <v>45997</v>
      </c>
      <c r="B3165" s="2" t="s">
        <v>9</v>
      </c>
      <c r="C3165" s="2">
        <v>2</v>
      </c>
      <c r="D3165" s="2">
        <f t="shared" si="196"/>
        <v>2025</v>
      </c>
      <c r="E3165" s="2" t="str">
        <f t="shared" si="197"/>
        <v>2025-49</v>
      </c>
      <c r="F3165" s="2" t="str">
        <f t="shared" si="198"/>
        <v>Week 49</v>
      </c>
      <c r="G3165" s="2" t="str">
        <f t="shared" si="199"/>
        <v>Week 49-2025</v>
      </c>
      <c r="O3165"/>
      <c r="Q3165"/>
    </row>
    <row r="3166" spans="1:17" hidden="1" x14ac:dyDescent="0.2">
      <c r="A3166" s="3">
        <v>45997</v>
      </c>
      <c r="B3166" s="2" t="s">
        <v>7</v>
      </c>
      <c r="C3166" s="2">
        <v>2</v>
      </c>
      <c r="D3166" s="2">
        <f t="shared" si="196"/>
        <v>2025</v>
      </c>
      <c r="E3166" s="2" t="str">
        <f t="shared" si="197"/>
        <v>2025-49</v>
      </c>
      <c r="F3166" s="2" t="str">
        <f t="shared" si="198"/>
        <v>Week 49</v>
      </c>
      <c r="G3166" s="2" t="str">
        <f t="shared" si="199"/>
        <v>Week 49-2025</v>
      </c>
      <c r="O3166"/>
      <c r="Q3166"/>
    </row>
    <row r="3167" spans="1:17" hidden="1" x14ac:dyDescent="0.2">
      <c r="A3167" s="3">
        <v>45997</v>
      </c>
      <c r="B3167" s="2" t="s">
        <v>3</v>
      </c>
      <c r="C3167" s="2">
        <v>2</v>
      </c>
      <c r="D3167" s="2">
        <f t="shared" si="196"/>
        <v>2025</v>
      </c>
      <c r="E3167" s="2" t="str">
        <f t="shared" si="197"/>
        <v>2025-49</v>
      </c>
      <c r="F3167" s="2" t="str">
        <f t="shared" si="198"/>
        <v>Week 49</v>
      </c>
      <c r="G3167" s="2" t="str">
        <f t="shared" si="199"/>
        <v>Week 49-2025</v>
      </c>
      <c r="O3167"/>
      <c r="Q3167"/>
    </row>
    <row r="3168" spans="1:17" hidden="1" x14ac:dyDescent="0.2">
      <c r="A3168" s="3">
        <v>45997</v>
      </c>
      <c r="B3168" s="2" t="s">
        <v>36</v>
      </c>
      <c r="C3168" s="2">
        <v>4</v>
      </c>
      <c r="D3168" s="2">
        <f t="shared" si="196"/>
        <v>2025</v>
      </c>
      <c r="E3168" s="2" t="str">
        <f t="shared" si="197"/>
        <v>2025-49</v>
      </c>
      <c r="F3168" s="2" t="str">
        <f t="shared" si="198"/>
        <v>Week 49</v>
      </c>
      <c r="G3168" s="2" t="str">
        <f t="shared" si="199"/>
        <v>Week 49-2025</v>
      </c>
      <c r="O3168"/>
      <c r="Q3168"/>
    </row>
    <row r="3169" spans="1:17" x14ac:dyDescent="0.2">
      <c r="A3169" s="3">
        <v>45997</v>
      </c>
      <c r="B3169" s="2" t="s">
        <v>24</v>
      </c>
      <c r="C3169" s="2">
        <v>4</v>
      </c>
      <c r="D3169" s="2">
        <f t="shared" si="196"/>
        <v>2025</v>
      </c>
      <c r="E3169" s="2" t="str">
        <f t="shared" si="197"/>
        <v>2025-49</v>
      </c>
      <c r="F3169" s="2" t="str">
        <f t="shared" si="198"/>
        <v>Week 49</v>
      </c>
      <c r="G3169" s="2" t="str">
        <f t="shared" si="199"/>
        <v>Week 49-2025</v>
      </c>
      <c r="O3169"/>
      <c r="Q3169"/>
    </row>
    <row r="3170" spans="1:17" hidden="1" x14ac:dyDescent="0.2">
      <c r="A3170" s="3">
        <v>45997</v>
      </c>
      <c r="B3170" s="2" t="s">
        <v>30</v>
      </c>
      <c r="C3170" s="2">
        <v>3</v>
      </c>
      <c r="D3170" s="2">
        <f t="shared" si="196"/>
        <v>2025</v>
      </c>
      <c r="E3170" s="2" t="str">
        <f t="shared" si="197"/>
        <v>2025-49</v>
      </c>
      <c r="F3170" s="2" t="str">
        <f t="shared" si="198"/>
        <v>Week 49</v>
      </c>
      <c r="G3170" s="2" t="str">
        <f t="shared" si="199"/>
        <v>Week 49-2025</v>
      </c>
      <c r="O3170"/>
      <c r="Q3170"/>
    </row>
    <row r="3171" spans="1:17" hidden="1" x14ac:dyDescent="0.2">
      <c r="A3171" s="3">
        <v>45997</v>
      </c>
      <c r="B3171" s="2" t="s">
        <v>8</v>
      </c>
      <c r="C3171" s="2">
        <v>2</v>
      </c>
      <c r="D3171" s="2">
        <f t="shared" si="196"/>
        <v>2025</v>
      </c>
      <c r="E3171" s="2" t="str">
        <f t="shared" si="197"/>
        <v>2025-49</v>
      </c>
      <c r="F3171" s="2" t="str">
        <f t="shared" si="198"/>
        <v>Week 49</v>
      </c>
      <c r="G3171" s="2" t="str">
        <f t="shared" si="199"/>
        <v>Week 49-2025</v>
      </c>
      <c r="O3171"/>
      <c r="Q3171"/>
    </row>
    <row r="3172" spans="1:17" hidden="1" x14ac:dyDescent="0.2">
      <c r="A3172" s="3">
        <v>45997</v>
      </c>
      <c r="B3172" s="2" t="s">
        <v>15</v>
      </c>
      <c r="C3172" s="2">
        <v>2</v>
      </c>
      <c r="D3172" s="2">
        <f t="shared" si="196"/>
        <v>2025</v>
      </c>
      <c r="E3172" s="2" t="str">
        <f t="shared" si="197"/>
        <v>2025-49</v>
      </c>
      <c r="F3172" s="2" t="str">
        <f t="shared" si="198"/>
        <v>Week 49</v>
      </c>
      <c r="G3172" s="2" t="str">
        <f t="shared" si="199"/>
        <v>Week 49-2025</v>
      </c>
      <c r="O3172"/>
      <c r="Q3172"/>
    </row>
    <row r="3173" spans="1:17" hidden="1" x14ac:dyDescent="0.2">
      <c r="A3173" s="3">
        <v>45997</v>
      </c>
      <c r="B3173" s="2" t="s">
        <v>15</v>
      </c>
      <c r="C3173" s="2">
        <v>2</v>
      </c>
      <c r="D3173" s="2">
        <f t="shared" si="196"/>
        <v>2025</v>
      </c>
      <c r="E3173" s="2" t="str">
        <f t="shared" si="197"/>
        <v>2025-49</v>
      </c>
      <c r="F3173" s="2" t="str">
        <f t="shared" si="198"/>
        <v>Week 49</v>
      </c>
      <c r="G3173" s="2" t="str">
        <f t="shared" si="199"/>
        <v>Week 49-2025</v>
      </c>
      <c r="O3173"/>
      <c r="Q3173"/>
    </row>
    <row r="3174" spans="1:17" hidden="1" x14ac:dyDescent="0.2">
      <c r="A3174" s="3">
        <v>45997</v>
      </c>
      <c r="B3174" s="2" t="s">
        <v>36</v>
      </c>
      <c r="C3174" s="2">
        <v>2</v>
      </c>
      <c r="D3174" s="2">
        <f t="shared" si="196"/>
        <v>2025</v>
      </c>
      <c r="E3174" s="2" t="str">
        <f t="shared" si="197"/>
        <v>2025-49</v>
      </c>
      <c r="F3174" s="2" t="str">
        <f t="shared" si="198"/>
        <v>Week 49</v>
      </c>
      <c r="G3174" s="2" t="str">
        <f t="shared" si="199"/>
        <v>Week 49-2025</v>
      </c>
      <c r="O3174"/>
      <c r="Q3174"/>
    </row>
    <row r="3175" spans="1:17" hidden="1" x14ac:dyDescent="0.2">
      <c r="A3175" s="3">
        <v>45998</v>
      </c>
      <c r="B3175" s="2" t="s">
        <v>4</v>
      </c>
      <c r="C3175" s="2">
        <v>44</v>
      </c>
      <c r="D3175" s="2">
        <f t="shared" si="196"/>
        <v>2025</v>
      </c>
      <c r="E3175" s="2" t="str">
        <f t="shared" si="197"/>
        <v>2025-49</v>
      </c>
      <c r="F3175" s="2" t="str">
        <f t="shared" si="198"/>
        <v>Week 50</v>
      </c>
      <c r="G3175" s="2" t="str">
        <f t="shared" si="199"/>
        <v>Week 50-2025</v>
      </c>
      <c r="O3175"/>
      <c r="Q3175"/>
    </row>
    <row r="3176" spans="1:17" hidden="1" x14ac:dyDescent="0.2">
      <c r="A3176" s="3">
        <v>45998</v>
      </c>
      <c r="B3176" s="2" t="s">
        <v>5</v>
      </c>
      <c r="C3176" s="2">
        <v>54</v>
      </c>
      <c r="D3176" s="2">
        <f t="shared" si="196"/>
        <v>2025</v>
      </c>
      <c r="E3176" s="2" t="str">
        <f t="shared" si="197"/>
        <v>2025-49</v>
      </c>
      <c r="F3176" s="2" t="str">
        <f t="shared" si="198"/>
        <v>Week 50</v>
      </c>
      <c r="G3176" s="2" t="str">
        <f t="shared" si="199"/>
        <v>Week 50-2025</v>
      </c>
      <c r="O3176"/>
      <c r="Q3176"/>
    </row>
    <row r="3177" spans="1:17" hidden="1" x14ac:dyDescent="0.2">
      <c r="A3177" s="3">
        <v>45998</v>
      </c>
      <c r="B3177" s="2" t="s">
        <v>5</v>
      </c>
      <c r="C3177" s="2">
        <v>37</v>
      </c>
      <c r="D3177" s="2">
        <f t="shared" si="196"/>
        <v>2025</v>
      </c>
      <c r="E3177" s="2" t="str">
        <f t="shared" si="197"/>
        <v>2025-49</v>
      </c>
      <c r="F3177" s="2" t="str">
        <f t="shared" si="198"/>
        <v>Week 50</v>
      </c>
      <c r="G3177" s="2" t="str">
        <f t="shared" si="199"/>
        <v>Week 50-2025</v>
      </c>
      <c r="O3177"/>
      <c r="Q3177"/>
    </row>
    <row r="3178" spans="1:17" hidden="1" x14ac:dyDescent="0.2">
      <c r="A3178" s="3">
        <v>45998</v>
      </c>
      <c r="B3178" s="2" t="s">
        <v>5</v>
      </c>
      <c r="C3178" s="2">
        <v>20</v>
      </c>
      <c r="D3178" s="2">
        <f t="shared" si="196"/>
        <v>2025</v>
      </c>
      <c r="E3178" s="2" t="str">
        <f t="shared" si="197"/>
        <v>2025-49</v>
      </c>
      <c r="F3178" s="2" t="str">
        <f t="shared" si="198"/>
        <v>Week 50</v>
      </c>
      <c r="G3178" s="2" t="str">
        <f t="shared" si="199"/>
        <v>Week 50-2025</v>
      </c>
      <c r="O3178"/>
      <c r="Q3178"/>
    </row>
    <row r="3179" spans="1:17" hidden="1" x14ac:dyDescent="0.2">
      <c r="A3179" s="3">
        <v>45998</v>
      </c>
      <c r="B3179" s="2" t="s">
        <v>6</v>
      </c>
      <c r="C3179" s="2">
        <v>15</v>
      </c>
      <c r="D3179" s="2">
        <f t="shared" si="196"/>
        <v>2025</v>
      </c>
      <c r="E3179" s="2" t="str">
        <f t="shared" si="197"/>
        <v>2025-49</v>
      </c>
      <c r="F3179" s="2" t="str">
        <f t="shared" si="198"/>
        <v>Week 50</v>
      </c>
      <c r="G3179" s="2" t="str">
        <f t="shared" si="199"/>
        <v>Week 50-2025</v>
      </c>
      <c r="O3179"/>
      <c r="Q3179"/>
    </row>
    <row r="3180" spans="1:17" hidden="1" x14ac:dyDescent="0.2">
      <c r="A3180" s="3">
        <v>45998</v>
      </c>
      <c r="B3180" s="2" t="s">
        <v>6</v>
      </c>
      <c r="C3180" s="2">
        <v>15</v>
      </c>
      <c r="D3180" s="2">
        <f t="shared" si="196"/>
        <v>2025</v>
      </c>
      <c r="E3180" s="2" t="str">
        <f t="shared" si="197"/>
        <v>2025-49</v>
      </c>
      <c r="F3180" s="2" t="str">
        <f t="shared" si="198"/>
        <v>Week 50</v>
      </c>
      <c r="G3180" s="2" t="str">
        <f t="shared" si="199"/>
        <v>Week 50-2025</v>
      </c>
      <c r="O3180"/>
      <c r="Q3180"/>
    </row>
    <row r="3181" spans="1:17" hidden="1" x14ac:dyDescent="0.2">
      <c r="A3181" s="3">
        <v>45998</v>
      </c>
      <c r="B3181" s="2" t="s">
        <v>14</v>
      </c>
      <c r="C3181" s="2">
        <v>22</v>
      </c>
      <c r="D3181" s="2">
        <f t="shared" si="196"/>
        <v>2025</v>
      </c>
      <c r="E3181" s="2" t="str">
        <f t="shared" si="197"/>
        <v>2025-49</v>
      </c>
      <c r="F3181" s="2" t="str">
        <f t="shared" si="198"/>
        <v>Week 50</v>
      </c>
      <c r="G3181" s="2" t="str">
        <f t="shared" si="199"/>
        <v>Week 50-2025</v>
      </c>
      <c r="O3181"/>
      <c r="Q3181"/>
    </row>
    <row r="3182" spans="1:17" hidden="1" x14ac:dyDescent="0.2">
      <c r="A3182" s="3">
        <v>45998</v>
      </c>
      <c r="B3182" s="2" t="s">
        <v>19</v>
      </c>
      <c r="C3182" s="2">
        <v>12</v>
      </c>
      <c r="D3182" s="2">
        <f t="shared" si="196"/>
        <v>2025</v>
      </c>
      <c r="E3182" s="2" t="str">
        <f t="shared" si="197"/>
        <v>2025-49</v>
      </c>
      <c r="F3182" s="2" t="str">
        <f t="shared" si="198"/>
        <v>Week 50</v>
      </c>
      <c r="G3182" s="2" t="str">
        <f t="shared" si="199"/>
        <v>Week 50-2025</v>
      </c>
      <c r="O3182"/>
      <c r="Q3182"/>
    </row>
    <row r="3183" spans="1:17" hidden="1" x14ac:dyDescent="0.2">
      <c r="A3183" s="3">
        <v>45998</v>
      </c>
      <c r="B3183" s="2" t="s">
        <v>29</v>
      </c>
      <c r="C3183" s="2">
        <v>16</v>
      </c>
      <c r="D3183" s="2">
        <f t="shared" si="196"/>
        <v>2025</v>
      </c>
      <c r="E3183" s="2" t="str">
        <f t="shared" si="197"/>
        <v>2025-49</v>
      </c>
      <c r="F3183" s="2" t="str">
        <f t="shared" si="198"/>
        <v>Week 50</v>
      </c>
      <c r="G3183" s="2" t="str">
        <f t="shared" si="199"/>
        <v>Week 50-2025</v>
      </c>
      <c r="O3183"/>
      <c r="Q3183"/>
    </row>
    <row r="3184" spans="1:17" hidden="1" x14ac:dyDescent="0.2">
      <c r="A3184" s="3">
        <v>45998</v>
      </c>
      <c r="B3184" s="2" t="s">
        <v>14</v>
      </c>
      <c r="C3184" s="2">
        <v>27</v>
      </c>
      <c r="D3184" s="2">
        <f t="shared" si="196"/>
        <v>2025</v>
      </c>
      <c r="E3184" s="2" t="str">
        <f t="shared" si="197"/>
        <v>2025-49</v>
      </c>
      <c r="F3184" s="2" t="str">
        <f t="shared" si="198"/>
        <v>Week 50</v>
      </c>
      <c r="G3184" s="2" t="str">
        <f t="shared" si="199"/>
        <v>Week 50-2025</v>
      </c>
      <c r="O3184"/>
      <c r="Q3184"/>
    </row>
    <row r="3185" spans="1:17" hidden="1" x14ac:dyDescent="0.2">
      <c r="A3185" s="3">
        <v>45998</v>
      </c>
      <c r="B3185" s="2" t="s">
        <v>6</v>
      </c>
      <c r="C3185" s="2">
        <v>10</v>
      </c>
      <c r="D3185" s="2">
        <f t="shared" si="196"/>
        <v>2025</v>
      </c>
      <c r="E3185" s="2" t="str">
        <f t="shared" si="197"/>
        <v>2025-49</v>
      </c>
      <c r="F3185" s="2" t="str">
        <f t="shared" si="198"/>
        <v>Week 50</v>
      </c>
      <c r="G3185" s="2" t="str">
        <f t="shared" si="199"/>
        <v>Week 50-2025</v>
      </c>
      <c r="O3185"/>
      <c r="Q3185"/>
    </row>
    <row r="3186" spans="1:17" hidden="1" x14ac:dyDescent="0.2">
      <c r="A3186" s="3">
        <v>45998</v>
      </c>
      <c r="B3186" s="2" t="s">
        <v>6</v>
      </c>
      <c r="C3186" s="2">
        <v>10</v>
      </c>
      <c r="D3186" s="2">
        <f t="shared" si="196"/>
        <v>2025</v>
      </c>
      <c r="E3186" s="2" t="str">
        <f t="shared" si="197"/>
        <v>2025-49</v>
      </c>
      <c r="F3186" s="2" t="str">
        <f t="shared" si="198"/>
        <v>Week 50</v>
      </c>
      <c r="G3186" s="2" t="str">
        <f t="shared" si="199"/>
        <v>Week 50-2025</v>
      </c>
      <c r="O3186"/>
      <c r="Q3186"/>
    </row>
    <row r="3187" spans="1:17" hidden="1" x14ac:dyDescent="0.2">
      <c r="A3187" s="3">
        <v>45998</v>
      </c>
      <c r="B3187" s="2" t="s">
        <v>3</v>
      </c>
      <c r="C3187" s="2">
        <v>15</v>
      </c>
      <c r="D3187" s="2">
        <f t="shared" si="196"/>
        <v>2025</v>
      </c>
      <c r="E3187" s="2" t="str">
        <f t="shared" si="197"/>
        <v>2025-49</v>
      </c>
      <c r="F3187" s="2" t="str">
        <f t="shared" si="198"/>
        <v>Week 50</v>
      </c>
      <c r="G3187" s="2" t="str">
        <f t="shared" si="199"/>
        <v>Week 50-2025</v>
      </c>
      <c r="O3187"/>
      <c r="Q3187"/>
    </row>
    <row r="3188" spans="1:17" hidden="1" x14ac:dyDescent="0.2">
      <c r="A3188" s="3">
        <v>45998</v>
      </c>
      <c r="B3188" s="2" t="s">
        <v>6</v>
      </c>
      <c r="C3188" s="2">
        <v>10</v>
      </c>
      <c r="D3188" s="2">
        <f t="shared" si="196"/>
        <v>2025</v>
      </c>
      <c r="E3188" s="2" t="str">
        <f t="shared" si="197"/>
        <v>2025-49</v>
      </c>
      <c r="F3188" s="2" t="str">
        <f t="shared" si="198"/>
        <v>Week 50</v>
      </c>
      <c r="G3188" s="2" t="str">
        <f t="shared" si="199"/>
        <v>Week 50-2025</v>
      </c>
      <c r="O3188"/>
      <c r="Q3188"/>
    </row>
    <row r="3189" spans="1:17" hidden="1" x14ac:dyDescent="0.2">
      <c r="A3189" s="3">
        <v>45998</v>
      </c>
      <c r="B3189" s="2" t="s">
        <v>18</v>
      </c>
      <c r="C3189" s="2">
        <v>8</v>
      </c>
      <c r="D3189" s="2">
        <f t="shared" si="196"/>
        <v>2025</v>
      </c>
      <c r="E3189" s="2" t="str">
        <f t="shared" si="197"/>
        <v>2025-49</v>
      </c>
      <c r="F3189" s="2" t="str">
        <f t="shared" si="198"/>
        <v>Week 50</v>
      </c>
      <c r="G3189" s="2" t="str">
        <f t="shared" si="199"/>
        <v>Week 50-2025</v>
      </c>
      <c r="O3189"/>
      <c r="Q3189"/>
    </row>
    <row r="3190" spans="1:17" hidden="1" x14ac:dyDescent="0.2">
      <c r="A3190" s="3">
        <v>45998</v>
      </c>
      <c r="B3190" s="2" t="s">
        <v>17</v>
      </c>
      <c r="C3190" s="2">
        <v>15</v>
      </c>
      <c r="D3190" s="2">
        <f t="shared" si="196"/>
        <v>2025</v>
      </c>
      <c r="E3190" s="2" t="str">
        <f t="shared" si="197"/>
        <v>2025-49</v>
      </c>
      <c r="F3190" s="2" t="str">
        <f t="shared" si="198"/>
        <v>Week 50</v>
      </c>
      <c r="G3190" s="2" t="str">
        <f t="shared" si="199"/>
        <v>Week 50-2025</v>
      </c>
      <c r="O3190"/>
      <c r="Q3190"/>
    </row>
    <row r="3191" spans="1:17" hidden="1" x14ac:dyDescent="0.2">
      <c r="A3191" s="3">
        <v>45998</v>
      </c>
      <c r="B3191" s="2" t="s">
        <v>18</v>
      </c>
      <c r="C3191" s="2">
        <v>7</v>
      </c>
      <c r="D3191" s="2">
        <f t="shared" si="196"/>
        <v>2025</v>
      </c>
      <c r="E3191" s="2" t="str">
        <f t="shared" si="197"/>
        <v>2025-49</v>
      </c>
      <c r="F3191" s="2" t="str">
        <f t="shared" si="198"/>
        <v>Week 50</v>
      </c>
      <c r="G3191" s="2" t="str">
        <f t="shared" si="199"/>
        <v>Week 50-2025</v>
      </c>
      <c r="O3191"/>
      <c r="Q3191"/>
    </row>
    <row r="3192" spans="1:17" hidden="1" x14ac:dyDescent="0.2">
      <c r="A3192" s="3">
        <v>45998</v>
      </c>
      <c r="B3192" s="2" t="s">
        <v>3</v>
      </c>
      <c r="C3192" s="2">
        <v>9</v>
      </c>
      <c r="D3192" s="2">
        <f t="shared" si="196"/>
        <v>2025</v>
      </c>
      <c r="E3192" s="2" t="str">
        <f t="shared" si="197"/>
        <v>2025-49</v>
      </c>
      <c r="F3192" s="2" t="str">
        <f t="shared" si="198"/>
        <v>Week 50</v>
      </c>
      <c r="G3192" s="2" t="str">
        <f t="shared" si="199"/>
        <v>Week 50-2025</v>
      </c>
      <c r="O3192"/>
      <c r="Q3192"/>
    </row>
    <row r="3193" spans="1:17" hidden="1" x14ac:dyDescent="0.2">
      <c r="A3193" s="3">
        <v>45998</v>
      </c>
      <c r="B3193" s="2" t="s">
        <v>29</v>
      </c>
      <c r="C3193" s="2">
        <v>11</v>
      </c>
      <c r="D3193" s="2">
        <f t="shared" si="196"/>
        <v>2025</v>
      </c>
      <c r="E3193" s="2" t="str">
        <f t="shared" si="197"/>
        <v>2025-49</v>
      </c>
      <c r="F3193" s="2" t="str">
        <f t="shared" si="198"/>
        <v>Week 50</v>
      </c>
      <c r="G3193" s="2" t="str">
        <f t="shared" si="199"/>
        <v>Week 50-2025</v>
      </c>
      <c r="O3193"/>
      <c r="Q3193"/>
    </row>
    <row r="3194" spans="1:17" hidden="1" x14ac:dyDescent="0.2">
      <c r="A3194" s="3">
        <v>45998</v>
      </c>
      <c r="B3194" s="2" t="s">
        <v>3</v>
      </c>
      <c r="C3194" s="2">
        <v>11</v>
      </c>
      <c r="D3194" s="2">
        <f t="shared" si="196"/>
        <v>2025</v>
      </c>
      <c r="E3194" s="2" t="str">
        <f t="shared" si="197"/>
        <v>2025-49</v>
      </c>
      <c r="F3194" s="2" t="str">
        <f t="shared" si="198"/>
        <v>Week 50</v>
      </c>
      <c r="G3194" s="2" t="str">
        <f t="shared" si="199"/>
        <v>Week 50-2025</v>
      </c>
      <c r="O3194"/>
      <c r="Q3194"/>
    </row>
    <row r="3195" spans="1:17" hidden="1" x14ac:dyDescent="0.2">
      <c r="A3195" s="3">
        <v>45998</v>
      </c>
      <c r="B3195" s="2" t="s">
        <v>7</v>
      </c>
      <c r="C3195" s="2">
        <v>8</v>
      </c>
      <c r="D3195" s="2">
        <f t="shared" si="196"/>
        <v>2025</v>
      </c>
      <c r="E3195" s="2" t="str">
        <f t="shared" si="197"/>
        <v>2025-49</v>
      </c>
      <c r="F3195" s="2" t="str">
        <f t="shared" si="198"/>
        <v>Week 50</v>
      </c>
      <c r="G3195" s="2" t="str">
        <f t="shared" si="199"/>
        <v>Week 50-2025</v>
      </c>
      <c r="O3195"/>
      <c r="Q3195"/>
    </row>
    <row r="3196" spans="1:17" hidden="1" x14ac:dyDescent="0.2">
      <c r="A3196" s="3">
        <v>45998</v>
      </c>
      <c r="B3196" s="2" t="s">
        <v>9</v>
      </c>
      <c r="C3196" s="2">
        <v>6</v>
      </c>
      <c r="D3196" s="2">
        <f t="shared" si="196"/>
        <v>2025</v>
      </c>
      <c r="E3196" s="2" t="str">
        <f t="shared" si="197"/>
        <v>2025-49</v>
      </c>
      <c r="F3196" s="2" t="str">
        <f t="shared" si="198"/>
        <v>Week 50</v>
      </c>
      <c r="G3196" s="2" t="str">
        <f t="shared" si="199"/>
        <v>Week 50-2025</v>
      </c>
      <c r="O3196"/>
      <c r="Q3196"/>
    </row>
    <row r="3197" spans="1:17" hidden="1" x14ac:dyDescent="0.2">
      <c r="A3197" s="3">
        <v>45998</v>
      </c>
      <c r="B3197" s="2" t="s">
        <v>6</v>
      </c>
      <c r="C3197" s="2">
        <v>6</v>
      </c>
      <c r="D3197" s="2">
        <f t="shared" si="196"/>
        <v>2025</v>
      </c>
      <c r="E3197" s="2" t="str">
        <f t="shared" si="197"/>
        <v>2025-49</v>
      </c>
      <c r="F3197" s="2" t="str">
        <f t="shared" si="198"/>
        <v>Week 50</v>
      </c>
      <c r="G3197" s="2" t="str">
        <f t="shared" si="199"/>
        <v>Week 50-2025</v>
      </c>
      <c r="O3197"/>
      <c r="Q3197"/>
    </row>
    <row r="3198" spans="1:17" hidden="1" x14ac:dyDescent="0.2">
      <c r="A3198" s="3">
        <v>45998</v>
      </c>
      <c r="B3198" s="2" t="s">
        <v>8</v>
      </c>
      <c r="C3198" s="2">
        <v>11</v>
      </c>
      <c r="D3198" s="2">
        <f t="shared" si="196"/>
        <v>2025</v>
      </c>
      <c r="E3198" s="2" t="str">
        <f t="shared" si="197"/>
        <v>2025-49</v>
      </c>
      <c r="F3198" s="2" t="str">
        <f t="shared" si="198"/>
        <v>Week 50</v>
      </c>
      <c r="G3198" s="2" t="str">
        <f t="shared" si="199"/>
        <v>Week 50-2025</v>
      </c>
      <c r="O3198"/>
      <c r="Q3198"/>
    </row>
    <row r="3199" spans="1:17" hidden="1" x14ac:dyDescent="0.2">
      <c r="A3199" s="3">
        <v>45998</v>
      </c>
      <c r="B3199" s="2" t="s">
        <v>17</v>
      </c>
      <c r="C3199" s="2">
        <v>9</v>
      </c>
      <c r="D3199" s="2">
        <f t="shared" si="196"/>
        <v>2025</v>
      </c>
      <c r="E3199" s="2" t="str">
        <f t="shared" si="197"/>
        <v>2025-49</v>
      </c>
      <c r="F3199" s="2" t="str">
        <f t="shared" si="198"/>
        <v>Week 50</v>
      </c>
      <c r="G3199" s="2" t="str">
        <f t="shared" si="199"/>
        <v>Week 50-2025</v>
      </c>
      <c r="O3199"/>
      <c r="Q3199"/>
    </row>
    <row r="3200" spans="1:17" hidden="1" x14ac:dyDescent="0.2">
      <c r="A3200" s="3">
        <v>45998</v>
      </c>
      <c r="B3200" s="2" t="s">
        <v>17</v>
      </c>
      <c r="C3200" s="2">
        <v>9</v>
      </c>
      <c r="D3200" s="2">
        <f t="shared" si="196"/>
        <v>2025</v>
      </c>
      <c r="E3200" s="2" t="str">
        <f t="shared" si="197"/>
        <v>2025-49</v>
      </c>
      <c r="F3200" s="2" t="str">
        <f t="shared" si="198"/>
        <v>Week 50</v>
      </c>
      <c r="G3200" s="2" t="str">
        <f t="shared" si="199"/>
        <v>Week 50-2025</v>
      </c>
      <c r="O3200"/>
      <c r="Q3200"/>
    </row>
    <row r="3201" spans="1:17" hidden="1" x14ac:dyDescent="0.2">
      <c r="A3201" s="3">
        <v>45998</v>
      </c>
      <c r="B3201" s="2" t="s">
        <v>6</v>
      </c>
      <c r="C3201" s="2">
        <v>5</v>
      </c>
      <c r="D3201" s="2">
        <f t="shared" si="196"/>
        <v>2025</v>
      </c>
      <c r="E3201" s="2" t="str">
        <f t="shared" si="197"/>
        <v>2025-49</v>
      </c>
      <c r="F3201" s="2" t="str">
        <f t="shared" si="198"/>
        <v>Week 50</v>
      </c>
      <c r="G3201" s="2" t="str">
        <f t="shared" si="199"/>
        <v>Week 50-2025</v>
      </c>
      <c r="O3201"/>
      <c r="Q3201"/>
    </row>
    <row r="3202" spans="1:17" hidden="1" x14ac:dyDescent="0.2">
      <c r="A3202" s="3">
        <v>45998</v>
      </c>
      <c r="B3202" s="2" t="s">
        <v>19</v>
      </c>
      <c r="C3202" s="2">
        <v>4</v>
      </c>
      <c r="D3202" s="2">
        <f t="shared" ref="D3202:D3265" si="200">YEAR(A3202)</f>
        <v>2025</v>
      </c>
      <c r="E3202" s="2" t="str">
        <f t="shared" ref="E3202:E3265" si="201">YEAR(A3202)&amp;"-"&amp;_xlfn.ISOWEEKNUM(A3202)</f>
        <v>2025-49</v>
      </c>
      <c r="F3202" s="2" t="str">
        <f t="shared" ref="F3202:F3265" si="202">_xlfn.CONCAT("Week "&amp;WEEKNUM(A3202))</f>
        <v>Week 50</v>
      </c>
      <c r="G3202" s="2" t="str">
        <f t="shared" ref="G3202:G3265" si="203">_xlfn.CONCAT(F3202,"-",D3202)</f>
        <v>Week 50-2025</v>
      </c>
      <c r="O3202"/>
      <c r="Q3202"/>
    </row>
    <row r="3203" spans="1:17" hidden="1" x14ac:dyDescent="0.2">
      <c r="A3203" s="3">
        <v>45998</v>
      </c>
      <c r="B3203" s="2" t="s">
        <v>19</v>
      </c>
      <c r="C3203" s="2">
        <v>5</v>
      </c>
      <c r="D3203" s="2">
        <f t="shared" si="200"/>
        <v>2025</v>
      </c>
      <c r="E3203" s="2" t="str">
        <f t="shared" si="201"/>
        <v>2025-49</v>
      </c>
      <c r="F3203" s="2" t="str">
        <f t="shared" si="202"/>
        <v>Week 50</v>
      </c>
      <c r="G3203" s="2" t="str">
        <f t="shared" si="203"/>
        <v>Week 50-2025</v>
      </c>
      <c r="O3203"/>
      <c r="Q3203"/>
    </row>
    <row r="3204" spans="1:17" hidden="1" x14ac:dyDescent="0.2">
      <c r="A3204" s="3">
        <v>45998</v>
      </c>
      <c r="B3204" s="2" t="s">
        <v>19</v>
      </c>
      <c r="C3204" s="2">
        <v>5</v>
      </c>
      <c r="D3204" s="2">
        <f t="shared" si="200"/>
        <v>2025</v>
      </c>
      <c r="E3204" s="2" t="str">
        <f t="shared" si="201"/>
        <v>2025-49</v>
      </c>
      <c r="F3204" s="2" t="str">
        <f t="shared" si="202"/>
        <v>Week 50</v>
      </c>
      <c r="G3204" s="2" t="str">
        <f t="shared" si="203"/>
        <v>Week 50-2025</v>
      </c>
      <c r="O3204"/>
      <c r="Q3204"/>
    </row>
    <row r="3205" spans="1:17" hidden="1" x14ac:dyDescent="0.2">
      <c r="A3205" s="3">
        <v>45998</v>
      </c>
      <c r="B3205" s="2" t="s">
        <v>5</v>
      </c>
      <c r="C3205" s="2">
        <v>8</v>
      </c>
      <c r="D3205" s="2">
        <f t="shared" si="200"/>
        <v>2025</v>
      </c>
      <c r="E3205" s="2" t="str">
        <f t="shared" si="201"/>
        <v>2025-49</v>
      </c>
      <c r="F3205" s="2" t="str">
        <f t="shared" si="202"/>
        <v>Week 50</v>
      </c>
      <c r="G3205" s="2" t="str">
        <f t="shared" si="203"/>
        <v>Week 50-2025</v>
      </c>
      <c r="O3205"/>
      <c r="Q3205"/>
    </row>
    <row r="3206" spans="1:17" hidden="1" x14ac:dyDescent="0.2">
      <c r="A3206" s="3">
        <v>45998</v>
      </c>
      <c r="B3206" s="2" t="s">
        <v>23</v>
      </c>
      <c r="C3206" s="2">
        <v>4</v>
      </c>
      <c r="D3206" s="2">
        <f t="shared" si="200"/>
        <v>2025</v>
      </c>
      <c r="E3206" s="2" t="str">
        <f t="shared" si="201"/>
        <v>2025-49</v>
      </c>
      <c r="F3206" s="2" t="str">
        <f t="shared" si="202"/>
        <v>Week 50</v>
      </c>
      <c r="G3206" s="2" t="str">
        <f t="shared" si="203"/>
        <v>Week 50-2025</v>
      </c>
      <c r="O3206"/>
      <c r="Q3206"/>
    </row>
    <row r="3207" spans="1:17" hidden="1" x14ac:dyDescent="0.2">
      <c r="A3207" s="3">
        <v>45998</v>
      </c>
      <c r="B3207" s="2" t="s">
        <v>3</v>
      </c>
      <c r="C3207" s="2">
        <v>6</v>
      </c>
      <c r="D3207" s="2">
        <f t="shared" si="200"/>
        <v>2025</v>
      </c>
      <c r="E3207" s="2" t="str">
        <f t="shared" si="201"/>
        <v>2025-49</v>
      </c>
      <c r="F3207" s="2" t="str">
        <f t="shared" si="202"/>
        <v>Week 50</v>
      </c>
      <c r="G3207" s="2" t="str">
        <f t="shared" si="203"/>
        <v>Week 50-2025</v>
      </c>
      <c r="O3207"/>
      <c r="Q3207"/>
    </row>
    <row r="3208" spans="1:17" hidden="1" x14ac:dyDescent="0.2">
      <c r="A3208" s="3">
        <v>45998</v>
      </c>
      <c r="B3208" s="2" t="s">
        <v>8</v>
      </c>
      <c r="C3208" s="2">
        <v>6</v>
      </c>
      <c r="D3208" s="2">
        <f t="shared" si="200"/>
        <v>2025</v>
      </c>
      <c r="E3208" s="2" t="str">
        <f t="shared" si="201"/>
        <v>2025-49</v>
      </c>
      <c r="F3208" s="2" t="str">
        <f t="shared" si="202"/>
        <v>Week 50</v>
      </c>
      <c r="G3208" s="2" t="str">
        <f t="shared" si="203"/>
        <v>Week 50-2025</v>
      </c>
      <c r="O3208"/>
      <c r="Q3208"/>
    </row>
    <row r="3209" spans="1:17" hidden="1" x14ac:dyDescent="0.2">
      <c r="A3209" s="3">
        <v>45998</v>
      </c>
      <c r="B3209" s="2" t="s">
        <v>37</v>
      </c>
      <c r="C3209" s="2">
        <v>6</v>
      </c>
      <c r="D3209" s="2">
        <f t="shared" si="200"/>
        <v>2025</v>
      </c>
      <c r="E3209" s="2" t="str">
        <f t="shared" si="201"/>
        <v>2025-49</v>
      </c>
      <c r="F3209" s="2" t="str">
        <f t="shared" si="202"/>
        <v>Week 50</v>
      </c>
      <c r="G3209" s="2" t="str">
        <f t="shared" si="203"/>
        <v>Week 50-2025</v>
      </c>
      <c r="O3209"/>
      <c r="Q3209"/>
    </row>
    <row r="3210" spans="1:17" hidden="1" x14ac:dyDescent="0.2">
      <c r="A3210" s="3">
        <v>45998</v>
      </c>
      <c r="B3210" s="2" t="s">
        <v>37</v>
      </c>
      <c r="C3210" s="2">
        <v>6</v>
      </c>
      <c r="D3210" s="2">
        <f t="shared" si="200"/>
        <v>2025</v>
      </c>
      <c r="E3210" s="2" t="str">
        <f t="shared" si="201"/>
        <v>2025-49</v>
      </c>
      <c r="F3210" s="2" t="str">
        <f t="shared" si="202"/>
        <v>Week 50</v>
      </c>
      <c r="G3210" s="2" t="str">
        <f t="shared" si="203"/>
        <v>Week 50-2025</v>
      </c>
      <c r="O3210"/>
      <c r="Q3210"/>
    </row>
    <row r="3211" spans="1:17" hidden="1" x14ac:dyDescent="0.2">
      <c r="A3211" s="3">
        <v>45998</v>
      </c>
      <c r="B3211" s="2" t="s">
        <v>37</v>
      </c>
      <c r="C3211" s="2">
        <v>6</v>
      </c>
      <c r="D3211" s="2">
        <f t="shared" si="200"/>
        <v>2025</v>
      </c>
      <c r="E3211" s="2" t="str">
        <f t="shared" si="201"/>
        <v>2025-49</v>
      </c>
      <c r="F3211" s="2" t="str">
        <f t="shared" si="202"/>
        <v>Week 50</v>
      </c>
      <c r="G3211" s="2" t="str">
        <f t="shared" si="203"/>
        <v>Week 50-2025</v>
      </c>
      <c r="O3211"/>
      <c r="Q3211"/>
    </row>
    <row r="3212" spans="1:17" hidden="1" x14ac:dyDescent="0.2">
      <c r="A3212" s="3">
        <v>45998</v>
      </c>
      <c r="B3212" s="2" t="s">
        <v>37</v>
      </c>
      <c r="C3212" s="2">
        <v>6</v>
      </c>
      <c r="D3212" s="2">
        <f t="shared" si="200"/>
        <v>2025</v>
      </c>
      <c r="E3212" s="2" t="str">
        <f t="shared" si="201"/>
        <v>2025-49</v>
      </c>
      <c r="F3212" s="2" t="str">
        <f t="shared" si="202"/>
        <v>Week 50</v>
      </c>
      <c r="G3212" s="2" t="str">
        <f t="shared" si="203"/>
        <v>Week 50-2025</v>
      </c>
      <c r="O3212"/>
      <c r="Q3212"/>
    </row>
    <row r="3213" spans="1:17" hidden="1" x14ac:dyDescent="0.2">
      <c r="A3213" s="3">
        <v>45998</v>
      </c>
      <c r="B3213" s="2" t="s">
        <v>9</v>
      </c>
      <c r="C3213" s="2">
        <v>4</v>
      </c>
      <c r="D3213" s="2">
        <f t="shared" si="200"/>
        <v>2025</v>
      </c>
      <c r="E3213" s="2" t="str">
        <f t="shared" si="201"/>
        <v>2025-49</v>
      </c>
      <c r="F3213" s="2" t="str">
        <f t="shared" si="202"/>
        <v>Week 50</v>
      </c>
      <c r="G3213" s="2" t="str">
        <f t="shared" si="203"/>
        <v>Week 50-2025</v>
      </c>
      <c r="O3213"/>
      <c r="Q3213"/>
    </row>
    <row r="3214" spans="1:17" hidden="1" x14ac:dyDescent="0.2">
      <c r="A3214" s="3">
        <v>45998</v>
      </c>
      <c r="B3214" s="2" t="s">
        <v>29</v>
      </c>
      <c r="C3214" s="2">
        <v>4</v>
      </c>
      <c r="D3214" s="2">
        <f t="shared" si="200"/>
        <v>2025</v>
      </c>
      <c r="E3214" s="2" t="str">
        <f t="shared" si="201"/>
        <v>2025-49</v>
      </c>
      <c r="F3214" s="2" t="str">
        <f t="shared" si="202"/>
        <v>Week 50</v>
      </c>
      <c r="G3214" s="2" t="str">
        <f t="shared" si="203"/>
        <v>Week 50-2025</v>
      </c>
      <c r="O3214"/>
      <c r="Q3214"/>
    </row>
    <row r="3215" spans="1:17" hidden="1" x14ac:dyDescent="0.2">
      <c r="A3215" s="3">
        <v>45998</v>
      </c>
      <c r="B3215" s="2" t="s">
        <v>29</v>
      </c>
      <c r="C3215" s="2">
        <v>4</v>
      </c>
      <c r="D3215" s="2">
        <f t="shared" si="200"/>
        <v>2025</v>
      </c>
      <c r="E3215" s="2" t="str">
        <f t="shared" si="201"/>
        <v>2025-49</v>
      </c>
      <c r="F3215" s="2" t="str">
        <f t="shared" si="202"/>
        <v>Week 50</v>
      </c>
      <c r="G3215" s="2" t="str">
        <f t="shared" si="203"/>
        <v>Week 50-2025</v>
      </c>
      <c r="O3215"/>
      <c r="Q3215"/>
    </row>
    <row r="3216" spans="1:17" hidden="1" x14ac:dyDescent="0.2">
      <c r="A3216" s="3">
        <v>45998</v>
      </c>
      <c r="B3216" s="2" t="s">
        <v>29</v>
      </c>
      <c r="C3216" s="2">
        <v>4</v>
      </c>
      <c r="D3216" s="2">
        <f t="shared" si="200"/>
        <v>2025</v>
      </c>
      <c r="E3216" s="2" t="str">
        <f t="shared" si="201"/>
        <v>2025-49</v>
      </c>
      <c r="F3216" s="2" t="str">
        <f t="shared" si="202"/>
        <v>Week 50</v>
      </c>
      <c r="G3216" s="2" t="str">
        <f t="shared" si="203"/>
        <v>Week 50-2025</v>
      </c>
      <c r="O3216"/>
      <c r="Q3216"/>
    </row>
    <row r="3217" spans="1:17" hidden="1" x14ac:dyDescent="0.2">
      <c r="A3217" s="3">
        <v>45998</v>
      </c>
      <c r="B3217" s="2" t="s">
        <v>3</v>
      </c>
      <c r="C3217" s="2">
        <v>3</v>
      </c>
      <c r="D3217" s="2">
        <f t="shared" si="200"/>
        <v>2025</v>
      </c>
      <c r="E3217" s="2" t="str">
        <f t="shared" si="201"/>
        <v>2025-49</v>
      </c>
      <c r="F3217" s="2" t="str">
        <f t="shared" si="202"/>
        <v>Week 50</v>
      </c>
      <c r="G3217" s="2" t="str">
        <f t="shared" si="203"/>
        <v>Week 50-2025</v>
      </c>
      <c r="O3217"/>
      <c r="Q3217"/>
    </row>
    <row r="3218" spans="1:17" hidden="1" x14ac:dyDescent="0.2">
      <c r="A3218" s="3">
        <v>45998</v>
      </c>
      <c r="B3218" s="2" t="s">
        <v>3</v>
      </c>
      <c r="C3218" s="2">
        <v>4</v>
      </c>
      <c r="D3218" s="2">
        <f t="shared" si="200"/>
        <v>2025</v>
      </c>
      <c r="E3218" s="2" t="str">
        <f t="shared" si="201"/>
        <v>2025-49</v>
      </c>
      <c r="F3218" s="2" t="str">
        <f t="shared" si="202"/>
        <v>Week 50</v>
      </c>
      <c r="G3218" s="2" t="str">
        <f t="shared" si="203"/>
        <v>Week 50-2025</v>
      </c>
      <c r="O3218"/>
      <c r="Q3218"/>
    </row>
    <row r="3219" spans="1:17" hidden="1" x14ac:dyDescent="0.2">
      <c r="A3219" s="3">
        <v>45998</v>
      </c>
      <c r="B3219" s="2" t="s">
        <v>12</v>
      </c>
      <c r="C3219" s="2">
        <v>2</v>
      </c>
      <c r="D3219" s="2">
        <f t="shared" si="200"/>
        <v>2025</v>
      </c>
      <c r="E3219" s="2" t="str">
        <f t="shared" si="201"/>
        <v>2025-49</v>
      </c>
      <c r="F3219" s="2" t="str">
        <f t="shared" si="202"/>
        <v>Week 50</v>
      </c>
      <c r="G3219" s="2" t="str">
        <f t="shared" si="203"/>
        <v>Week 50-2025</v>
      </c>
      <c r="O3219"/>
      <c r="Q3219"/>
    </row>
    <row r="3220" spans="1:17" hidden="1" x14ac:dyDescent="0.2">
      <c r="A3220" s="3">
        <v>45998</v>
      </c>
      <c r="B3220" s="2" t="s">
        <v>5</v>
      </c>
      <c r="C3220" s="2">
        <v>4</v>
      </c>
      <c r="D3220" s="2">
        <f t="shared" si="200"/>
        <v>2025</v>
      </c>
      <c r="E3220" s="2" t="str">
        <f t="shared" si="201"/>
        <v>2025-49</v>
      </c>
      <c r="F3220" s="2" t="str">
        <f t="shared" si="202"/>
        <v>Week 50</v>
      </c>
      <c r="G3220" s="2" t="str">
        <f t="shared" si="203"/>
        <v>Week 50-2025</v>
      </c>
      <c r="O3220"/>
      <c r="Q3220"/>
    </row>
    <row r="3221" spans="1:17" hidden="1" x14ac:dyDescent="0.2">
      <c r="A3221" s="3">
        <v>45998</v>
      </c>
      <c r="B3221" s="2" t="s">
        <v>5</v>
      </c>
      <c r="C3221" s="2">
        <v>4</v>
      </c>
      <c r="D3221" s="2">
        <f t="shared" si="200"/>
        <v>2025</v>
      </c>
      <c r="E3221" s="2" t="str">
        <f t="shared" si="201"/>
        <v>2025-49</v>
      </c>
      <c r="F3221" s="2" t="str">
        <f t="shared" si="202"/>
        <v>Week 50</v>
      </c>
      <c r="G3221" s="2" t="str">
        <f t="shared" si="203"/>
        <v>Week 50-2025</v>
      </c>
      <c r="O3221"/>
      <c r="Q3221"/>
    </row>
    <row r="3222" spans="1:17" hidden="1" x14ac:dyDescent="0.2">
      <c r="A3222" s="3">
        <v>45998</v>
      </c>
      <c r="B3222" s="2" t="s">
        <v>18</v>
      </c>
      <c r="C3222" s="2">
        <v>2</v>
      </c>
      <c r="D3222" s="2">
        <f t="shared" si="200"/>
        <v>2025</v>
      </c>
      <c r="E3222" s="2" t="str">
        <f t="shared" si="201"/>
        <v>2025-49</v>
      </c>
      <c r="F3222" s="2" t="str">
        <f t="shared" si="202"/>
        <v>Week 50</v>
      </c>
      <c r="G3222" s="2" t="str">
        <f t="shared" si="203"/>
        <v>Week 50-2025</v>
      </c>
      <c r="O3222"/>
      <c r="Q3222"/>
    </row>
    <row r="3223" spans="1:17" hidden="1" x14ac:dyDescent="0.2">
      <c r="A3223" s="3">
        <v>45998</v>
      </c>
      <c r="B3223" s="2" t="s">
        <v>18</v>
      </c>
      <c r="C3223" s="2">
        <v>2</v>
      </c>
      <c r="D3223" s="2">
        <f t="shared" si="200"/>
        <v>2025</v>
      </c>
      <c r="E3223" s="2" t="str">
        <f t="shared" si="201"/>
        <v>2025-49</v>
      </c>
      <c r="F3223" s="2" t="str">
        <f t="shared" si="202"/>
        <v>Week 50</v>
      </c>
      <c r="G3223" s="2" t="str">
        <f t="shared" si="203"/>
        <v>Week 50-2025</v>
      </c>
      <c r="O3223"/>
      <c r="Q3223"/>
    </row>
    <row r="3224" spans="1:17" hidden="1" x14ac:dyDescent="0.2">
      <c r="A3224" s="3">
        <v>45998</v>
      </c>
      <c r="B3224" s="2" t="s">
        <v>14</v>
      </c>
      <c r="C3224" s="2">
        <v>4</v>
      </c>
      <c r="D3224" s="2">
        <f t="shared" si="200"/>
        <v>2025</v>
      </c>
      <c r="E3224" s="2" t="str">
        <f t="shared" si="201"/>
        <v>2025-49</v>
      </c>
      <c r="F3224" s="2" t="str">
        <f t="shared" si="202"/>
        <v>Week 50</v>
      </c>
      <c r="G3224" s="2" t="str">
        <f t="shared" si="203"/>
        <v>Week 50-2025</v>
      </c>
      <c r="O3224"/>
      <c r="Q3224"/>
    </row>
    <row r="3225" spans="1:17" hidden="1" x14ac:dyDescent="0.2">
      <c r="A3225" s="3">
        <v>45998</v>
      </c>
      <c r="B3225" s="2" t="s">
        <v>7</v>
      </c>
      <c r="C3225" s="2">
        <v>2</v>
      </c>
      <c r="D3225" s="2">
        <f t="shared" si="200"/>
        <v>2025</v>
      </c>
      <c r="E3225" s="2" t="str">
        <f t="shared" si="201"/>
        <v>2025-49</v>
      </c>
      <c r="F3225" s="2" t="str">
        <f t="shared" si="202"/>
        <v>Week 50</v>
      </c>
      <c r="G3225" s="2" t="str">
        <f t="shared" si="203"/>
        <v>Week 50-2025</v>
      </c>
      <c r="O3225"/>
      <c r="Q3225"/>
    </row>
    <row r="3226" spans="1:17" hidden="1" x14ac:dyDescent="0.2">
      <c r="A3226" s="3">
        <v>45998</v>
      </c>
      <c r="B3226" s="2" t="s">
        <v>7</v>
      </c>
      <c r="C3226" s="2">
        <v>2</v>
      </c>
      <c r="D3226" s="2">
        <f t="shared" si="200"/>
        <v>2025</v>
      </c>
      <c r="E3226" s="2" t="str">
        <f t="shared" si="201"/>
        <v>2025-49</v>
      </c>
      <c r="F3226" s="2" t="str">
        <f t="shared" si="202"/>
        <v>Week 50</v>
      </c>
      <c r="G3226" s="2" t="str">
        <f t="shared" si="203"/>
        <v>Week 50-2025</v>
      </c>
      <c r="O3226"/>
      <c r="Q3226"/>
    </row>
    <row r="3227" spans="1:17" hidden="1" x14ac:dyDescent="0.2">
      <c r="A3227" s="3">
        <v>45998</v>
      </c>
      <c r="B3227" s="2" t="s">
        <v>7</v>
      </c>
      <c r="C3227" s="2">
        <v>2</v>
      </c>
      <c r="D3227" s="2">
        <f t="shared" si="200"/>
        <v>2025</v>
      </c>
      <c r="E3227" s="2" t="str">
        <f t="shared" si="201"/>
        <v>2025-49</v>
      </c>
      <c r="F3227" s="2" t="str">
        <f t="shared" si="202"/>
        <v>Week 50</v>
      </c>
      <c r="G3227" s="2" t="str">
        <f t="shared" si="203"/>
        <v>Week 50-2025</v>
      </c>
      <c r="O3227"/>
      <c r="Q3227"/>
    </row>
    <row r="3228" spans="1:17" hidden="1" x14ac:dyDescent="0.2">
      <c r="A3228" s="3">
        <v>45998</v>
      </c>
      <c r="B3228" s="2" t="s">
        <v>17</v>
      </c>
      <c r="C3228" s="2">
        <v>3</v>
      </c>
      <c r="D3228" s="2">
        <f t="shared" si="200"/>
        <v>2025</v>
      </c>
      <c r="E3228" s="2" t="str">
        <f t="shared" si="201"/>
        <v>2025-49</v>
      </c>
      <c r="F3228" s="2" t="str">
        <f t="shared" si="202"/>
        <v>Week 50</v>
      </c>
      <c r="G3228" s="2" t="str">
        <f t="shared" si="203"/>
        <v>Week 50-2025</v>
      </c>
      <c r="O3228"/>
      <c r="Q3228"/>
    </row>
    <row r="3229" spans="1:17" hidden="1" x14ac:dyDescent="0.2">
      <c r="A3229" s="3">
        <v>45998</v>
      </c>
      <c r="B3229" s="2" t="s">
        <v>17</v>
      </c>
      <c r="C3229" s="2">
        <v>3</v>
      </c>
      <c r="D3229" s="2">
        <f t="shared" si="200"/>
        <v>2025</v>
      </c>
      <c r="E3229" s="2" t="str">
        <f t="shared" si="201"/>
        <v>2025-49</v>
      </c>
      <c r="F3229" s="2" t="str">
        <f t="shared" si="202"/>
        <v>Week 50</v>
      </c>
      <c r="G3229" s="2" t="str">
        <f t="shared" si="203"/>
        <v>Week 50-2025</v>
      </c>
      <c r="O3229"/>
      <c r="Q3229"/>
    </row>
    <row r="3230" spans="1:17" hidden="1" x14ac:dyDescent="0.2">
      <c r="A3230" s="3">
        <v>45998</v>
      </c>
      <c r="B3230" s="2" t="s">
        <v>9</v>
      </c>
      <c r="C3230" s="2">
        <v>2</v>
      </c>
      <c r="D3230" s="2">
        <f t="shared" si="200"/>
        <v>2025</v>
      </c>
      <c r="E3230" s="2" t="str">
        <f t="shared" si="201"/>
        <v>2025-49</v>
      </c>
      <c r="F3230" s="2" t="str">
        <f t="shared" si="202"/>
        <v>Week 50</v>
      </c>
      <c r="G3230" s="2" t="str">
        <f t="shared" si="203"/>
        <v>Week 50-2025</v>
      </c>
      <c r="O3230"/>
      <c r="Q3230"/>
    </row>
    <row r="3231" spans="1:17" hidden="1" x14ac:dyDescent="0.2">
      <c r="A3231" s="3">
        <v>45998</v>
      </c>
      <c r="B3231" s="2" t="s">
        <v>3</v>
      </c>
      <c r="C3231" s="2">
        <v>2</v>
      </c>
      <c r="D3231" s="2">
        <f t="shared" si="200"/>
        <v>2025</v>
      </c>
      <c r="E3231" s="2" t="str">
        <f t="shared" si="201"/>
        <v>2025-49</v>
      </c>
      <c r="F3231" s="2" t="str">
        <f t="shared" si="202"/>
        <v>Week 50</v>
      </c>
      <c r="G3231" s="2" t="str">
        <f t="shared" si="203"/>
        <v>Week 50-2025</v>
      </c>
      <c r="O3231"/>
      <c r="Q3231"/>
    </row>
    <row r="3232" spans="1:17" hidden="1" x14ac:dyDescent="0.2">
      <c r="A3232" s="3">
        <v>45998</v>
      </c>
      <c r="B3232" s="2" t="s">
        <v>3</v>
      </c>
      <c r="C3232" s="2">
        <v>2</v>
      </c>
      <c r="D3232" s="2">
        <f t="shared" si="200"/>
        <v>2025</v>
      </c>
      <c r="E3232" s="2" t="str">
        <f t="shared" si="201"/>
        <v>2025-49</v>
      </c>
      <c r="F3232" s="2" t="str">
        <f t="shared" si="202"/>
        <v>Week 50</v>
      </c>
      <c r="G3232" s="2" t="str">
        <f t="shared" si="203"/>
        <v>Week 50-2025</v>
      </c>
      <c r="O3232"/>
      <c r="Q3232"/>
    </row>
    <row r="3233" spans="1:17" hidden="1" x14ac:dyDescent="0.2">
      <c r="A3233" s="3">
        <v>45998</v>
      </c>
      <c r="B3233" s="2" t="s">
        <v>29</v>
      </c>
      <c r="C3233" s="2">
        <v>2</v>
      </c>
      <c r="D3233" s="2">
        <f t="shared" si="200"/>
        <v>2025</v>
      </c>
      <c r="E3233" s="2" t="str">
        <f t="shared" si="201"/>
        <v>2025-49</v>
      </c>
      <c r="F3233" s="2" t="str">
        <f t="shared" si="202"/>
        <v>Week 50</v>
      </c>
      <c r="G3233" s="2" t="str">
        <f t="shared" si="203"/>
        <v>Week 50-2025</v>
      </c>
      <c r="O3233"/>
      <c r="Q3233"/>
    </row>
    <row r="3234" spans="1:17" hidden="1" x14ac:dyDescent="0.2">
      <c r="A3234" s="3">
        <v>45998</v>
      </c>
      <c r="B3234" s="2" t="s">
        <v>14</v>
      </c>
      <c r="C3234" s="2">
        <v>3</v>
      </c>
      <c r="D3234" s="2">
        <f t="shared" si="200"/>
        <v>2025</v>
      </c>
      <c r="E3234" s="2" t="str">
        <f t="shared" si="201"/>
        <v>2025-49</v>
      </c>
      <c r="F3234" s="2" t="str">
        <f t="shared" si="202"/>
        <v>Week 50</v>
      </c>
      <c r="G3234" s="2" t="str">
        <f t="shared" si="203"/>
        <v>Week 50-2025</v>
      </c>
      <c r="O3234"/>
      <c r="Q3234"/>
    </row>
    <row r="3235" spans="1:17" hidden="1" x14ac:dyDescent="0.2">
      <c r="A3235" s="3">
        <v>45998</v>
      </c>
      <c r="B3235" s="2" t="s">
        <v>14</v>
      </c>
      <c r="C3235" s="2">
        <v>3</v>
      </c>
      <c r="D3235" s="2">
        <f t="shared" si="200"/>
        <v>2025</v>
      </c>
      <c r="E3235" s="2" t="str">
        <f t="shared" si="201"/>
        <v>2025-49</v>
      </c>
      <c r="F3235" s="2" t="str">
        <f t="shared" si="202"/>
        <v>Week 50</v>
      </c>
      <c r="G3235" s="2" t="str">
        <f t="shared" si="203"/>
        <v>Week 50-2025</v>
      </c>
      <c r="O3235"/>
      <c r="Q3235"/>
    </row>
    <row r="3236" spans="1:17" hidden="1" x14ac:dyDescent="0.2">
      <c r="A3236" s="3">
        <v>45998</v>
      </c>
      <c r="B3236" s="2" t="s">
        <v>38</v>
      </c>
      <c r="C3236" s="2">
        <v>3</v>
      </c>
      <c r="D3236" s="2">
        <f t="shared" si="200"/>
        <v>2025</v>
      </c>
      <c r="E3236" s="2" t="str">
        <f t="shared" si="201"/>
        <v>2025-49</v>
      </c>
      <c r="F3236" s="2" t="str">
        <f t="shared" si="202"/>
        <v>Week 50</v>
      </c>
      <c r="G3236" s="2" t="str">
        <f t="shared" si="203"/>
        <v>Week 50-2025</v>
      </c>
      <c r="O3236"/>
      <c r="Q3236"/>
    </row>
    <row r="3237" spans="1:17" hidden="1" x14ac:dyDescent="0.2">
      <c r="A3237" s="3">
        <v>45998</v>
      </c>
      <c r="B3237" s="2" t="s">
        <v>8</v>
      </c>
      <c r="C3237" s="2">
        <v>3</v>
      </c>
      <c r="D3237" s="2">
        <f t="shared" si="200"/>
        <v>2025</v>
      </c>
      <c r="E3237" s="2" t="str">
        <f t="shared" si="201"/>
        <v>2025-49</v>
      </c>
      <c r="F3237" s="2" t="str">
        <f t="shared" si="202"/>
        <v>Week 50</v>
      </c>
      <c r="G3237" s="2" t="str">
        <f t="shared" si="203"/>
        <v>Week 50-2025</v>
      </c>
      <c r="O3237"/>
      <c r="Q3237"/>
    </row>
    <row r="3238" spans="1:17" hidden="1" x14ac:dyDescent="0.2">
      <c r="A3238" s="3">
        <v>45998</v>
      </c>
      <c r="B3238" s="2" t="s">
        <v>14</v>
      </c>
      <c r="C3238" s="2">
        <v>2</v>
      </c>
      <c r="D3238" s="2">
        <f t="shared" si="200"/>
        <v>2025</v>
      </c>
      <c r="E3238" s="2" t="str">
        <f t="shared" si="201"/>
        <v>2025-49</v>
      </c>
      <c r="F3238" s="2" t="str">
        <f t="shared" si="202"/>
        <v>Week 50</v>
      </c>
      <c r="G3238" s="2" t="str">
        <f t="shared" si="203"/>
        <v>Week 50-2025</v>
      </c>
      <c r="O3238"/>
      <c r="Q3238"/>
    </row>
    <row r="3239" spans="1:17" hidden="1" x14ac:dyDescent="0.2">
      <c r="A3239" s="3">
        <v>45998</v>
      </c>
      <c r="B3239" s="2" t="s">
        <v>14</v>
      </c>
      <c r="C3239" s="2">
        <v>2</v>
      </c>
      <c r="D3239" s="2">
        <f t="shared" si="200"/>
        <v>2025</v>
      </c>
      <c r="E3239" s="2" t="str">
        <f t="shared" si="201"/>
        <v>2025-49</v>
      </c>
      <c r="F3239" s="2" t="str">
        <f t="shared" si="202"/>
        <v>Week 50</v>
      </c>
      <c r="G3239" s="2" t="str">
        <f t="shared" si="203"/>
        <v>Week 50-2025</v>
      </c>
      <c r="O3239"/>
      <c r="Q3239"/>
    </row>
    <row r="3240" spans="1:17" hidden="1" x14ac:dyDescent="0.2">
      <c r="A3240" s="3">
        <v>45998</v>
      </c>
      <c r="B3240" s="2" t="s">
        <v>10</v>
      </c>
      <c r="C3240" s="2">
        <v>2</v>
      </c>
      <c r="D3240" s="2">
        <f t="shared" si="200"/>
        <v>2025</v>
      </c>
      <c r="E3240" s="2" t="str">
        <f t="shared" si="201"/>
        <v>2025-49</v>
      </c>
      <c r="F3240" s="2" t="str">
        <f t="shared" si="202"/>
        <v>Week 50</v>
      </c>
      <c r="G3240" s="2" t="str">
        <f t="shared" si="203"/>
        <v>Week 50-2025</v>
      </c>
      <c r="O3240"/>
      <c r="Q3240"/>
    </row>
    <row r="3241" spans="1:17" hidden="1" x14ac:dyDescent="0.2">
      <c r="A3241" s="3">
        <v>45998</v>
      </c>
      <c r="B3241" s="2" t="s">
        <v>37</v>
      </c>
      <c r="C3241" s="2">
        <v>2</v>
      </c>
      <c r="D3241" s="2">
        <f t="shared" si="200"/>
        <v>2025</v>
      </c>
      <c r="E3241" s="2" t="str">
        <f t="shared" si="201"/>
        <v>2025-49</v>
      </c>
      <c r="F3241" s="2" t="str">
        <f t="shared" si="202"/>
        <v>Week 50</v>
      </c>
      <c r="G3241" s="2" t="str">
        <f t="shared" si="203"/>
        <v>Week 50-2025</v>
      </c>
      <c r="O3241"/>
      <c r="Q3241"/>
    </row>
    <row r="3242" spans="1:17" hidden="1" x14ac:dyDescent="0.2">
      <c r="A3242" s="3">
        <v>45998</v>
      </c>
      <c r="B3242" s="2" t="s">
        <v>14</v>
      </c>
      <c r="C3242" s="2">
        <v>2</v>
      </c>
      <c r="D3242" s="2">
        <f t="shared" si="200"/>
        <v>2025</v>
      </c>
      <c r="E3242" s="2" t="str">
        <f t="shared" si="201"/>
        <v>2025-49</v>
      </c>
      <c r="F3242" s="2" t="str">
        <f t="shared" si="202"/>
        <v>Week 50</v>
      </c>
      <c r="G3242" s="2" t="str">
        <f t="shared" si="203"/>
        <v>Week 50-2025</v>
      </c>
      <c r="O3242"/>
      <c r="Q3242"/>
    </row>
    <row r="3243" spans="1:17" hidden="1" x14ac:dyDescent="0.2">
      <c r="A3243" s="3">
        <v>45998</v>
      </c>
      <c r="B3243" s="2" t="s">
        <v>38</v>
      </c>
      <c r="C3243" s="2">
        <v>2</v>
      </c>
      <c r="D3243" s="2">
        <f t="shared" si="200"/>
        <v>2025</v>
      </c>
      <c r="E3243" s="2" t="str">
        <f t="shared" si="201"/>
        <v>2025-49</v>
      </c>
      <c r="F3243" s="2" t="str">
        <f t="shared" si="202"/>
        <v>Week 50</v>
      </c>
      <c r="G3243" s="2" t="str">
        <f t="shared" si="203"/>
        <v>Week 50-2025</v>
      </c>
      <c r="O3243"/>
      <c r="Q3243"/>
    </row>
    <row r="3244" spans="1:17" hidden="1" x14ac:dyDescent="0.2">
      <c r="A3244" s="3">
        <v>45998</v>
      </c>
      <c r="B3244" s="2" t="s">
        <v>38</v>
      </c>
      <c r="C3244" s="2">
        <v>2</v>
      </c>
      <c r="D3244" s="2">
        <f t="shared" si="200"/>
        <v>2025</v>
      </c>
      <c r="E3244" s="2" t="str">
        <f t="shared" si="201"/>
        <v>2025-49</v>
      </c>
      <c r="F3244" s="2" t="str">
        <f t="shared" si="202"/>
        <v>Week 50</v>
      </c>
      <c r="G3244" s="2" t="str">
        <f t="shared" si="203"/>
        <v>Week 50-2025</v>
      </c>
      <c r="O3244"/>
      <c r="Q3244"/>
    </row>
    <row r="3245" spans="1:17" hidden="1" x14ac:dyDescent="0.2">
      <c r="A3245" s="3">
        <v>45998</v>
      </c>
      <c r="B3245" s="2" t="s">
        <v>15</v>
      </c>
      <c r="C3245" s="2">
        <v>2</v>
      </c>
      <c r="D3245" s="2">
        <f t="shared" si="200"/>
        <v>2025</v>
      </c>
      <c r="E3245" s="2" t="str">
        <f t="shared" si="201"/>
        <v>2025-49</v>
      </c>
      <c r="F3245" s="2" t="str">
        <f t="shared" si="202"/>
        <v>Week 50</v>
      </c>
      <c r="G3245" s="2" t="str">
        <f t="shared" si="203"/>
        <v>Week 50-2025</v>
      </c>
      <c r="O3245"/>
      <c r="Q3245"/>
    </row>
    <row r="3246" spans="1:17" hidden="1" x14ac:dyDescent="0.2">
      <c r="A3246" s="3">
        <v>45998</v>
      </c>
      <c r="B3246" s="2" t="s">
        <v>14</v>
      </c>
      <c r="C3246" s="2">
        <v>1</v>
      </c>
      <c r="D3246" s="2">
        <f t="shared" si="200"/>
        <v>2025</v>
      </c>
      <c r="E3246" s="2" t="str">
        <f t="shared" si="201"/>
        <v>2025-49</v>
      </c>
      <c r="F3246" s="2" t="str">
        <f t="shared" si="202"/>
        <v>Week 50</v>
      </c>
      <c r="G3246" s="2" t="str">
        <f t="shared" si="203"/>
        <v>Week 50-2025</v>
      </c>
      <c r="O3246"/>
      <c r="Q3246"/>
    </row>
    <row r="3247" spans="1:17" hidden="1" x14ac:dyDescent="0.2">
      <c r="A3247" s="3">
        <v>45998</v>
      </c>
      <c r="B3247" s="2" t="s">
        <v>15</v>
      </c>
      <c r="C3247" s="2">
        <v>2</v>
      </c>
      <c r="D3247" s="2">
        <f t="shared" si="200"/>
        <v>2025</v>
      </c>
      <c r="E3247" s="2" t="str">
        <f t="shared" si="201"/>
        <v>2025-49</v>
      </c>
      <c r="F3247" s="2" t="str">
        <f t="shared" si="202"/>
        <v>Week 50</v>
      </c>
      <c r="G3247" s="2" t="str">
        <f t="shared" si="203"/>
        <v>Week 50-2025</v>
      </c>
      <c r="O3247"/>
      <c r="Q3247"/>
    </row>
    <row r="3248" spans="1:17" hidden="1" x14ac:dyDescent="0.2">
      <c r="A3248" s="3">
        <v>45998</v>
      </c>
      <c r="B3248" s="2" t="s">
        <v>15</v>
      </c>
      <c r="C3248" s="2">
        <v>2</v>
      </c>
      <c r="D3248" s="2">
        <f t="shared" si="200"/>
        <v>2025</v>
      </c>
      <c r="E3248" s="2" t="str">
        <f t="shared" si="201"/>
        <v>2025-49</v>
      </c>
      <c r="F3248" s="2" t="str">
        <f t="shared" si="202"/>
        <v>Week 50</v>
      </c>
      <c r="G3248" s="2" t="str">
        <f t="shared" si="203"/>
        <v>Week 50-2025</v>
      </c>
      <c r="O3248"/>
      <c r="Q3248"/>
    </row>
    <row r="3249" spans="1:17" hidden="1" x14ac:dyDescent="0.2">
      <c r="A3249" s="3">
        <v>45998</v>
      </c>
      <c r="B3249" s="2" t="s">
        <v>10</v>
      </c>
      <c r="C3249" s="2">
        <v>1</v>
      </c>
      <c r="D3249" s="2">
        <f t="shared" si="200"/>
        <v>2025</v>
      </c>
      <c r="E3249" s="2" t="str">
        <f t="shared" si="201"/>
        <v>2025-49</v>
      </c>
      <c r="F3249" s="2" t="str">
        <f t="shared" si="202"/>
        <v>Week 50</v>
      </c>
      <c r="G3249" s="2" t="str">
        <f t="shared" si="203"/>
        <v>Week 50-2025</v>
      </c>
      <c r="O3249"/>
      <c r="Q3249"/>
    </row>
    <row r="3250" spans="1:17" hidden="1" x14ac:dyDescent="0.2">
      <c r="A3250" s="3">
        <v>45998</v>
      </c>
      <c r="B3250" s="2" t="s">
        <v>10</v>
      </c>
      <c r="C3250" s="2">
        <v>1</v>
      </c>
      <c r="D3250" s="2">
        <f t="shared" si="200"/>
        <v>2025</v>
      </c>
      <c r="E3250" s="2" t="str">
        <f t="shared" si="201"/>
        <v>2025-49</v>
      </c>
      <c r="F3250" s="2" t="str">
        <f t="shared" si="202"/>
        <v>Week 50</v>
      </c>
      <c r="G3250" s="2" t="str">
        <f t="shared" si="203"/>
        <v>Week 50-2025</v>
      </c>
      <c r="O3250"/>
      <c r="Q3250"/>
    </row>
    <row r="3251" spans="1:17" hidden="1" x14ac:dyDescent="0.2">
      <c r="A3251" s="3">
        <v>45998</v>
      </c>
      <c r="B3251" s="2" t="s">
        <v>37</v>
      </c>
      <c r="C3251" s="2">
        <v>1</v>
      </c>
      <c r="D3251" s="2">
        <f t="shared" si="200"/>
        <v>2025</v>
      </c>
      <c r="E3251" s="2" t="str">
        <f t="shared" si="201"/>
        <v>2025-49</v>
      </c>
      <c r="F3251" s="2" t="str">
        <f t="shared" si="202"/>
        <v>Week 50</v>
      </c>
      <c r="G3251" s="2" t="str">
        <f t="shared" si="203"/>
        <v>Week 50-2025</v>
      </c>
      <c r="O3251"/>
      <c r="Q3251"/>
    </row>
    <row r="3252" spans="1:17" hidden="1" x14ac:dyDescent="0.2">
      <c r="A3252" s="3">
        <v>45998</v>
      </c>
      <c r="B3252" s="2" t="s">
        <v>37</v>
      </c>
      <c r="C3252" s="2">
        <v>1</v>
      </c>
      <c r="D3252" s="2">
        <f t="shared" si="200"/>
        <v>2025</v>
      </c>
      <c r="E3252" s="2" t="str">
        <f t="shared" si="201"/>
        <v>2025-49</v>
      </c>
      <c r="F3252" s="2" t="str">
        <f t="shared" si="202"/>
        <v>Week 50</v>
      </c>
      <c r="G3252" s="2" t="str">
        <f t="shared" si="203"/>
        <v>Week 50-2025</v>
      </c>
      <c r="O3252"/>
      <c r="Q3252"/>
    </row>
    <row r="3253" spans="1:17" hidden="1" x14ac:dyDescent="0.2">
      <c r="A3253" s="3">
        <v>45998</v>
      </c>
      <c r="B3253" s="2" t="s">
        <v>36</v>
      </c>
      <c r="C3253" s="2">
        <v>1</v>
      </c>
      <c r="D3253" s="2">
        <f t="shared" si="200"/>
        <v>2025</v>
      </c>
      <c r="E3253" s="2" t="str">
        <f t="shared" si="201"/>
        <v>2025-49</v>
      </c>
      <c r="F3253" s="2" t="str">
        <f t="shared" si="202"/>
        <v>Week 50</v>
      </c>
      <c r="G3253" s="2" t="str">
        <f t="shared" si="203"/>
        <v>Week 50-2025</v>
      </c>
      <c r="O3253"/>
      <c r="Q3253"/>
    </row>
    <row r="3254" spans="1:17" hidden="1" x14ac:dyDescent="0.2">
      <c r="A3254" s="3">
        <v>45998</v>
      </c>
      <c r="B3254" s="2" t="s">
        <v>36</v>
      </c>
      <c r="C3254" s="2">
        <v>1</v>
      </c>
      <c r="D3254" s="2">
        <f t="shared" si="200"/>
        <v>2025</v>
      </c>
      <c r="E3254" s="2" t="str">
        <f t="shared" si="201"/>
        <v>2025-49</v>
      </c>
      <c r="F3254" s="2" t="str">
        <f t="shared" si="202"/>
        <v>Week 50</v>
      </c>
      <c r="G3254" s="2" t="str">
        <f t="shared" si="203"/>
        <v>Week 50-2025</v>
      </c>
      <c r="O3254"/>
      <c r="Q3254"/>
    </row>
    <row r="3255" spans="1:17" hidden="1" x14ac:dyDescent="0.2">
      <c r="A3255" s="3">
        <v>45999</v>
      </c>
      <c r="B3255" s="2" t="s">
        <v>37</v>
      </c>
      <c r="C3255" s="2">
        <v>4</v>
      </c>
      <c r="D3255" s="2">
        <f t="shared" si="200"/>
        <v>2025</v>
      </c>
      <c r="E3255" s="2" t="str">
        <f t="shared" si="201"/>
        <v>2025-50</v>
      </c>
      <c r="F3255" s="2" t="str">
        <f t="shared" si="202"/>
        <v>Week 50</v>
      </c>
      <c r="G3255" s="2" t="str">
        <f t="shared" si="203"/>
        <v>Week 50-2025</v>
      </c>
      <c r="O3255"/>
      <c r="Q3255"/>
    </row>
    <row r="3256" spans="1:17" hidden="1" x14ac:dyDescent="0.2">
      <c r="A3256" s="3">
        <v>46001</v>
      </c>
      <c r="B3256" s="2" t="s">
        <v>12</v>
      </c>
      <c r="C3256" s="2">
        <v>19</v>
      </c>
      <c r="D3256" s="2">
        <f t="shared" si="200"/>
        <v>2025</v>
      </c>
      <c r="E3256" s="2" t="str">
        <f t="shared" si="201"/>
        <v>2025-50</v>
      </c>
      <c r="F3256" s="2" t="str">
        <f t="shared" si="202"/>
        <v>Week 50</v>
      </c>
      <c r="G3256" s="2" t="str">
        <f t="shared" si="203"/>
        <v>Week 50-2025</v>
      </c>
      <c r="O3256"/>
      <c r="Q3256"/>
    </row>
    <row r="3257" spans="1:17" hidden="1" x14ac:dyDescent="0.2">
      <c r="A3257" s="3">
        <v>46001</v>
      </c>
      <c r="B3257" s="2" t="s">
        <v>12</v>
      </c>
      <c r="C3257" s="2">
        <v>12</v>
      </c>
      <c r="D3257" s="2">
        <f t="shared" si="200"/>
        <v>2025</v>
      </c>
      <c r="E3257" s="2" t="str">
        <f t="shared" si="201"/>
        <v>2025-50</v>
      </c>
      <c r="F3257" s="2" t="str">
        <f t="shared" si="202"/>
        <v>Week 50</v>
      </c>
      <c r="G3257" s="2" t="str">
        <f t="shared" si="203"/>
        <v>Week 50-2025</v>
      </c>
      <c r="O3257"/>
      <c r="Q3257"/>
    </row>
    <row r="3258" spans="1:17" hidden="1" x14ac:dyDescent="0.2">
      <c r="A3258" s="3">
        <v>46001</v>
      </c>
      <c r="B3258" s="2" t="s">
        <v>9</v>
      </c>
      <c r="C3258" s="2">
        <v>20</v>
      </c>
      <c r="D3258" s="2">
        <f t="shared" si="200"/>
        <v>2025</v>
      </c>
      <c r="E3258" s="2" t="str">
        <f t="shared" si="201"/>
        <v>2025-50</v>
      </c>
      <c r="F3258" s="2" t="str">
        <f t="shared" si="202"/>
        <v>Week 50</v>
      </c>
      <c r="G3258" s="2" t="str">
        <f t="shared" si="203"/>
        <v>Week 50-2025</v>
      </c>
      <c r="O3258"/>
      <c r="Q3258"/>
    </row>
    <row r="3259" spans="1:17" hidden="1" x14ac:dyDescent="0.2">
      <c r="A3259" s="3">
        <v>46001</v>
      </c>
      <c r="B3259" s="2" t="s">
        <v>21</v>
      </c>
      <c r="C3259" s="2">
        <v>10</v>
      </c>
      <c r="D3259" s="2">
        <f t="shared" si="200"/>
        <v>2025</v>
      </c>
      <c r="E3259" s="2" t="str">
        <f t="shared" si="201"/>
        <v>2025-50</v>
      </c>
      <c r="F3259" s="2" t="str">
        <f t="shared" si="202"/>
        <v>Week 50</v>
      </c>
      <c r="G3259" s="2" t="str">
        <f t="shared" si="203"/>
        <v>Week 50-2025</v>
      </c>
      <c r="O3259"/>
      <c r="Q3259"/>
    </row>
    <row r="3260" spans="1:17" hidden="1" x14ac:dyDescent="0.2">
      <c r="A3260" s="3">
        <v>46001</v>
      </c>
      <c r="B3260" s="2" t="s">
        <v>21</v>
      </c>
      <c r="C3260" s="2">
        <v>10</v>
      </c>
      <c r="D3260" s="2">
        <f t="shared" si="200"/>
        <v>2025</v>
      </c>
      <c r="E3260" s="2" t="str">
        <f t="shared" si="201"/>
        <v>2025-50</v>
      </c>
      <c r="F3260" s="2" t="str">
        <f t="shared" si="202"/>
        <v>Week 50</v>
      </c>
      <c r="G3260" s="2" t="str">
        <f t="shared" si="203"/>
        <v>Week 50-2025</v>
      </c>
      <c r="O3260"/>
      <c r="Q3260"/>
    </row>
    <row r="3261" spans="1:17" hidden="1" x14ac:dyDescent="0.2">
      <c r="A3261" s="3">
        <v>46001</v>
      </c>
      <c r="B3261" s="2" t="s">
        <v>5</v>
      </c>
      <c r="C3261" s="2">
        <v>23</v>
      </c>
      <c r="D3261" s="2">
        <f t="shared" si="200"/>
        <v>2025</v>
      </c>
      <c r="E3261" s="2" t="str">
        <f t="shared" si="201"/>
        <v>2025-50</v>
      </c>
      <c r="F3261" s="2" t="str">
        <f t="shared" si="202"/>
        <v>Week 50</v>
      </c>
      <c r="G3261" s="2" t="str">
        <f t="shared" si="203"/>
        <v>Week 50-2025</v>
      </c>
      <c r="O3261"/>
      <c r="Q3261"/>
    </row>
    <row r="3262" spans="1:17" hidden="1" x14ac:dyDescent="0.2">
      <c r="A3262" s="3">
        <v>46001</v>
      </c>
      <c r="B3262" s="2" t="s">
        <v>3</v>
      </c>
      <c r="C3262" s="2">
        <v>20</v>
      </c>
      <c r="D3262" s="2">
        <f t="shared" si="200"/>
        <v>2025</v>
      </c>
      <c r="E3262" s="2" t="str">
        <f t="shared" si="201"/>
        <v>2025-50</v>
      </c>
      <c r="F3262" s="2" t="str">
        <f t="shared" si="202"/>
        <v>Week 50</v>
      </c>
      <c r="G3262" s="2" t="str">
        <f t="shared" si="203"/>
        <v>Week 50-2025</v>
      </c>
      <c r="O3262"/>
      <c r="Q3262"/>
    </row>
    <row r="3263" spans="1:17" hidden="1" x14ac:dyDescent="0.2">
      <c r="A3263" s="3">
        <v>46001</v>
      </c>
      <c r="B3263" s="2" t="s">
        <v>12</v>
      </c>
      <c r="C3263" s="2">
        <v>10</v>
      </c>
      <c r="D3263" s="2">
        <f t="shared" si="200"/>
        <v>2025</v>
      </c>
      <c r="E3263" s="2" t="str">
        <f t="shared" si="201"/>
        <v>2025-50</v>
      </c>
      <c r="F3263" s="2" t="str">
        <f t="shared" si="202"/>
        <v>Week 50</v>
      </c>
      <c r="G3263" s="2" t="str">
        <f t="shared" si="203"/>
        <v>Week 50-2025</v>
      </c>
      <c r="O3263"/>
      <c r="Q3263"/>
    </row>
    <row r="3264" spans="1:17" hidden="1" x14ac:dyDescent="0.2">
      <c r="A3264" s="3">
        <v>46001</v>
      </c>
      <c r="B3264" s="2" t="s">
        <v>7</v>
      </c>
      <c r="C3264" s="2">
        <v>12</v>
      </c>
      <c r="D3264" s="2">
        <f t="shared" si="200"/>
        <v>2025</v>
      </c>
      <c r="E3264" s="2" t="str">
        <f t="shared" si="201"/>
        <v>2025-50</v>
      </c>
      <c r="F3264" s="2" t="str">
        <f t="shared" si="202"/>
        <v>Week 50</v>
      </c>
      <c r="G3264" s="2" t="str">
        <f t="shared" si="203"/>
        <v>Week 50-2025</v>
      </c>
      <c r="O3264"/>
      <c r="Q3264"/>
    </row>
    <row r="3265" spans="1:17" hidden="1" x14ac:dyDescent="0.2">
      <c r="A3265" s="3">
        <v>46001</v>
      </c>
      <c r="B3265" s="2" t="s">
        <v>9</v>
      </c>
      <c r="C3265" s="2">
        <v>11</v>
      </c>
      <c r="D3265" s="2">
        <f t="shared" si="200"/>
        <v>2025</v>
      </c>
      <c r="E3265" s="2" t="str">
        <f t="shared" si="201"/>
        <v>2025-50</v>
      </c>
      <c r="F3265" s="2" t="str">
        <f t="shared" si="202"/>
        <v>Week 50</v>
      </c>
      <c r="G3265" s="2" t="str">
        <f t="shared" si="203"/>
        <v>Week 50-2025</v>
      </c>
      <c r="O3265"/>
      <c r="Q3265"/>
    </row>
    <row r="3266" spans="1:17" hidden="1" x14ac:dyDescent="0.2">
      <c r="A3266" s="3">
        <v>46001</v>
      </c>
      <c r="B3266" s="2" t="s">
        <v>5</v>
      </c>
      <c r="C3266" s="2">
        <v>15</v>
      </c>
      <c r="D3266" s="2">
        <f t="shared" ref="D3266:D3329" si="204">YEAR(A3266)</f>
        <v>2025</v>
      </c>
      <c r="E3266" s="2" t="str">
        <f t="shared" ref="E3266:E3329" si="205">YEAR(A3266)&amp;"-"&amp;_xlfn.ISOWEEKNUM(A3266)</f>
        <v>2025-50</v>
      </c>
      <c r="F3266" s="2" t="str">
        <f t="shared" ref="F3266:F3329" si="206">_xlfn.CONCAT("Week "&amp;WEEKNUM(A3266))</f>
        <v>Week 50</v>
      </c>
      <c r="G3266" s="2" t="str">
        <f t="shared" ref="G3266:G3329" si="207">_xlfn.CONCAT(F3266,"-",D3266)</f>
        <v>Week 50-2025</v>
      </c>
      <c r="O3266"/>
      <c r="Q3266"/>
    </row>
    <row r="3267" spans="1:17" hidden="1" x14ac:dyDescent="0.2">
      <c r="A3267" s="3">
        <v>46001</v>
      </c>
      <c r="B3267" s="2" t="s">
        <v>4</v>
      </c>
      <c r="C3267" s="2">
        <v>10</v>
      </c>
      <c r="D3267" s="2">
        <f t="shared" si="204"/>
        <v>2025</v>
      </c>
      <c r="E3267" s="2" t="str">
        <f t="shared" si="205"/>
        <v>2025-50</v>
      </c>
      <c r="F3267" s="2" t="str">
        <f t="shared" si="206"/>
        <v>Week 50</v>
      </c>
      <c r="G3267" s="2" t="str">
        <f t="shared" si="207"/>
        <v>Week 50-2025</v>
      </c>
      <c r="O3267"/>
      <c r="Q3267"/>
    </row>
    <row r="3268" spans="1:17" hidden="1" x14ac:dyDescent="0.2">
      <c r="A3268" s="3">
        <v>46001</v>
      </c>
      <c r="B3268" s="2" t="s">
        <v>19</v>
      </c>
      <c r="C3268" s="2">
        <v>8</v>
      </c>
      <c r="D3268" s="2">
        <f t="shared" si="204"/>
        <v>2025</v>
      </c>
      <c r="E3268" s="2" t="str">
        <f t="shared" si="205"/>
        <v>2025-50</v>
      </c>
      <c r="F3268" s="2" t="str">
        <f t="shared" si="206"/>
        <v>Week 50</v>
      </c>
      <c r="G3268" s="2" t="str">
        <f t="shared" si="207"/>
        <v>Week 50-2025</v>
      </c>
      <c r="O3268"/>
      <c r="Q3268"/>
    </row>
    <row r="3269" spans="1:17" hidden="1" x14ac:dyDescent="0.2">
      <c r="A3269" s="3">
        <v>46001</v>
      </c>
      <c r="B3269" s="2" t="s">
        <v>7</v>
      </c>
      <c r="C3269" s="2">
        <v>8</v>
      </c>
      <c r="D3269" s="2">
        <f t="shared" si="204"/>
        <v>2025</v>
      </c>
      <c r="E3269" s="2" t="str">
        <f t="shared" si="205"/>
        <v>2025-50</v>
      </c>
      <c r="F3269" s="2" t="str">
        <f t="shared" si="206"/>
        <v>Week 50</v>
      </c>
      <c r="G3269" s="2" t="str">
        <f t="shared" si="207"/>
        <v>Week 50-2025</v>
      </c>
      <c r="O3269"/>
      <c r="Q3269"/>
    </row>
    <row r="3270" spans="1:17" hidden="1" x14ac:dyDescent="0.2">
      <c r="A3270" s="3">
        <v>46001</v>
      </c>
      <c r="B3270" s="2" t="s">
        <v>11</v>
      </c>
      <c r="C3270" s="2">
        <v>4</v>
      </c>
      <c r="D3270" s="2">
        <f t="shared" si="204"/>
        <v>2025</v>
      </c>
      <c r="E3270" s="2" t="str">
        <f t="shared" si="205"/>
        <v>2025-50</v>
      </c>
      <c r="F3270" s="2" t="str">
        <f t="shared" si="206"/>
        <v>Week 50</v>
      </c>
      <c r="G3270" s="2" t="str">
        <f t="shared" si="207"/>
        <v>Week 50-2025</v>
      </c>
      <c r="O3270"/>
      <c r="Q3270"/>
    </row>
    <row r="3271" spans="1:17" hidden="1" x14ac:dyDescent="0.2">
      <c r="A3271" s="3">
        <v>46001</v>
      </c>
      <c r="B3271" s="2" t="s">
        <v>11</v>
      </c>
      <c r="C3271" s="2">
        <v>4</v>
      </c>
      <c r="D3271" s="2">
        <f t="shared" si="204"/>
        <v>2025</v>
      </c>
      <c r="E3271" s="2" t="str">
        <f t="shared" si="205"/>
        <v>2025-50</v>
      </c>
      <c r="F3271" s="2" t="str">
        <f t="shared" si="206"/>
        <v>Week 50</v>
      </c>
      <c r="G3271" s="2" t="str">
        <f t="shared" si="207"/>
        <v>Week 50-2025</v>
      </c>
      <c r="O3271"/>
      <c r="Q3271"/>
    </row>
    <row r="3272" spans="1:17" hidden="1" x14ac:dyDescent="0.2">
      <c r="A3272" s="3">
        <v>46001</v>
      </c>
      <c r="B3272" s="2" t="s">
        <v>28</v>
      </c>
      <c r="C3272" s="2">
        <v>16</v>
      </c>
      <c r="D3272" s="2">
        <f t="shared" si="204"/>
        <v>2025</v>
      </c>
      <c r="E3272" s="2" t="str">
        <f t="shared" si="205"/>
        <v>2025-50</v>
      </c>
      <c r="F3272" s="2" t="str">
        <f t="shared" si="206"/>
        <v>Week 50</v>
      </c>
      <c r="G3272" s="2" t="str">
        <f t="shared" si="207"/>
        <v>Week 50-2025</v>
      </c>
      <c r="O3272"/>
      <c r="Q3272"/>
    </row>
    <row r="3273" spans="1:17" hidden="1" x14ac:dyDescent="0.2">
      <c r="A3273" s="3">
        <v>46001</v>
      </c>
      <c r="B3273" s="2" t="s">
        <v>9</v>
      </c>
      <c r="C3273" s="2">
        <v>7</v>
      </c>
      <c r="D3273" s="2">
        <f t="shared" si="204"/>
        <v>2025</v>
      </c>
      <c r="E3273" s="2" t="str">
        <f t="shared" si="205"/>
        <v>2025-50</v>
      </c>
      <c r="F3273" s="2" t="str">
        <f t="shared" si="206"/>
        <v>Week 50</v>
      </c>
      <c r="G3273" s="2" t="str">
        <f t="shared" si="207"/>
        <v>Week 50-2025</v>
      </c>
      <c r="O3273"/>
      <c r="Q3273"/>
    </row>
    <row r="3274" spans="1:17" hidden="1" x14ac:dyDescent="0.2">
      <c r="A3274" s="3">
        <v>46001</v>
      </c>
      <c r="B3274" s="2" t="s">
        <v>19</v>
      </c>
      <c r="C3274" s="2">
        <v>5</v>
      </c>
      <c r="D3274" s="2">
        <f t="shared" si="204"/>
        <v>2025</v>
      </c>
      <c r="E3274" s="2" t="str">
        <f t="shared" si="205"/>
        <v>2025-50</v>
      </c>
      <c r="F3274" s="2" t="str">
        <f t="shared" si="206"/>
        <v>Week 50</v>
      </c>
      <c r="G3274" s="2" t="str">
        <f t="shared" si="207"/>
        <v>Week 50-2025</v>
      </c>
      <c r="O3274"/>
      <c r="Q3274"/>
    </row>
    <row r="3275" spans="1:17" hidden="1" x14ac:dyDescent="0.2">
      <c r="A3275" s="3">
        <v>46001</v>
      </c>
      <c r="B3275" s="2" t="s">
        <v>19</v>
      </c>
      <c r="C3275" s="2">
        <v>5</v>
      </c>
      <c r="D3275" s="2">
        <f t="shared" si="204"/>
        <v>2025</v>
      </c>
      <c r="E3275" s="2" t="str">
        <f t="shared" si="205"/>
        <v>2025-50</v>
      </c>
      <c r="F3275" s="2" t="str">
        <f t="shared" si="206"/>
        <v>Week 50</v>
      </c>
      <c r="G3275" s="2" t="str">
        <f t="shared" si="207"/>
        <v>Week 50-2025</v>
      </c>
      <c r="O3275"/>
      <c r="Q3275"/>
    </row>
    <row r="3276" spans="1:17" hidden="1" x14ac:dyDescent="0.2">
      <c r="A3276" s="3">
        <v>46001</v>
      </c>
      <c r="B3276" s="2" t="s">
        <v>4</v>
      </c>
      <c r="C3276" s="2">
        <v>6</v>
      </c>
      <c r="D3276" s="2">
        <f t="shared" si="204"/>
        <v>2025</v>
      </c>
      <c r="E3276" s="2" t="str">
        <f t="shared" si="205"/>
        <v>2025-50</v>
      </c>
      <c r="F3276" s="2" t="str">
        <f t="shared" si="206"/>
        <v>Week 50</v>
      </c>
      <c r="G3276" s="2" t="str">
        <f t="shared" si="207"/>
        <v>Week 50-2025</v>
      </c>
      <c r="O3276"/>
      <c r="Q3276"/>
    </row>
    <row r="3277" spans="1:17" hidden="1" x14ac:dyDescent="0.2">
      <c r="A3277" s="3">
        <v>46001</v>
      </c>
      <c r="B3277" s="2" t="s">
        <v>9</v>
      </c>
      <c r="C3277" s="2">
        <v>5</v>
      </c>
      <c r="D3277" s="2">
        <f t="shared" si="204"/>
        <v>2025</v>
      </c>
      <c r="E3277" s="2" t="str">
        <f t="shared" si="205"/>
        <v>2025-50</v>
      </c>
      <c r="F3277" s="2" t="str">
        <f t="shared" si="206"/>
        <v>Week 50</v>
      </c>
      <c r="G3277" s="2" t="str">
        <f t="shared" si="207"/>
        <v>Week 50-2025</v>
      </c>
      <c r="O3277"/>
      <c r="Q3277"/>
    </row>
    <row r="3278" spans="1:17" hidden="1" x14ac:dyDescent="0.2">
      <c r="A3278" s="3">
        <v>46001</v>
      </c>
      <c r="B3278" s="2" t="s">
        <v>21</v>
      </c>
      <c r="C3278" s="2">
        <v>3</v>
      </c>
      <c r="D3278" s="2">
        <f t="shared" si="204"/>
        <v>2025</v>
      </c>
      <c r="E3278" s="2" t="str">
        <f t="shared" si="205"/>
        <v>2025-50</v>
      </c>
      <c r="F3278" s="2" t="str">
        <f t="shared" si="206"/>
        <v>Week 50</v>
      </c>
      <c r="G3278" s="2" t="str">
        <f t="shared" si="207"/>
        <v>Week 50-2025</v>
      </c>
      <c r="O3278"/>
      <c r="Q3278"/>
    </row>
    <row r="3279" spans="1:17" hidden="1" x14ac:dyDescent="0.2">
      <c r="A3279" s="3">
        <v>46001</v>
      </c>
      <c r="B3279" s="2" t="s">
        <v>17</v>
      </c>
      <c r="C3279" s="2">
        <v>6</v>
      </c>
      <c r="D3279" s="2">
        <f t="shared" si="204"/>
        <v>2025</v>
      </c>
      <c r="E3279" s="2" t="str">
        <f t="shared" si="205"/>
        <v>2025-50</v>
      </c>
      <c r="F3279" s="2" t="str">
        <f t="shared" si="206"/>
        <v>Week 50</v>
      </c>
      <c r="G3279" s="2" t="str">
        <f t="shared" si="207"/>
        <v>Week 50-2025</v>
      </c>
      <c r="O3279"/>
      <c r="Q3279"/>
    </row>
    <row r="3280" spans="1:17" hidden="1" x14ac:dyDescent="0.2">
      <c r="A3280" s="3">
        <v>46001</v>
      </c>
      <c r="B3280" s="2" t="s">
        <v>19</v>
      </c>
      <c r="C3280" s="2">
        <v>4</v>
      </c>
      <c r="D3280" s="2">
        <f t="shared" si="204"/>
        <v>2025</v>
      </c>
      <c r="E3280" s="2" t="str">
        <f t="shared" si="205"/>
        <v>2025-50</v>
      </c>
      <c r="F3280" s="2" t="str">
        <f t="shared" si="206"/>
        <v>Week 50</v>
      </c>
      <c r="G3280" s="2" t="str">
        <f t="shared" si="207"/>
        <v>Week 50-2025</v>
      </c>
      <c r="O3280"/>
      <c r="Q3280"/>
    </row>
    <row r="3281" spans="1:17" hidden="1" x14ac:dyDescent="0.2">
      <c r="A3281" s="3">
        <v>46001</v>
      </c>
      <c r="B3281" s="2" t="s">
        <v>12</v>
      </c>
      <c r="C3281" s="2">
        <v>3</v>
      </c>
      <c r="D3281" s="2">
        <f t="shared" si="204"/>
        <v>2025</v>
      </c>
      <c r="E3281" s="2" t="str">
        <f t="shared" si="205"/>
        <v>2025-50</v>
      </c>
      <c r="F3281" s="2" t="str">
        <f t="shared" si="206"/>
        <v>Week 50</v>
      </c>
      <c r="G3281" s="2" t="str">
        <f t="shared" si="207"/>
        <v>Week 50-2025</v>
      </c>
      <c r="O3281"/>
      <c r="Q3281"/>
    </row>
    <row r="3282" spans="1:17" hidden="1" x14ac:dyDescent="0.2">
      <c r="A3282" s="3">
        <v>46001</v>
      </c>
      <c r="B3282" s="2" t="s">
        <v>12</v>
      </c>
      <c r="C3282" s="2">
        <v>3</v>
      </c>
      <c r="D3282" s="2">
        <f t="shared" si="204"/>
        <v>2025</v>
      </c>
      <c r="E3282" s="2" t="str">
        <f t="shared" si="205"/>
        <v>2025-50</v>
      </c>
      <c r="F3282" s="2" t="str">
        <f t="shared" si="206"/>
        <v>Week 50</v>
      </c>
      <c r="G3282" s="2" t="str">
        <f t="shared" si="207"/>
        <v>Week 50-2025</v>
      </c>
      <c r="O3282"/>
      <c r="Q3282"/>
    </row>
    <row r="3283" spans="1:17" hidden="1" x14ac:dyDescent="0.2">
      <c r="A3283" s="3">
        <v>46001</v>
      </c>
      <c r="B3283" s="2" t="s">
        <v>12</v>
      </c>
      <c r="C3283" s="2">
        <v>3</v>
      </c>
      <c r="D3283" s="2">
        <f t="shared" si="204"/>
        <v>2025</v>
      </c>
      <c r="E3283" s="2" t="str">
        <f t="shared" si="205"/>
        <v>2025-50</v>
      </c>
      <c r="F3283" s="2" t="str">
        <f t="shared" si="206"/>
        <v>Week 50</v>
      </c>
      <c r="G3283" s="2" t="str">
        <f t="shared" si="207"/>
        <v>Week 50-2025</v>
      </c>
      <c r="O3283"/>
      <c r="Q3283"/>
    </row>
    <row r="3284" spans="1:17" hidden="1" x14ac:dyDescent="0.2">
      <c r="A3284" s="3">
        <v>46001</v>
      </c>
      <c r="B3284" s="2" t="s">
        <v>28</v>
      </c>
      <c r="C3284" s="2">
        <v>10</v>
      </c>
      <c r="D3284" s="2">
        <f t="shared" si="204"/>
        <v>2025</v>
      </c>
      <c r="E3284" s="2" t="str">
        <f t="shared" si="205"/>
        <v>2025-50</v>
      </c>
      <c r="F3284" s="2" t="str">
        <f t="shared" si="206"/>
        <v>Week 50</v>
      </c>
      <c r="G3284" s="2" t="str">
        <f t="shared" si="207"/>
        <v>Week 50-2025</v>
      </c>
      <c r="O3284"/>
      <c r="Q3284"/>
    </row>
    <row r="3285" spans="1:17" hidden="1" x14ac:dyDescent="0.2">
      <c r="A3285" s="3">
        <v>46001</v>
      </c>
      <c r="B3285" s="2" t="s">
        <v>7</v>
      </c>
      <c r="C3285" s="2">
        <v>4</v>
      </c>
      <c r="D3285" s="2">
        <f t="shared" si="204"/>
        <v>2025</v>
      </c>
      <c r="E3285" s="2" t="str">
        <f t="shared" si="205"/>
        <v>2025-50</v>
      </c>
      <c r="F3285" s="2" t="str">
        <f t="shared" si="206"/>
        <v>Week 50</v>
      </c>
      <c r="G3285" s="2" t="str">
        <f t="shared" si="207"/>
        <v>Week 50-2025</v>
      </c>
      <c r="O3285"/>
      <c r="Q3285"/>
    </row>
    <row r="3286" spans="1:17" hidden="1" x14ac:dyDescent="0.2">
      <c r="A3286" s="3">
        <v>46001</v>
      </c>
      <c r="B3286" s="2" t="s">
        <v>14</v>
      </c>
      <c r="C3286" s="2">
        <v>8</v>
      </c>
      <c r="D3286" s="2">
        <f t="shared" si="204"/>
        <v>2025</v>
      </c>
      <c r="E3286" s="2" t="str">
        <f t="shared" si="205"/>
        <v>2025-50</v>
      </c>
      <c r="F3286" s="2" t="str">
        <f t="shared" si="206"/>
        <v>Week 50</v>
      </c>
      <c r="G3286" s="2" t="str">
        <f t="shared" si="207"/>
        <v>Week 50-2025</v>
      </c>
      <c r="O3286"/>
      <c r="Q3286"/>
    </row>
    <row r="3287" spans="1:17" hidden="1" x14ac:dyDescent="0.2">
      <c r="A3287" s="3">
        <v>46001</v>
      </c>
      <c r="B3287" s="2" t="s">
        <v>14</v>
      </c>
      <c r="C3287" s="2">
        <v>8</v>
      </c>
      <c r="D3287" s="2">
        <f t="shared" si="204"/>
        <v>2025</v>
      </c>
      <c r="E3287" s="2" t="str">
        <f t="shared" si="205"/>
        <v>2025-50</v>
      </c>
      <c r="F3287" s="2" t="str">
        <f t="shared" si="206"/>
        <v>Week 50</v>
      </c>
      <c r="G3287" s="2" t="str">
        <f t="shared" si="207"/>
        <v>Week 50-2025</v>
      </c>
      <c r="O3287"/>
      <c r="Q3287"/>
    </row>
    <row r="3288" spans="1:17" hidden="1" x14ac:dyDescent="0.2">
      <c r="A3288" s="3">
        <v>46001</v>
      </c>
      <c r="B3288" s="2" t="s">
        <v>34</v>
      </c>
      <c r="C3288" s="2">
        <v>7</v>
      </c>
      <c r="D3288" s="2">
        <f t="shared" si="204"/>
        <v>2025</v>
      </c>
      <c r="E3288" s="2" t="str">
        <f t="shared" si="205"/>
        <v>2025-50</v>
      </c>
      <c r="F3288" s="2" t="str">
        <f t="shared" si="206"/>
        <v>Week 50</v>
      </c>
      <c r="G3288" s="2" t="str">
        <f t="shared" si="207"/>
        <v>Week 50-2025</v>
      </c>
      <c r="O3288"/>
      <c r="Q3288"/>
    </row>
    <row r="3289" spans="1:17" hidden="1" x14ac:dyDescent="0.2">
      <c r="A3289" s="3">
        <v>46001</v>
      </c>
      <c r="B3289" s="2" t="s">
        <v>9</v>
      </c>
      <c r="C3289" s="2">
        <v>4</v>
      </c>
      <c r="D3289" s="2">
        <f t="shared" si="204"/>
        <v>2025</v>
      </c>
      <c r="E3289" s="2" t="str">
        <f t="shared" si="205"/>
        <v>2025-50</v>
      </c>
      <c r="F3289" s="2" t="str">
        <f t="shared" si="206"/>
        <v>Week 50</v>
      </c>
      <c r="G3289" s="2" t="str">
        <f t="shared" si="207"/>
        <v>Week 50-2025</v>
      </c>
      <c r="O3289"/>
      <c r="Q3289"/>
    </row>
    <row r="3290" spans="1:17" hidden="1" x14ac:dyDescent="0.2">
      <c r="A3290" s="3">
        <v>46001</v>
      </c>
      <c r="B3290" s="2" t="s">
        <v>46</v>
      </c>
      <c r="C3290" s="2">
        <v>8</v>
      </c>
      <c r="D3290" s="2">
        <f t="shared" si="204"/>
        <v>2025</v>
      </c>
      <c r="E3290" s="2" t="str">
        <f t="shared" si="205"/>
        <v>2025-50</v>
      </c>
      <c r="F3290" s="2" t="str">
        <f t="shared" si="206"/>
        <v>Week 50</v>
      </c>
      <c r="G3290" s="2" t="str">
        <f t="shared" si="207"/>
        <v>Week 50-2025</v>
      </c>
      <c r="O3290"/>
      <c r="Q3290"/>
    </row>
    <row r="3291" spans="1:17" hidden="1" x14ac:dyDescent="0.2">
      <c r="A3291" s="3">
        <v>46001</v>
      </c>
      <c r="B3291" s="2" t="s">
        <v>46</v>
      </c>
      <c r="C3291" s="2">
        <v>8</v>
      </c>
      <c r="D3291" s="2">
        <f t="shared" si="204"/>
        <v>2025</v>
      </c>
      <c r="E3291" s="2" t="str">
        <f t="shared" si="205"/>
        <v>2025-50</v>
      </c>
      <c r="F3291" s="2" t="str">
        <f t="shared" si="206"/>
        <v>Week 50</v>
      </c>
      <c r="G3291" s="2" t="str">
        <f t="shared" si="207"/>
        <v>Week 50-2025</v>
      </c>
      <c r="O3291"/>
      <c r="Q3291"/>
    </row>
    <row r="3292" spans="1:17" hidden="1" x14ac:dyDescent="0.2">
      <c r="A3292" s="3">
        <v>46001</v>
      </c>
      <c r="B3292" s="2" t="s">
        <v>5</v>
      </c>
      <c r="C3292" s="2">
        <v>5</v>
      </c>
      <c r="D3292" s="2">
        <f t="shared" si="204"/>
        <v>2025</v>
      </c>
      <c r="E3292" s="2" t="str">
        <f t="shared" si="205"/>
        <v>2025-50</v>
      </c>
      <c r="F3292" s="2" t="str">
        <f t="shared" si="206"/>
        <v>Week 50</v>
      </c>
      <c r="G3292" s="2" t="str">
        <f t="shared" si="207"/>
        <v>Week 50-2025</v>
      </c>
      <c r="O3292"/>
      <c r="Q3292"/>
    </row>
    <row r="3293" spans="1:17" hidden="1" x14ac:dyDescent="0.2">
      <c r="A3293" s="3">
        <v>46001</v>
      </c>
      <c r="B3293" s="2" t="s">
        <v>34</v>
      </c>
      <c r="C3293" s="2">
        <v>6</v>
      </c>
      <c r="D3293" s="2">
        <f t="shared" si="204"/>
        <v>2025</v>
      </c>
      <c r="E3293" s="2" t="str">
        <f t="shared" si="205"/>
        <v>2025-50</v>
      </c>
      <c r="F3293" s="2" t="str">
        <f t="shared" si="206"/>
        <v>Week 50</v>
      </c>
      <c r="G3293" s="2" t="str">
        <f t="shared" si="207"/>
        <v>Week 50-2025</v>
      </c>
      <c r="O3293"/>
      <c r="Q3293"/>
    </row>
    <row r="3294" spans="1:17" hidden="1" x14ac:dyDescent="0.2">
      <c r="A3294" s="3">
        <v>46001</v>
      </c>
      <c r="B3294" s="2" t="s">
        <v>12</v>
      </c>
      <c r="C3294" s="2">
        <v>2</v>
      </c>
      <c r="D3294" s="2">
        <f t="shared" si="204"/>
        <v>2025</v>
      </c>
      <c r="E3294" s="2" t="str">
        <f t="shared" si="205"/>
        <v>2025-50</v>
      </c>
      <c r="F3294" s="2" t="str">
        <f t="shared" si="206"/>
        <v>Week 50</v>
      </c>
      <c r="G3294" s="2" t="str">
        <f t="shared" si="207"/>
        <v>Week 50-2025</v>
      </c>
      <c r="O3294"/>
      <c r="Q3294"/>
    </row>
    <row r="3295" spans="1:17" hidden="1" x14ac:dyDescent="0.2">
      <c r="A3295" s="3">
        <v>46001</v>
      </c>
      <c r="B3295" s="2" t="s">
        <v>34</v>
      </c>
      <c r="C3295" s="2">
        <v>5</v>
      </c>
      <c r="D3295" s="2">
        <f t="shared" si="204"/>
        <v>2025</v>
      </c>
      <c r="E3295" s="2" t="str">
        <f t="shared" si="205"/>
        <v>2025-50</v>
      </c>
      <c r="F3295" s="2" t="str">
        <f t="shared" si="206"/>
        <v>Week 50</v>
      </c>
      <c r="G3295" s="2" t="str">
        <f t="shared" si="207"/>
        <v>Week 50-2025</v>
      </c>
      <c r="O3295"/>
      <c r="Q3295"/>
    </row>
    <row r="3296" spans="1:17" hidden="1" x14ac:dyDescent="0.2">
      <c r="A3296" s="3">
        <v>46001</v>
      </c>
      <c r="B3296" s="2" t="s">
        <v>34</v>
      </c>
      <c r="C3296" s="2">
        <v>5</v>
      </c>
      <c r="D3296" s="2">
        <f t="shared" si="204"/>
        <v>2025</v>
      </c>
      <c r="E3296" s="2" t="str">
        <f t="shared" si="205"/>
        <v>2025-50</v>
      </c>
      <c r="F3296" s="2" t="str">
        <f t="shared" si="206"/>
        <v>Week 50</v>
      </c>
      <c r="G3296" s="2" t="str">
        <f t="shared" si="207"/>
        <v>Week 50-2025</v>
      </c>
      <c r="O3296"/>
      <c r="Q3296"/>
    </row>
    <row r="3297" spans="1:17" hidden="1" x14ac:dyDescent="0.2">
      <c r="A3297" s="3">
        <v>46001</v>
      </c>
      <c r="B3297" s="2" t="s">
        <v>8</v>
      </c>
      <c r="C3297" s="2">
        <v>6</v>
      </c>
      <c r="D3297" s="2">
        <f t="shared" si="204"/>
        <v>2025</v>
      </c>
      <c r="E3297" s="2" t="str">
        <f t="shared" si="205"/>
        <v>2025-50</v>
      </c>
      <c r="F3297" s="2" t="str">
        <f t="shared" si="206"/>
        <v>Week 50</v>
      </c>
      <c r="G3297" s="2" t="str">
        <f t="shared" si="207"/>
        <v>Week 50-2025</v>
      </c>
      <c r="O3297"/>
      <c r="Q3297"/>
    </row>
    <row r="3298" spans="1:17" hidden="1" x14ac:dyDescent="0.2">
      <c r="A3298" s="3">
        <v>46001</v>
      </c>
      <c r="B3298" s="2" t="s">
        <v>8</v>
      </c>
      <c r="C3298" s="2">
        <v>6</v>
      </c>
      <c r="D3298" s="2">
        <f t="shared" si="204"/>
        <v>2025</v>
      </c>
      <c r="E3298" s="2" t="str">
        <f t="shared" si="205"/>
        <v>2025-50</v>
      </c>
      <c r="F3298" s="2" t="str">
        <f t="shared" si="206"/>
        <v>Week 50</v>
      </c>
      <c r="G3298" s="2" t="str">
        <f t="shared" si="207"/>
        <v>Week 50-2025</v>
      </c>
      <c r="O3298"/>
      <c r="Q3298"/>
    </row>
    <row r="3299" spans="1:17" hidden="1" x14ac:dyDescent="0.2">
      <c r="A3299" s="3">
        <v>46001</v>
      </c>
      <c r="B3299" s="2" t="s">
        <v>28</v>
      </c>
      <c r="C3299" s="2">
        <v>5</v>
      </c>
      <c r="D3299" s="2">
        <f t="shared" si="204"/>
        <v>2025</v>
      </c>
      <c r="E3299" s="2" t="str">
        <f t="shared" si="205"/>
        <v>2025-50</v>
      </c>
      <c r="F3299" s="2" t="str">
        <f t="shared" si="206"/>
        <v>Week 50</v>
      </c>
      <c r="G3299" s="2" t="str">
        <f t="shared" si="207"/>
        <v>Week 50-2025</v>
      </c>
      <c r="O3299"/>
      <c r="Q3299"/>
    </row>
    <row r="3300" spans="1:17" hidden="1" x14ac:dyDescent="0.2">
      <c r="A3300" s="3">
        <v>46001</v>
      </c>
      <c r="B3300" s="2" t="s">
        <v>35</v>
      </c>
      <c r="C3300" s="2">
        <v>4</v>
      </c>
      <c r="D3300" s="2">
        <f t="shared" si="204"/>
        <v>2025</v>
      </c>
      <c r="E3300" s="2" t="str">
        <f t="shared" si="205"/>
        <v>2025-50</v>
      </c>
      <c r="F3300" s="2" t="str">
        <f t="shared" si="206"/>
        <v>Week 50</v>
      </c>
      <c r="G3300" s="2" t="str">
        <f t="shared" si="207"/>
        <v>Week 50-2025</v>
      </c>
      <c r="O3300"/>
      <c r="Q3300"/>
    </row>
    <row r="3301" spans="1:17" hidden="1" x14ac:dyDescent="0.2">
      <c r="A3301" s="3">
        <v>46001</v>
      </c>
      <c r="B3301" s="2" t="s">
        <v>9</v>
      </c>
      <c r="C3301" s="2">
        <v>2</v>
      </c>
      <c r="D3301" s="2">
        <f t="shared" si="204"/>
        <v>2025</v>
      </c>
      <c r="E3301" s="2" t="str">
        <f t="shared" si="205"/>
        <v>2025-50</v>
      </c>
      <c r="F3301" s="2" t="str">
        <f t="shared" si="206"/>
        <v>Week 50</v>
      </c>
      <c r="G3301" s="2" t="str">
        <f t="shared" si="207"/>
        <v>Week 50-2025</v>
      </c>
      <c r="O3301"/>
      <c r="Q3301"/>
    </row>
    <row r="3302" spans="1:17" hidden="1" x14ac:dyDescent="0.2">
      <c r="A3302" s="3">
        <v>46001</v>
      </c>
      <c r="B3302" s="2" t="s">
        <v>30</v>
      </c>
      <c r="C3302" s="2">
        <v>4</v>
      </c>
      <c r="D3302" s="2">
        <f t="shared" si="204"/>
        <v>2025</v>
      </c>
      <c r="E3302" s="2" t="str">
        <f t="shared" si="205"/>
        <v>2025-50</v>
      </c>
      <c r="F3302" s="2" t="str">
        <f t="shared" si="206"/>
        <v>Week 50</v>
      </c>
      <c r="G3302" s="2" t="str">
        <f t="shared" si="207"/>
        <v>Week 50-2025</v>
      </c>
      <c r="O3302"/>
      <c r="Q3302"/>
    </row>
    <row r="3303" spans="1:17" hidden="1" x14ac:dyDescent="0.2">
      <c r="A3303" s="3">
        <v>46001</v>
      </c>
      <c r="B3303" s="2" t="s">
        <v>39</v>
      </c>
      <c r="C3303" s="2">
        <v>2</v>
      </c>
      <c r="D3303" s="2">
        <f t="shared" si="204"/>
        <v>2025</v>
      </c>
      <c r="E3303" s="2" t="str">
        <f t="shared" si="205"/>
        <v>2025-50</v>
      </c>
      <c r="F3303" s="2" t="str">
        <f t="shared" si="206"/>
        <v>Week 50</v>
      </c>
      <c r="G3303" s="2" t="str">
        <f t="shared" si="207"/>
        <v>Week 50-2025</v>
      </c>
      <c r="O3303"/>
      <c r="Q3303"/>
    </row>
    <row r="3304" spans="1:17" hidden="1" x14ac:dyDescent="0.2">
      <c r="A3304" s="3">
        <v>46001</v>
      </c>
      <c r="B3304" s="2" t="s">
        <v>42</v>
      </c>
      <c r="C3304" s="2">
        <v>3</v>
      </c>
      <c r="D3304" s="2">
        <f t="shared" si="204"/>
        <v>2025</v>
      </c>
      <c r="E3304" s="2" t="str">
        <f t="shared" si="205"/>
        <v>2025-50</v>
      </c>
      <c r="F3304" s="2" t="str">
        <f t="shared" si="206"/>
        <v>Week 50</v>
      </c>
      <c r="G3304" s="2" t="str">
        <f t="shared" si="207"/>
        <v>Week 50-2025</v>
      </c>
      <c r="O3304"/>
      <c r="Q3304"/>
    </row>
    <row r="3305" spans="1:17" hidden="1" x14ac:dyDescent="0.2">
      <c r="A3305" s="3">
        <v>46001</v>
      </c>
      <c r="B3305" s="2" t="s">
        <v>9</v>
      </c>
      <c r="C3305" s="2">
        <v>1</v>
      </c>
      <c r="D3305" s="2">
        <f t="shared" si="204"/>
        <v>2025</v>
      </c>
      <c r="E3305" s="2" t="str">
        <f t="shared" si="205"/>
        <v>2025-50</v>
      </c>
      <c r="F3305" s="2" t="str">
        <f t="shared" si="206"/>
        <v>Week 50</v>
      </c>
      <c r="G3305" s="2" t="str">
        <f t="shared" si="207"/>
        <v>Week 50-2025</v>
      </c>
      <c r="O3305"/>
      <c r="Q3305"/>
    </row>
    <row r="3306" spans="1:17" hidden="1" x14ac:dyDescent="0.2">
      <c r="A3306" s="3">
        <v>46001</v>
      </c>
      <c r="B3306" s="2" t="s">
        <v>35</v>
      </c>
      <c r="C3306" s="2">
        <v>2</v>
      </c>
      <c r="D3306" s="2">
        <f t="shared" si="204"/>
        <v>2025</v>
      </c>
      <c r="E3306" s="2" t="str">
        <f t="shared" si="205"/>
        <v>2025-50</v>
      </c>
      <c r="F3306" s="2" t="str">
        <f t="shared" si="206"/>
        <v>Week 50</v>
      </c>
      <c r="G3306" s="2" t="str">
        <f t="shared" si="207"/>
        <v>Week 50-2025</v>
      </c>
      <c r="O3306"/>
      <c r="Q3306"/>
    </row>
    <row r="3307" spans="1:17" hidden="1" x14ac:dyDescent="0.2">
      <c r="A3307" s="3">
        <v>46001</v>
      </c>
      <c r="B3307" s="2" t="s">
        <v>46</v>
      </c>
      <c r="C3307" s="2">
        <v>2</v>
      </c>
      <c r="D3307" s="2">
        <f t="shared" si="204"/>
        <v>2025</v>
      </c>
      <c r="E3307" s="2" t="str">
        <f t="shared" si="205"/>
        <v>2025-50</v>
      </c>
      <c r="F3307" s="2" t="str">
        <f t="shared" si="206"/>
        <v>Week 50</v>
      </c>
      <c r="G3307" s="2" t="str">
        <f t="shared" si="207"/>
        <v>Week 50-2025</v>
      </c>
      <c r="O3307"/>
      <c r="Q3307"/>
    </row>
    <row r="3308" spans="1:17" hidden="1" x14ac:dyDescent="0.2">
      <c r="A3308" s="3">
        <v>46001</v>
      </c>
      <c r="B3308" s="2" t="s">
        <v>46</v>
      </c>
      <c r="C3308" s="2">
        <v>2</v>
      </c>
      <c r="D3308" s="2">
        <f t="shared" si="204"/>
        <v>2025</v>
      </c>
      <c r="E3308" s="2" t="str">
        <f t="shared" si="205"/>
        <v>2025-50</v>
      </c>
      <c r="F3308" s="2" t="str">
        <f t="shared" si="206"/>
        <v>Week 50</v>
      </c>
      <c r="G3308" s="2" t="str">
        <f t="shared" si="207"/>
        <v>Week 50-2025</v>
      </c>
      <c r="O3308"/>
      <c r="Q3308"/>
    </row>
    <row r="3309" spans="1:17" hidden="1" x14ac:dyDescent="0.2">
      <c r="A3309" s="3">
        <v>46001</v>
      </c>
      <c r="B3309" s="2" t="s">
        <v>28</v>
      </c>
      <c r="C3309" s="2">
        <v>2</v>
      </c>
      <c r="D3309" s="2">
        <f t="shared" si="204"/>
        <v>2025</v>
      </c>
      <c r="E3309" s="2" t="str">
        <f t="shared" si="205"/>
        <v>2025-50</v>
      </c>
      <c r="F3309" s="2" t="str">
        <f t="shared" si="206"/>
        <v>Week 50</v>
      </c>
      <c r="G3309" s="2" t="str">
        <f t="shared" si="207"/>
        <v>Week 50-2025</v>
      </c>
      <c r="O3309"/>
      <c r="Q3309"/>
    </row>
    <row r="3310" spans="1:17" hidden="1" x14ac:dyDescent="0.2">
      <c r="A3310" s="3">
        <v>46001</v>
      </c>
      <c r="B3310" s="2" t="s">
        <v>5</v>
      </c>
      <c r="C3310" s="2">
        <v>1</v>
      </c>
      <c r="D3310" s="2">
        <f t="shared" si="204"/>
        <v>2025</v>
      </c>
      <c r="E3310" s="2" t="str">
        <f t="shared" si="205"/>
        <v>2025-50</v>
      </c>
      <c r="F3310" s="2" t="str">
        <f t="shared" si="206"/>
        <v>Week 50</v>
      </c>
      <c r="G3310" s="2" t="str">
        <f t="shared" si="207"/>
        <v>Week 50-2025</v>
      </c>
      <c r="O3310"/>
      <c r="Q3310"/>
    </row>
    <row r="3311" spans="1:17" hidden="1" x14ac:dyDescent="0.2">
      <c r="A3311" s="3">
        <v>46001</v>
      </c>
      <c r="B3311" s="2" t="s">
        <v>5</v>
      </c>
      <c r="C3311" s="2">
        <v>1</v>
      </c>
      <c r="D3311" s="2">
        <f t="shared" si="204"/>
        <v>2025</v>
      </c>
      <c r="E3311" s="2" t="str">
        <f t="shared" si="205"/>
        <v>2025-50</v>
      </c>
      <c r="F3311" s="2" t="str">
        <f t="shared" si="206"/>
        <v>Week 50</v>
      </c>
      <c r="G3311" s="2" t="str">
        <f t="shared" si="207"/>
        <v>Week 50-2025</v>
      </c>
      <c r="O3311"/>
      <c r="Q3311"/>
    </row>
    <row r="3312" spans="1:17" hidden="1" x14ac:dyDescent="0.2">
      <c r="A3312" s="3">
        <v>46001</v>
      </c>
      <c r="B3312" s="2" t="s">
        <v>5</v>
      </c>
      <c r="C3312" s="2">
        <v>1</v>
      </c>
      <c r="D3312" s="2">
        <f t="shared" si="204"/>
        <v>2025</v>
      </c>
      <c r="E3312" s="2" t="str">
        <f t="shared" si="205"/>
        <v>2025-50</v>
      </c>
      <c r="F3312" s="2" t="str">
        <f t="shared" si="206"/>
        <v>Week 50</v>
      </c>
      <c r="G3312" s="2" t="str">
        <f t="shared" si="207"/>
        <v>Week 50-2025</v>
      </c>
      <c r="O3312"/>
      <c r="Q3312"/>
    </row>
    <row r="3313" spans="1:17" hidden="1" x14ac:dyDescent="0.2">
      <c r="A3313" s="3">
        <v>46001</v>
      </c>
      <c r="B3313" s="2" t="s">
        <v>15</v>
      </c>
      <c r="C3313" s="2">
        <v>2</v>
      </c>
      <c r="D3313" s="2">
        <f t="shared" si="204"/>
        <v>2025</v>
      </c>
      <c r="E3313" s="2" t="str">
        <f t="shared" si="205"/>
        <v>2025-50</v>
      </c>
      <c r="F3313" s="2" t="str">
        <f t="shared" si="206"/>
        <v>Week 50</v>
      </c>
      <c r="G3313" s="2" t="str">
        <f t="shared" si="207"/>
        <v>Week 50-2025</v>
      </c>
      <c r="O3313"/>
      <c r="Q3313"/>
    </row>
    <row r="3314" spans="1:17" hidden="1" x14ac:dyDescent="0.2">
      <c r="A3314" s="3">
        <v>46001</v>
      </c>
      <c r="B3314" s="2" t="s">
        <v>36</v>
      </c>
      <c r="C3314" s="2">
        <v>2</v>
      </c>
      <c r="D3314" s="2">
        <f t="shared" si="204"/>
        <v>2025</v>
      </c>
      <c r="E3314" s="2" t="str">
        <f t="shared" si="205"/>
        <v>2025-50</v>
      </c>
      <c r="F3314" s="2" t="str">
        <f t="shared" si="206"/>
        <v>Week 50</v>
      </c>
      <c r="G3314" s="2" t="str">
        <f t="shared" si="207"/>
        <v>Week 50-2025</v>
      </c>
      <c r="O3314"/>
      <c r="Q3314"/>
    </row>
    <row r="3315" spans="1:17" hidden="1" x14ac:dyDescent="0.2">
      <c r="A3315" s="3">
        <v>46001</v>
      </c>
      <c r="B3315" s="2" t="s">
        <v>34</v>
      </c>
      <c r="C3315" s="2">
        <v>1</v>
      </c>
      <c r="D3315" s="2">
        <f t="shared" si="204"/>
        <v>2025</v>
      </c>
      <c r="E3315" s="2" t="str">
        <f t="shared" si="205"/>
        <v>2025-50</v>
      </c>
      <c r="F3315" s="2" t="str">
        <f t="shared" si="206"/>
        <v>Week 50</v>
      </c>
      <c r="G3315" s="2" t="str">
        <f t="shared" si="207"/>
        <v>Week 50-2025</v>
      </c>
      <c r="O3315"/>
      <c r="Q3315"/>
    </row>
    <row r="3316" spans="1:17" hidden="1" x14ac:dyDescent="0.2">
      <c r="A3316" s="3">
        <v>46001</v>
      </c>
      <c r="B3316" s="2" t="s">
        <v>34</v>
      </c>
      <c r="C3316" s="2">
        <v>1</v>
      </c>
      <c r="D3316" s="2">
        <f t="shared" si="204"/>
        <v>2025</v>
      </c>
      <c r="E3316" s="2" t="str">
        <f t="shared" si="205"/>
        <v>2025-50</v>
      </c>
      <c r="F3316" s="2" t="str">
        <f t="shared" si="206"/>
        <v>Week 50</v>
      </c>
      <c r="G3316" s="2" t="str">
        <f t="shared" si="207"/>
        <v>Week 50-2025</v>
      </c>
      <c r="O3316"/>
      <c r="Q3316"/>
    </row>
    <row r="3317" spans="1:17" hidden="1" x14ac:dyDescent="0.2">
      <c r="A3317" s="3">
        <v>46001</v>
      </c>
      <c r="B3317" s="2" t="s">
        <v>28</v>
      </c>
      <c r="C3317" s="2">
        <v>1</v>
      </c>
      <c r="D3317" s="2">
        <f t="shared" si="204"/>
        <v>2025</v>
      </c>
      <c r="E3317" s="2" t="str">
        <f t="shared" si="205"/>
        <v>2025-50</v>
      </c>
      <c r="F3317" s="2" t="str">
        <f t="shared" si="206"/>
        <v>Week 50</v>
      </c>
      <c r="G3317" s="2" t="str">
        <f t="shared" si="207"/>
        <v>Week 50-2025</v>
      </c>
      <c r="O3317"/>
      <c r="Q3317"/>
    </row>
    <row r="3318" spans="1:17" hidden="1" x14ac:dyDescent="0.2">
      <c r="A3318" s="3">
        <v>46001</v>
      </c>
      <c r="B3318" s="2" t="s">
        <v>28</v>
      </c>
      <c r="C3318" s="2">
        <v>1</v>
      </c>
      <c r="D3318" s="2">
        <f t="shared" si="204"/>
        <v>2025</v>
      </c>
      <c r="E3318" s="2" t="str">
        <f t="shared" si="205"/>
        <v>2025-50</v>
      </c>
      <c r="F3318" s="2" t="str">
        <f t="shared" si="206"/>
        <v>Week 50</v>
      </c>
      <c r="G3318" s="2" t="str">
        <f t="shared" si="207"/>
        <v>Week 50-2025</v>
      </c>
      <c r="O3318"/>
      <c r="Q3318"/>
    </row>
    <row r="3319" spans="1:17" hidden="1" x14ac:dyDescent="0.2">
      <c r="A3319" s="3">
        <v>46002</v>
      </c>
      <c r="B3319" s="2" t="s">
        <v>5</v>
      </c>
      <c r="C3319" s="2">
        <v>18</v>
      </c>
      <c r="D3319" s="2">
        <f t="shared" si="204"/>
        <v>2025</v>
      </c>
      <c r="E3319" s="2" t="str">
        <f t="shared" si="205"/>
        <v>2025-50</v>
      </c>
      <c r="F3319" s="2" t="str">
        <f t="shared" si="206"/>
        <v>Week 50</v>
      </c>
      <c r="G3319" s="2" t="str">
        <f t="shared" si="207"/>
        <v>Week 50-2025</v>
      </c>
      <c r="O3319"/>
      <c r="Q3319"/>
    </row>
    <row r="3320" spans="1:17" hidden="1" x14ac:dyDescent="0.2">
      <c r="A3320" s="3">
        <v>46002</v>
      </c>
      <c r="B3320" s="2" t="s">
        <v>3</v>
      </c>
      <c r="C3320" s="2">
        <v>11</v>
      </c>
      <c r="D3320" s="2">
        <f t="shared" si="204"/>
        <v>2025</v>
      </c>
      <c r="E3320" s="2" t="str">
        <f t="shared" si="205"/>
        <v>2025-50</v>
      </c>
      <c r="F3320" s="2" t="str">
        <f t="shared" si="206"/>
        <v>Week 50</v>
      </c>
      <c r="G3320" s="2" t="str">
        <f t="shared" si="207"/>
        <v>Week 50-2025</v>
      </c>
      <c r="O3320"/>
      <c r="Q3320"/>
    </row>
    <row r="3321" spans="1:17" hidden="1" x14ac:dyDescent="0.2">
      <c r="A3321" s="3">
        <v>46002</v>
      </c>
      <c r="B3321" s="2" t="s">
        <v>9</v>
      </c>
      <c r="C3321" s="2">
        <v>2</v>
      </c>
      <c r="D3321" s="2">
        <f t="shared" si="204"/>
        <v>2025</v>
      </c>
      <c r="E3321" s="2" t="str">
        <f t="shared" si="205"/>
        <v>2025-50</v>
      </c>
      <c r="F3321" s="2" t="str">
        <f t="shared" si="206"/>
        <v>Week 50</v>
      </c>
      <c r="G3321" s="2" t="str">
        <f t="shared" si="207"/>
        <v>Week 50-2025</v>
      </c>
      <c r="O3321"/>
      <c r="Q3321"/>
    </row>
    <row r="3322" spans="1:17" hidden="1" x14ac:dyDescent="0.2">
      <c r="A3322" s="3">
        <v>46002</v>
      </c>
      <c r="B3322" s="2" t="s">
        <v>9</v>
      </c>
      <c r="C3322" s="2">
        <v>2</v>
      </c>
      <c r="D3322" s="2">
        <f t="shared" si="204"/>
        <v>2025</v>
      </c>
      <c r="E3322" s="2" t="str">
        <f t="shared" si="205"/>
        <v>2025-50</v>
      </c>
      <c r="F3322" s="2" t="str">
        <f t="shared" si="206"/>
        <v>Week 50</v>
      </c>
      <c r="G3322" s="2" t="str">
        <f t="shared" si="207"/>
        <v>Week 50-2025</v>
      </c>
      <c r="O3322"/>
      <c r="Q3322"/>
    </row>
    <row r="3323" spans="1:17" hidden="1" x14ac:dyDescent="0.2">
      <c r="A3323" s="3">
        <v>46002</v>
      </c>
      <c r="B3323" s="2" t="s">
        <v>8</v>
      </c>
      <c r="C3323" s="2">
        <v>1</v>
      </c>
      <c r="D3323" s="2">
        <f t="shared" si="204"/>
        <v>2025</v>
      </c>
      <c r="E3323" s="2" t="str">
        <f t="shared" si="205"/>
        <v>2025-50</v>
      </c>
      <c r="F3323" s="2" t="str">
        <f t="shared" si="206"/>
        <v>Week 50</v>
      </c>
      <c r="G3323" s="2" t="str">
        <f t="shared" si="207"/>
        <v>Week 50-2025</v>
      </c>
      <c r="O3323"/>
      <c r="Q3323"/>
    </row>
    <row r="3324" spans="1:17" hidden="1" x14ac:dyDescent="0.2">
      <c r="A3324" s="3">
        <v>46003</v>
      </c>
      <c r="B3324" s="2" t="s">
        <v>5</v>
      </c>
      <c r="C3324" s="2">
        <v>32</v>
      </c>
      <c r="D3324" s="2">
        <f t="shared" si="204"/>
        <v>2025</v>
      </c>
      <c r="E3324" s="2" t="str">
        <f t="shared" si="205"/>
        <v>2025-50</v>
      </c>
      <c r="F3324" s="2" t="str">
        <f t="shared" si="206"/>
        <v>Week 50</v>
      </c>
      <c r="G3324" s="2" t="str">
        <f t="shared" si="207"/>
        <v>Week 50-2025</v>
      </c>
      <c r="O3324"/>
      <c r="Q3324"/>
    </row>
    <row r="3325" spans="1:17" hidden="1" x14ac:dyDescent="0.2">
      <c r="A3325" s="3">
        <v>46003</v>
      </c>
      <c r="B3325" s="2" t="s">
        <v>9</v>
      </c>
      <c r="C3325" s="2">
        <v>22</v>
      </c>
      <c r="D3325" s="2">
        <f t="shared" si="204"/>
        <v>2025</v>
      </c>
      <c r="E3325" s="2" t="str">
        <f t="shared" si="205"/>
        <v>2025-50</v>
      </c>
      <c r="F3325" s="2" t="str">
        <f t="shared" si="206"/>
        <v>Week 50</v>
      </c>
      <c r="G3325" s="2" t="str">
        <f t="shared" si="207"/>
        <v>Week 50-2025</v>
      </c>
      <c r="O3325"/>
      <c r="Q3325"/>
    </row>
    <row r="3326" spans="1:17" hidden="1" x14ac:dyDescent="0.2">
      <c r="A3326" s="3">
        <v>46003</v>
      </c>
      <c r="B3326" s="2" t="s">
        <v>9</v>
      </c>
      <c r="C3326" s="2">
        <v>16</v>
      </c>
      <c r="D3326" s="2">
        <f t="shared" si="204"/>
        <v>2025</v>
      </c>
      <c r="E3326" s="2" t="str">
        <f t="shared" si="205"/>
        <v>2025-50</v>
      </c>
      <c r="F3326" s="2" t="str">
        <f t="shared" si="206"/>
        <v>Week 50</v>
      </c>
      <c r="G3326" s="2" t="str">
        <f t="shared" si="207"/>
        <v>Week 50-2025</v>
      </c>
      <c r="O3326"/>
      <c r="Q3326"/>
    </row>
    <row r="3327" spans="1:17" hidden="1" x14ac:dyDescent="0.2">
      <c r="A3327" s="3">
        <v>46003</v>
      </c>
      <c r="B3327" s="2" t="s">
        <v>6</v>
      </c>
      <c r="C3327" s="2">
        <v>8</v>
      </c>
      <c r="D3327" s="2">
        <f t="shared" si="204"/>
        <v>2025</v>
      </c>
      <c r="E3327" s="2" t="str">
        <f t="shared" si="205"/>
        <v>2025-50</v>
      </c>
      <c r="F3327" s="2" t="str">
        <f t="shared" si="206"/>
        <v>Week 50</v>
      </c>
      <c r="G3327" s="2" t="str">
        <f t="shared" si="207"/>
        <v>Week 50-2025</v>
      </c>
      <c r="O3327"/>
      <c r="Q3327"/>
    </row>
    <row r="3328" spans="1:17" hidden="1" x14ac:dyDescent="0.2">
      <c r="A3328" s="3">
        <v>46003</v>
      </c>
      <c r="B3328" s="2" t="s">
        <v>3</v>
      </c>
      <c r="C3328" s="2">
        <v>10</v>
      </c>
      <c r="D3328" s="2">
        <f t="shared" si="204"/>
        <v>2025</v>
      </c>
      <c r="E3328" s="2" t="str">
        <f t="shared" si="205"/>
        <v>2025-50</v>
      </c>
      <c r="F3328" s="2" t="str">
        <f t="shared" si="206"/>
        <v>Week 50</v>
      </c>
      <c r="G3328" s="2" t="str">
        <f t="shared" si="207"/>
        <v>Week 50-2025</v>
      </c>
      <c r="O3328"/>
      <c r="Q3328"/>
    </row>
    <row r="3329" spans="1:17" hidden="1" x14ac:dyDescent="0.2">
      <c r="A3329" s="3">
        <v>46003</v>
      </c>
      <c r="B3329" s="2" t="s">
        <v>14</v>
      </c>
      <c r="C3329" s="2">
        <v>13</v>
      </c>
      <c r="D3329" s="2">
        <f t="shared" si="204"/>
        <v>2025</v>
      </c>
      <c r="E3329" s="2" t="str">
        <f t="shared" si="205"/>
        <v>2025-50</v>
      </c>
      <c r="F3329" s="2" t="str">
        <f t="shared" si="206"/>
        <v>Week 50</v>
      </c>
      <c r="G3329" s="2" t="str">
        <f t="shared" si="207"/>
        <v>Week 50-2025</v>
      </c>
      <c r="O3329"/>
      <c r="Q3329"/>
    </row>
    <row r="3330" spans="1:17" hidden="1" x14ac:dyDescent="0.2">
      <c r="A3330" s="3">
        <v>46003</v>
      </c>
      <c r="B3330" s="2" t="s">
        <v>5</v>
      </c>
      <c r="C3330" s="2">
        <v>6</v>
      </c>
      <c r="D3330" s="2">
        <f t="shared" ref="D3330:D3393" si="208">YEAR(A3330)</f>
        <v>2025</v>
      </c>
      <c r="E3330" s="2" t="str">
        <f t="shared" ref="E3330:E3393" si="209">YEAR(A3330)&amp;"-"&amp;_xlfn.ISOWEEKNUM(A3330)</f>
        <v>2025-50</v>
      </c>
      <c r="F3330" s="2" t="str">
        <f t="shared" ref="F3330:F3393" si="210">_xlfn.CONCAT("Week "&amp;WEEKNUM(A3330))</f>
        <v>Week 50</v>
      </c>
      <c r="G3330" s="2" t="str">
        <f t="shared" ref="G3330:G3393" si="211">_xlfn.CONCAT(F3330,"-",D3330)</f>
        <v>Week 50-2025</v>
      </c>
      <c r="O3330"/>
      <c r="Q3330"/>
    </row>
    <row r="3331" spans="1:17" hidden="1" x14ac:dyDescent="0.2">
      <c r="A3331" s="3">
        <v>46003</v>
      </c>
      <c r="B3331" s="2" t="s">
        <v>28</v>
      </c>
      <c r="C3331" s="2">
        <v>9</v>
      </c>
      <c r="D3331" s="2">
        <f t="shared" si="208"/>
        <v>2025</v>
      </c>
      <c r="E3331" s="2" t="str">
        <f t="shared" si="209"/>
        <v>2025-50</v>
      </c>
      <c r="F3331" s="2" t="str">
        <f t="shared" si="210"/>
        <v>Week 50</v>
      </c>
      <c r="G3331" s="2" t="str">
        <f t="shared" si="211"/>
        <v>Week 50-2025</v>
      </c>
      <c r="O3331"/>
      <c r="Q3331"/>
    </row>
    <row r="3332" spans="1:17" hidden="1" x14ac:dyDescent="0.2">
      <c r="A3332" s="3">
        <v>46003</v>
      </c>
      <c r="B3332" s="2" t="s">
        <v>3</v>
      </c>
      <c r="C3332" s="2">
        <v>4</v>
      </c>
      <c r="D3332" s="2">
        <f t="shared" si="208"/>
        <v>2025</v>
      </c>
      <c r="E3332" s="2" t="str">
        <f t="shared" si="209"/>
        <v>2025-50</v>
      </c>
      <c r="F3332" s="2" t="str">
        <f t="shared" si="210"/>
        <v>Week 50</v>
      </c>
      <c r="G3332" s="2" t="str">
        <f t="shared" si="211"/>
        <v>Week 50-2025</v>
      </c>
      <c r="O3332"/>
      <c r="Q3332"/>
    </row>
    <row r="3333" spans="1:17" hidden="1" x14ac:dyDescent="0.2">
      <c r="A3333" s="3">
        <v>46003</v>
      </c>
      <c r="B3333" s="2" t="s">
        <v>4</v>
      </c>
      <c r="C3333" s="2">
        <v>2</v>
      </c>
      <c r="D3333" s="2">
        <f t="shared" si="208"/>
        <v>2025</v>
      </c>
      <c r="E3333" s="2" t="str">
        <f t="shared" si="209"/>
        <v>2025-50</v>
      </c>
      <c r="F3333" s="2" t="str">
        <f t="shared" si="210"/>
        <v>Week 50</v>
      </c>
      <c r="G3333" s="2" t="str">
        <f t="shared" si="211"/>
        <v>Week 50-2025</v>
      </c>
      <c r="O3333"/>
      <c r="Q3333"/>
    </row>
    <row r="3334" spans="1:17" hidden="1" x14ac:dyDescent="0.2">
      <c r="A3334" s="3">
        <v>46003</v>
      </c>
      <c r="B3334" s="2" t="s">
        <v>27</v>
      </c>
      <c r="C3334" s="2">
        <v>4</v>
      </c>
      <c r="D3334" s="2">
        <f t="shared" si="208"/>
        <v>2025</v>
      </c>
      <c r="E3334" s="2" t="str">
        <f t="shared" si="209"/>
        <v>2025-50</v>
      </c>
      <c r="F3334" s="2" t="str">
        <f t="shared" si="210"/>
        <v>Week 50</v>
      </c>
      <c r="G3334" s="2" t="str">
        <f t="shared" si="211"/>
        <v>Week 50-2025</v>
      </c>
      <c r="O3334"/>
      <c r="Q3334"/>
    </row>
    <row r="3335" spans="1:17" hidden="1" x14ac:dyDescent="0.2">
      <c r="A3335" s="3">
        <v>46003</v>
      </c>
      <c r="B3335" s="2" t="s">
        <v>36</v>
      </c>
      <c r="C3335" s="2">
        <v>4</v>
      </c>
      <c r="D3335" s="2">
        <f t="shared" si="208"/>
        <v>2025</v>
      </c>
      <c r="E3335" s="2" t="str">
        <f t="shared" si="209"/>
        <v>2025-50</v>
      </c>
      <c r="F3335" s="2" t="str">
        <f t="shared" si="210"/>
        <v>Week 50</v>
      </c>
      <c r="G3335" s="2" t="str">
        <f t="shared" si="211"/>
        <v>Week 50-2025</v>
      </c>
      <c r="O3335"/>
      <c r="Q3335"/>
    </row>
    <row r="3336" spans="1:17" x14ac:dyDescent="0.2">
      <c r="A3336" s="3">
        <v>46003</v>
      </c>
      <c r="B3336" s="2" t="s">
        <v>24</v>
      </c>
      <c r="C3336" s="2">
        <v>4</v>
      </c>
      <c r="D3336" s="2">
        <f t="shared" si="208"/>
        <v>2025</v>
      </c>
      <c r="E3336" s="2" t="str">
        <f t="shared" si="209"/>
        <v>2025-50</v>
      </c>
      <c r="F3336" s="2" t="str">
        <f t="shared" si="210"/>
        <v>Week 50</v>
      </c>
      <c r="G3336" s="2" t="str">
        <f t="shared" si="211"/>
        <v>Week 50-2025</v>
      </c>
      <c r="O3336"/>
      <c r="Q3336"/>
    </row>
    <row r="3337" spans="1:17" hidden="1" x14ac:dyDescent="0.2">
      <c r="A3337" s="3">
        <v>46003</v>
      </c>
      <c r="B3337" s="2" t="s">
        <v>28</v>
      </c>
      <c r="C3337" s="2">
        <v>3</v>
      </c>
      <c r="D3337" s="2">
        <f t="shared" si="208"/>
        <v>2025</v>
      </c>
      <c r="E3337" s="2" t="str">
        <f t="shared" si="209"/>
        <v>2025-50</v>
      </c>
      <c r="F3337" s="2" t="str">
        <f t="shared" si="210"/>
        <v>Week 50</v>
      </c>
      <c r="G3337" s="2" t="str">
        <f t="shared" si="211"/>
        <v>Week 50-2025</v>
      </c>
      <c r="O3337"/>
      <c r="Q3337"/>
    </row>
    <row r="3338" spans="1:17" hidden="1" x14ac:dyDescent="0.2">
      <c r="A3338" s="3">
        <v>46003</v>
      </c>
      <c r="B3338" s="2" t="s">
        <v>36</v>
      </c>
      <c r="C3338" s="2">
        <v>1</v>
      </c>
      <c r="D3338" s="2">
        <f t="shared" si="208"/>
        <v>2025</v>
      </c>
      <c r="E3338" s="2" t="str">
        <f t="shared" si="209"/>
        <v>2025-50</v>
      </c>
      <c r="F3338" s="2" t="str">
        <f t="shared" si="210"/>
        <v>Week 50</v>
      </c>
      <c r="G3338" s="2" t="str">
        <f t="shared" si="211"/>
        <v>Week 50-2025</v>
      </c>
      <c r="O3338"/>
      <c r="Q3338"/>
    </row>
    <row r="3339" spans="1:17" x14ac:dyDescent="0.2">
      <c r="A3339" s="3">
        <v>46003</v>
      </c>
      <c r="B3339" s="2" t="s">
        <v>24</v>
      </c>
      <c r="C3339" s="2">
        <v>1</v>
      </c>
      <c r="D3339" s="2">
        <f t="shared" si="208"/>
        <v>2025</v>
      </c>
      <c r="E3339" s="2" t="str">
        <f t="shared" si="209"/>
        <v>2025-50</v>
      </c>
      <c r="F3339" s="2" t="str">
        <f t="shared" si="210"/>
        <v>Week 50</v>
      </c>
      <c r="G3339" s="2" t="str">
        <f t="shared" si="211"/>
        <v>Week 50-2025</v>
      </c>
      <c r="O3339"/>
      <c r="Q3339"/>
    </row>
    <row r="3340" spans="1:17" hidden="1" x14ac:dyDescent="0.2">
      <c r="A3340" s="3">
        <v>46004</v>
      </c>
      <c r="B3340" s="2" t="s">
        <v>12</v>
      </c>
      <c r="C3340" s="2">
        <v>19</v>
      </c>
      <c r="D3340" s="2">
        <f t="shared" si="208"/>
        <v>2025</v>
      </c>
      <c r="E3340" s="2" t="str">
        <f t="shared" si="209"/>
        <v>2025-50</v>
      </c>
      <c r="F3340" s="2" t="str">
        <f t="shared" si="210"/>
        <v>Week 50</v>
      </c>
      <c r="G3340" s="2" t="str">
        <f t="shared" si="211"/>
        <v>Week 50-2025</v>
      </c>
      <c r="O3340"/>
      <c r="Q3340"/>
    </row>
    <row r="3341" spans="1:17" hidden="1" x14ac:dyDescent="0.2">
      <c r="A3341" s="3">
        <v>46004</v>
      </c>
      <c r="B3341" s="2" t="s">
        <v>12</v>
      </c>
      <c r="C3341" s="2">
        <v>12</v>
      </c>
      <c r="D3341" s="2">
        <f t="shared" si="208"/>
        <v>2025</v>
      </c>
      <c r="E3341" s="2" t="str">
        <f t="shared" si="209"/>
        <v>2025-50</v>
      </c>
      <c r="F3341" s="2" t="str">
        <f t="shared" si="210"/>
        <v>Week 50</v>
      </c>
      <c r="G3341" s="2" t="str">
        <f t="shared" si="211"/>
        <v>Week 50-2025</v>
      </c>
      <c r="O3341"/>
      <c r="Q3341"/>
    </row>
    <row r="3342" spans="1:17" hidden="1" x14ac:dyDescent="0.2">
      <c r="A3342" s="3">
        <v>46004</v>
      </c>
      <c r="B3342" s="2" t="s">
        <v>12</v>
      </c>
      <c r="C3342" s="2">
        <v>12</v>
      </c>
      <c r="D3342" s="2">
        <f t="shared" si="208"/>
        <v>2025</v>
      </c>
      <c r="E3342" s="2" t="str">
        <f t="shared" si="209"/>
        <v>2025-50</v>
      </c>
      <c r="F3342" s="2" t="str">
        <f t="shared" si="210"/>
        <v>Week 50</v>
      </c>
      <c r="G3342" s="2" t="str">
        <f t="shared" si="211"/>
        <v>Week 50-2025</v>
      </c>
      <c r="O3342"/>
      <c r="Q3342"/>
    </row>
    <row r="3343" spans="1:17" hidden="1" x14ac:dyDescent="0.2">
      <c r="A3343" s="3">
        <v>46004</v>
      </c>
      <c r="B3343" s="2" t="s">
        <v>5</v>
      </c>
      <c r="C3343" s="2">
        <v>16</v>
      </c>
      <c r="D3343" s="2">
        <f t="shared" si="208"/>
        <v>2025</v>
      </c>
      <c r="E3343" s="2" t="str">
        <f t="shared" si="209"/>
        <v>2025-50</v>
      </c>
      <c r="F3343" s="2" t="str">
        <f t="shared" si="210"/>
        <v>Week 50</v>
      </c>
      <c r="G3343" s="2" t="str">
        <f t="shared" si="211"/>
        <v>Week 50-2025</v>
      </c>
      <c r="O3343"/>
      <c r="Q3343"/>
    </row>
    <row r="3344" spans="1:17" hidden="1" x14ac:dyDescent="0.2">
      <c r="A3344" s="3">
        <v>46004</v>
      </c>
      <c r="B3344" s="2" t="s">
        <v>18</v>
      </c>
      <c r="C3344" s="2">
        <v>7</v>
      </c>
      <c r="D3344" s="2">
        <f t="shared" si="208"/>
        <v>2025</v>
      </c>
      <c r="E3344" s="2" t="str">
        <f t="shared" si="209"/>
        <v>2025-50</v>
      </c>
      <c r="F3344" s="2" t="str">
        <f t="shared" si="210"/>
        <v>Week 50</v>
      </c>
      <c r="G3344" s="2" t="str">
        <f t="shared" si="211"/>
        <v>Week 50-2025</v>
      </c>
      <c r="O3344"/>
      <c r="Q3344"/>
    </row>
    <row r="3345" spans="1:17" hidden="1" x14ac:dyDescent="0.2">
      <c r="A3345" s="3">
        <v>46004</v>
      </c>
      <c r="B3345" s="2" t="s">
        <v>18</v>
      </c>
      <c r="C3345" s="2">
        <v>5</v>
      </c>
      <c r="D3345" s="2">
        <f t="shared" si="208"/>
        <v>2025</v>
      </c>
      <c r="E3345" s="2" t="str">
        <f t="shared" si="209"/>
        <v>2025-50</v>
      </c>
      <c r="F3345" s="2" t="str">
        <f t="shared" si="210"/>
        <v>Week 50</v>
      </c>
      <c r="G3345" s="2" t="str">
        <f t="shared" si="211"/>
        <v>Week 50-2025</v>
      </c>
      <c r="O3345"/>
      <c r="Q3345"/>
    </row>
    <row r="3346" spans="1:17" hidden="1" x14ac:dyDescent="0.2">
      <c r="A3346" s="3">
        <v>46004</v>
      </c>
      <c r="B3346" s="2" t="s">
        <v>11</v>
      </c>
      <c r="C3346" s="2">
        <v>3</v>
      </c>
      <c r="D3346" s="2">
        <f t="shared" si="208"/>
        <v>2025</v>
      </c>
      <c r="E3346" s="2" t="str">
        <f t="shared" si="209"/>
        <v>2025-50</v>
      </c>
      <c r="F3346" s="2" t="str">
        <f t="shared" si="210"/>
        <v>Week 50</v>
      </c>
      <c r="G3346" s="2" t="str">
        <f t="shared" si="211"/>
        <v>Week 50-2025</v>
      </c>
      <c r="O3346"/>
      <c r="Q3346"/>
    </row>
    <row r="3347" spans="1:17" hidden="1" x14ac:dyDescent="0.2">
      <c r="A3347" s="3">
        <v>46004</v>
      </c>
      <c r="B3347" s="2" t="s">
        <v>11</v>
      </c>
      <c r="C3347" s="2">
        <v>3</v>
      </c>
      <c r="D3347" s="2">
        <f t="shared" si="208"/>
        <v>2025</v>
      </c>
      <c r="E3347" s="2" t="str">
        <f t="shared" si="209"/>
        <v>2025-50</v>
      </c>
      <c r="F3347" s="2" t="str">
        <f t="shared" si="210"/>
        <v>Week 50</v>
      </c>
      <c r="G3347" s="2" t="str">
        <f t="shared" si="211"/>
        <v>Week 50-2025</v>
      </c>
      <c r="O3347"/>
      <c r="Q3347"/>
    </row>
    <row r="3348" spans="1:17" hidden="1" x14ac:dyDescent="0.2">
      <c r="A3348" s="3">
        <v>46004</v>
      </c>
      <c r="B3348" s="2" t="s">
        <v>25</v>
      </c>
      <c r="C3348" s="2">
        <v>2</v>
      </c>
      <c r="D3348" s="2">
        <f t="shared" si="208"/>
        <v>2025</v>
      </c>
      <c r="E3348" s="2" t="str">
        <f t="shared" si="209"/>
        <v>2025-50</v>
      </c>
      <c r="F3348" s="2" t="str">
        <f t="shared" si="210"/>
        <v>Week 50</v>
      </c>
      <c r="G3348" s="2" t="str">
        <f t="shared" si="211"/>
        <v>Week 50-2025</v>
      </c>
      <c r="O3348"/>
      <c r="Q3348"/>
    </row>
    <row r="3349" spans="1:17" hidden="1" x14ac:dyDescent="0.2">
      <c r="A3349" s="3">
        <v>46004</v>
      </c>
      <c r="B3349" s="2" t="s">
        <v>25</v>
      </c>
      <c r="C3349" s="2">
        <v>2</v>
      </c>
      <c r="D3349" s="2">
        <f t="shared" si="208"/>
        <v>2025</v>
      </c>
      <c r="E3349" s="2" t="str">
        <f t="shared" si="209"/>
        <v>2025-50</v>
      </c>
      <c r="F3349" s="2" t="str">
        <f t="shared" si="210"/>
        <v>Week 50</v>
      </c>
      <c r="G3349" s="2" t="str">
        <f t="shared" si="211"/>
        <v>Week 50-2025</v>
      </c>
      <c r="O3349"/>
      <c r="Q3349"/>
    </row>
    <row r="3350" spans="1:17" hidden="1" x14ac:dyDescent="0.2">
      <c r="A3350" s="3">
        <v>46004</v>
      </c>
      <c r="B3350" s="2" t="s">
        <v>7</v>
      </c>
      <c r="C3350" s="2">
        <v>5</v>
      </c>
      <c r="D3350" s="2">
        <f t="shared" si="208"/>
        <v>2025</v>
      </c>
      <c r="E3350" s="2" t="str">
        <f t="shared" si="209"/>
        <v>2025-50</v>
      </c>
      <c r="F3350" s="2" t="str">
        <f t="shared" si="210"/>
        <v>Week 50</v>
      </c>
      <c r="G3350" s="2" t="str">
        <f t="shared" si="211"/>
        <v>Week 50-2025</v>
      </c>
      <c r="O3350"/>
      <c r="Q3350"/>
    </row>
    <row r="3351" spans="1:17" hidden="1" x14ac:dyDescent="0.2">
      <c r="A3351" s="3">
        <v>46004</v>
      </c>
      <c r="B3351" s="2" t="s">
        <v>18</v>
      </c>
      <c r="C3351" s="2">
        <v>4</v>
      </c>
      <c r="D3351" s="2">
        <f t="shared" si="208"/>
        <v>2025</v>
      </c>
      <c r="E3351" s="2" t="str">
        <f t="shared" si="209"/>
        <v>2025-50</v>
      </c>
      <c r="F3351" s="2" t="str">
        <f t="shared" si="210"/>
        <v>Week 50</v>
      </c>
      <c r="G3351" s="2" t="str">
        <f t="shared" si="211"/>
        <v>Week 50-2025</v>
      </c>
      <c r="O3351"/>
      <c r="Q3351"/>
    </row>
    <row r="3352" spans="1:17" hidden="1" x14ac:dyDescent="0.2">
      <c r="A3352" s="3">
        <v>46004</v>
      </c>
      <c r="B3352" s="2" t="s">
        <v>3</v>
      </c>
      <c r="C3352" s="2">
        <v>6</v>
      </c>
      <c r="D3352" s="2">
        <f t="shared" si="208"/>
        <v>2025</v>
      </c>
      <c r="E3352" s="2" t="str">
        <f t="shared" si="209"/>
        <v>2025-50</v>
      </c>
      <c r="F3352" s="2" t="str">
        <f t="shared" si="210"/>
        <v>Week 50</v>
      </c>
      <c r="G3352" s="2" t="str">
        <f t="shared" si="211"/>
        <v>Week 50-2025</v>
      </c>
      <c r="O3352"/>
      <c r="Q3352"/>
    </row>
    <row r="3353" spans="1:17" hidden="1" x14ac:dyDescent="0.2">
      <c r="A3353" s="3">
        <v>46004</v>
      </c>
      <c r="B3353" s="2" t="s">
        <v>19</v>
      </c>
      <c r="C3353" s="2">
        <v>4</v>
      </c>
      <c r="D3353" s="2">
        <f t="shared" si="208"/>
        <v>2025</v>
      </c>
      <c r="E3353" s="2" t="str">
        <f t="shared" si="209"/>
        <v>2025-50</v>
      </c>
      <c r="F3353" s="2" t="str">
        <f t="shared" si="210"/>
        <v>Week 50</v>
      </c>
      <c r="G3353" s="2" t="str">
        <f t="shared" si="211"/>
        <v>Week 50-2025</v>
      </c>
      <c r="O3353"/>
      <c r="Q3353"/>
    </row>
    <row r="3354" spans="1:17" hidden="1" x14ac:dyDescent="0.2">
      <c r="A3354" s="3">
        <v>46004</v>
      </c>
      <c r="B3354" s="2" t="s">
        <v>19</v>
      </c>
      <c r="C3354" s="2">
        <v>4</v>
      </c>
      <c r="D3354" s="2">
        <f t="shared" si="208"/>
        <v>2025</v>
      </c>
      <c r="E3354" s="2" t="str">
        <f t="shared" si="209"/>
        <v>2025-50</v>
      </c>
      <c r="F3354" s="2" t="str">
        <f t="shared" si="210"/>
        <v>Week 50</v>
      </c>
      <c r="G3354" s="2" t="str">
        <f t="shared" si="211"/>
        <v>Week 50-2025</v>
      </c>
      <c r="O3354"/>
      <c r="Q3354"/>
    </row>
    <row r="3355" spans="1:17" hidden="1" x14ac:dyDescent="0.2">
      <c r="A3355" s="3">
        <v>46004</v>
      </c>
      <c r="B3355" s="2" t="s">
        <v>7</v>
      </c>
      <c r="C3355" s="2">
        <v>4</v>
      </c>
      <c r="D3355" s="2">
        <f t="shared" si="208"/>
        <v>2025</v>
      </c>
      <c r="E3355" s="2" t="str">
        <f t="shared" si="209"/>
        <v>2025-50</v>
      </c>
      <c r="F3355" s="2" t="str">
        <f t="shared" si="210"/>
        <v>Week 50</v>
      </c>
      <c r="G3355" s="2" t="str">
        <f t="shared" si="211"/>
        <v>Week 50-2025</v>
      </c>
      <c r="O3355"/>
      <c r="Q3355"/>
    </row>
    <row r="3356" spans="1:17" hidden="1" x14ac:dyDescent="0.2">
      <c r="A3356" s="3">
        <v>46004</v>
      </c>
      <c r="B3356" s="2" t="s">
        <v>7</v>
      </c>
      <c r="C3356" s="2">
        <v>4</v>
      </c>
      <c r="D3356" s="2">
        <f t="shared" si="208"/>
        <v>2025</v>
      </c>
      <c r="E3356" s="2" t="str">
        <f t="shared" si="209"/>
        <v>2025-50</v>
      </c>
      <c r="F3356" s="2" t="str">
        <f t="shared" si="210"/>
        <v>Week 50</v>
      </c>
      <c r="G3356" s="2" t="str">
        <f t="shared" si="211"/>
        <v>Week 50-2025</v>
      </c>
      <c r="O3356"/>
      <c r="Q3356"/>
    </row>
    <row r="3357" spans="1:17" hidden="1" x14ac:dyDescent="0.2">
      <c r="A3357" s="3">
        <v>46004</v>
      </c>
      <c r="B3357" s="2" t="s">
        <v>9</v>
      </c>
      <c r="C3357" s="2">
        <v>4</v>
      </c>
      <c r="D3357" s="2">
        <f t="shared" si="208"/>
        <v>2025</v>
      </c>
      <c r="E3357" s="2" t="str">
        <f t="shared" si="209"/>
        <v>2025-50</v>
      </c>
      <c r="F3357" s="2" t="str">
        <f t="shared" si="210"/>
        <v>Week 50</v>
      </c>
      <c r="G3357" s="2" t="str">
        <f t="shared" si="211"/>
        <v>Week 50-2025</v>
      </c>
      <c r="O3357"/>
      <c r="Q3357"/>
    </row>
    <row r="3358" spans="1:17" hidden="1" x14ac:dyDescent="0.2">
      <c r="A3358" s="3">
        <v>46004</v>
      </c>
      <c r="B3358" s="2" t="s">
        <v>9</v>
      </c>
      <c r="C3358" s="2">
        <v>4</v>
      </c>
      <c r="D3358" s="2">
        <f t="shared" si="208"/>
        <v>2025</v>
      </c>
      <c r="E3358" s="2" t="str">
        <f t="shared" si="209"/>
        <v>2025-50</v>
      </c>
      <c r="F3358" s="2" t="str">
        <f t="shared" si="210"/>
        <v>Week 50</v>
      </c>
      <c r="G3358" s="2" t="str">
        <f t="shared" si="211"/>
        <v>Week 50-2025</v>
      </c>
      <c r="O3358"/>
      <c r="Q3358"/>
    </row>
    <row r="3359" spans="1:17" hidden="1" x14ac:dyDescent="0.2">
      <c r="A3359" s="3">
        <v>46004</v>
      </c>
      <c r="B3359" s="2" t="s">
        <v>9</v>
      </c>
      <c r="C3359" s="2">
        <v>4</v>
      </c>
      <c r="D3359" s="2">
        <f t="shared" si="208"/>
        <v>2025</v>
      </c>
      <c r="E3359" s="2" t="str">
        <f t="shared" si="209"/>
        <v>2025-50</v>
      </c>
      <c r="F3359" s="2" t="str">
        <f t="shared" si="210"/>
        <v>Week 50</v>
      </c>
      <c r="G3359" s="2" t="str">
        <f t="shared" si="211"/>
        <v>Week 50-2025</v>
      </c>
      <c r="O3359"/>
      <c r="Q3359"/>
    </row>
    <row r="3360" spans="1:17" hidden="1" x14ac:dyDescent="0.2">
      <c r="A3360" s="3">
        <v>46004</v>
      </c>
      <c r="B3360" s="2" t="s">
        <v>9</v>
      </c>
      <c r="C3360" s="2">
        <v>4</v>
      </c>
      <c r="D3360" s="2">
        <f t="shared" si="208"/>
        <v>2025</v>
      </c>
      <c r="E3360" s="2" t="str">
        <f t="shared" si="209"/>
        <v>2025-50</v>
      </c>
      <c r="F3360" s="2" t="str">
        <f t="shared" si="210"/>
        <v>Week 50</v>
      </c>
      <c r="G3360" s="2" t="str">
        <f t="shared" si="211"/>
        <v>Week 50-2025</v>
      </c>
      <c r="O3360"/>
      <c r="Q3360"/>
    </row>
    <row r="3361" spans="1:17" hidden="1" x14ac:dyDescent="0.2">
      <c r="A3361" s="3">
        <v>46004</v>
      </c>
      <c r="B3361" s="2" t="s">
        <v>37</v>
      </c>
      <c r="C3361" s="2">
        <v>6</v>
      </c>
      <c r="D3361" s="2">
        <f t="shared" si="208"/>
        <v>2025</v>
      </c>
      <c r="E3361" s="2" t="str">
        <f t="shared" si="209"/>
        <v>2025-50</v>
      </c>
      <c r="F3361" s="2" t="str">
        <f t="shared" si="210"/>
        <v>Week 50</v>
      </c>
      <c r="G3361" s="2" t="str">
        <f t="shared" si="211"/>
        <v>Week 50-2025</v>
      </c>
      <c r="O3361"/>
      <c r="Q3361"/>
    </row>
    <row r="3362" spans="1:17" hidden="1" x14ac:dyDescent="0.2">
      <c r="A3362" s="3">
        <v>46004</v>
      </c>
      <c r="B3362" s="2" t="s">
        <v>37</v>
      </c>
      <c r="C3362" s="2">
        <v>6</v>
      </c>
      <c r="D3362" s="2">
        <f t="shared" si="208"/>
        <v>2025</v>
      </c>
      <c r="E3362" s="2" t="str">
        <f t="shared" si="209"/>
        <v>2025-50</v>
      </c>
      <c r="F3362" s="2" t="str">
        <f t="shared" si="210"/>
        <v>Week 50</v>
      </c>
      <c r="G3362" s="2" t="str">
        <f t="shared" si="211"/>
        <v>Week 50-2025</v>
      </c>
      <c r="O3362"/>
      <c r="Q3362"/>
    </row>
    <row r="3363" spans="1:17" hidden="1" x14ac:dyDescent="0.2">
      <c r="A3363" s="3">
        <v>46004</v>
      </c>
      <c r="B3363" s="2" t="s">
        <v>28</v>
      </c>
      <c r="C3363" s="2">
        <v>8</v>
      </c>
      <c r="D3363" s="2">
        <f t="shared" si="208"/>
        <v>2025</v>
      </c>
      <c r="E3363" s="2" t="str">
        <f t="shared" si="209"/>
        <v>2025-50</v>
      </c>
      <c r="F3363" s="2" t="str">
        <f t="shared" si="210"/>
        <v>Week 50</v>
      </c>
      <c r="G3363" s="2" t="str">
        <f t="shared" si="211"/>
        <v>Week 50-2025</v>
      </c>
      <c r="O3363"/>
      <c r="Q3363"/>
    </row>
    <row r="3364" spans="1:17" hidden="1" x14ac:dyDescent="0.2">
      <c r="A3364" s="3">
        <v>46004</v>
      </c>
      <c r="B3364" s="2" t="s">
        <v>28</v>
      </c>
      <c r="C3364" s="2">
        <v>8</v>
      </c>
      <c r="D3364" s="2">
        <f t="shared" si="208"/>
        <v>2025</v>
      </c>
      <c r="E3364" s="2" t="str">
        <f t="shared" si="209"/>
        <v>2025-50</v>
      </c>
      <c r="F3364" s="2" t="str">
        <f t="shared" si="210"/>
        <v>Week 50</v>
      </c>
      <c r="G3364" s="2" t="str">
        <f t="shared" si="211"/>
        <v>Week 50-2025</v>
      </c>
      <c r="O3364"/>
      <c r="Q3364"/>
    </row>
    <row r="3365" spans="1:17" hidden="1" x14ac:dyDescent="0.2">
      <c r="A3365" s="3">
        <v>46004</v>
      </c>
      <c r="B3365" s="2" t="s">
        <v>28</v>
      </c>
      <c r="C3365" s="2">
        <v>8</v>
      </c>
      <c r="D3365" s="2">
        <f t="shared" si="208"/>
        <v>2025</v>
      </c>
      <c r="E3365" s="2" t="str">
        <f t="shared" si="209"/>
        <v>2025-50</v>
      </c>
      <c r="F3365" s="2" t="str">
        <f t="shared" si="210"/>
        <v>Week 50</v>
      </c>
      <c r="G3365" s="2" t="str">
        <f t="shared" si="211"/>
        <v>Week 50-2025</v>
      </c>
      <c r="O3365"/>
      <c r="Q3365"/>
    </row>
    <row r="3366" spans="1:17" hidden="1" x14ac:dyDescent="0.2">
      <c r="A3366" s="3">
        <v>46004</v>
      </c>
      <c r="B3366" s="2" t="s">
        <v>3</v>
      </c>
      <c r="C3366" s="2">
        <v>4</v>
      </c>
      <c r="D3366" s="2">
        <f t="shared" si="208"/>
        <v>2025</v>
      </c>
      <c r="E3366" s="2" t="str">
        <f t="shared" si="209"/>
        <v>2025-50</v>
      </c>
      <c r="F3366" s="2" t="str">
        <f t="shared" si="210"/>
        <v>Week 50</v>
      </c>
      <c r="G3366" s="2" t="str">
        <f t="shared" si="211"/>
        <v>Week 50-2025</v>
      </c>
      <c r="O3366"/>
      <c r="Q3366"/>
    </row>
    <row r="3367" spans="1:17" hidden="1" x14ac:dyDescent="0.2">
      <c r="A3367" s="3">
        <v>46004</v>
      </c>
      <c r="B3367" s="2" t="s">
        <v>34</v>
      </c>
      <c r="C3367" s="2">
        <v>6</v>
      </c>
      <c r="D3367" s="2">
        <f t="shared" si="208"/>
        <v>2025</v>
      </c>
      <c r="E3367" s="2" t="str">
        <f t="shared" si="209"/>
        <v>2025-50</v>
      </c>
      <c r="F3367" s="2" t="str">
        <f t="shared" si="210"/>
        <v>Week 50</v>
      </c>
      <c r="G3367" s="2" t="str">
        <f t="shared" si="211"/>
        <v>Week 50-2025</v>
      </c>
      <c r="O3367"/>
      <c r="Q3367"/>
    </row>
    <row r="3368" spans="1:17" hidden="1" x14ac:dyDescent="0.2">
      <c r="A3368" s="3">
        <v>46004</v>
      </c>
      <c r="B3368" s="2" t="s">
        <v>34</v>
      </c>
      <c r="C3368" s="2">
        <v>6</v>
      </c>
      <c r="D3368" s="2">
        <f t="shared" si="208"/>
        <v>2025</v>
      </c>
      <c r="E3368" s="2" t="str">
        <f t="shared" si="209"/>
        <v>2025-50</v>
      </c>
      <c r="F3368" s="2" t="str">
        <f t="shared" si="210"/>
        <v>Week 50</v>
      </c>
      <c r="G3368" s="2" t="str">
        <f t="shared" si="211"/>
        <v>Week 50-2025</v>
      </c>
      <c r="O3368"/>
      <c r="Q3368"/>
    </row>
    <row r="3369" spans="1:17" hidden="1" x14ac:dyDescent="0.2">
      <c r="A3369" s="3">
        <v>46004</v>
      </c>
      <c r="B3369" s="2" t="s">
        <v>7</v>
      </c>
      <c r="C3369" s="2">
        <v>3</v>
      </c>
      <c r="D3369" s="2">
        <f t="shared" si="208"/>
        <v>2025</v>
      </c>
      <c r="E3369" s="2" t="str">
        <f t="shared" si="209"/>
        <v>2025-50</v>
      </c>
      <c r="F3369" s="2" t="str">
        <f t="shared" si="210"/>
        <v>Week 50</v>
      </c>
      <c r="G3369" s="2" t="str">
        <f t="shared" si="211"/>
        <v>Week 50-2025</v>
      </c>
      <c r="O3369"/>
      <c r="Q3369"/>
    </row>
    <row r="3370" spans="1:17" hidden="1" x14ac:dyDescent="0.2">
      <c r="A3370" s="3">
        <v>46004</v>
      </c>
      <c r="B3370" s="2" t="s">
        <v>14</v>
      </c>
      <c r="C3370" s="2">
        <v>6</v>
      </c>
      <c r="D3370" s="2">
        <f t="shared" si="208"/>
        <v>2025</v>
      </c>
      <c r="E3370" s="2" t="str">
        <f t="shared" si="209"/>
        <v>2025-50</v>
      </c>
      <c r="F3370" s="2" t="str">
        <f t="shared" si="210"/>
        <v>Week 50</v>
      </c>
      <c r="G3370" s="2" t="str">
        <f t="shared" si="211"/>
        <v>Week 50-2025</v>
      </c>
      <c r="O3370"/>
      <c r="Q3370"/>
    </row>
    <row r="3371" spans="1:17" hidden="1" x14ac:dyDescent="0.2">
      <c r="A3371" s="3">
        <v>46004</v>
      </c>
      <c r="B3371" s="2" t="s">
        <v>28</v>
      </c>
      <c r="C3371" s="2">
        <v>6</v>
      </c>
      <c r="D3371" s="2">
        <f t="shared" si="208"/>
        <v>2025</v>
      </c>
      <c r="E3371" s="2" t="str">
        <f t="shared" si="209"/>
        <v>2025-50</v>
      </c>
      <c r="F3371" s="2" t="str">
        <f t="shared" si="210"/>
        <v>Week 50</v>
      </c>
      <c r="G3371" s="2" t="str">
        <f t="shared" si="211"/>
        <v>Week 50-2025</v>
      </c>
      <c r="O3371"/>
      <c r="Q3371"/>
    </row>
    <row r="3372" spans="1:17" hidden="1" x14ac:dyDescent="0.2">
      <c r="A3372" s="3">
        <v>46004</v>
      </c>
      <c r="B3372" s="2" t="s">
        <v>29</v>
      </c>
      <c r="C3372" s="2">
        <v>3</v>
      </c>
      <c r="D3372" s="2">
        <f t="shared" si="208"/>
        <v>2025</v>
      </c>
      <c r="E3372" s="2" t="str">
        <f t="shared" si="209"/>
        <v>2025-50</v>
      </c>
      <c r="F3372" s="2" t="str">
        <f t="shared" si="210"/>
        <v>Week 50</v>
      </c>
      <c r="G3372" s="2" t="str">
        <f t="shared" si="211"/>
        <v>Week 50-2025</v>
      </c>
      <c r="O3372"/>
      <c r="Q3372"/>
    </row>
    <row r="3373" spans="1:17" hidden="1" x14ac:dyDescent="0.2">
      <c r="A3373" s="3">
        <v>46004</v>
      </c>
      <c r="B3373" s="2" t="s">
        <v>29</v>
      </c>
      <c r="C3373" s="2">
        <v>3</v>
      </c>
      <c r="D3373" s="2">
        <f t="shared" si="208"/>
        <v>2025</v>
      </c>
      <c r="E3373" s="2" t="str">
        <f t="shared" si="209"/>
        <v>2025-50</v>
      </c>
      <c r="F3373" s="2" t="str">
        <f t="shared" si="210"/>
        <v>Week 50</v>
      </c>
      <c r="G3373" s="2" t="str">
        <f t="shared" si="211"/>
        <v>Week 50-2025</v>
      </c>
      <c r="O3373"/>
      <c r="Q3373"/>
    </row>
    <row r="3374" spans="1:17" hidden="1" x14ac:dyDescent="0.2">
      <c r="A3374" s="3">
        <v>46004</v>
      </c>
      <c r="B3374" s="2" t="s">
        <v>8</v>
      </c>
      <c r="C3374" s="2">
        <v>5</v>
      </c>
      <c r="D3374" s="2">
        <f t="shared" si="208"/>
        <v>2025</v>
      </c>
      <c r="E3374" s="2" t="str">
        <f t="shared" si="209"/>
        <v>2025-50</v>
      </c>
      <c r="F3374" s="2" t="str">
        <f t="shared" si="210"/>
        <v>Week 50</v>
      </c>
      <c r="G3374" s="2" t="str">
        <f t="shared" si="211"/>
        <v>Week 50-2025</v>
      </c>
      <c r="O3374"/>
      <c r="Q3374"/>
    </row>
    <row r="3375" spans="1:17" hidden="1" x14ac:dyDescent="0.2">
      <c r="A3375" s="3">
        <v>46004</v>
      </c>
      <c r="B3375" s="2" t="s">
        <v>6</v>
      </c>
      <c r="C3375" s="2">
        <v>2</v>
      </c>
      <c r="D3375" s="2">
        <f t="shared" si="208"/>
        <v>2025</v>
      </c>
      <c r="E3375" s="2" t="str">
        <f t="shared" si="209"/>
        <v>2025-50</v>
      </c>
      <c r="F3375" s="2" t="str">
        <f t="shared" si="210"/>
        <v>Week 50</v>
      </c>
      <c r="G3375" s="2" t="str">
        <f t="shared" si="211"/>
        <v>Week 50-2025</v>
      </c>
      <c r="O3375"/>
      <c r="Q3375"/>
    </row>
    <row r="3376" spans="1:17" hidden="1" x14ac:dyDescent="0.2">
      <c r="A3376" s="3">
        <v>46004</v>
      </c>
      <c r="B3376" s="2" t="s">
        <v>6</v>
      </c>
      <c r="C3376" s="2">
        <v>2</v>
      </c>
      <c r="D3376" s="2">
        <f t="shared" si="208"/>
        <v>2025</v>
      </c>
      <c r="E3376" s="2" t="str">
        <f t="shared" si="209"/>
        <v>2025-50</v>
      </c>
      <c r="F3376" s="2" t="str">
        <f t="shared" si="210"/>
        <v>Week 50</v>
      </c>
      <c r="G3376" s="2" t="str">
        <f t="shared" si="211"/>
        <v>Week 50-2025</v>
      </c>
      <c r="O3376"/>
      <c r="Q3376"/>
    </row>
    <row r="3377" spans="1:17" hidden="1" x14ac:dyDescent="0.2">
      <c r="A3377" s="3">
        <v>46004</v>
      </c>
      <c r="B3377" s="2" t="s">
        <v>6</v>
      </c>
      <c r="C3377" s="2">
        <v>2</v>
      </c>
      <c r="D3377" s="2">
        <f t="shared" si="208"/>
        <v>2025</v>
      </c>
      <c r="E3377" s="2" t="str">
        <f t="shared" si="209"/>
        <v>2025-50</v>
      </c>
      <c r="F3377" s="2" t="str">
        <f t="shared" si="210"/>
        <v>Week 50</v>
      </c>
      <c r="G3377" s="2" t="str">
        <f t="shared" si="211"/>
        <v>Week 50-2025</v>
      </c>
      <c r="O3377"/>
      <c r="Q3377"/>
    </row>
    <row r="3378" spans="1:17" hidden="1" x14ac:dyDescent="0.2">
      <c r="A3378" s="3">
        <v>46004</v>
      </c>
      <c r="B3378" s="2" t="s">
        <v>6</v>
      </c>
      <c r="C3378" s="2">
        <v>2</v>
      </c>
      <c r="D3378" s="2">
        <f t="shared" si="208"/>
        <v>2025</v>
      </c>
      <c r="E3378" s="2" t="str">
        <f t="shared" si="209"/>
        <v>2025-50</v>
      </c>
      <c r="F3378" s="2" t="str">
        <f t="shared" si="210"/>
        <v>Week 50</v>
      </c>
      <c r="G3378" s="2" t="str">
        <f t="shared" si="211"/>
        <v>Week 50-2025</v>
      </c>
      <c r="O3378"/>
      <c r="Q3378"/>
    </row>
    <row r="3379" spans="1:17" hidden="1" x14ac:dyDescent="0.2">
      <c r="A3379" s="3">
        <v>46004</v>
      </c>
      <c r="B3379" s="2" t="s">
        <v>30</v>
      </c>
      <c r="C3379" s="2">
        <v>6</v>
      </c>
      <c r="D3379" s="2">
        <f t="shared" si="208"/>
        <v>2025</v>
      </c>
      <c r="E3379" s="2" t="str">
        <f t="shared" si="209"/>
        <v>2025-50</v>
      </c>
      <c r="F3379" s="2" t="str">
        <f t="shared" si="210"/>
        <v>Week 50</v>
      </c>
      <c r="G3379" s="2" t="str">
        <f t="shared" si="211"/>
        <v>Week 50-2025</v>
      </c>
      <c r="O3379"/>
      <c r="Q3379"/>
    </row>
    <row r="3380" spans="1:17" hidden="1" x14ac:dyDescent="0.2">
      <c r="A3380" s="3">
        <v>46004</v>
      </c>
      <c r="B3380" s="2" t="s">
        <v>19</v>
      </c>
      <c r="C3380" s="2">
        <v>2</v>
      </c>
      <c r="D3380" s="2">
        <f t="shared" si="208"/>
        <v>2025</v>
      </c>
      <c r="E3380" s="2" t="str">
        <f t="shared" si="209"/>
        <v>2025-50</v>
      </c>
      <c r="F3380" s="2" t="str">
        <f t="shared" si="210"/>
        <v>Week 50</v>
      </c>
      <c r="G3380" s="2" t="str">
        <f t="shared" si="211"/>
        <v>Week 50-2025</v>
      </c>
      <c r="O3380"/>
      <c r="Q3380"/>
    </row>
    <row r="3381" spans="1:17" hidden="1" x14ac:dyDescent="0.2">
      <c r="A3381" s="3">
        <v>46004</v>
      </c>
      <c r="B3381" s="2" t="s">
        <v>19</v>
      </c>
      <c r="C3381" s="2">
        <v>2</v>
      </c>
      <c r="D3381" s="2">
        <f t="shared" si="208"/>
        <v>2025</v>
      </c>
      <c r="E3381" s="2" t="str">
        <f t="shared" si="209"/>
        <v>2025-50</v>
      </c>
      <c r="F3381" s="2" t="str">
        <f t="shared" si="210"/>
        <v>Week 50</v>
      </c>
      <c r="G3381" s="2" t="str">
        <f t="shared" si="211"/>
        <v>Week 50-2025</v>
      </c>
      <c r="O3381"/>
      <c r="Q3381"/>
    </row>
    <row r="3382" spans="1:17" hidden="1" x14ac:dyDescent="0.2">
      <c r="A3382" s="3">
        <v>46004</v>
      </c>
      <c r="B3382" s="2" t="s">
        <v>5</v>
      </c>
      <c r="C3382" s="2">
        <v>3</v>
      </c>
      <c r="D3382" s="2">
        <f t="shared" si="208"/>
        <v>2025</v>
      </c>
      <c r="E3382" s="2" t="str">
        <f t="shared" si="209"/>
        <v>2025-50</v>
      </c>
      <c r="F3382" s="2" t="str">
        <f t="shared" si="210"/>
        <v>Week 50</v>
      </c>
      <c r="G3382" s="2" t="str">
        <f t="shared" si="211"/>
        <v>Week 50-2025</v>
      </c>
      <c r="O3382"/>
      <c r="Q3382"/>
    </row>
    <row r="3383" spans="1:17" hidden="1" x14ac:dyDescent="0.2">
      <c r="A3383" s="3">
        <v>46004</v>
      </c>
      <c r="B3383" s="2" t="s">
        <v>5</v>
      </c>
      <c r="C3383" s="2">
        <v>3</v>
      </c>
      <c r="D3383" s="2">
        <f t="shared" si="208"/>
        <v>2025</v>
      </c>
      <c r="E3383" s="2" t="str">
        <f t="shared" si="209"/>
        <v>2025-50</v>
      </c>
      <c r="F3383" s="2" t="str">
        <f t="shared" si="210"/>
        <v>Week 50</v>
      </c>
      <c r="G3383" s="2" t="str">
        <f t="shared" si="211"/>
        <v>Week 50-2025</v>
      </c>
      <c r="O3383"/>
      <c r="Q3383"/>
    </row>
    <row r="3384" spans="1:17" hidden="1" x14ac:dyDescent="0.2">
      <c r="A3384" s="3">
        <v>46004</v>
      </c>
      <c r="B3384" s="2" t="s">
        <v>7</v>
      </c>
      <c r="C3384" s="2">
        <v>2</v>
      </c>
      <c r="D3384" s="2">
        <f t="shared" si="208"/>
        <v>2025</v>
      </c>
      <c r="E3384" s="2" t="str">
        <f t="shared" si="209"/>
        <v>2025-50</v>
      </c>
      <c r="F3384" s="2" t="str">
        <f t="shared" si="210"/>
        <v>Week 50</v>
      </c>
      <c r="G3384" s="2" t="str">
        <f t="shared" si="211"/>
        <v>Week 50-2025</v>
      </c>
      <c r="O3384"/>
      <c r="Q3384"/>
    </row>
    <row r="3385" spans="1:17" hidden="1" x14ac:dyDescent="0.2">
      <c r="A3385" s="3">
        <v>46004</v>
      </c>
      <c r="B3385" s="2" t="s">
        <v>7</v>
      </c>
      <c r="C3385" s="2">
        <v>2</v>
      </c>
      <c r="D3385" s="2">
        <f t="shared" si="208"/>
        <v>2025</v>
      </c>
      <c r="E3385" s="2" t="str">
        <f t="shared" si="209"/>
        <v>2025-50</v>
      </c>
      <c r="F3385" s="2" t="str">
        <f t="shared" si="210"/>
        <v>Week 50</v>
      </c>
      <c r="G3385" s="2" t="str">
        <f t="shared" si="211"/>
        <v>Week 50-2025</v>
      </c>
      <c r="O3385"/>
      <c r="Q3385"/>
    </row>
    <row r="3386" spans="1:17" hidden="1" x14ac:dyDescent="0.2">
      <c r="A3386" s="3">
        <v>46004</v>
      </c>
      <c r="B3386" s="2" t="s">
        <v>7</v>
      </c>
      <c r="C3386" s="2">
        <v>2</v>
      </c>
      <c r="D3386" s="2">
        <f t="shared" si="208"/>
        <v>2025</v>
      </c>
      <c r="E3386" s="2" t="str">
        <f t="shared" si="209"/>
        <v>2025-50</v>
      </c>
      <c r="F3386" s="2" t="str">
        <f t="shared" si="210"/>
        <v>Week 50</v>
      </c>
      <c r="G3386" s="2" t="str">
        <f t="shared" si="211"/>
        <v>Week 50-2025</v>
      </c>
      <c r="O3386"/>
      <c r="Q3386"/>
    </row>
    <row r="3387" spans="1:17" hidden="1" x14ac:dyDescent="0.2">
      <c r="A3387" s="3">
        <v>46004</v>
      </c>
      <c r="B3387" s="2" t="s">
        <v>15</v>
      </c>
      <c r="C3387" s="2">
        <v>6</v>
      </c>
      <c r="D3387" s="2">
        <f t="shared" si="208"/>
        <v>2025</v>
      </c>
      <c r="E3387" s="2" t="str">
        <f t="shared" si="209"/>
        <v>2025-50</v>
      </c>
      <c r="F3387" s="2" t="str">
        <f t="shared" si="210"/>
        <v>Week 50</v>
      </c>
      <c r="G3387" s="2" t="str">
        <f t="shared" si="211"/>
        <v>Week 50-2025</v>
      </c>
      <c r="O3387"/>
      <c r="Q3387"/>
    </row>
    <row r="3388" spans="1:17" hidden="1" x14ac:dyDescent="0.2">
      <c r="A3388" s="3">
        <v>46004</v>
      </c>
      <c r="B3388" s="2" t="s">
        <v>15</v>
      </c>
      <c r="C3388" s="2">
        <v>6</v>
      </c>
      <c r="D3388" s="2">
        <f t="shared" si="208"/>
        <v>2025</v>
      </c>
      <c r="E3388" s="2" t="str">
        <f t="shared" si="209"/>
        <v>2025-50</v>
      </c>
      <c r="F3388" s="2" t="str">
        <f t="shared" si="210"/>
        <v>Week 50</v>
      </c>
      <c r="G3388" s="2" t="str">
        <f t="shared" si="211"/>
        <v>Week 50-2025</v>
      </c>
      <c r="O3388"/>
      <c r="Q3388"/>
    </row>
    <row r="3389" spans="1:17" hidden="1" x14ac:dyDescent="0.2">
      <c r="A3389" s="3">
        <v>46004</v>
      </c>
      <c r="B3389" s="2" t="s">
        <v>4</v>
      </c>
      <c r="C3389" s="2">
        <v>2</v>
      </c>
      <c r="D3389" s="2">
        <f t="shared" si="208"/>
        <v>2025</v>
      </c>
      <c r="E3389" s="2" t="str">
        <f t="shared" si="209"/>
        <v>2025-50</v>
      </c>
      <c r="F3389" s="2" t="str">
        <f t="shared" si="210"/>
        <v>Week 50</v>
      </c>
      <c r="G3389" s="2" t="str">
        <f t="shared" si="211"/>
        <v>Week 50-2025</v>
      </c>
      <c r="O3389"/>
      <c r="Q3389"/>
    </row>
    <row r="3390" spans="1:17" hidden="1" x14ac:dyDescent="0.2">
      <c r="A3390" s="3">
        <v>46004</v>
      </c>
      <c r="B3390" s="2" t="s">
        <v>38</v>
      </c>
      <c r="C3390" s="2">
        <v>4</v>
      </c>
      <c r="D3390" s="2">
        <f t="shared" si="208"/>
        <v>2025</v>
      </c>
      <c r="E3390" s="2" t="str">
        <f t="shared" si="209"/>
        <v>2025-50</v>
      </c>
      <c r="F3390" s="2" t="str">
        <f t="shared" si="210"/>
        <v>Week 50</v>
      </c>
      <c r="G3390" s="2" t="str">
        <f t="shared" si="211"/>
        <v>Week 50-2025</v>
      </c>
      <c r="O3390"/>
      <c r="Q3390"/>
    </row>
    <row r="3391" spans="1:17" hidden="1" x14ac:dyDescent="0.2">
      <c r="A3391" s="3">
        <v>46004</v>
      </c>
      <c r="B3391" s="2" t="s">
        <v>38</v>
      </c>
      <c r="C3391" s="2">
        <v>4</v>
      </c>
      <c r="D3391" s="2">
        <f t="shared" si="208"/>
        <v>2025</v>
      </c>
      <c r="E3391" s="2" t="str">
        <f t="shared" si="209"/>
        <v>2025-50</v>
      </c>
      <c r="F3391" s="2" t="str">
        <f t="shared" si="210"/>
        <v>Week 50</v>
      </c>
      <c r="G3391" s="2" t="str">
        <f t="shared" si="211"/>
        <v>Week 50-2025</v>
      </c>
      <c r="O3391"/>
      <c r="Q3391"/>
    </row>
    <row r="3392" spans="1:17" hidden="1" x14ac:dyDescent="0.2">
      <c r="A3392" s="3">
        <v>46004</v>
      </c>
      <c r="B3392" s="2" t="s">
        <v>8</v>
      </c>
      <c r="C3392" s="2">
        <v>4</v>
      </c>
      <c r="D3392" s="2">
        <f t="shared" si="208"/>
        <v>2025</v>
      </c>
      <c r="E3392" s="2" t="str">
        <f t="shared" si="209"/>
        <v>2025-50</v>
      </c>
      <c r="F3392" s="2" t="str">
        <f t="shared" si="210"/>
        <v>Week 50</v>
      </c>
      <c r="G3392" s="2" t="str">
        <f t="shared" si="211"/>
        <v>Week 50-2025</v>
      </c>
      <c r="O3392"/>
      <c r="Q3392"/>
    </row>
    <row r="3393" spans="1:17" hidden="1" x14ac:dyDescent="0.2">
      <c r="A3393" s="3">
        <v>46004</v>
      </c>
      <c r="B3393" s="2" t="s">
        <v>11</v>
      </c>
      <c r="C3393" s="2">
        <v>1</v>
      </c>
      <c r="D3393" s="2">
        <f t="shared" si="208"/>
        <v>2025</v>
      </c>
      <c r="E3393" s="2" t="str">
        <f t="shared" si="209"/>
        <v>2025-50</v>
      </c>
      <c r="F3393" s="2" t="str">
        <f t="shared" si="210"/>
        <v>Week 50</v>
      </c>
      <c r="G3393" s="2" t="str">
        <f t="shared" si="211"/>
        <v>Week 50-2025</v>
      </c>
      <c r="O3393"/>
      <c r="Q3393"/>
    </row>
    <row r="3394" spans="1:17" hidden="1" x14ac:dyDescent="0.2">
      <c r="A3394" s="3">
        <v>46004</v>
      </c>
      <c r="B3394" s="2" t="s">
        <v>11</v>
      </c>
      <c r="C3394" s="2">
        <v>1</v>
      </c>
      <c r="D3394" s="2">
        <f t="shared" ref="D3394:D3457" si="212">YEAR(A3394)</f>
        <v>2025</v>
      </c>
      <c r="E3394" s="2" t="str">
        <f t="shared" ref="E3394:E3457" si="213">YEAR(A3394)&amp;"-"&amp;_xlfn.ISOWEEKNUM(A3394)</f>
        <v>2025-50</v>
      </c>
      <c r="F3394" s="2" t="str">
        <f t="shared" ref="F3394:F3457" si="214">_xlfn.CONCAT("Week "&amp;WEEKNUM(A3394))</f>
        <v>Week 50</v>
      </c>
      <c r="G3394" s="2" t="str">
        <f t="shared" ref="G3394:G3457" si="215">_xlfn.CONCAT(F3394,"-",D3394)</f>
        <v>Week 50-2025</v>
      </c>
      <c r="O3394"/>
      <c r="Q3394"/>
    </row>
    <row r="3395" spans="1:17" hidden="1" x14ac:dyDescent="0.2">
      <c r="A3395" s="3">
        <v>46004</v>
      </c>
      <c r="B3395" s="2" t="s">
        <v>37</v>
      </c>
      <c r="C3395" s="2">
        <v>3</v>
      </c>
      <c r="D3395" s="2">
        <f t="shared" si="212"/>
        <v>2025</v>
      </c>
      <c r="E3395" s="2" t="str">
        <f t="shared" si="213"/>
        <v>2025-50</v>
      </c>
      <c r="F3395" s="2" t="str">
        <f t="shared" si="214"/>
        <v>Week 50</v>
      </c>
      <c r="G3395" s="2" t="str">
        <f t="shared" si="215"/>
        <v>Week 50-2025</v>
      </c>
      <c r="O3395"/>
      <c r="Q3395"/>
    </row>
    <row r="3396" spans="1:17" hidden="1" x14ac:dyDescent="0.2">
      <c r="A3396" s="3">
        <v>46004</v>
      </c>
      <c r="B3396" s="2" t="s">
        <v>37</v>
      </c>
      <c r="C3396" s="2">
        <v>3</v>
      </c>
      <c r="D3396" s="2">
        <f t="shared" si="212"/>
        <v>2025</v>
      </c>
      <c r="E3396" s="2" t="str">
        <f t="shared" si="213"/>
        <v>2025-50</v>
      </c>
      <c r="F3396" s="2" t="str">
        <f t="shared" si="214"/>
        <v>Week 50</v>
      </c>
      <c r="G3396" s="2" t="str">
        <f t="shared" si="215"/>
        <v>Week 50-2025</v>
      </c>
      <c r="O3396"/>
      <c r="Q3396"/>
    </row>
    <row r="3397" spans="1:17" hidden="1" x14ac:dyDescent="0.2">
      <c r="A3397" s="3">
        <v>46004</v>
      </c>
      <c r="B3397" s="2" t="s">
        <v>8</v>
      </c>
      <c r="C3397" s="2">
        <v>3</v>
      </c>
      <c r="D3397" s="2">
        <f t="shared" si="212"/>
        <v>2025</v>
      </c>
      <c r="E3397" s="2" t="str">
        <f t="shared" si="213"/>
        <v>2025-50</v>
      </c>
      <c r="F3397" s="2" t="str">
        <f t="shared" si="214"/>
        <v>Week 50</v>
      </c>
      <c r="G3397" s="2" t="str">
        <f t="shared" si="215"/>
        <v>Week 50-2025</v>
      </c>
      <c r="O3397"/>
      <c r="Q3397"/>
    </row>
    <row r="3398" spans="1:17" hidden="1" x14ac:dyDescent="0.2">
      <c r="A3398" s="3">
        <v>46004</v>
      </c>
      <c r="B3398" s="2" t="s">
        <v>8</v>
      </c>
      <c r="C3398" s="2">
        <v>3</v>
      </c>
      <c r="D3398" s="2">
        <f t="shared" si="212"/>
        <v>2025</v>
      </c>
      <c r="E3398" s="2" t="str">
        <f t="shared" si="213"/>
        <v>2025-50</v>
      </c>
      <c r="F3398" s="2" t="str">
        <f t="shared" si="214"/>
        <v>Week 50</v>
      </c>
      <c r="G3398" s="2" t="str">
        <f t="shared" si="215"/>
        <v>Week 50-2025</v>
      </c>
      <c r="O3398"/>
      <c r="Q3398"/>
    </row>
    <row r="3399" spans="1:17" hidden="1" x14ac:dyDescent="0.2">
      <c r="A3399" s="3">
        <v>46004</v>
      </c>
      <c r="B3399" s="2" t="s">
        <v>18</v>
      </c>
      <c r="C3399" s="2">
        <v>1</v>
      </c>
      <c r="D3399" s="2">
        <f t="shared" si="212"/>
        <v>2025</v>
      </c>
      <c r="E3399" s="2" t="str">
        <f t="shared" si="213"/>
        <v>2025-50</v>
      </c>
      <c r="F3399" s="2" t="str">
        <f t="shared" si="214"/>
        <v>Week 50</v>
      </c>
      <c r="G3399" s="2" t="str">
        <f t="shared" si="215"/>
        <v>Week 50-2025</v>
      </c>
      <c r="O3399"/>
      <c r="Q3399"/>
    </row>
    <row r="3400" spans="1:17" hidden="1" x14ac:dyDescent="0.2">
      <c r="A3400" s="3">
        <v>46004</v>
      </c>
      <c r="B3400" s="2" t="s">
        <v>10</v>
      </c>
      <c r="C3400" s="2">
        <v>2</v>
      </c>
      <c r="D3400" s="2">
        <f t="shared" si="212"/>
        <v>2025</v>
      </c>
      <c r="E3400" s="2" t="str">
        <f t="shared" si="213"/>
        <v>2025-50</v>
      </c>
      <c r="F3400" s="2" t="str">
        <f t="shared" si="214"/>
        <v>Week 50</v>
      </c>
      <c r="G3400" s="2" t="str">
        <f t="shared" si="215"/>
        <v>Week 50-2025</v>
      </c>
      <c r="O3400"/>
      <c r="Q3400"/>
    </row>
    <row r="3401" spans="1:17" hidden="1" x14ac:dyDescent="0.2">
      <c r="A3401" s="3">
        <v>46004</v>
      </c>
      <c r="B3401" s="2" t="s">
        <v>27</v>
      </c>
      <c r="C3401" s="2">
        <v>3</v>
      </c>
      <c r="D3401" s="2">
        <f t="shared" si="212"/>
        <v>2025</v>
      </c>
      <c r="E3401" s="2" t="str">
        <f t="shared" si="213"/>
        <v>2025-50</v>
      </c>
      <c r="F3401" s="2" t="str">
        <f t="shared" si="214"/>
        <v>Week 50</v>
      </c>
      <c r="G3401" s="2" t="str">
        <f t="shared" si="215"/>
        <v>Week 50-2025</v>
      </c>
      <c r="O3401"/>
      <c r="Q3401"/>
    </row>
    <row r="3402" spans="1:17" hidden="1" x14ac:dyDescent="0.2">
      <c r="A3402" s="3">
        <v>46004</v>
      </c>
      <c r="B3402" s="2" t="s">
        <v>14</v>
      </c>
      <c r="C3402" s="2">
        <v>2</v>
      </c>
      <c r="D3402" s="2">
        <f t="shared" si="212"/>
        <v>2025</v>
      </c>
      <c r="E3402" s="2" t="str">
        <f t="shared" si="213"/>
        <v>2025-50</v>
      </c>
      <c r="F3402" s="2" t="str">
        <f t="shared" si="214"/>
        <v>Week 50</v>
      </c>
      <c r="G3402" s="2" t="str">
        <f t="shared" si="215"/>
        <v>Week 50-2025</v>
      </c>
      <c r="O3402"/>
      <c r="Q3402"/>
    </row>
    <row r="3403" spans="1:17" hidden="1" x14ac:dyDescent="0.2">
      <c r="A3403" s="3">
        <v>46004</v>
      </c>
      <c r="B3403" s="2" t="s">
        <v>14</v>
      </c>
      <c r="C3403" s="2">
        <v>2</v>
      </c>
      <c r="D3403" s="2">
        <f t="shared" si="212"/>
        <v>2025</v>
      </c>
      <c r="E3403" s="2" t="str">
        <f t="shared" si="213"/>
        <v>2025-50</v>
      </c>
      <c r="F3403" s="2" t="str">
        <f t="shared" si="214"/>
        <v>Week 50</v>
      </c>
      <c r="G3403" s="2" t="str">
        <f t="shared" si="215"/>
        <v>Week 50-2025</v>
      </c>
      <c r="O3403"/>
      <c r="Q3403"/>
    </row>
    <row r="3404" spans="1:17" hidden="1" x14ac:dyDescent="0.2">
      <c r="A3404" s="3">
        <v>46004</v>
      </c>
      <c r="B3404" s="2" t="s">
        <v>8</v>
      </c>
      <c r="C3404" s="2">
        <v>2</v>
      </c>
      <c r="D3404" s="2">
        <f t="shared" si="212"/>
        <v>2025</v>
      </c>
      <c r="E3404" s="2" t="str">
        <f t="shared" si="213"/>
        <v>2025-50</v>
      </c>
      <c r="F3404" s="2" t="str">
        <f t="shared" si="214"/>
        <v>Week 50</v>
      </c>
      <c r="G3404" s="2" t="str">
        <f t="shared" si="215"/>
        <v>Week 50-2025</v>
      </c>
      <c r="O3404"/>
      <c r="Q3404"/>
    </row>
    <row r="3405" spans="1:17" hidden="1" x14ac:dyDescent="0.2">
      <c r="A3405" s="3">
        <v>46004</v>
      </c>
      <c r="B3405" s="2" t="s">
        <v>8</v>
      </c>
      <c r="C3405" s="2">
        <v>2</v>
      </c>
      <c r="D3405" s="2">
        <f t="shared" si="212"/>
        <v>2025</v>
      </c>
      <c r="E3405" s="2" t="str">
        <f t="shared" si="213"/>
        <v>2025-50</v>
      </c>
      <c r="F3405" s="2" t="str">
        <f t="shared" si="214"/>
        <v>Week 50</v>
      </c>
      <c r="G3405" s="2" t="str">
        <f t="shared" si="215"/>
        <v>Week 50-2025</v>
      </c>
      <c r="O3405"/>
      <c r="Q3405"/>
    </row>
    <row r="3406" spans="1:17" hidden="1" x14ac:dyDescent="0.2">
      <c r="A3406" s="3">
        <v>46004</v>
      </c>
      <c r="B3406" s="2" t="s">
        <v>35</v>
      </c>
      <c r="C3406" s="2">
        <v>2</v>
      </c>
      <c r="D3406" s="2">
        <f t="shared" si="212"/>
        <v>2025</v>
      </c>
      <c r="E3406" s="2" t="str">
        <f t="shared" si="213"/>
        <v>2025-50</v>
      </c>
      <c r="F3406" s="2" t="str">
        <f t="shared" si="214"/>
        <v>Week 50</v>
      </c>
      <c r="G3406" s="2" t="str">
        <f t="shared" si="215"/>
        <v>Week 50-2025</v>
      </c>
      <c r="O3406"/>
      <c r="Q3406"/>
    </row>
    <row r="3407" spans="1:17" hidden="1" x14ac:dyDescent="0.2">
      <c r="A3407" s="3">
        <v>46004</v>
      </c>
      <c r="B3407" s="2" t="s">
        <v>28</v>
      </c>
      <c r="C3407" s="2">
        <v>2</v>
      </c>
      <c r="D3407" s="2">
        <f t="shared" si="212"/>
        <v>2025</v>
      </c>
      <c r="E3407" s="2" t="str">
        <f t="shared" si="213"/>
        <v>2025-50</v>
      </c>
      <c r="F3407" s="2" t="str">
        <f t="shared" si="214"/>
        <v>Week 50</v>
      </c>
      <c r="G3407" s="2" t="str">
        <f t="shared" si="215"/>
        <v>Week 50-2025</v>
      </c>
      <c r="O3407"/>
      <c r="Q3407"/>
    </row>
    <row r="3408" spans="1:17" hidden="1" x14ac:dyDescent="0.2">
      <c r="A3408" s="3">
        <v>46004</v>
      </c>
      <c r="B3408" s="2" t="s">
        <v>29</v>
      </c>
      <c r="C3408" s="2">
        <v>1</v>
      </c>
      <c r="D3408" s="2">
        <f t="shared" si="212"/>
        <v>2025</v>
      </c>
      <c r="E3408" s="2" t="str">
        <f t="shared" si="213"/>
        <v>2025-50</v>
      </c>
      <c r="F3408" s="2" t="str">
        <f t="shared" si="214"/>
        <v>Week 50</v>
      </c>
      <c r="G3408" s="2" t="str">
        <f t="shared" si="215"/>
        <v>Week 50-2025</v>
      </c>
      <c r="O3408"/>
      <c r="Q3408"/>
    </row>
    <row r="3409" spans="1:17" hidden="1" x14ac:dyDescent="0.2">
      <c r="A3409" s="3">
        <v>46004</v>
      </c>
      <c r="B3409" s="2" t="s">
        <v>29</v>
      </c>
      <c r="C3409" s="2">
        <v>1</v>
      </c>
      <c r="D3409" s="2">
        <f t="shared" si="212"/>
        <v>2025</v>
      </c>
      <c r="E3409" s="2" t="str">
        <f t="shared" si="213"/>
        <v>2025-50</v>
      </c>
      <c r="F3409" s="2" t="str">
        <f t="shared" si="214"/>
        <v>Week 50</v>
      </c>
      <c r="G3409" s="2" t="str">
        <f t="shared" si="215"/>
        <v>Week 50-2025</v>
      </c>
      <c r="O3409"/>
      <c r="Q3409"/>
    </row>
    <row r="3410" spans="1:17" hidden="1" x14ac:dyDescent="0.2">
      <c r="A3410" s="3">
        <v>46004</v>
      </c>
      <c r="B3410" s="2" t="s">
        <v>30</v>
      </c>
      <c r="C3410" s="2">
        <v>2</v>
      </c>
      <c r="D3410" s="2">
        <f t="shared" si="212"/>
        <v>2025</v>
      </c>
      <c r="E3410" s="2" t="str">
        <f t="shared" si="213"/>
        <v>2025-50</v>
      </c>
      <c r="F3410" s="2" t="str">
        <f t="shared" si="214"/>
        <v>Week 50</v>
      </c>
      <c r="G3410" s="2" t="str">
        <f t="shared" si="215"/>
        <v>Week 50-2025</v>
      </c>
      <c r="O3410"/>
      <c r="Q3410"/>
    </row>
    <row r="3411" spans="1:17" hidden="1" x14ac:dyDescent="0.2">
      <c r="A3411" s="3">
        <v>46004</v>
      </c>
      <c r="B3411" s="2" t="s">
        <v>17</v>
      </c>
      <c r="C3411" s="2">
        <v>1</v>
      </c>
      <c r="D3411" s="2">
        <f t="shared" si="212"/>
        <v>2025</v>
      </c>
      <c r="E3411" s="2" t="str">
        <f t="shared" si="213"/>
        <v>2025-50</v>
      </c>
      <c r="F3411" s="2" t="str">
        <f t="shared" si="214"/>
        <v>Week 50</v>
      </c>
      <c r="G3411" s="2" t="str">
        <f t="shared" si="215"/>
        <v>Week 50-2025</v>
      </c>
      <c r="O3411"/>
      <c r="Q3411"/>
    </row>
    <row r="3412" spans="1:17" hidden="1" x14ac:dyDescent="0.2">
      <c r="A3412" s="3">
        <v>46004</v>
      </c>
      <c r="B3412" s="2" t="s">
        <v>17</v>
      </c>
      <c r="C3412" s="2">
        <v>1</v>
      </c>
      <c r="D3412" s="2">
        <f t="shared" si="212"/>
        <v>2025</v>
      </c>
      <c r="E3412" s="2" t="str">
        <f t="shared" si="213"/>
        <v>2025-50</v>
      </c>
      <c r="F3412" s="2" t="str">
        <f t="shared" si="214"/>
        <v>Week 50</v>
      </c>
      <c r="G3412" s="2" t="str">
        <f t="shared" si="215"/>
        <v>Week 50-2025</v>
      </c>
      <c r="O3412"/>
      <c r="Q3412"/>
    </row>
    <row r="3413" spans="1:17" hidden="1" x14ac:dyDescent="0.2">
      <c r="A3413" s="3">
        <v>46004</v>
      </c>
      <c r="B3413" s="2" t="s">
        <v>36</v>
      </c>
      <c r="C3413" s="2">
        <v>2</v>
      </c>
      <c r="D3413" s="2">
        <f t="shared" si="212"/>
        <v>2025</v>
      </c>
      <c r="E3413" s="2" t="str">
        <f t="shared" si="213"/>
        <v>2025-50</v>
      </c>
      <c r="F3413" s="2" t="str">
        <f t="shared" si="214"/>
        <v>Week 50</v>
      </c>
      <c r="G3413" s="2" t="str">
        <f t="shared" si="215"/>
        <v>Week 50-2025</v>
      </c>
      <c r="O3413"/>
      <c r="Q3413"/>
    </row>
    <row r="3414" spans="1:17" hidden="1" x14ac:dyDescent="0.2">
      <c r="A3414" s="3">
        <v>46004</v>
      </c>
      <c r="B3414" s="2" t="s">
        <v>36</v>
      </c>
      <c r="C3414" s="2">
        <v>2</v>
      </c>
      <c r="D3414" s="2">
        <f t="shared" si="212"/>
        <v>2025</v>
      </c>
      <c r="E3414" s="2" t="str">
        <f t="shared" si="213"/>
        <v>2025-50</v>
      </c>
      <c r="F3414" s="2" t="str">
        <f t="shared" si="214"/>
        <v>Week 50</v>
      </c>
      <c r="G3414" s="2" t="str">
        <f t="shared" si="215"/>
        <v>Week 50-2025</v>
      </c>
      <c r="O3414"/>
      <c r="Q3414"/>
    </row>
    <row r="3415" spans="1:17" hidden="1" x14ac:dyDescent="0.2">
      <c r="A3415" s="3">
        <v>46004</v>
      </c>
      <c r="B3415" s="2" t="s">
        <v>8</v>
      </c>
      <c r="C3415" s="2">
        <v>1</v>
      </c>
      <c r="D3415" s="2">
        <f t="shared" si="212"/>
        <v>2025</v>
      </c>
      <c r="E3415" s="2" t="str">
        <f t="shared" si="213"/>
        <v>2025-50</v>
      </c>
      <c r="F3415" s="2" t="str">
        <f t="shared" si="214"/>
        <v>Week 50</v>
      </c>
      <c r="G3415" s="2" t="str">
        <f t="shared" si="215"/>
        <v>Week 50-2025</v>
      </c>
      <c r="O3415"/>
      <c r="Q3415"/>
    </row>
    <row r="3416" spans="1:17" hidden="1" x14ac:dyDescent="0.2">
      <c r="A3416" s="3">
        <v>46004</v>
      </c>
      <c r="B3416" s="2" t="s">
        <v>35</v>
      </c>
      <c r="C3416" s="2">
        <v>1</v>
      </c>
      <c r="D3416" s="2">
        <f t="shared" si="212"/>
        <v>2025</v>
      </c>
      <c r="E3416" s="2" t="str">
        <f t="shared" si="213"/>
        <v>2025-50</v>
      </c>
      <c r="F3416" s="2" t="str">
        <f t="shared" si="214"/>
        <v>Week 50</v>
      </c>
      <c r="G3416" s="2" t="str">
        <f t="shared" si="215"/>
        <v>Week 50-2025</v>
      </c>
      <c r="O3416"/>
      <c r="Q3416"/>
    </row>
    <row r="3417" spans="1:17" hidden="1" x14ac:dyDescent="0.2">
      <c r="A3417" s="3">
        <v>46004</v>
      </c>
      <c r="B3417" s="2" t="s">
        <v>35</v>
      </c>
      <c r="C3417" s="2">
        <v>1</v>
      </c>
      <c r="D3417" s="2">
        <f t="shared" si="212"/>
        <v>2025</v>
      </c>
      <c r="E3417" s="2" t="str">
        <f t="shared" si="213"/>
        <v>2025-50</v>
      </c>
      <c r="F3417" s="2" t="str">
        <f t="shared" si="214"/>
        <v>Week 50</v>
      </c>
      <c r="G3417" s="2" t="str">
        <f t="shared" si="215"/>
        <v>Week 50-2025</v>
      </c>
      <c r="O3417"/>
      <c r="Q3417"/>
    </row>
    <row r="3418" spans="1:17" hidden="1" x14ac:dyDescent="0.2">
      <c r="A3418" s="3">
        <v>46004</v>
      </c>
      <c r="B3418" s="2" t="s">
        <v>27</v>
      </c>
      <c r="C3418" s="2">
        <v>1</v>
      </c>
      <c r="D3418" s="2">
        <f t="shared" si="212"/>
        <v>2025</v>
      </c>
      <c r="E3418" s="2" t="str">
        <f t="shared" si="213"/>
        <v>2025-50</v>
      </c>
      <c r="F3418" s="2" t="str">
        <f t="shared" si="214"/>
        <v>Week 50</v>
      </c>
      <c r="G3418" s="2" t="str">
        <f t="shared" si="215"/>
        <v>Week 50-2025</v>
      </c>
      <c r="O3418"/>
      <c r="Q3418"/>
    </row>
    <row r="3419" spans="1:17" hidden="1" x14ac:dyDescent="0.2">
      <c r="A3419" s="3">
        <v>46005</v>
      </c>
      <c r="B3419" s="2" t="s">
        <v>6</v>
      </c>
      <c r="C3419" s="2">
        <v>14</v>
      </c>
      <c r="D3419" s="2">
        <f t="shared" si="212"/>
        <v>2025</v>
      </c>
      <c r="E3419" s="2" t="str">
        <f t="shared" si="213"/>
        <v>2025-50</v>
      </c>
      <c r="F3419" s="2" t="str">
        <f t="shared" si="214"/>
        <v>Week 51</v>
      </c>
      <c r="G3419" s="2" t="str">
        <f t="shared" si="215"/>
        <v>Week 51-2025</v>
      </c>
      <c r="O3419"/>
      <c r="Q3419"/>
    </row>
    <row r="3420" spans="1:17" hidden="1" x14ac:dyDescent="0.2">
      <c r="A3420" s="3">
        <v>46005</v>
      </c>
      <c r="B3420" s="2" t="s">
        <v>4</v>
      </c>
      <c r="C3420" s="2">
        <v>6</v>
      </c>
      <c r="D3420" s="2">
        <f t="shared" si="212"/>
        <v>2025</v>
      </c>
      <c r="E3420" s="2" t="str">
        <f t="shared" si="213"/>
        <v>2025-50</v>
      </c>
      <c r="F3420" s="2" t="str">
        <f t="shared" si="214"/>
        <v>Week 51</v>
      </c>
      <c r="G3420" s="2" t="str">
        <f t="shared" si="215"/>
        <v>Week 51-2025</v>
      </c>
      <c r="O3420"/>
      <c r="Q3420"/>
    </row>
    <row r="3421" spans="1:17" hidden="1" x14ac:dyDescent="0.2">
      <c r="A3421" s="3">
        <v>46006</v>
      </c>
      <c r="B3421" s="2" t="s">
        <v>30</v>
      </c>
      <c r="C3421" s="2">
        <v>9</v>
      </c>
      <c r="D3421" s="2">
        <f t="shared" si="212"/>
        <v>2025</v>
      </c>
      <c r="E3421" s="2" t="str">
        <f t="shared" si="213"/>
        <v>2025-51</v>
      </c>
      <c r="F3421" s="2" t="str">
        <f t="shared" si="214"/>
        <v>Week 51</v>
      </c>
      <c r="G3421" s="2" t="str">
        <f t="shared" si="215"/>
        <v>Week 51-2025</v>
      </c>
      <c r="O3421"/>
      <c r="Q3421"/>
    </row>
    <row r="3422" spans="1:17" hidden="1" x14ac:dyDescent="0.2">
      <c r="A3422" s="3">
        <v>46006</v>
      </c>
      <c r="B3422" s="2" t="s">
        <v>30</v>
      </c>
      <c r="C3422" s="2">
        <v>1</v>
      </c>
      <c r="D3422" s="2">
        <f t="shared" si="212"/>
        <v>2025</v>
      </c>
      <c r="E3422" s="2" t="str">
        <f t="shared" si="213"/>
        <v>2025-51</v>
      </c>
      <c r="F3422" s="2" t="str">
        <f t="shared" si="214"/>
        <v>Week 51</v>
      </c>
      <c r="G3422" s="2" t="str">
        <f t="shared" si="215"/>
        <v>Week 51-2025</v>
      </c>
      <c r="O3422"/>
      <c r="Q3422"/>
    </row>
    <row r="3423" spans="1:17" hidden="1" x14ac:dyDescent="0.2">
      <c r="A3423" s="3">
        <v>46007</v>
      </c>
      <c r="B3423" s="2" t="s">
        <v>9</v>
      </c>
      <c r="C3423" s="2">
        <v>6</v>
      </c>
      <c r="D3423" s="2">
        <f t="shared" si="212"/>
        <v>2025</v>
      </c>
      <c r="E3423" s="2" t="str">
        <f t="shared" si="213"/>
        <v>2025-51</v>
      </c>
      <c r="F3423" s="2" t="str">
        <f t="shared" si="214"/>
        <v>Week 51</v>
      </c>
      <c r="G3423" s="2" t="str">
        <f t="shared" si="215"/>
        <v>Week 51-2025</v>
      </c>
      <c r="O3423"/>
      <c r="Q3423"/>
    </row>
    <row r="3424" spans="1:17" hidden="1" x14ac:dyDescent="0.2">
      <c r="A3424" s="3">
        <v>46007</v>
      </c>
      <c r="B3424" s="2" t="s">
        <v>35</v>
      </c>
      <c r="C3424" s="2">
        <v>2</v>
      </c>
      <c r="D3424" s="2">
        <f t="shared" si="212"/>
        <v>2025</v>
      </c>
      <c r="E3424" s="2" t="str">
        <f t="shared" si="213"/>
        <v>2025-51</v>
      </c>
      <c r="F3424" s="2" t="str">
        <f t="shared" si="214"/>
        <v>Week 51</v>
      </c>
      <c r="G3424" s="2" t="str">
        <f t="shared" si="215"/>
        <v>Week 51-2025</v>
      </c>
      <c r="O3424"/>
      <c r="Q3424"/>
    </row>
    <row r="3425" spans="1:17" hidden="1" x14ac:dyDescent="0.2">
      <c r="A3425" s="3">
        <v>46008</v>
      </c>
      <c r="B3425" s="2" t="s">
        <v>5</v>
      </c>
      <c r="C3425" s="2">
        <v>31</v>
      </c>
      <c r="D3425" s="2">
        <f t="shared" si="212"/>
        <v>2025</v>
      </c>
      <c r="E3425" s="2" t="str">
        <f t="shared" si="213"/>
        <v>2025-51</v>
      </c>
      <c r="F3425" s="2" t="str">
        <f t="shared" si="214"/>
        <v>Week 51</v>
      </c>
      <c r="G3425" s="2" t="str">
        <f t="shared" si="215"/>
        <v>Week 51-2025</v>
      </c>
      <c r="O3425"/>
      <c r="Q3425"/>
    </row>
    <row r="3426" spans="1:17" hidden="1" x14ac:dyDescent="0.2">
      <c r="A3426" s="3">
        <v>46008</v>
      </c>
      <c r="B3426" s="2" t="s">
        <v>9</v>
      </c>
      <c r="C3426" s="2">
        <v>18</v>
      </c>
      <c r="D3426" s="2">
        <f t="shared" si="212"/>
        <v>2025</v>
      </c>
      <c r="E3426" s="2" t="str">
        <f t="shared" si="213"/>
        <v>2025-51</v>
      </c>
      <c r="F3426" s="2" t="str">
        <f t="shared" si="214"/>
        <v>Week 51</v>
      </c>
      <c r="G3426" s="2" t="str">
        <f t="shared" si="215"/>
        <v>Week 51-2025</v>
      </c>
      <c r="O3426"/>
      <c r="Q3426"/>
    </row>
    <row r="3427" spans="1:17" hidden="1" x14ac:dyDescent="0.2">
      <c r="A3427" s="3">
        <v>46008</v>
      </c>
      <c r="B3427" s="2" t="s">
        <v>19</v>
      </c>
      <c r="C3427" s="2">
        <v>12</v>
      </c>
      <c r="D3427" s="2">
        <f t="shared" si="212"/>
        <v>2025</v>
      </c>
      <c r="E3427" s="2" t="str">
        <f t="shared" si="213"/>
        <v>2025-51</v>
      </c>
      <c r="F3427" s="2" t="str">
        <f t="shared" si="214"/>
        <v>Week 51</v>
      </c>
      <c r="G3427" s="2" t="str">
        <f t="shared" si="215"/>
        <v>Week 51-2025</v>
      </c>
      <c r="O3427"/>
      <c r="Q3427"/>
    </row>
    <row r="3428" spans="1:17" hidden="1" x14ac:dyDescent="0.2">
      <c r="A3428" s="3">
        <v>46008</v>
      </c>
      <c r="B3428" s="2" t="s">
        <v>28</v>
      </c>
      <c r="C3428" s="2">
        <v>24</v>
      </c>
      <c r="D3428" s="2">
        <f t="shared" si="212"/>
        <v>2025</v>
      </c>
      <c r="E3428" s="2" t="str">
        <f t="shared" si="213"/>
        <v>2025-51</v>
      </c>
      <c r="F3428" s="2" t="str">
        <f t="shared" si="214"/>
        <v>Week 51</v>
      </c>
      <c r="G3428" s="2" t="str">
        <f t="shared" si="215"/>
        <v>Week 51-2025</v>
      </c>
      <c r="O3428"/>
      <c r="Q3428"/>
    </row>
    <row r="3429" spans="1:17" hidden="1" x14ac:dyDescent="0.2">
      <c r="A3429" s="3">
        <v>46008</v>
      </c>
      <c r="B3429" s="2" t="s">
        <v>5</v>
      </c>
      <c r="C3429" s="2">
        <v>14</v>
      </c>
      <c r="D3429" s="2">
        <f t="shared" si="212"/>
        <v>2025</v>
      </c>
      <c r="E3429" s="2" t="str">
        <f t="shared" si="213"/>
        <v>2025-51</v>
      </c>
      <c r="F3429" s="2" t="str">
        <f t="shared" si="214"/>
        <v>Week 51</v>
      </c>
      <c r="G3429" s="2" t="str">
        <f t="shared" si="215"/>
        <v>Week 51-2025</v>
      </c>
      <c r="O3429"/>
      <c r="Q3429"/>
    </row>
    <row r="3430" spans="1:17" hidden="1" x14ac:dyDescent="0.2">
      <c r="A3430" s="3">
        <v>46008</v>
      </c>
      <c r="B3430" s="2" t="s">
        <v>4</v>
      </c>
      <c r="C3430" s="2">
        <v>7</v>
      </c>
      <c r="D3430" s="2">
        <f t="shared" si="212"/>
        <v>2025</v>
      </c>
      <c r="E3430" s="2" t="str">
        <f t="shared" si="213"/>
        <v>2025-51</v>
      </c>
      <c r="F3430" s="2" t="str">
        <f t="shared" si="214"/>
        <v>Week 51</v>
      </c>
      <c r="G3430" s="2" t="str">
        <f t="shared" si="215"/>
        <v>Week 51-2025</v>
      </c>
      <c r="O3430"/>
      <c r="Q3430"/>
    </row>
    <row r="3431" spans="1:17" hidden="1" x14ac:dyDescent="0.2">
      <c r="A3431" s="3">
        <v>46008</v>
      </c>
      <c r="B3431" s="2" t="s">
        <v>29</v>
      </c>
      <c r="C3431" s="2">
        <v>8</v>
      </c>
      <c r="D3431" s="2">
        <f t="shared" si="212"/>
        <v>2025</v>
      </c>
      <c r="E3431" s="2" t="str">
        <f t="shared" si="213"/>
        <v>2025-51</v>
      </c>
      <c r="F3431" s="2" t="str">
        <f t="shared" si="214"/>
        <v>Week 51</v>
      </c>
      <c r="G3431" s="2" t="str">
        <f t="shared" si="215"/>
        <v>Week 51-2025</v>
      </c>
      <c r="O3431"/>
      <c r="Q3431"/>
    </row>
    <row r="3432" spans="1:17" hidden="1" x14ac:dyDescent="0.2">
      <c r="A3432" s="3">
        <v>46008</v>
      </c>
      <c r="B3432" s="2" t="s">
        <v>4</v>
      </c>
      <c r="C3432" s="2">
        <v>5</v>
      </c>
      <c r="D3432" s="2">
        <f t="shared" si="212"/>
        <v>2025</v>
      </c>
      <c r="E3432" s="2" t="str">
        <f t="shared" si="213"/>
        <v>2025-51</v>
      </c>
      <c r="F3432" s="2" t="str">
        <f t="shared" si="214"/>
        <v>Week 51</v>
      </c>
      <c r="G3432" s="2" t="str">
        <f t="shared" si="215"/>
        <v>Week 51-2025</v>
      </c>
      <c r="O3432"/>
      <c r="Q3432"/>
    </row>
    <row r="3433" spans="1:17" hidden="1" x14ac:dyDescent="0.2">
      <c r="A3433" s="3">
        <v>46008</v>
      </c>
      <c r="B3433" s="2" t="s">
        <v>7</v>
      </c>
      <c r="C3433" s="2">
        <v>4</v>
      </c>
      <c r="D3433" s="2">
        <f t="shared" si="212"/>
        <v>2025</v>
      </c>
      <c r="E3433" s="2" t="str">
        <f t="shared" si="213"/>
        <v>2025-51</v>
      </c>
      <c r="F3433" s="2" t="str">
        <f t="shared" si="214"/>
        <v>Week 51</v>
      </c>
      <c r="G3433" s="2" t="str">
        <f t="shared" si="215"/>
        <v>Week 51-2025</v>
      </c>
      <c r="O3433"/>
      <c r="Q3433"/>
    </row>
    <row r="3434" spans="1:17" hidden="1" x14ac:dyDescent="0.2">
      <c r="A3434" s="3">
        <v>46008</v>
      </c>
      <c r="B3434" s="2" t="s">
        <v>14</v>
      </c>
      <c r="C3434" s="2">
        <v>8</v>
      </c>
      <c r="D3434" s="2">
        <f t="shared" si="212"/>
        <v>2025</v>
      </c>
      <c r="E3434" s="2" t="str">
        <f t="shared" si="213"/>
        <v>2025-51</v>
      </c>
      <c r="F3434" s="2" t="str">
        <f t="shared" si="214"/>
        <v>Week 51</v>
      </c>
      <c r="G3434" s="2" t="str">
        <f t="shared" si="215"/>
        <v>Week 51-2025</v>
      </c>
      <c r="O3434"/>
      <c r="Q3434"/>
    </row>
    <row r="3435" spans="1:17" hidden="1" x14ac:dyDescent="0.2">
      <c r="A3435" s="3">
        <v>46008</v>
      </c>
      <c r="B3435" s="2" t="s">
        <v>3</v>
      </c>
      <c r="C3435" s="2">
        <v>4</v>
      </c>
      <c r="D3435" s="2">
        <f t="shared" si="212"/>
        <v>2025</v>
      </c>
      <c r="E3435" s="2" t="str">
        <f t="shared" si="213"/>
        <v>2025-51</v>
      </c>
      <c r="F3435" s="2" t="str">
        <f t="shared" si="214"/>
        <v>Week 51</v>
      </c>
      <c r="G3435" s="2" t="str">
        <f t="shared" si="215"/>
        <v>Week 51-2025</v>
      </c>
      <c r="O3435"/>
      <c r="Q3435"/>
    </row>
    <row r="3436" spans="1:17" hidden="1" x14ac:dyDescent="0.2">
      <c r="A3436" s="3">
        <v>46008</v>
      </c>
      <c r="B3436" s="2" t="s">
        <v>8</v>
      </c>
      <c r="C3436" s="2">
        <v>3</v>
      </c>
      <c r="D3436" s="2">
        <f t="shared" si="212"/>
        <v>2025</v>
      </c>
      <c r="E3436" s="2" t="str">
        <f t="shared" si="213"/>
        <v>2025-51</v>
      </c>
      <c r="F3436" s="2" t="str">
        <f t="shared" si="214"/>
        <v>Week 51</v>
      </c>
      <c r="G3436" s="2" t="str">
        <f t="shared" si="215"/>
        <v>Week 51-2025</v>
      </c>
      <c r="O3436"/>
      <c r="Q3436"/>
    </row>
    <row r="3437" spans="1:17" hidden="1" x14ac:dyDescent="0.2">
      <c r="A3437" s="3">
        <v>46008</v>
      </c>
      <c r="B3437" s="2" t="s">
        <v>8</v>
      </c>
      <c r="C3437" s="2">
        <v>3</v>
      </c>
      <c r="D3437" s="2">
        <f t="shared" si="212"/>
        <v>2025</v>
      </c>
      <c r="E3437" s="2" t="str">
        <f t="shared" si="213"/>
        <v>2025-51</v>
      </c>
      <c r="F3437" s="2" t="str">
        <f t="shared" si="214"/>
        <v>Week 51</v>
      </c>
      <c r="G3437" s="2" t="str">
        <f t="shared" si="215"/>
        <v>Week 51-2025</v>
      </c>
      <c r="O3437"/>
      <c r="Q3437"/>
    </row>
    <row r="3438" spans="1:17" hidden="1" x14ac:dyDescent="0.2">
      <c r="A3438" s="3">
        <v>46008</v>
      </c>
      <c r="B3438" s="2" t="s">
        <v>28</v>
      </c>
      <c r="C3438" s="2">
        <v>4</v>
      </c>
      <c r="D3438" s="2">
        <f t="shared" si="212"/>
        <v>2025</v>
      </c>
      <c r="E3438" s="2" t="str">
        <f t="shared" si="213"/>
        <v>2025-51</v>
      </c>
      <c r="F3438" s="2" t="str">
        <f t="shared" si="214"/>
        <v>Week 51</v>
      </c>
      <c r="G3438" s="2" t="str">
        <f t="shared" si="215"/>
        <v>Week 51-2025</v>
      </c>
      <c r="O3438"/>
      <c r="Q3438"/>
    </row>
    <row r="3439" spans="1:17" hidden="1" x14ac:dyDescent="0.2">
      <c r="A3439" s="3">
        <v>46008</v>
      </c>
      <c r="B3439" s="2" t="s">
        <v>14</v>
      </c>
      <c r="C3439" s="2">
        <v>3</v>
      </c>
      <c r="D3439" s="2">
        <f t="shared" si="212"/>
        <v>2025</v>
      </c>
      <c r="E3439" s="2" t="str">
        <f t="shared" si="213"/>
        <v>2025-51</v>
      </c>
      <c r="F3439" s="2" t="str">
        <f t="shared" si="214"/>
        <v>Week 51</v>
      </c>
      <c r="G3439" s="2" t="str">
        <f t="shared" si="215"/>
        <v>Week 51-2025</v>
      </c>
      <c r="O3439"/>
      <c r="Q3439"/>
    </row>
    <row r="3440" spans="1:17" hidden="1" x14ac:dyDescent="0.2">
      <c r="A3440" s="3">
        <v>46008</v>
      </c>
      <c r="B3440" s="2" t="s">
        <v>15</v>
      </c>
      <c r="C3440" s="2">
        <v>4</v>
      </c>
      <c r="D3440" s="2">
        <f t="shared" si="212"/>
        <v>2025</v>
      </c>
      <c r="E3440" s="2" t="str">
        <f t="shared" si="213"/>
        <v>2025-51</v>
      </c>
      <c r="F3440" s="2" t="str">
        <f t="shared" si="214"/>
        <v>Week 51</v>
      </c>
      <c r="G3440" s="2" t="str">
        <f t="shared" si="215"/>
        <v>Week 51-2025</v>
      </c>
      <c r="O3440"/>
      <c r="Q3440"/>
    </row>
    <row r="3441" spans="1:17" hidden="1" x14ac:dyDescent="0.2">
      <c r="A3441" s="3">
        <v>46008</v>
      </c>
      <c r="B3441" s="2" t="s">
        <v>8</v>
      </c>
      <c r="C3441" s="2">
        <v>2</v>
      </c>
      <c r="D3441" s="2">
        <f t="shared" si="212"/>
        <v>2025</v>
      </c>
      <c r="E3441" s="2" t="str">
        <f t="shared" si="213"/>
        <v>2025-51</v>
      </c>
      <c r="F3441" s="2" t="str">
        <f t="shared" si="214"/>
        <v>Week 51</v>
      </c>
      <c r="G3441" s="2" t="str">
        <f t="shared" si="215"/>
        <v>Week 51-2025</v>
      </c>
      <c r="O3441"/>
      <c r="Q3441"/>
    </row>
    <row r="3442" spans="1:17" hidden="1" x14ac:dyDescent="0.2">
      <c r="A3442" s="3">
        <v>46008</v>
      </c>
      <c r="B3442" s="2" t="s">
        <v>14</v>
      </c>
      <c r="C3442" s="2">
        <v>2</v>
      </c>
      <c r="D3442" s="2">
        <f t="shared" si="212"/>
        <v>2025</v>
      </c>
      <c r="E3442" s="2" t="str">
        <f t="shared" si="213"/>
        <v>2025-51</v>
      </c>
      <c r="F3442" s="2" t="str">
        <f t="shared" si="214"/>
        <v>Week 51</v>
      </c>
      <c r="G3442" s="2" t="str">
        <f t="shared" si="215"/>
        <v>Week 51-2025</v>
      </c>
      <c r="O3442"/>
      <c r="Q3442"/>
    </row>
    <row r="3443" spans="1:17" hidden="1" x14ac:dyDescent="0.2">
      <c r="A3443" s="3">
        <v>46008</v>
      </c>
      <c r="B3443" s="2" t="s">
        <v>30</v>
      </c>
      <c r="C3443" s="2">
        <v>2</v>
      </c>
      <c r="D3443" s="2">
        <f t="shared" si="212"/>
        <v>2025</v>
      </c>
      <c r="E3443" s="2" t="str">
        <f t="shared" si="213"/>
        <v>2025-51</v>
      </c>
      <c r="F3443" s="2" t="str">
        <f t="shared" si="214"/>
        <v>Week 51</v>
      </c>
      <c r="G3443" s="2" t="str">
        <f t="shared" si="215"/>
        <v>Week 51-2025</v>
      </c>
      <c r="O3443"/>
      <c r="Q3443"/>
    </row>
    <row r="3444" spans="1:17" hidden="1" x14ac:dyDescent="0.2">
      <c r="A3444" s="3">
        <v>46010</v>
      </c>
      <c r="B3444" s="2" t="s">
        <v>18</v>
      </c>
      <c r="C3444" s="2">
        <v>6</v>
      </c>
      <c r="D3444" s="2">
        <f t="shared" si="212"/>
        <v>2025</v>
      </c>
      <c r="E3444" s="2" t="str">
        <f t="shared" si="213"/>
        <v>2025-51</v>
      </c>
      <c r="F3444" s="2" t="str">
        <f t="shared" si="214"/>
        <v>Week 51</v>
      </c>
      <c r="G3444" s="2" t="str">
        <f t="shared" si="215"/>
        <v>Week 51-2025</v>
      </c>
      <c r="O3444"/>
      <c r="Q3444"/>
    </row>
    <row r="3445" spans="1:17" hidden="1" x14ac:dyDescent="0.2">
      <c r="A3445" s="3">
        <v>46010</v>
      </c>
      <c r="B3445" s="2" t="s">
        <v>17</v>
      </c>
      <c r="C3445" s="2">
        <v>8</v>
      </c>
      <c r="D3445" s="2">
        <f t="shared" si="212"/>
        <v>2025</v>
      </c>
      <c r="E3445" s="2" t="str">
        <f t="shared" si="213"/>
        <v>2025-51</v>
      </c>
      <c r="F3445" s="2" t="str">
        <f t="shared" si="214"/>
        <v>Week 51</v>
      </c>
      <c r="G3445" s="2" t="str">
        <f t="shared" si="215"/>
        <v>Week 51-2025</v>
      </c>
      <c r="O3445"/>
      <c r="Q3445"/>
    </row>
    <row r="3446" spans="1:17" hidden="1" x14ac:dyDescent="0.2">
      <c r="A3446" s="3">
        <v>46010</v>
      </c>
      <c r="B3446" s="2" t="s">
        <v>5</v>
      </c>
      <c r="C3446" s="2">
        <v>8</v>
      </c>
      <c r="D3446" s="2">
        <f t="shared" si="212"/>
        <v>2025</v>
      </c>
      <c r="E3446" s="2" t="str">
        <f t="shared" si="213"/>
        <v>2025-51</v>
      </c>
      <c r="F3446" s="2" t="str">
        <f t="shared" si="214"/>
        <v>Week 51</v>
      </c>
      <c r="G3446" s="2" t="str">
        <f t="shared" si="215"/>
        <v>Week 51-2025</v>
      </c>
      <c r="O3446"/>
      <c r="Q3446"/>
    </row>
    <row r="3447" spans="1:17" hidden="1" x14ac:dyDescent="0.2">
      <c r="A3447" s="3">
        <v>46010</v>
      </c>
      <c r="B3447" s="2" t="s">
        <v>7</v>
      </c>
      <c r="C3447" s="2">
        <v>4</v>
      </c>
      <c r="D3447" s="2">
        <f t="shared" si="212"/>
        <v>2025</v>
      </c>
      <c r="E3447" s="2" t="str">
        <f t="shared" si="213"/>
        <v>2025-51</v>
      </c>
      <c r="F3447" s="2" t="str">
        <f t="shared" si="214"/>
        <v>Week 51</v>
      </c>
      <c r="G3447" s="2" t="str">
        <f t="shared" si="215"/>
        <v>Week 51-2025</v>
      </c>
      <c r="O3447"/>
      <c r="Q3447"/>
    </row>
    <row r="3448" spans="1:17" hidden="1" x14ac:dyDescent="0.2">
      <c r="A3448" s="3">
        <v>46010</v>
      </c>
      <c r="B3448" s="2" t="s">
        <v>19</v>
      </c>
      <c r="C3448" s="2">
        <v>4</v>
      </c>
      <c r="D3448" s="2">
        <f t="shared" si="212"/>
        <v>2025</v>
      </c>
      <c r="E3448" s="2" t="str">
        <f t="shared" si="213"/>
        <v>2025-51</v>
      </c>
      <c r="F3448" s="2" t="str">
        <f t="shared" si="214"/>
        <v>Week 51</v>
      </c>
      <c r="G3448" s="2" t="str">
        <f t="shared" si="215"/>
        <v>Week 51-2025</v>
      </c>
      <c r="O3448"/>
      <c r="Q3448"/>
    </row>
    <row r="3449" spans="1:17" hidden="1" x14ac:dyDescent="0.2">
      <c r="A3449" s="3">
        <v>46010</v>
      </c>
      <c r="B3449" s="2" t="s">
        <v>37</v>
      </c>
      <c r="C3449" s="2">
        <v>8</v>
      </c>
      <c r="D3449" s="2">
        <f t="shared" si="212"/>
        <v>2025</v>
      </c>
      <c r="E3449" s="2" t="str">
        <f t="shared" si="213"/>
        <v>2025-51</v>
      </c>
      <c r="F3449" s="2" t="str">
        <f t="shared" si="214"/>
        <v>Week 51</v>
      </c>
      <c r="G3449" s="2" t="str">
        <f t="shared" si="215"/>
        <v>Week 51-2025</v>
      </c>
      <c r="O3449"/>
      <c r="Q3449"/>
    </row>
    <row r="3450" spans="1:17" hidden="1" x14ac:dyDescent="0.2">
      <c r="A3450" s="3">
        <v>46010</v>
      </c>
      <c r="B3450" s="2" t="s">
        <v>3</v>
      </c>
      <c r="C3450" s="2">
        <v>6</v>
      </c>
      <c r="D3450" s="2">
        <f t="shared" si="212"/>
        <v>2025</v>
      </c>
      <c r="E3450" s="2" t="str">
        <f t="shared" si="213"/>
        <v>2025-51</v>
      </c>
      <c r="F3450" s="2" t="str">
        <f t="shared" si="214"/>
        <v>Week 51</v>
      </c>
      <c r="G3450" s="2" t="str">
        <f t="shared" si="215"/>
        <v>Week 51-2025</v>
      </c>
      <c r="O3450"/>
      <c r="Q3450"/>
    </row>
    <row r="3451" spans="1:17" hidden="1" x14ac:dyDescent="0.2">
      <c r="A3451" s="3">
        <v>46010</v>
      </c>
      <c r="B3451" s="2" t="s">
        <v>15</v>
      </c>
      <c r="C3451" s="2">
        <v>5</v>
      </c>
      <c r="D3451" s="2">
        <f t="shared" si="212"/>
        <v>2025</v>
      </c>
      <c r="E3451" s="2" t="str">
        <f t="shared" si="213"/>
        <v>2025-51</v>
      </c>
      <c r="F3451" s="2" t="str">
        <f t="shared" si="214"/>
        <v>Week 51</v>
      </c>
      <c r="G3451" s="2" t="str">
        <f t="shared" si="215"/>
        <v>Week 51-2025</v>
      </c>
      <c r="O3451"/>
      <c r="Q3451"/>
    </row>
    <row r="3452" spans="1:17" hidden="1" x14ac:dyDescent="0.2">
      <c r="A3452" s="3">
        <v>46010</v>
      </c>
      <c r="B3452" s="2" t="s">
        <v>10</v>
      </c>
      <c r="C3452" s="2">
        <v>2</v>
      </c>
      <c r="D3452" s="2">
        <f t="shared" si="212"/>
        <v>2025</v>
      </c>
      <c r="E3452" s="2" t="str">
        <f t="shared" si="213"/>
        <v>2025-51</v>
      </c>
      <c r="F3452" s="2" t="str">
        <f t="shared" si="214"/>
        <v>Week 51</v>
      </c>
      <c r="G3452" s="2" t="str">
        <f t="shared" si="215"/>
        <v>Week 51-2025</v>
      </c>
      <c r="O3452"/>
      <c r="Q3452"/>
    </row>
    <row r="3453" spans="1:17" hidden="1" x14ac:dyDescent="0.2">
      <c r="A3453" s="3">
        <v>46010</v>
      </c>
      <c r="B3453" s="2" t="s">
        <v>15</v>
      </c>
      <c r="C3453" s="2">
        <v>3</v>
      </c>
      <c r="D3453" s="2">
        <f t="shared" si="212"/>
        <v>2025</v>
      </c>
      <c r="E3453" s="2" t="str">
        <f t="shared" si="213"/>
        <v>2025-51</v>
      </c>
      <c r="F3453" s="2" t="str">
        <f t="shared" si="214"/>
        <v>Week 51</v>
      </c>
      <c r="G3453" s="2" t="str">
        <f t="shared" si="215"/>
        <v>Week 51-2025</v>
      </c>
      <c r="O3453"/>
      <c r="Q3453"/>
    </row>
    <row r="3454" spans="1:17" hidden="1" x14ac:dyDescent="0.2">
      <c r="A3454" s="3">
        <v>46010</v>
      </c>
      <c r="B3454" s="2" t="s">
        <v>5</v>
      </c>
      <c r="C3454" s="2">
        <v>1</v>
      </c>
      <c r="D3454" s="2">
        <f t="shared" si="212"/>
        <v>2025</v>
      </c>
      <c r="E3454" s="2" t="str">
        <f t="shared" si="213"/>
        <v>2025-51</v>
      </c>
      <c r="F3454" s="2" t="str">
        <f t="shared" si="214"/>
        <v>Week 51</v>
      </c>
      <c r="G3454" s="2" t="str">
        <f t="shared" si="215"/>
        <v>Week 51-2025</v>
      </c>
      <c r="O3454"/>
      <c r="Q3454"/>
    </row>
    <row r="3455" spans="1:17" hidden="1" x14ac:dyDescent="0.2">
      <c r="A3455" s="3">
        <v>46010</v>
      </c>
      <c r="B3455" s="2" t="s">
        <v>50</v>
      </c>
      <c r="C3455" s="2">
        <v>1</v>
      </c>
      <c r="D3455" s="2">
        <f t="shared" si="212"/>
        <v>2025</v>
      </c>
      <c r="E3455" s="2" t="str">
        <f t="shared" si="213"/>
        <v>2025-51</v>
      </c>
      <c r="F3455" s="2" t="str">
        <f t="shared" si="214"/>
        <v>Week 51</v>
      </c>
      <c r="G3455" s="2" t="str">
        <f t="shared" si="215"/>
        <v>Week 51-2025</v>
      </c>
      <c r="O3455"/>
      <c r="Q3455"/>
    </row>
    <row r="3456" spans="1:17" hidden="1" x14ac:dyDescent="0.2">
      <c r="A3456" s="3">
        <v>46010</v>
      </c>
      <c r="B3456" s="2" t="s">
        <v>50</v>
      </c>
      <c r="C3456" s="2">
        <v>1</v>
      </c>
      <c r="D3456" s="2">
        <f t="shared" si="212"/>
        <v>2025</v>
      </c>
      <c r="E3456" s="2" t="str">
        <f t="shared" si="213"/>
        <v>2025-51</v>
      </c>
      <c r="F3456" s="2" t="str">
        <f t="shared" si="214"/>
        <v>Week 51</v>
      </c>
      <c r="G3456" s="2" t="str">
        <f t="shared" si="215"/>
        <v>Week 51-2025</v>
      </c>
      <c r="O3456"/>
      <c r="Q3456"/>
    </row>
    <row r="3457" spans="1:17" hidden="1" x14ac:dyDescent="0.2">
      <c r="A3457" s="3">
        <v>46010</v>
      </c>
      <c r="B3457" s="2" t="s">
        <v>50</v>
      </c>
      <c r="C3457" s="2">
        <v>1</v>
      </c>
      <c r="D3457" s="2">
        <f t="shared" si="212"/>
        <v>2025</v>
      </c>
      <c r="E3457" s="2" t="str">
        <f t="shared" si="213"/>
        <v>2025-51</v>
      </c>
      <c r="F3457" s="2" t="str">
        <f t="shared" si="214"/>
        <v>Week 51</v>
      </c>
      <c r="G3457" s="2" t="str">
        <f t="shared" si="215"/>
        <v>Week 51-2025</v>
      </c>
      <c r="O3457"/>
      <c r="Q3457"/>
    </row>
    <row r="3458" spans="1:17" hidden="1" x14ac:dyDescent="0.2">
      <c r="A3458" s="3">
        <v>46010</v>
      </c>
      <c r="B3458" s="2" t="s">
        <v>50</v>
      </c>
      <c r="C3458" s="2">
        <v>1</v>
      </c>
      <c r="D3458" s="2">
        <f t="shared" ref="D3458:D3521" si="216">YEAR(A3458)</f>
        <v>2025</v>
      </c>
      <c r="E3458" s="2" t="str">
        <f t="shared" ref="E3458:E3521" si="217">YEAR(A3458)&amp;"-"&amp;_xlfn.ISOWEEKNUM(A3458)</f>
        <v>2025-51</v>
      </c>
      <c r="F3458" s="2" t="str">
        <f t="shared" ref="F3458:F3521" si="218">_xlfn.CONCAT("Week "&amp;WEEKNUM(A3458))</f>
        <v>Week 51</v>
      </c>
      <c r="G3458" s="2" t="str">
        <f t="shared" ref="G3458:G3521" si="219">_xlfn.CONCAT(F3458,"-",D3458)</f>
        <v>Week 51-2025</v>
      </c>
      <c r="O3458"/>
      <c r="Q3458"/>
    </row>
    <row r="3459" spans="1:17" hidden="1" x14ac:dyDescent="0.2">
      <c r="A3459" s="3">
        <v>46010</v>
      </c>
      <c r="B3459" s="2" t="s">
        <v>52</v>
      </c>
      <c r="C3459" s="2">
        <v>1</v>
      </c>
      <c r="D3459" s="2">
        <f t="shared" si="216"/>
        <v>2025</v>
      </c>
      <c r="E3459" s="2" t="str">
        <f t="shared" si="217"/>
        <v>2025-51</v>
      </c>
      <c r="F3459" s="2" t="str">
        <f t="shared" si="218"/>
        <v>Week 51</v>
      </c>
      <c r="G3459" s="2" t="str">
        <f t="shared" si="219"/>
        <v>Week 51-2025</v>
      </c>
      <c r="O3459"/>
      <c r="Q3459"/>
    </row>
    <row r="3460" spans="1:17" hidden="1" x14ac:dyDescent="0.2">
      <c r="A3460" s="3">
        <v>46010</v>
      </c>
      <c r="B3460" s="2" t="s">
        <v>52</v>
      </c>
      <c r="C3460" s="2">
        <v>1</v>
      </c>
      <c r="D3460" s="2">
        <f t="shared" si="216"/>
        <v>2025</v>
      </c>
      <c r="E3460" s="2" t="str">
        <f t="shared" si="217"/>
        <v>2025-51</v>
      </c>
      <c r="F3460" s="2" t="str">
        <f t="shared" si="218"/>
        <v>Week 51</v>
      </c>
      <c r="G3460" s="2" t="str">
        <f t="shared" si="219"/>
        <v>Week 51-2025</v>
      </c>
      <c r="O3460"/>
      <c r="Q3460"/>
    </row>
    <row r="3461" spans="1:17" hidden="1" x14ac:dyDescent="0.2">
      <c r="A3461" s="3">
        <v>46011</v>
      </c>
      <c r="B3461" s="2" t="s">
        <v>5</v>
      </c>
      <c r="C3461" s="2">
        <v>44</v>
      </c>
      <c r="D3461" s="2">
        <f t="shared" si="216"/>
        <v>2025</v>
      </c>
      <c r="E3461" s="2" t="str">
        <f t="shared" si="217"/>
        <v>2025-51</v>
      </c>
      <c r="F3461" s="2" t="str">
        <f t="shared" si="218"/>
        <v>Week 51</v>
      </c>
      <c r="G3461" s="2" t="str">
        <f t="shared" si="219"/>
        <v>Week 51-2025</v>
      </c>
      <c r="O3461"/>
      <c r="Q3461"/>
    </row>
    <row r="3462" spans="1:17" hidden="1" x14ac:dyDescent="0.2">
      <c r="A3462" s="3">
        <v>46011</v>
      </c>
      <c r="B3462" s="2" t="s">
        <v>3</v>
      </c>
      <c r="C3462" s="2">
        <v>22</v>
      </c>
      <c r="D3462" s="2">
        <f t="shared" si="216"/>
        <v>2025</v>
      </c>
      <c r="E3462" s="2" t="str">
        <f t="shared" si="217"/>
        <v>2025-51</v>
      </c>
      <c r="F3462" s="2" t="str">
        <f t="shared" si="218"/>
        <v>Week 51</v>
      </c>
      <c r="G3462" s="2" t="str">
        <f t="shared" si="219"/>
        <v>Week 51-2025</v>
      </c>
      <c r="O3462"/>
      <c r="Q3462"/>
    </row>
    <row r="3463" spans="1:17" hidden="1" x14ac:dyDescent="0.2">
      <c r="A3463" s="3">
        <v>46011</v>
      </c>
      <c r="B3463" s="2" t="s">
        <v>14</v>
      </c>
      <c r="C3463" s="2">
        <v>24</v>
      </c>
      <c r="D3463" s="2">
        <f t="shared" si="216"/>
        <v>2025</v>
      </c>
      <c r="E3463" s="2" t="str">
        <f t="shared" si="217"/>
        <v>2025-51</v>
      </c>
      <c r="F3463" s="2" t="str">
        <f t="shared" si="218"/>
        <v>Week 51</v>
      </c>
      <c r="G3463" s="2" t="str">
        <f t="shared" si="219"/>
        <v>Week 51-2025</v>
      </c>
      <c r="O3463"/>
      <c r="Q3463"/>
    </row>
    <row r="3464" spans="1:17" hidden="1" x14ac:dyDescent="0.2">
      <c r="A3464" s="3">
        <v>46011</v>
      </c>
      <c r="B3464" s="2" t="s">
        <v>9</v>
      </c>
      <c r="C3464" s="2">
        <v>11</v>
      </c>
      <c r="D3464" s="2">
        <f t="shared" si="216"/>
        <v>2025</v>
      </c>
      <c r="E3464" s="2" t="str">
        <f t="shared" si="217"/>
        <v>2025-51</v>
      </c>
      <c r="F3464" s="2" t="str">
        <f t="shared" si="218"/>
        <v>Week 51</v>
      </c>
      <c r="G3464" s="2" t="str">
        <f t="shared" si="219"/>
        <v>Week 51-2025</v>
      </c>
      <c r="O3464"/>
      <c r="Q3464"/>
    </row>
    <row r="3465" spans="1:17" hidden="1" x14ac:dyDescent="0.2">
      <c r="A3465" s="3">
        <v>46011</v>
      </c>
      <c r="B3465" s="2" t="s">
        <v>5</v>
      </c>
      <c r="C3465" s="2">
        <v>14</v>
      </c>
      <c r="D3465" s="2">
        <f t="shared" si="216"/>
        <v>2025</v>
      </c>
      <c r="E3465" s="2" t="str">
        <f t="shared" si="217"/>
        <v>2025-51</v>
      </c>
      <c r="F3465" s="2" t="str">
        <f t="shared" si="218"/>
        <v>Week 51</v>
      </c>
      <c r="G3465" s="2" t="str">
        <f t="shared" si="219"/>
        <v>Week 51-2025</v>
      </c>
      <c r="O3465"/>
      <c r="Q3465"/>
    </row>
    <row r="3466" spans="1:17" hidden="1" x14ac:dyDescent="0.2">
      <c r="A3466" s="3">
        <v>46011</v>
      </c>
      <c r="B3466" s="2" t="s">
        <v>3</v>
      </c>
      <c r="C3466" s="2">
        <v>6</v>
      </c>
      <c r="D3466" s="2">
        <f t="shared" si="216"/>
        <v>2025</v>
      </c>
      <c r="E3466" s="2" t="str">
        <f t="shared" si="217"/>
        <v>2025-51</v>
      </c>
      <c r="F3466" s="2" t="str">
        <f t="shared" si="218"/>
        <v>Week 51</v>
      </c>
      <c r="G3466" s="2" t="str">
        <f t="shared" si="219"/>
        <v>Week 51-2025</v>
      </c>
      <c r="O3466"/>
      <c r="Q3466"/>
    </row>
    <row r="3467" spans="1:17" hidden="1" x14ac:dyDescent="0.2">
      <c r="A3467" s="3">
        <v>46011</v>
      </c>
      <c r="B3467" s="2" t="s">
        <v>14</v>
      </c>
      <c r="C3467" s="2">
        <v>8</v>
      </c>
      <c r="D3467" s="2">
        <f t="shared" si="216"/>
        <v>2025</v>
      </c>
      <c r="E3467" s="2" t="str">
        <f t="shared" si="217"/>
        <v>2025-51</v>
      </c>
      <c r="F3467" s="2" t="str">
        <f t="shared" si="218"/>
        <v>Week 51</v>
      </c>
      <c r="G3467" s="2" t="str">
        <f t="shared" si="219"/>
        <v>Week 51-2025</v>
      </c>
      <c r="O3467"/>
      <c r="Q3467"/>
    </row>
    <row r="3468" spans="1:17" hidden="1" x14ac:dyDescent="0.2">
      <c r="A3468" s="3">
        <v>46011</v>
      </c>
      <c r="B3468" s="2" t="s">
        <v>4</v>
      </c>
      <c r="C3468" s="2">
        <v>4</v>
      </c>
      <c r="D3468" s="2">
        <f t="shared" si="216"/>
        <v>2025</v>
      </c>
      <c r="E3468" s="2" t="str">
        <f t="shared" si="217"/>
        <v>2025-51</v>
      </c>
      <c r="F3468" s="2" t="str">
        <f t="shared" si="218"/>
        <v>Week 51</v>
      </c>
      <c r="G3468" s="2" t="str">
        <f t="shared" si="219"/>
        <v>Week 51-2025</v>
      </c>
      <c r="O3468"/>
      <c r="Q3468"/>
    </row>
    <row r="3469" spans="1:17" hidden="1" x14ac:dyDescent="0.2">
      <c r="A3469" s="3">
        <v>46011</v>
      </c>
      <c r="B3469" s="2" t="s">
        <v>9</v>
      </c>
      <c r="C3469" s="2">
        <v>4</v>
      </c>
      <c r="D3469" s="2">
        <f t="shared" si="216"/>
        <v>2025</v>
      </c>
      <c r="E3469" s="2" t="str">
        <f t="shared" si="217"/>
        <v>2025-51</v>
      </c>
      <c r="F3469" s="2" t="str">
        <f t="shared" si="218"/>
        <v>Week 51</v>
      </c>
      <c r="G3469" s="2" t="str">
        <f t="shared" si="219"/>
        <v>Week 51-2025</v>
      </c>
      <c r="O3469"/>
      <c r="Q3469"/>
    </row>
    <row r="3470" spans="1:17" hidden="1" x14ac:dyDescent="0.2">
      <c r="A3470" s="3">
        <v>46011</v>
      </c>
      <c r="B3470" s="2" t="s">
        <v>17</v>
      </c>
      <c r="C3470" s="2">
        <v>4</v>
      </c>
      <c r="D3470" s="2">
        <f t="shared" si="216"/>
        <v>2025</v>
      </c>
      <c r="E3470" s="2" t="str">
        <f t="shared" si="217"/>
        <v>2025-51</v>
      </c>
      <c r="F3470" s="2" t="str">
        <f t="shared" si="218"/>
        <v>Week 51</v>
      </c>
      <c r="G3470" s="2" t="str">
        <f t="shared" si="219"/>
        <v>Week 51-2025</v>
      </c>
      <c r="O3470"/>
      <c r="Q3470"/>
    </row>
    <row r="3471" spans="1:17" hidden="1" x14ac:dyDescent="0.2">
      <c r="A3471" s="3">
        <v>46011</v>
      </c>
      <c r="B3471" s="2" t="s">
        <v>14</v>
      </c>
      <c r="C3471" s="2">
        <v>5</v>
      </c>
      <c r="D3471" s="2">
        <f t="shared" si="216"/>
        <v>2025</v>
      </c>
      <c r="E3471" s="2" t="str">
        <f t="shared" si="217"/>
        <v>2025-51</v>
      </c>
      <c r="F3471" s="2" t="str">
        <f t="shared" si="218"/>
        <v>Week 51</v>
      </c>
      <c r="G3471" s="2" t="str">
        <f t="shared" si="219"/>
        <v>Week 51-2025</v>
      </c>
      <c r="O3471"/>
      <c r="Q3471"/>
    </row>
    <row r="3472" spans="1:17" hidden="1" x14ac:dyDescent="0.2">
      <c r="A3472" s="3">
        <v>46011</v>
      </c>
      <c r="B3472" s="2" t="s">
        <v>37</v>
      </c>
      <c r="C3472" s="2">
        <v>4</v>
      </c>
      <c r="D3472" s="2">
        <f t="shared" si="216"/>
        <v>2025</v>
      </c>
      <c r="E3472" s="2" t="str">
        <f t="shared" si="217"/>
        <v>2025-51</v>
      </c>
      <c r="F3472" s="2" t="str">
        <f t="shared" si="218"/>
        <v>Week 51</v>
      </c>
      <c r="G3472" s="2" t="str">
        <f t="shared" si="219"/>
        <v>Week 51-2025</v>
      </c>
      <c r="O3472"/>
      <c r="Q3472"/>
    </row>
    <row r="3473" spans="1:17" hidden="1" x14ac:dyDescent="0.2">
      <c r="A3473" s="3">
        <v>46011</v>
      </c>
      <c r="B3473" s="2" t="s">
        <v>6</v>
      </c>
      <c r="C3473" s="2">
        <v>2</v>
      </c>
      <c r="D3473" s="2">
        <f t="shared" si="216"/>
        <v>2025</v>
      </c>
      <c r="E3473" s="2" t="str">
        <f t="shared" si="217"/>
        <v>2025-51</v>
      </c>
      <c r="F3473" s="2" t="str">
        <f t="shared" si="218"/>
        <v>Week 51</v>
      </c>
      <c r="G3473" s="2" t="str">
        <f t="shared" si="219"/>
        <v>Week 51-2025</v>
      </c>
      <c r="O3473"/>
      <c r="Q3473"/>
    </row>
    <row r="3474" spans="1:17" hidden="1" x14ac:dyDescent="0.2">
      <c r="A3474" s="3">
        <v>46011</v>
      </c>
      <c r="B3474" s="2" t="s">
        <v>3</v>
      </c>
      <c r="C3474" s="2">
        <v>2</v>
      </c>
      <c r="D3474" s="2">
        <f t="shared" si="216"/>
        <v>2025</v>
      </c>
      <c r="E3474" s="2" t="str">
        <f t="shared" si="217"/>
        <v>2025-51</v>
      </c>
      <c r="F3474" s="2" t="str">
        <f t="shared" si="218"/>
        <v>Week 51</v>
      </c>
      <c r="G3474" s="2" t="str">
        <f t="shared" si="219"/>
        <v>Week 51-2025</v>
      </c>
      <c r="O3474"/>
      <c r="Q3474"/>
    </row>
    <row r="3475" spans="1:17" hidden="1" x14ac:dyDescent="0.2">
      <c r="A3475" s="3">
        <v>46011</v>
      </c>
      <c r="B3475" s="2" t="s">
        <v>14</v>
      </c>
      <c r="C3475" s="2">
        <v>3</v>
      </c>
      <c r="D3475" s="2">
        <f t="shared" si="216"/>
        <v>2025</v>
      </c>
      <c r="E3475" s="2" t="str">
        <f t="shared" si="217"/>
        <v>2025-51</v>
      </c>
      <c r="F3475" s="2" t="str">
        <f t="shared" si="218"/>
        <v>Week 51</v>
      </c>
      <c r="G3475" s="2" t="str">
        <f t="shared" si="219"/>
        <v>Week 51-2025</v>
      </c>
      <c r="O3475"/>
      <c r="Q3475"/>
    </row>
    <row r="3476" spans="1:17" hidden="1" x14ac:dyDescent="0.2">
      <c r="A3476" s="3">
        <v>46011</v>
      </c>
      <c r="B3476" s="2" t="s">
        <v>10</v>
      </c>
      <c r="C3476" s="2">
        <v>2</v>
      </c>
      <c r="D3476" s="2">
        <f t="shared" si="216"/>
        <v>2025</v>
      </c>
      <c r="E3476" s="2" t="str">
        <f t="shared" si="217"/>
        <v>2025-51</v>
      </c>
      <c r="F3476" s="2" t="str">
        <f t="shared" si="218"/>
        <v>Week 51</v>
      </c>
      <c r="G3476" s="2" t="str">
        <f t="shared" si="219"/>
        <v>Week 51-2025</v>
      </c>
      <c r="O3476"/>
      <c r="Q3476"/>
    </row>
    <row r="3477" spans="1:17" hidden="1" x14ac:dyDescent="0.2">
      <c r="A3477" s="3">
        <v>46011</v>
      </c>
      <c r="B3477" s="2" t="s">
        <v>42</v>
      </c>
      <c r="C3477" s="2">
        <v>2</v>
      </c>
      <c r="D3477" s="2">
        <f t="shared" si="216"/>
        <v>2025</v>
      </c>
      <c r="E3477" s="2" t="str">
        <f t="shared" si="217"/>
        <v>2025-51</v>
      </c>
      <c r="F3477" s="2" t="str">
        <f t="shared" si="218"/>
        <v>Week 51</v>
      </c>
      <c r="G3477" s="2" t="str">
        <f t="shared" si="219"/>
        <v>Week 51-2025</v>
      </c>
      <c r="O3477"/>
      <c r="Q3477"/>
    </row>
    <row r="3478" spans="1:17" hidden="1" x14ac:dyDescent="0.2">
      <c r="A3478" s="3">
        <v>46014</v>
      </c>
      <c r="B3478" s="2" t="s">
        <v>7</v>
      </c>
      <c r="C3478" s="2">
        <v>10</v>
      </c>
      <c r="D3478" s="2">
        <f t="shared" si="216"/>
        <v>2025</v>
      </c>
      <c r="E3478" s="2" t="str">
        <f t="shared" si="217"/>
        <v>2025-52</v>
      </c>
      <c r="F3478" s="2" t="str">
        <f t="shared" si="218"/>
        <v>Week 52</v>
      </c>
      <c r="G3478" s="2" t="str">
        <f t="shared" si="219"/>
        <v>Week 52-2025</v>
      </c>
      <c r="O3478"/>
      <c r="Q3478"/>
    </row>
    <row r="3479" spans="1:17" hidden="1" x14ac:dyDescent="0.2">
      <c r="A3479" s="3">
        <v>46014</v>
      </c>
      <c r="B3479" s="2" t="s">
        <v>4</v>
      </c>
      <c r="C3479" s="2">
        <v>8</v>
      </c>
      <c r="D3479" s="2">
        <f t="shared" si="216"/>
        <v>2025</v>
      </c>
      <c r="E3479" s="2" t="str">
        <f t="shared" si="217"/>
        <v>2025-52</v>
      </c>
      <c r="F3479" s="2" t="str">
        <f t="shared" si="218"/>
        <v>Week 52</v>
      </c>
      <c r="G3479" s="2" t="str">
        <f t="shared" si="219"/>
        <v>Week 52-2025</v>
      </c>
      <c r="O3479"/>
      <c r="Q3479"/>
    </row>
    <row r="3480" spans="1:17" hidden="1" x14ac:dyDescent="0.2">
      <c r="A3480" s="3">
        <v>46014</v>
      </c>
      <c r="B3480" s="2" t="s">
        <v>3</v>
      </c>
      <c r="C3480" s="2">
        <v>8</v>
      </c>
      <c r="D3480" s="2">
        <f t="shared" si="216"/>
        <v>2025</v>
      </c>
      <c r="E3480" s="2" t="str">
        <f t="shared" si="217"/>
        <v>2025-52</v>
      </c>
      <c r="F3480" s="2" t="str">
        <f t="shared" si="218"/>
        <v>Week 52</v>
      </c>
      <c r="G3480" s="2" t="str">
        <f t="shared" si="219"/>
        <v>Week 52-2025</v>
      </c>
      <c r="O3480"/>
      <c r="Q3480"/>
    </row>
    <row r="3481" spans="1:17" hidden="1" x14ac:dyDescent="0.2">
      <c r="A3481" s="3">
        <v>46014</v>
      </c>
      <c r="B3481" s="2" t="s">
        <v>9</v>
      </c>
      <c r="C3481" s="2">
        <v>8</v>
      </c>
      <c r="D3481" s="2">
        <f t="shared" si="216"/>
        <v>2025</v>
      </c>
      <c r="E3481" s="2" t="str">
        <f t="shared" si="217"/>
        <v>2025-52</v>
      </c>
      <c r="F3481" s="2" t="str">
        <f t="shared" si="218"/>
        <v>Week 52</v>
      </c>
      <c r="G3481" s="2" t="str">
        <f t="shared" si="219"/>
        <v>Week 52-2025</v>
      </c>
      <c r="O3481"/>
      <c r="Q3481"/>
    </row>
    <row r="3482" spans="1:17" hidden="1" x14ac:dyDescent="0.2">
      <c r="A3482" s="3">
        <v>46014</v>
      </c>
      <c r="B3482" s="2" t="s">
        <v>17</v>
      </c>
      <c r="C3482" s="2">
        <v>10</v>
      </c>
      <c r="D3482" s="2">
        <f t="shared" si="216"/>
        <v>2025</v>
      </c>
      <c r="E3482" s="2" t="str">
        <f t="shared" si="217"/>
        <v>2025-52</v>
      </c>
      <c r="F3482" s="2" t="str">
        <f t="shared" si="218"/>
        <v>Week 52</v>
      </c>
      <c r="G3482" s="2" t="str">
        <f t="shared" si="219"/>
        <v>Week 52-2025</v>
      </c>
      <c r="O3482"/>
      <c r="Q3482"/>
    </row>
    <row r="3483" spans="1:17" hidden="1" x14ac:dyDescent="0.2">
      <c r="A3483" s="3">
        <v>46014</v>
      </c>
      <c r="B3483" s="2" t="s">
        <v>3</v>
      </c>
      <c r="C3483" s="2">
        <v>6</v>
      </c>
      <c r="D3483" s="2">
        <f t="shared" si="216"/>
        <v>2025</v>
      </c>
      <c r="E3483" s="2" t="str">
        <f t="shared" si="217"/>
        <v>2025-52</v>
      </c>
      <c r="F3483" s="2" t="str">
        <f t="shared" si="218"/>
        <v>Week 52</v>
      </c>
      <c r="G3483" s="2" t="str">
        <f t="shared" si="219"/>
        <v>Week 52-2025</v>
      </c>
      <c r="O3483"/>
      <c r="Q3483"/>
    </row>
    <row r="3484" spans="1:17" hidden="1" x14ac:dyDescent="0.2">
      <c r="A3484" s="3">
        <v>46014</v>
      </c>
      <c r="B3484" s="2" t="s">
        <v>29</v>
      </c>
      <c r="C3484" s="2">
        <v>6</v>
      </c>
      <c r="D3484" s="2">
        <f t="shared" si="216"/>
        <v>2025</v>
      </c>
      <c r="E3484" s="2" t="str">
        <f t="shared" si="217"/>
        <v>2025-52</v>
      </c>
      <c r="F3484" s="2" t="str">
        <f t="shared" si="218"/>
        <v>Week 52</v>
      </c>
      <c r="G3484" s="2" t="str">
        <f t="shared" si="219"/>
        <v>Week 52-2025</v>
      </c>
      <c r="O3484"/>
      <c r="Q3484"/>
    </row>
    <row r="3485" spans="1:17" hidden="1" x14ac:dyDescent="0.2">
      <c r="A3485" s="3">
        <v>46014</v>
      </c>
      <c r="B3485" s="2" t="s">
        <v>19</v>
      </c>
      <c r="C3485" s="2">
        <v>3</v>
      </c>
      <c r="D3485" s="2">
        <f t="shared" si="216"/>
        <v>2025</v>
      </c>
      <c r="E3485" s="2" t="str">
        <f t="shared" si="217"/>
        <v>2025-52</v>
      </c>
      <c r="F3485" s="2" t="str">
        <f t="shared" si="218"/>
        <v>Week 52</v>
      </c>
      <c r="G3485" s="2" t="str">
        <f t="shared" si="219"/>
        <v>Week 52-2025</v>
      </c>
      <c r="O3485"/>
      <c r="Q3485"/>
    </row>
    <row r="3486" spans="1:17" hidden="1" x14ac:dyDescent="0.2">
      <c r="A3486" s="3">
        <v>46014</v>
      </c>
      <c r="B3486" s="2" t="s">
        <v>19</v>
      </c>
      <c r="C3486" s="2">
        <v>3</v>
      </c>
      <c r="D3486" s="2">
        <f t="shared" si="216"/>
        <v>2025</v>
      </c>
      <c r="E3486" s="2" t="str">
        <f t="shared" si="217"/>
        <v>2025-52</v>
      </c>
      <c r="F3486" s="2" t="str">
        <f t="shared" si="218"/>
        <v>Week 52</v>
      </c>
      <c r="G3486" s="2" t="str">
        <f t="shared" si="219"/>
        <v>Week 52-2025</v>
      </c>
      <c r="O3486"/>
      <c r="Q3486"/>
    </row>
    <row r="3487" spans="1:17" hidden="1" x14ac:dyDescent="0.2">
      <c r="A3487" s="3">
        <v>46014</v>
      </c>
      <c r="B3487" s="2" t="s">
        <v>14</v>
      </c>
      <c r="C3487" s="2">
        <v>7</v>
      </c>
      <c r="D3487" s="2">
        <f t="shared" si="216"/>
        <v>2025</v>
      </c>
      <c r="E3487" s="2" t="str">
        <f t="shared" si="217"/>
        <v>2025-52</v>
      </c>
      <c r="F3487" s="2" t="str">
        <f t="shared" si="218"/>
        <v>Week 52</v>
      </c>
      <c r="G3487" s="2" t="str">
        <f t="shared" si="219"/>
        <v>Week 52-2025</v>
      </c>
      <c r="O3487"/>
      <c r="Q3487"/>
    </row>
    <row r="3488" spans="1:17" hidden="1" x14ac:dyDescent="0.2">
      <c r="A3488" s="3">
        <v>46014</v>
      </c>
      <c r="B3488" s="2" t="s">
        <v>23</v>
      </c>
      <c r="C3488" s="2">
        <v>2</v>
      </c>
      <c r="D3488" s="2">
        <f t="shared" si="216"/>
        <v>2025</v>
      </c>
      <c r="E3488" s="2" t="str">
        <f t="shared" si="217"/>
        <v>2025-52</v>
      </c>
      <c r="F3488" s="2" t="str">
        <f t="shared" si="218"/>
        <v>Week 52</v>
      </c>
      <c r="G3488" s="2" t="str">
        <f t="shared" si="219"/>
        <v>Week 52-2025</v>
      </c>
      <c r="O3488"/>
      <c r="Q3488"/>
    </row>
    <row r="3489" spans="1:17" hidden="1" x14ac:dyDescent="0.2">
      <c r="A3489" s="3">
        <v>46014</v>
      </c>
      <c r="B3489" s="2" t="s">
        <v>18</v>
      </c>
      <c r="C3489" s="2">
        <v>2</v>
      </c>
      <c r="D3489" s="2">
        <f t="shared" si="216"/>
        <v>2025</v>
      </c>
      <c r="E3489" s="2" t="str">
        <f t="shared" si="217"/>
        <v>2025-52</v>
      </c>
      <c r="F3489" s="2" t="str">
        <f t="shared" si="218"/>
        <v>Week 52</v>
      </c>
      <c r="G3489" s="2" t="str">
        <f t="shared" si="219"/>
        <v>Week 52-2025</v>
      </c>
      <c r="O3489"/>
      <c r="Q3489"/>
    </row>
    <row r="3490" spans="1:17" hidden="1" x14ac:dyDescent="0.2">
      <c r="A3490" s="3">
        <v>46014</v>
      </c>
      <c r="B3490" s="2" t="s">
        <v>3</v>
      </c>
      <c r="C3490" s="2">
        <v>2</v>
      </c>
      <c r="D3490" s="2">
        <f t="shared" si="216"/>
        <v>2025</v>
      </c>
      <c r="E3490" s="2" t="str">
        <f t="shared" si="217"/>
        <v>2025-52</v>
      </c>
      <c r="F3490" s="2" t="str">
        <f t="shared" si="218"/>
        <v>Week 52</v>
      </c>
      <c r="G3490" s="2" t="str">
        <f t="shared" si="219"/>
        <v>Week 52-2025</v>
      </c>
      <c r="O3490"/>
      <c r="Q3490"/>
    </row>
    <row r="3491" spans="1:17" hidden="1" x14ac:dyDescent="0.2">
      <c r="A3491" s="3">
        <v>46014</v>
      </c>
      <c r="B3491" s="2" t="s">
        <v>5</v>
      </c>
      <c r="C3491" s="2">
        <v>2</v>
      </c>
      <c r="D3491" s="2">
        <f t="shared" si="216"/>
        <v>2025</v>
      </c>
      <c r="E3491" s="2" t="str">
        <f t="shared" si="217"/>
        <v>2025-52</v>
      </c>
      <c r="F3491" s="2" t="str">
        <f t="shared" si="218"/>
        <v>Week 52</v>
      </c>
      <c r="G3491" s="2" t="str">
        <f t="shared" si="219"/>
        <v>Week 52-2025</v>
      </c>
      <c r="O3491"/>
      <c r="Q3491"/>
    </row>
    <row r="3492" spans="1:17" hidden="1" x14ac:dyDescent="0.2">
      <c r="A3492" s="3">
        <v>46014</v>
      </c>
      <c r="B3492" s="2" t="s">
        <v>6</v>
      </c>
      <c r="C3492" s="2">
        <v>1</v>
      </c>
      <c r="D3492" s="2">
        <f t="shared" si="216"/>
        <v>2025</v>
      </c>
      <c r="E3492" s="2" t="str">
        <f t="shared" si="217"/>
        <v>2025-52</v>
      </c>
      <c r="F3492" s="2" t="str">
        <f t="shared" si="218"/>
        <v>Week 52</v>
      </c>
      <c r="G3492" s="2" t="str">
        <f t="shared" si="219"/>
        <v>Week 52-2025</v>
      </c>
      <c r="O3492"/>
      <c r="Q3492"/>
    </row>
    <row r="3493" spans="1:17" hidden="1" x14ac:dyDescent="0.2">
      <c r="A3493" s="3">
        <v>46014</v>
      </c>
      <c r="B3493" s="2" t="s">
        <v>9</v>
      </c>
      <c r="C3493" s="2">
        <v>1</v>
      </c>
      <c r="D3493" s="2">
        <f t="shared" si="216"/>
        <v>2025</v>
      </c>
      <c r="E3493" s="2" t="str">
        <f t="shared" si="217"/>
        <v>2025-52</v>
      </c>
      <c r="F3493" s="2" t="str">
        <f t="shared" si="218"/>
        <v>Week 52</v>
      </c>
      <c r="G3493" s="2" t="str">
        <f t="shared" si="219"/>
        <v>Week 52-2025</v>
      </c>
      <c r="O3493"/>
      <c r="Q3493"/>
    </row>
    <row r="3494" spans="1:17" hidden="1" x14ac:dyDescent="0.2">
      <c r="A3494" s="3">
        <v>46014</v>
      </c>
      <c r="B3494" s="2" t="s">
        <v>8</v>
      </c>
      <c r="C3494" s="2">
        <v>2</v>
      </c>
      <c r="D3494" s="2">
        <f t="shared" si="216"/>
        <v>2025</v>
      </c>
      <c r="E3494" s="2" t="str">
        <f t="shared" si="217"/>
        <v>2025-52</v>
      </c>
      <c r="F3494" s="2" t="str">
        <f t="shared" si="218"/>
        <v>Week 52</v>
      </c>
      <c r="G3494" s="2" t="str">
        <f t="shared" si="219"/>
        <v>Week 52-2025</v>
      </c>
      <c r="O3494"/>
      <c r="Q3494"/>
    </row>
    <row r="3495" spans="1:17" hidden="1" x14ac:dyDescent="0.2">
      <c r="A3495" s="3">
        <v>46014</v>
      </c>
      <c r="B3495" s="2" t="s">
        <v>28</v>
      </c>
      <c r="C3495" s="2">
        <v>2</v>
      </c>
      <c r="D3495" s="2">
        <f t="shared" si="216"/>
        <v>2025</v>
      </c>
      <c r="E3495" s="2" t="str">
        <f t="shared" si="217"/>
        <v>2025-52</v>
      </c>
      <c r="F3495" s="2" t="str">
        <f t="shared" si="218"/>
        <v>Week 52</v>
      </c>
      <c r="G3495" s="2" t="str">
        <f t="shared" si="219"/>
        <v>Week 52-2025</v>
      </c>
      <c r="O3495"/>
      <c r="Q3495"/>
    </row>
    <row r="3496" spans="1:17" hidden="1" x14ac:dyDescent="0.2">
      <c r="A3496" s="3">
        <v>46014</v>
      </c>
      <c r="B3496" s="2" t="s">
        <v>5</v>
      </c>
      <c r="C3496" s="2">
        <v>1</v>
      </c>
      <c r="D3496" s="2">
        <f t="shared" si="216"/>
        <v>2025</v>
      </c>
      <c r="E3496" s="2" t="str">
        <f t="shared" si="217"/>
        <v>2025-52</v>
      </c>
      <c r="F3496" s="2" t="str">
        <f t="shared" si="218"/>
        <v>Week 52</v>
      </c>
      <c r="G3496" s="2" t="str">
        <f t="shared" si="219"/>
        <v>Week 52-2025</v>
      </c>
      <c r="O3496"/>
      <c r="Q3496"/>
    </row>
    <row r="3497" spans="1:17" hidden="1" x14ac:dyDescent="0.2">
      <c r="A3497" s="3">
        <v>46015</v>
      </c>
      <c r="B3497" s="2" t="s">
        <v>3</v>
      </c>
      <c r="C3497" s="2">
        <v>8</v>
      </c>
      <c r="D3497" s="2">
        <f t="shared" si="216"/>
        <v>2025</v>
      </c>
      <c r="E3497" s="2" t="str">
        <f t="shared" si="217"/>
        <v>2025-52</v>
      </c>
      <c r="F3497" s="2" t="str">
        <f t="shared" si="218"/>
        <v>Week 52</v>
      </c>
      <c r="G3497" s="2" t="str">
        <f t="shared" si="219"/>
        <v>Week 52-2025</v>
      </c>
      <c r="O3497"/>
      <c r="Q3497"/>
    </row>
    <row r="3498" spans="1:17" hidden="1" x14ac:dyDescent="0.2">
      <c r="A3498" s="3">
        <v>46015</v>
      </c>
      <c r="B3498" s="2" t="s">
        <v>5</v>
      </c>
      <c r="C3498" s="2">
        <v>9</v>
      </c>
      <c r="D3498" s="2">
        <f t="shared" si="216"/>
        <v>2025</v>
      </c>
      <c r="E3498" s="2" t="str">
        <f t="shared" si="217"/>
        <v>2025-52</v>
      </c>
      <c r="F3498" s="2" t="str">
        <f t="shared" si="218"/>
        <v>Week 52</v>
      </c>
      <c r="G3498" s="2" t="str">
        <f t="shared" si="219"/>
        <v>Week 52-2025</v>
      </c>
      <c r="O3498"/>
      <c r="Q3498"/>
    </row>
    <row r="3499" spans="1:17" hidden="1" x14ac:dyDescent="0.2">
      <c r="A3499" s="3">
        <v>46015</v>
      </c>
      <c r="B3499" s="2" t="s">
        <v>9</v>
      </c>
      <c r="C3499" s="2">
        <v>6</v>
      </c>
      <c r="D3499" s="2">
        <f t="shared" si="216"/>
        <v>2025</v>
      </c>
      <c r="E3499" s="2" t="str">
        <f t="shared" si="217"/>
        <v>2025-52</v>
      </c>
      <c r="F3499" s="2" t="str">
        <f t="shared" si="218"/>
        <v>Week 52</v>
      </c>
      <c r="G3499" s="2" t="str">
        <f t="shared" si="219"/>
        <v>Week 52-2025</v>
      </c>
      <c r="O3499"/>
      <c r="Q3499"/>
    </row>
    <row r="3500" spans="1:17" hidden="1" x14ac:dyDescent="0.2">
      <c r="A3500" s="3">
        <v>46015</v>
      </c>
      <c r="B3500" s="2" t="s">
        <v>14</v>
      </c>
      <c r="C3500" s="2">
        <v>9</v>
      </c>
      <c r="D3500" s="2">
        <f t="shared" si="216"/>
        <v>2025</v>
      </c>
      <c r="E3500" s="2" t="str">
        <f t="shared" si="217"/>
        <v>2025-52</v>
      </c>
      <c r="F3500" s="2" t="str">
        <f t="shared" si="218"/>
        <v>Week 52</v>
      </c>
      <c r="G3500" s="2" t="str">
        <f t="shared" si="219"/>
        <v>Week 52-2025</v>
      </c>
      <c r="O3500"/>
      <c r="Q3500"/>
    </row>
    <row r="3501" spans="1:17" hidden="1" x14ac:dyDescent="0.2">
      <c r="A3501" s="3">
        <v>46015</v>
      </c>
      <c r="B3501" s="2" t="s">
        <v>5</v>
      </c>
      <c r="C3501" s="2">
        <v>6</v>
      </c>
      <c r="D3501" s="2">
        <f t="shared" si="216"/>
        <v>2025</v>
      </c>
      <c r="E3501" s="2" t="str">
        <f t="shared" si="217"/>
        <v>2025-52</v>
      </c>
      <c r="F3501" s="2" t="str">
        <f t="shared" si="218"/>
        <v>Week 52</v>
      </c>
      <c r="G3501" s="2" t="str">
        <f t="shared" si="219"/>
        <v>Week 52-2025</v>
      </c>
      <c r="O3501"/>
      <c r="Q3501"/>
    </row>
    <row r="3502" spans="1:17" hidden="1" x14ac:dyDescent="0.2">
      <c r="A3502" s="3">
        <v>46015</v>
      </c>
      <c r="B3502" s="2" t="s">
        <v>44</v>
      </c>
      <c r="C3502" s="2">
        <v>1</v>
      </c>
      <c r="D3502" s="2">
        <f t="shared" si="216"/>
        <v>2025</v>
      </c>
      <c r="E3502" s="2" t="str">
        <f t="shared" si="217"/>
        <v>2025-52</v>
      </c>
      <c r="F3502" s="2" t="str">
        <f t="shared" si="218"/>
        <v>Week 52</v>
      </c>
      <c r="G3502" s="2" t="str">
        <f t="shared" si="219"/>
        <v>Week 52-2025</v>
      </c>
      <c r="O3502"/>
      <c r="Q3502"/>
    </row>
    <row r="3503" spans="1:17" hidden="1" x14ac:dyDescent="0.2">
      <c r="A3503" s="3">
        <v>46015</v>
      </c>
      <c r="B3503" s="2" t="s">
        <v>5</v>
      </c>
      <c r="C3503" s="2">
        <v>3</v>
      </c>
      <c r="D3503" s="2">
        <f t="shared" si="216"/>
        <v>2025</v>
      </c>
      <c r="E3503" s="2" t="str">
        <f t="shared" si="217"/>
        <v>2025-52</v>
      </c>
      <c r="F3503" s="2" t="str">
        <f t="shared" si="218"/>
        <v>Week 52</v>
      </c>
      <c r="G3503" s="2" t="str">
        <f t="shared" si="219"/>
        <v>Week 52-2025</v>
      </c>
      <c r="O3503"/>
      <c r="Q3503"/>
    </row>
    <row r="3504" spans="1:17" hidden="1" x14ac:dyDescent="0.2">
      <c r="A3504" s="3">
        <v>46015</v>
      </c>
      <c r="B3504" s="2" t="s">
        <v>28</v>
      </c>
      <c r="C3504" s="2">
        <v>4</v>
      </c>
      <c r="D3504" s="2">
        <f t="shared" si="216"/>
        <v>2025</v>
      </c>
      <c r="E3504" s="2" t="str">
        <f t="shared" si="217"/>
        <v>2025-52</v>
      </c>
      <c r="F3504" s="2" t="str">
        <f t="shared" si="218"/>
        <v>Week 52</v>
      </c>
      <c r="G3504" s="2" t="str">
        <f t="shared" si="219"/>
        <v>Week 52-2025</v>
      </c>
      <c r="O3504"/>
      <c r="Q3504"/>
    </row>
    <row r="3505" spans="1:17" hidden="1" x14ac:dyDescent="0.2">
      <c r="A3505" s="3">
        <v>46016</v>
      </c>
      <c r="B3505" s="2" t="s">
        <v>14</v>
      </c>
      <c r="C3505" s="2">
        <v>32</v>
      </c>
      <c r="D3505" s="2">
        <f t="shared" si="216"/>
        <v>2025</v>
      </c>
      <c r="E3505" s="2" t="str">
        <f t="shared" si="217"/>
        <v>2025-52</v>
      </c>
      <c r="F3505" s="2" t="str">
        <f t="shared" si="218"/>
        <v>Week 52</v>
      </c>
      <c r="G3505" s="2" t="str">
        <f t="shared" si="219"/>
        <v>Week 52-2025</v>
      </c>
      <c r="O3505"/>
      <c r="Q3505"/>
    </row>
    <row r="3506" spans="1:17" hidden="1" x14ac:dyDescent="0.2">
      <c r="A3506" s="3">
        <v>46016</v>
      </c>
      <c r="B3506" s="2" t="s">
        <v>5</v>
      </c>
      <c r="C3506" s="2">
        <v>16</v>
      </c>
      <c r="D3506" s="2">
        <f t="shared" si="216"/>
        <v>2025</v>
      </c>
      <c r="E3506" s="2" t="str">
        <f t="shared" si="217"/>
        <v>2025-52</v>
      </c>
      <c r="F3506" s="2" t="str">
        <f t="shared" si="218"/>
        <v>Week 52</v>
      </c>
      <c r="G3506" s="2" t="str">
        <f t="shared" si="219"/>
        <v>Week 52-2025</v>
      </c>
      <c r="O3506"/>
      <c r="Q3506"/>
    </row>
    <row r="3507" spans="1:17" hidden="1" x14ac:dyDescent="0.2">
      <c r="A3507" s="3">
        <v>46016</v>
      </c>
      <c r="B3507" s="2" t="s">
        <v>10</v>
      </c>
      <c r="C3507" s="2">
        <v>7</v>
      </c>
      <c r="D3507" s="2">
        <f t="shared" si="216"/>
        <v>2025</v>
      </c>
      <c r="E3507" s="2" t="str">
        <f t="shared" si="217"/>
        <v>2025-52</v>
      </c>
      <c r="F3507" s="2" t="str">
        <f t="shared" si="218"/>
        <v>Week 52</v>
      </c>
      <c r="G3507" s="2" t="str">
        <f t="shared" si="219"/>
        <v>Week 52-2025</v>
      </c>
      <c r="O3507"/>
      <c r="Q3507"/>
    </row>
    <row r="3508" spans="1:17" hidden="1" x14ac:dyDescent="0.2">
      <c r="A3508" s="3">
        <v>46016</v>
      </c>
      <c r="B3508" s="2" t="s">
        <v>44</v>
      </c>
      <c r="C3508" s="2">
        <v>1</v>
      </c>
      <c r="D3508" s="2">
        <f t="shared" si="216"/>
        <v>2025</v>
      </c>
      <c r="E3508" s="2" t="str">
        <f t="shared" si="217"/>
        <v>2025-52</v>
      </c>
      <c r="F3508" s="2" t="str">
        <f t="shared" si="218"/>
        <v>Week 52</v>
      </c>
      <c r="G3508" s="2" t="str">
        <f t="shared" si="219"/>
        <v>Week 52-2025</v>
      </c>
      <c r="O3508"/>
      <c r="Q3508"/>
    </row>
    <row r="3509" spans="1:17" hidden="1" x14ac:dyDescent="0.2">
      <c r="A3509" s="3">
        <v>46016</v>
      </c>
      <c r="B3509" s="2" t="s">
        <v>4</v>
      </c>
      <c r="C3509" s="2">
        <v>3</v>
      </c>
      <c r="D3509" s="2">
        <f t="shared" si="216"/>
        <v>2025</v>
      </c>
      <c r="E3509" s="2" t="str">
        <f t="shared" si="217"/>
        <v>2025-52</v>
      </c>
      <c r="F3509" s="2" t="str">
        <f t="shared" si="218"/>
        <v>Week 52</v>
      </c>
      <c r="G3509" s="2" t="str">
        <f t="shared" si="219"/>
        <v>Week 52-2025</v>
      </c>
      <c r="O3509"/>
      <c r="Q3509"/>
    </row>
    <row r="3510" spans="1:17" hidden="1" x14ac:dyDescent="0.2">
      <c r="A3510" s="3">
        <v>46016</v>
      </c>
      <c r="B3510" s="2" t="s">
        <v>23</v>
      </c>
      <c r="C3510" s="2">
        <v>2</v>
      </c>
      <c r="D3510" s="2">
        <f t="shared" si="216"/>
        <v>2025</v>
      </c>
      <c r="E3510" s="2" t="str">
        <f t="shared" si="217"/>
        <v>2025-52</v>
      </c>
      <c r="F3510" s="2" t="str">
        <f t="shared" si="218"/>
        <v>Week 52</v>
      </c>
      <c r="G3510" s="2" t="str">
        <f t="shared" si="219"/>
        <v>Week 52-2025</v>
      </c>
      <c r="O3510"/>
      <c r="Q3510"/>
    </row>
    <row r="3511" spans="1:17" hidden="1" x14ac:dyDescent="0.2">
      <c r="A3511" s="3">
        <v>46016</v>
      </c>
      <c r="B3511" s="2" t="s">
        <v>18</v>
      </c>
      <c r="C3511" s="2">
        <v>2</v>
      </c>
      <c r="D3511" s="2">
        <f t="shared" si="216"/>
        <v>2025</v>
      </c>
      <c r="E3511" s="2" t="str">
        <f t="shared" si="217"/>
        <v>2025-52</v>
      </c>
      <c r="F3511" s="2" t="str">
        <f t="shared" si="218"/>
        <v>Week 52</v>
      </c>
      <c r="G3511" s="2" t="str">
        <f t="shared" si="219"/>
        <v>Week 52-2025</v>
      </c>
      <c r="O3511"/>
      <c r="Q3511"/>
    </row>
    <row r="3512" spans="1:17" hidden="1" x14ac:dyDescent="0.2">
      <c r="A3512" s="3">
        <v>46016</v>
      </c>
      <c r="B3512" s="2" t="s">
        <v>19</v>
      </c>
      <c r="C3512" s="2">
        <v>2</v>
      </c>
      <c r="D3512" s="2">
        <f t="shared" si="216"/>
        <v>2025</v>
      </c>
      <c r="E3512" s="2" t="str">
        <f t="shared" si="217"/>
        <v>2025-52</v>
      </c>
      <c r="F3512" s="2" t="str">
        <f t="shared" si="218"/>
        <v>Week 52</v>
      </c>
      <c r="G3512" s="2" t="str">
        <f t="shared" si="219"/>
        <v>Week 52-2025</v>
      </c>
      <c r="O3512"/>
      <c r="Q3512"/>
    </row>
    <row r="3513" spans="1:17" hidden="1" x14ac:dyDescent="0.2">
      <c r="A3513" s="3">
        <v>46016</v>
      </c>
      <c r="B3513" s="2" t="s">
        <v>19</v>
      </c>
      <c r="C3513" s="2">
        <v>2</v>
      </c>
      <c r="D3513" s="2">
        <f t="shared" si="216"/>
        <v>2025</v>
      </c>
      <c r="E3513" s="2" t="str">
        <f t="shared" si="217"/>
        <v>2025-52</v>
      </c>
      <c r="F3513" s="2" t="str">
        <f t="shared" si="218"/>
        <v>Week 52</v>
      </c>
      <c r="G3513" s="2" t="str">
        <f t="shared" si="219"/>
        <v>Week 52-2025</v>
      </c>
      <c r="O3513"/>
      <c r="Q3513"/>
    </row>
    <row r="3514" spans="1:17" hidden="1" x14ac:dyDescent="0.2">
      <c r="A3514" s="3">
        <v>46016</v>
      </c>
      <c r="B3514" s="2" t="s">
        <v>14</v>
      </c>
      <c r="C3514" s="2">
        <v>4</v>
      </c>
      <c r="D3514" s="2">
        <f t="shared" si="216"/>
        <v>2025</v>
      </c>
      <c r="E3514" s="2" t="str">
        <f t="shared" si="217"/>
        <v>2025-52</v>
      </c>
      <c r="F3514" s="2" t="str">
        <f t="shared" si="218"/>
        <v>Week 52</v>
      </c>
      <c r="G3514" s="2" t="str">
        <f t="shared" si="219"/>
        <v>Week 52-2025</v>
      </c>
      <c r="O3514"/>
      <c r="Q3514"/>
    </row>
    <row r="3515" spans="1:17" hidden="1" x14ac:dyDescent="0.2">
      <c r="A3515" s="3">
        <v>46016</v>
      </c>
      <c r="B3515" s="2" t="s">
        <v>6</v>
      </c>
      <c r="C3515" s="2">
        <v>1</v>
      </c>
      <c r="D3515" s="2">
        <f t="shared" si="216"/>
        <v>2025</v>
      </c>
      <c r="E3515" s="2" t="str">
        <f t="shared" si="217"/>
        <v>2025-52</v>
      </c>
      <c r="F3515" s="2" t="str">
        <f t="shared" si="218"/>
        <v>Week 52</v>
      </c>
      <c r="G3515" s="2" t="str">
        <f t="shared" si="219"/>
        <v>Week 52-2025</v>
      </c>
      <c r="O3515"/>
      <c r="Q3515"/>
    </row>
    <row r="3516" spans="1:17" hidden="1" x14ac:dyDescent="0.2">
      <c r="A3516" s="3">
        <v>46016</v>
      </c>
      <c r="B3516" s="2" t="s">
        <v>9</v>
      </c>
      <c r="C3516" s="2">
        <v>1</v>
      </c>
      <c r="D3516" s="2">
        <f t="shared" si="216"/>
        <v>2025</v>
      </c>
      <c r="E3516" s="2" t="str">
        <f t="shared" si="217"/>
        <v>2025-52</v>
      </c>
      <c r="F3516" s="2" t="str">
        <f t="shared" si="218"/>
        <v>Week 52</v>
      </c>
      <c r="G3516" s="2" t="str">
        <f t="shared" si="219"/>
        <v>Week 52-2025</v>
      </c>
      <c r="O3516"/>
      <c r="Q3516"/>
    </row>
    <row r="3517" spans="1:17" hidden="1" x14ac:dyDescent="0.2">
      <c r="A3517" s="3">
        <v>46016</v>
      </c>
      <c r="B3517" s="2" t="s">
        <v>5</v>
      </c>
      <c r="C3517" s="2">
        <v>1</v>
      </c>
      <c r="D3517" s="2">
        <f t="shared" si="216"/>
        <v>2025</v>
      </c>
      <c r="E3517" s="2" t="str">
        <f t="shared" si="217"/>
        <v>2025-52</v>
      </c>
      <c r="F3517" s="2" t="str">
        <f t="shared" si="218"/>
        <v>Week 52</v>
      </c>
      <c r="G3517" s="2" t="str">
        <f t="shared" si="219"/>
        <v>Week 52-2025</v>
      </c>
      <c r="O3517"/>
      <c r="Q3517"/>
    </row>
    <row r="3518" spans="1:17" hidden="1" x14ac:dyDescent="0.2">
      <c r="A3518" s="3">
        <v>46016</v>
      </c>
      <c r="B3518" s="2" t="s">
        <v>10</v>
      </c>
      <c r="C3518" s="2">
        <v>1</v>
      </c>
      <c r="D3518" s="2">
        <f t="shared" si="216"/>
        <v>2025</v>
      </c>
      <c r="E3518" s="2" t="str">
        <f t="shared" si="217"/>
        <v>2025-52</v>
      </c>
      <c r="F3518" s="2" t="str">
        <f t="shared" si="218"/>
        <v>Week 52</v>
      </c>
      <c r="G3518" s="2" t="str">
        <f t="shared" si="219"/>
        <v>Week 52-2025</v>
      </c>
      <c r="O3518"/>
      <c r="Q3518"/>
    </row>
    <row r="3519" spans="1:17" hidden="1" x14ac:dyDescent="0.2">
      <c r="A3519" s="3">
        <v>46016</v>
      </c>
      <c r="B3519" s="2" t="s">
        <v>14</v>
      </c>
      <c r="C3519" s="2">
        <v>1</v>
      </c>
      <c r="D3519" s="2">
        <f t="shared" si="216"/>
        <v>2025</v>
      </c>
      <c r="E3519" s="2" t="str">
        <f t="shared" si="217"/>
        <v>2025-52</v>
      </c>
      <c r="F3519" s="2" t="str">
        <f t="shared" si="218"/>
        <v>Week 52</v>
      </c>
      <c r="G3519" s="2" t="str">
        <f t="shared" si="219"/>
        <v>Week 52-2025</v>
      </c>
      <c r="O3519"/>
      <c r="Q3519"/>
    </row>
    <row r="3520" spans="1:17" hidden="1" x14ac:dyDescent="0.2">
      <c r="A3520" s="3">
        <v>46017</v>
      </c>
      <c r="B3520" s="2" t="s">
        <v>30</v>
      </c>
      <c r="C3520" s="2">
        <v>2</v>
      </c>
      <c r="D3520" s="2">
        <f t="shared" si="216"/>
        <v>2025</v>
      </c>
      <c r="E3520" s="2" t="str">
        <f t="shared" si="217"/>
        <v>2025-52</v>
      </c>
      <c r="F3520" s="2" t="str">
        <f t="shared" si="218"/>
        <v>Week 52</v>
      </c>
      <c r="G3520" s="2" t="str">
        <f t="shared" si="219"/>
        <v>Week 52-2025</v>
      </c>
      <c r="O3520"/>
      <c r="Q3520"/>
    </row>
    <row r="3521" spans="1:17" hidden="1" x14ac:dyDescent="0.2">
      <c r="A3521" s="3">
        <v>46018</v>
      </c>
      <c r="B3521" s="2" t="s">
        <v>5</v>
      </c>
      <c r="C3521" s="2">
        <v>13</v>
      </c>
      <c r="D3521" s="2">
        <f t="shared" si="216"/>
        <v>2025</v>
      </c>
      <c r="E3521" s="2" t="str">
        <f t="shared" si="217"/>
        <v>2025-52</v>
      </c>
      <c r="F3521" s="2" t="str">
        <f t="shared" si="218"/>
        <v>Week 52</v>
      </c>
      <c r="G3521" s="2" t="str">
        <f t="shared" si="219"/>
        <v>Week 52-2025</v>
      </c>
      <c r="O3521"/>
      <c r="Q3521"/>
    </row>
    <row r="3522" spans="1:17" hidden="1" x14ac:dyDescent="0.2">
      <c r="A3522" s="3">
        <v>46018</v>
      </c>
      <c r="B3522" s="2" t="s">
        <v>5</v>
      </c>
      <c r="C3522" s="2">
        <v>12</v>
      </c>
      <c r="D3522" s="2">
        <f t="shared" ref="D3522:D3585" si="220">YEAR(A3522)</f>
        <v>2025</v>
      </c>
      <c r="E3522" s="2" t="str">
        <f t="shared" ref="E3522:E3585" si="221">YEAR(A3522)&amp;"-"&amp;_xlfn.ISOWEEKNUM(A3522)</f>
        <v>2025-52</v>
      </c>
      <c r="F3522" s="2" t="str">
        <f t="shared" ref="F3522:F3585" si="222">_xlfn.CONCAT("Week "&amp;WEEKNUM(A3522))</f>
        <v>Week 52</v>
      </c>
      <c r="G3522" s="2" t="str">
        <f t="shared" ref="G3522:G3585" si="223">_xlfn.CONCAT(F3522,"-",D3522)</f>
        <v>Week 52-2025</v>
      </c>
      <c r="O3522"/>
      <c r="Q3522"/>
    </row>
    <row r="3523" spans="1:17" hidden="1" x14ac:dyDescent="0.2">
      <c r="A3523" s="3">
        <v>46018</v>
      </c>
      <c r="B3523" s="2" t="s">
        <v>14</v>
      </c>
      <c r="C3523" s="2">
        <v>13</v>
      </c>
      <c r="D3523" s="2">
        <f t="shared" si="220"/>
        <v>2025</v>
      </c>
      <c r="E3523" s="2" t="str">
        <f t="shared" si="221"/>
        <v>2025-52</v>
      </c>
      <c r="F3523" s="2" t="str">
        <f t="shared" si="222"/>
        <v>Week 52</v>
      </c>
      <c r="G3523" s="2" t="str">
        <f t="shared" si="223"/>
        <v>Week 52-2025</v>
      </c>
      <c r="O3523"/>
      <c r="Q3523"/>
    </row>
    <row r="3524" spans="1:17" hidden="1" x14ac:dyDescent="0.2">
      <c r="A3524" s="3">
        <v>46018</v>
      </c>
      <c r="B3524" s="2" t="s">
        <v>3</v>
      </c>
      <c r="C3524" s="2">
        <v>8</v>
      </c>
      <c r="D3524" s="2">
        <f t="shared" si="220"/>
        <v>2025</v>
      </c>
      <c r="E3524" s="2" t="str">
        <f t="shared" si="221"/>
        <v>2025-52</v>
      </c>
      <c r="F3524" s="2" t="str">
        <f t="shared" si="222"/>
        <v>Week 52</v>
      </c>
      <c r="G3524" s="2" t="str">
        <f t="shared" si="223"/>
        <v>Week 52-2025</v>
      </c>
      <c r="O3524"/>
      <c r="Q3524"/>
    </row>
    <row r="3525" spans="1:17" hidden="1" x14ac:dyDescent="0.2">
      <c r="A3525" s="3">
        <v>46018</v>
      </c>
      <c r="B3525" s="2" t="s">
        <v>5</v>
      </c>
      <c r="C3525" s="2">
        <v>8</v>
      </c>
      <c r="D3525" s="2">
        <f t="shared" si="220"/>
        <v>2025</v>
      </c>
      <c r="E3525" s="2" t="str">
        <f t="shared" si="221"/>
        <v>2025-52</v>
      </c>
      <c r="F3525" s="2" t="str">
        <f t="shared" si="222"/>
        <v>Week 52</v>
      </c>
      <c r="G3525" s="2" t="str">
        <f t="shared" si="223"/>
        <v>Week 52-2025</v>
      </c>
      <c r="O3525"/>
      <c r="Q3525"/>
    </row>
    <row r="3526" spans="1:17" hidden="1" x14ac:dyDescent="0.2">
      <c r="A3526" s="3">
        <v>46018</v>
      </c>
      <c r="B3526" s="2" t="s">
        <v>9</v>
      </c>
      <c r="C3526" s="2">
        <v>6</v>
      </c>
      <c r="D3526" s="2">
        <f t="shared" si="220"/>
        <v>2025</v>
      </c>
      <c r="E3526" s="2" t="str">
        <f t="shared" si="221"/>
        <v>2025-52</v>
      </c>
      <c r="F3526" s="2" t="str">
        <f t="shared" si="222"/>
        <v>Week 52</v>
      </c>
      <c r="G3526" s="2" t="str">
        <f t="shared" si="223"/>
        <v>Week 52-2025</v>
      </c>
      <c r="O3526"/>
      <c r="Q3526"/>
    </row>
    <row r="3527" spans="1:17" hidden="1" x14ac:dyDescent="0.2">
      <c r="A3527" s="3">
        <v>46018</v>
      </c>
      <c r="B3527" s="2" t="s">
        <v>14</v>
      </c>
      <c r="C3527" s="2">
        <v>6</v>
      </c>
      <c r="D3527" s="2">
        <f t="shared" si="220"/>
        <v>2025</v>
      </c>
      <c r="E3527" s="2" t="str">
        <f t="shared" si="221"/>
        <v>2025-52</v>
      </c>
      <c r="F3527" s="2" t="str">
        <f t="shared" si="222"/>
        <v>Week 52</v>
      </c>
      <c r="G3527" s="2" t="str">
        <f t="shared" si="223"/>
        <v>Week 52-2025</v>
      </c>
      <c r="O3527"/>
      <c r="Q3527"/>
    </row>
    <row r="3528" spans="1:17" hidden="1" x14ac:dyDescent="0.2">
      <c r="A3528" s="3">
        <v>46018</v>
      </c>
      <c r="B3528" s="2" t="s">
        <v>3</v>
      </c>
      <c r="C3528" s="2">
        <v>4</v>
      </c>
      <c r="D3528" s="2">
        <f t="shared" si="220"/>
        <v>2025</v>
      </c>
      <c r="E3528" s="2" t="str">
        <f t="shared" si="221"/>
        <v>2025-52</v>
      </c>
      <c r="F3528" s="2" t="str">
        <f t="shared" si="222"/>
        <v>Week 52</v>
      </c>
      <c r="G3528" s="2" t="str">
        <f t="shared" si="223"/>
        <v>Week 52-2025</v>
      </c>
      <c r="O3528"/>
      <c r="Q3528"/>
    </row>
    <row r="3529" spans="1:17" hidden="1" x14ac:dyDescent="0.2">
      <c r="A3529" s="3">
        <v>46018</v>
      </c>
      <c r="B3529" s="2" t="s">
        <v>3</v>
      </c>
      <c r="C3529" s="2">
        <v>4</v>
      </c>
      <c r="D3529" s="2">
        <f t="shared" si="220"/>
        <v>2025</v>
      </c>
      <c r="E3529" s="2" t="str">
        <f t="shared" si="221"/>
        <v>2025-52</v>
      </c>
      <c r="F3529" s="2" t="str">
        <f t="shared" si="222"/>
        <v>Week 52</v>
      </c>
      <c r="G3529" s="2" t="str">
        <f t="shared" si="223"/>
        <v>Week 52-2025</v>
      </c>
      <c r="O3529"/>
      <c r="Q3529"/>
    </row>
    <row r="3530" spans="1:17" hidden="1" x14ac:dyDescent="0.2">
      <c r="A3530" s="3">
        <v>46018</v>
      </c>
      <c r="B3530" s="2" t="s">
        <v>34</v>
      </c>
      <c r="C3530" s="2">
        <v>4</v>
      </c>
      <c r="D3530" s="2">
        <f t="shared" si="220"/>
        <v>2025</v>
      </c>
      <c r="E3530" s="2" t="str">
        <f t="shared" si="221"/>
        <v>2025-52</v>
      </c>
      <c r="F3530" s="2" t="str">
        <f t="shared" si="222"/>
        <v>Week 52</v>
      </c>
      <c r="G3530" s="2" t="str">
        <f t="shared" si="223"/>
        <v>Week 52-2025</v>
      </c>
      <c r="O3530"/>
      <c r="Q3530"/>
    </row>
    <row r="3531" spans="1:17" hidden="1" x14ac:dyDescent="0.2">
      <c r="A3531" s="3">
        <v>46018</v>
      </c>
      <c r="B3531" s="2" t="s">
        <v>34</v>
      </c>
      <c r="C3531" s="2">
        <v>4</v>
      </c>
      <c r="D3531" s="2">
        <f t="shared" si="220"/>
        <v>2025</v>
      </c>
      <c r="E3531" s="2" t="str">
        <f t="shared" si="221"/>
        <v>2025-52</v>
      </c>
      <c r="F3531" s="2" t="str">
        <f t="shared" si="222"/>
        <v>Week 52</v>
      </c>
      <c r="G3531" s="2" t="str">
        <f t="shared" si="223"/>
        <v>Week 52-2025</v>
      </c>
      <c r="O3531"/>
      <c r="Q3531"/>
    </row>
    <row r="3532" spans="1:17" hidden="1" x14ac:dyDescent="0.2">
      <c r="A3532" s="3">
        <v>46018</v>
      </c>
      <c r="B3532" s="2" t="s">
        <v>8</v>
      </c>
      <c r="C3532" s="2">
        <v>5</v>
      </c>
      <c r="D3532" s="2">
        <f t="shared" si="220"/>
        <v>2025</v>
      </c>
      <c r="E3532" s="2" t="str">
        <f t="shared" si="221"/>
        <v>2025-52</v>
      </c>
      <c r="F3532" s="2" t="str">
        <f t="shared" si="222"/>
        <v>Week 52</v>
      </c>
      <c r="G3532" s="2" t="str">
        <f t="shared" si="223"/>
        <v>Week 52-2025</v>
      </c>
      <c r="O3532"/>
      <c r="Q3532"/>
    </row>
    <row r="3533" spans="1:17" hidden="1" x14ac:dyDescent="0.2">
      <c r="A3533" s="3">
        <v>46018</v>
      </c>
      <c r="B3533" s="2" t="s">
        <v>19</v>
      </c>
      <c r="C3533" s="2">
        <v>2</v>
      </c>
      <c r="D3533" s="2">
        <f t="shared" si="220"/>
        <v>2025</v>
      </c>
      <c r="E3533" s="2" t="str">
        <f t="shared" si="221"/>
        <v>2025-52</v>
      </c>
      <c r="F3533" s="2" t="str">
        <f t="shared" si="222"/>
        <v>Week 52</v>
      </c>
      <c r="G3533" s="2" t="str">
        <f t="shared" si="223"/>
        <v>Week 52-2025</v>
      </c>
      <c r="O3533"/>
      <c r="Q3533"/>
    </row>
    <row r="3534" spans="1:17" hidden="1" x14ac:dyDescent="0.2">
      <c r="A3534" s="3">
        <v>46018</v>
      </c>
      <c r="B3534" s="2" t="s">
        <v>3</v>
      </c>
      <c r="C3534" s="2">
        <v>2</v>
      </c>
      <c r="D3534" s="2">
        <f t="shared" si="220"/>
        <v>2025</v>
      </c>
      <c r="E3534" s="2" t="str">
        <f t="shared" si="221"/>
        <v>2025-52</v>
      </c>
      <c r="F3534" s="2" t="str">
        <f t="shared" si="222"/>
        <v>Week 52</v>
      </c>
      <c r="G3534" s="2" t="str">
        <f t="shared" si="223"/>
        <v>Week 52-2025</v>
      </c>
      <c r="O3534"/>
      <c r="Q3534"/>
    </row>
    <row r="3535" spans="1:17" hidden="1" x14ac:dyDescent="0.2">
      <c r="A3535" s="3">
        <v>46018</v>
      </c>
      <c r="B3535" s="2" t="s">
        <v>8</v>
      </c>
      <c r="C3535" s="2">
        <v>3</v>
      </c>
      <c r="D3535" s="2">
        <f t="shared" si="220"/>
        <v>2025</v>
      </c>
      <c r="E3535" s="2" t="str">
        <f t="shared" si="221"/>
        <v>2025-52</v>
      </c>
      <c r="F3535" s="2" t="str">
        <f t="shared" si="222"/>
        <v>Week 52</v>
      </c>
      <c r="G3535" s="2" t="str">
        <f t="shared" si="223"/>
        <v>Week 52-2025</v>
      </c>
      <c r="O3535"/>
      <c r="Q3535"/>
    </row>
    <row r="3536" spans="1:17" hidden="1" x14ac:dyDescent="0.2">
      <c r="A3536" s="3">
        <v>46018</v>
      </c>
      <c r="B3536" s="2" t="s">
        <v>51</v>
      </c>
      <c r="C3536" s="2">
        <v>4</v>
      </c>
      <c r="D3536" s="2">
        <f t="shared" si="220"/>
        <v>2025</v>
      </c>
      <c r="E3536" s="2" t="str">
        <f t="shared" si="221"/>
        <v>2025-52</v>
      </c>
      <c r="F3536" s="2" t="str">
        <f t="shared" si="222"/>
        <v>Week 52</v>
      </c>
      <c r="G3536" s="2" t="str">
        <f t="shared" si="223"/>
        <v>Week 52-2025</v>
      </c>
      <c r="O3536"/>
      <c r="Q3536"/>
    </row>
    <row r="3537" spans="1:17" hidden="1" x14ac:dyDescent="0.2">
      <c r="A3537" s="3">
        <v>46018</v>
      </c>
      <c r="B3537" s="2" t="s">
        <v>6</v>
      </c>
      <c r="C3537" s="2">
        <v>1</v>
      </c>
      <c r="D3537" s="2">
        <f t="shared" si="220"/>
        <v>2025</v>
      </c>
      <c r="E3537" s="2" t="str">
        <f t="shared" si="221"/>
        <v>2025-52</v>
      </c>
      <c r="F3537" s="2" t="str">
        <f t="shared" si="222"/>
        <v>Week 52</v>
      </c>
      <c r="G3537" s="2" t="str">
        <f t="shared" si="223"/>
        <v>Week 52-2025</v>
      </c>
      <c r="O3537"/>
      <c r="Q3537"/>
    </row>
    <row r="3538" spans="1:17" hidden="1" x14ac:dyDescent="0.2">
      <c r="A3538" s="3">
        <v>46018</v>
      </c>
      <c r="B3538" s="2" t="s">
        <v>28</v>
      </c>
      <c r="C3538" s="2">
        <v>2</v>
      </c>
      <c r="D3538" s="2">
        <f t="shared" si="220"/>
        <v>2025</v>
      </c>
      <c r="E3538" s="2" t="str">
        <f t="shared" si="221"/>
        <v>2025-52</v>
      </c>
      <c r="F3538" s="2" t="str">
        <f t="shared" si="222"/>
        <v>Week 52</v>
      </c>
      <c r="G3538" s="2" t="str">
        <f t="shared" si="223"/>
        <v>Week 52-2025</v>
      </c>
      <c r="O3538"/>
      <c r="Q3538"/>
    </row>
    <row r="3539" spans="1:17" hidden="1" x14ac:dyDescent="0.2">
      <c r="A3539" s="3">
        <v>46018</v>
      </c>
      <c r="B3539" s="2" t="s">
        <v>30</v>
      </c>
      <c r="C3539" s="2">
        <v>2</v>
      </c>
      <c r="D3539" s="2">
        <f t="shared" si="220"/>
        <v>2025</v>
      </c>
      <c r="E3539" s="2" t="str">
        <f t="shared" si="221"/>
        <v>2025-52</v>
      </c>
      <c r="F3539" s="2" t="str">
        <f t="shared" si="222"/>
        <v>Week 52</v>
      </c>
      <c r="G3539" s="2" t="str">
        <f t="shared" si="223"/>
        <v>Week 52-2025</v>
      </c>
      <c r="O3539"/>
      <c r="Q3539"/>
    </row>
    <row r="3540" spans="1:17" hidden="1" x14ac:dyDescent="0.2">
      <c r="A3540" s="3">
        <v>46022</v>
      </c>
      <c r="B3540" s="2" t="s">
        <v>4</v>
      </c>
      <c r="C3540" s="2">
        <v>31</v>
      </c>
      <c r="D3540" s="2">
        <f t="shared" si="220"/>
        <v>2025</v>
      </c>
      <c r="E3540" s="2" t="str">
        <f t="shared" si="221"/>
        <v>2025-1</v>
      </c>
      <c r="F3540" s="2" t="str">
        <f t="shared" si="222"/>
        <v>Week 53</v>
      </c>
      <c r="G3540" s="2" t="str">
        <f t="shared" si="223"/>
        <v>Week 53-2025</v>
      </c>
      <c r="O3540"/>
      <c r="Q3540"/>
    </row>
    <row r="3541" spans="1:17" hidden="1" x14ac:dyDescent="0.2">
      <c r="A3541" s="3">
        <v>46022</v>
      </c>
      <c r="B3541" s="2" t="s">
        <v>3</v>
      </c>
      <c r="C3541" s="2">
        <v>20</v>
      </c>
      <c r="D3541" s="2">
        <f t="shared" si="220"/>
        <v>2025</v>
      </c>
      <c r="E3541" s="2" t="str">
        <f t="shared" si="221"/>
        <v>2025-1</v>
      </c>
      <c r="F3541" s="2" t="str">
        <f t="shared" si="222"/>
        <v>Week 53</v>
      </c>
      <c r="G3541" s="2" t="str">
        <f t="shared" si="223"/>
        <v>Week 53-2025</v>
      </c>
      <c r="O3541"/>
      <c r="Q3541"/>
    </row>
    <row r="3542" spans="1:17" hidden="1" x14ac:dyDescent="0.2">
      <c r="A3542" s="3">
        <v>46022</v>
      </c>
      <c r="B3542" s="2" t="s">
        <v>9</v>
      </c>
      <c r="C3542" s="2">
        <v>12</v>
      </c>
      <c r="D3542" s="2">
        <f t="shared" si="220"/>
        <v>2025</v>
      </c>
      <c r="E3542" s="2" t="str">
        <f t="shared" si="221"/>
        <v>2025-1</v>
      </c>
      <c r="F3542" s="2" t="str">
        <f t="shared" si="222"/>
        <v>Week 53</v>
      </c>
      <c r="G3542" s="2" t="str">
        <f t="shared" si="223"/>
        <v>Week 53-2025</v>
      </c>
      <c r="O3542"/>
      <c r="Q3542"/>
    </row>
    <row r="3543" spans="1:17" hidden="1" x14ac:dyDescent="0.2">
      <c r="A3543" s="3">
        <v>46022</v>
      </c>
      <c r="B3543" s="2" t="s">
        <v>12</v>
      </c>
      <c r="C3543" s="2">
        <v>6</v>
      </c>
      <c r="D3543" s="2">
        <f t="shared" si="220"/>
        <v>2025</v>
      </c>
      <c r="E3543" s="2" t="str">
        <f t="shared" si="221"/>
        <v>2025-1</v>
      </c>
      <c r="F3543" s="2" t="str">
        <f t="shared" si="222"/>
        <v>Week 53</v>
      </c>
      <c r="G3543" s="2" t="str">
        <f t="shared" si="223"/>
        <v>Week 53-2025</v>
      </c>
      <c r="O3543"/>
      <c r="Q3543"/>
    </row>
    <row r="3544" spans="1:17" hidden="1" x14ac:dyDescent="0.2">
      <c r="A3544" s="3">
        <v>46022</v>
      </c>
      <c r="B3544" s="2" t="s">
        <v>3</v>
      </c>
      <c r="C3544" s="2">
        <v>8</v>
      </c>
      <c r="D3544" s="2">
        <f t="shared" si="220"/>
        <v>2025</v>
      </c>
      <c r="E3544" s="2" t="str">
        <f t="shared" si="221"/>
        <v>2025-1</v>
      </c>
      <c r="F3544" s="2" t="str">
        <f t="shared" si="222"/>
        <v>Week 53</v>
      </c>
      <c r="G3544" s="2" t="str">
        <f t="shared" si="223"/>
        <v>Week 53-2025</v>
      </c>
      <c r="O3544"/>
      <c r="Q3544"/>
    </row>
    <row r="3545" spans="1:17" hidden="1" x14ac:dyDescent="0.2">
      <c r="A3545" s="3">
        <v>46022</v>
      </c>
      <c r="B3545" s="2" t="s">
        <v>3</v>
      </c>
      <c r="C3545" s="2">
        <v>4</v>
      </c>
      <c r="D3545" s="2">
        <f t="shared" si="220"/>
        <v>2025</v>
      </c>
      <c r="E3545" s="2" t="str">
        <f t="shared" si="221"/>
        <v>2025-1</v>
      </c>
      <c r="F3545" s="2" t="str">
        <f t="shared" si="222"/>
        <v>Week 53</v>
      </c>
      <c r="G3545" s="2" t="str">
        <f t="shared" si="223"/>
        <v>Week 53-2025</v>
      </c>
      <c r="O3545"/>
      <c r="Q3545"/>
    </row>
    <row r="3546" spans="1:17" hidden="1" x14ac:dyDescent="0.2">
      <c r="A3546" s="3">
        <v>46022</v>
      </c>
      <c r="B3546" s="2" t="s">
        <v>18</v>
      </c>
      <c r="C3546" s="2">
        <v>2</v>
      </c>
      <c r="D3546" s="2">
        <f t="shared" si="220"/>
        <v>2025</v>
      </c>
      <c r="E3546" s="2" t="str">
        <f t="shared" si="221"/>
        <v>2025-1</v>
      </c>
      <c r="F3546" s="2" t="str">
        <f t="shared" si="222"/>
        <v>Week 53</v>
      </c>
      <c r="G3546" s="2" t="str">
        <f t="shared" si="223"/>
        <v>Week 53-2025</v>
      </c>
      <c r="O3546"/>
      <c r="Q3546"/>
    </row>
    <row r="3547" spans="1:17" hidden="1" x14ac:dyDescent="0.2">
      <c r="A3547" s="3">
        <v>46022</v>
      </c>
      <c r="B3547" s="2" t="s">
        <v>37</v>
      </c>
      <c r="C3547" s="2">
        <v>4</v>
      </c>
      <c r="D3547" s="2">
        <f t="shared" si="220"/>
        <v>2025</v>
      </c>
      <c r="E3547" s="2" t="str">
        <f t="shared" si="221"/>
        <v>2025-1</v>
      </c>
      <c r="F3547" s="2" t="str">
        <f t="shared" si="222"/>
        <v>Week 53</v>
      </c>
      <c r="G3547" s="2" t="str">
        <f t="shared" si="223"/>
        <v>Week 53-2025</v>
      </c>
      <c r="O3547"/>
      <c r="Q3547"/>
    </row>
    <row r="3548" spans="1:17" hidden="1" x14ac:dyDescent="0.2">
      <c r="A3548" s="3">
        <v>46022</v>
      </c>
      <c r="B3548" s="2" t="s">
        <v>18</v>
      </c>
      <c r="C3548" s="2">
        <v>1</v>
      </c>
      <c r="D3548" s="2">
        <f t="shared" si="220"/>
        <v>2025</v>
      </c>
      <c r="E3548" s="2" t="str">
        <f t="shared" si="221"/>
        <v>2025-1</v>
      </c>
      <c r="F3548" s="2" t="str">
        <f t="shared" si="222"/>
        <v>Week 53</v>
      </c>
      <c r="G3548" s="2" t="str">
        <f t="shared" si="223"/>
        <v>Week 53-2025</v>
      </c>
      <c r="O3548"/>
      <c r="Q3548"/>
    </row>
    <row r="3549" spans="1:17" hidden="1" x14ac:dyDescent="0.2">
      <c r="A3549" s="3">
        <v>46022</v>
      </c>
      <c r="B3549" s="2" t="s">
        <v>18</v>
      </c>
      <c r="C3549" s="2">
        <v>1</v>
      </c>
      <c r="D3549" s="2">
        <f t="shared" si="220"/>
        <v>2025</v>
      </c>
      <c r="E3549" s="2" t="str">
        <f t="shared" si="221"/>
        <v>2025-1</v>
      </c>
      <c r="F3549" s="2" t="str">
        <f t="shared" si="222"/>
        <v>Week 53</v>
      </c>
      <c r="G3549" s="2" t="str">
        <f t="shared" si="223"/>
        <v>Week 53-2025</v>
      </c>
      <c r="O3549"/>
      <c r="Q3549"/>
    </row>
    <row r="3550" spans="1:17" hidden="1" x14ac:dyDescent="0.2">
      <c r="A3550" s="3">
        <v>46022</v>
      </c>
      <c r="B3550" s="2" t="s">
        <v>27</v>
      </c>
      <c r="C3550" s="2">
        <v>2</v>
      </c>
      <c r="D3550" s="2">
        <f t="shared" si="220"/>
        <v>2025</v>
      </c>
      <c r="E3550" s="2" t="str">
        <f t="shared" si="221"/>
        <v>2025-1</v>
      </c>
      <c r="F3550" s="2" t="str">
        <f t="shared" si="222"/>
        <v>Week 53</v>
      </c>
      <c r="G3550" s="2" t="str">
        <f t="shared" si="223"/>
        <v>Week 53-2025</v>
      </c>
      <c r="O3550"/>
      <c r="Q3550"/>
    </row>
    <row r="3551" spans="1:17" hidden="1" x14ac:dyDescent="0.2">
      <c r="A3551" s="3">
        <v>46024</v>
      </c>
      <c r="B3551" s="2" t="s">
        <v>20</v>
      </c>
      <c r="C3551" s="2">
        <v>16</v>
      </c>
      <c r="D3551" s="2">
        <f t="shared" si="220"/>
        <v>2026</v>
      </c>
      <c r="E3551" s="2" t="str">
        <f t="shared" si="221"/>
        <v>2026-1</v>
      </c>
      <c r="F3551" s="2" t="str">
        <f t="shared" si="222"/>
        <v>Week 1</v>
      </c>
      <c r="G3551" s="2" t="str">
        <f t="shared" si="223"/>
        <v>Week 1-2026</v>
      </c>
      <c r="O3551"/>
      <c r="Q3551"/>
    </row>
    <row r="3552" spans="1:17" hidden="1" x14ac:dyDescent="0.2">
      <c r="A3552" s="3">
        <v>46025</v>
      </c>
      <c r="B3552" s="2" t="s">
        <v>5</v>
      </c>
      <c r="C3552" s="2">
        <v>36</v>
      </c>
      <c r="D3552" s="2">
        <f t="shared" si="220"/>
        <v>2026</v>
      </c>
      <c r="E3552" s="2" t="str">
        <f t="shared" si="221"/>
        <v>2026-1</v>
      </c>
      <c r="F3552" s="2" t="str">
        <f t="shared" si="222"/>
        <v>Week 1</v>
      </c>
      <c r="G3552" s="2" t="str">
        <f t="shared" si="223"/>
        <v>Week 1-2026</v>
      </c>
      <c r="O3552"/>
      <c r="Q3552"/>
    </row>
    <row r="3553" spans="1:17" hidden="1" x14ac:dyDescent="0.2">
      <c r="A3553" s="3">
        <v>46025</v>
      </c>
      <c r="B3553" s="2" t="s">
        <v>14</v>
      </c>
      <c r="C3553" s="2">
        <v>18</v>
      </c>
      <c r="D3553" s="2">
        <f t="shared" si="220"/>
        <v>2026</v>
      </c>
      <c r="E3553" s="2" t="str">
        <f t="shared" si="221"/>
        <v>2026-1</v>
      </c>
      <c r="F3553" s="2" t="str">
        <f t="shared" si="222"/>
        <v>Week 1</v>
      </c>
      <c r="G3553" s="2" t="str">
        <f t="shared" si="223"/>
        <v>Week 1-2026</v>
      </c>
      <c r="O3553"/>
      <c r="Q3553"/>
    </row>
    <row r="3554" spans="1:17" hidden="1" x14ac:dyDescent="0.2">
      <c r="A3554" s="3">
        <v>46025</v>
      </c>
      <c r="B3554" s="2" t="s">
        <v>5</v>
      </c>
      <c r="C3554" s="2">
        <v>7</v>
      </c>
      <c r="D3554" s="2">
        <f t="shared" si="220"/>
        <v>2026</v>
      </c>
      <c r="E3554" s="2" t="str">
        <f t="shared" si="221"/>
        <v>2026-1</v>
      </c>
      <c r="F3554" s="2" t="str">
        <f t="shared" si="222"/>
        <v>Week 1</v>
      </c>
      <c r="G3554" s="2" t="str">
        <f t="shared" si="223"/>
        <v>Week 1-2026</v>
      </c>
      <c r="O3554"/>
      <c r="Q3554"/>
    </row>
    <row r="3555" spans="1:17" hidden="1" x14ac:dyDescent="0.2">
      <c r="A3555" s="3">
        <v>46025</v>
      </c>
      <c r="B3555" s="2" t="s">
        <v>4</v>
      </c>
      <c r="C3555" s="2">
        <v>4</v>
      </c>
      <c r="D3555" s="2">
        <f t="shared" si="220"/>
        <v>2026</v>
      </c>
      <c r="E3555" s="2" t="str">
        <f t="shared" si="221"/>
        <v>2026-1</v>
      </c>
      <c r="F3555" s="2" t="str">
        <f t="shared" si="222"/>
        <v>Week 1</v>
      </c>
      <c r="G3555" s="2" t="str">
        <f t="shared" si="223"/>
        <v>Week 1-2026</v>
      </c>
      <c r="O3555"/>
      <c r="Q3555"/>
    </row>
    <row r="3556" spans="1:17" hidden="1" x14ac:dyDescent="0.2">
      <c r="A3556" s="3">
        <v>46025</v>
      </c>
      <c r="B3556" s="2" t="s">
        <v>9</v>
      </c>
      <c r="C3556" s="2">
        <v>4</v>
      </c>
      <c r="D3556" s="2">
        <f t="shared" si="220"/>
        <v>2026</v>
      </c>
      <c r="E3556" s="2" t="str">
        <f t="shared" si="221"/>
        <v>2026-1</v>
      </c>
      <c r="F3556" s="2" t="str">
        <f t="shared" si="222"/>
        <v>Week 1</v>
      </c>
      <c r="G3556" s="2" t="str">
        <f t="shared" si="223"/>
        <v>Week 1-2026</v>
      </c>
      <c r="O3556"/>
      <c r="Q3556"/>
    </row>
    <row r="3557" spans="1:17" hidden="1" x14ac:dyDescent="0.2">
      <c r="A3557" s="3">
        <v>46025</v>
      </c>
      <c r="B3557" s="2" t="s">
        <v>3</v>
      </c>
      <c r="C3557" s="2">
        <v>3</v>
      </c>
      <c r="D3557" s="2">
        <f t="shared" si="220"/>
        <v>2026</v>
      </c>
      <c r="E3557" s="2" t="str">
        <f t="shared" si="221"/>
        <v>2026-1</v>
      </c>
      <c r="F3557" s="2" t="str">
        <f t="shared" si="222"/>
        <v>Week 1</v>
      </c>
      <c r="G3557" s="2" t="str">
        <f t="shared" si="223"/>
        <v>Week 1-2026</v>
      </c>
      <c r="O3557"/>
      <c r="Q3557"/>
    </row>
    <row r="3558" spans="1:17" hidden="1" x14ac:dyDescent="0.2">
      <c r="A3558" s="3">
        <v>46025</v>
      </c>
      <c r="B3558" s="2" t="s">
        <v>8</v>
      </c>
      <c r="C3558" s="2">
        <v>4</v>
      </c>
      <c r="D3558" s="2">
        <f t="shared" si="220"/>
        <v>2026</v>
      </c>
      <c r="E3558" s="2" t="str">
        <f t="shared" si="221"/>
        <v>2026-1</v>
      </c>
      <c r="F3558" s="2" t="str">
        <f t="shared" si="222"/>
        <v>Week 1</v>
      </c>
      <c r="G3558" s="2" t="str">
        <f t="shared" si="223"/>
        <v>Week 1-2026</v>
      </c>
      <c r="O3558"/>
      <c r="Q3558"/>
    </row>
    <row r="3559" spans="1:17" hidden="1" x14ac:dyDescent="0.2">
      <c r="A3559" s="3">
        <v>46025</v>
      </c>
      <c r="B3559" s="2" t="s">
        <v>3</v>
      </c>
      <c r="C3559" s="2">
        <v>1</v>
      </c>
      <c r="D3559" s="2">
        <f t="shared" si="220"/>
        <v>2026</v>
      </c>
      <c r="E3559" s="2" t="str">
        <f t="shared" si="221"/>
        <v>2026-1</v>
      </c>
      <c r="F3559" s="2" t="str">
        <f t="shared" si="222"/>
        <v>Week 1</v>
      </c>
      <c r="G3559" s="2" t="str">
        <f t="shared" si="223"/>
        <v>Week 1-2026</v>
      </c>
      <c r="O3559"/>
      <c r="Q3559"/>
    </row>
    <row r="3560" spans="1:17" hidden="1" x14ac:dyDescent="0.2">
      <c r="A3560" s="3">
        <v>46028</v>
      </c>
      <c r="B3560" s="2" t="s">
        <v>4</v>
      </c>
      <c r="C3560" s="2">
        <v>4</v>
      </c>
      <c r="D3560" s="2">
        <f t="shared" si="220"/>
        <v>2026</v>
      </c>
      <c r="E3560" s="2" t="str">
        <f t="shared" si="221"/>
        <v>2026-2</v>
      </c>
      <c r="F3560" s="2" t="str">
        <f t="shared" si="222"/>
        <v>Week 2</v>
      </c>
      <c r="G3560" s="2" t="str">
        <f t="shared" si="223"/>
        <v>Week 2-2026</v>
      </c>
      <c r="O3560"/>
      <c r="Q3560"/>
    </row>
    <row r="3561" spans="1:17" hidden="1" x14ac:dyDescent="0.2">
      <c r="A3561" s="3">
        <v>46028</v>
      </c>
      <c r="B3561" s="2" t="s">
        <v>14</v>
      </c>
      <c r="C3561" s="2">
        <v>6</v>
      </c>
      <c r="D3561" s="2">
        <f t="shared" si="220"/>
        <v>2026</v>
      </c>
      <c r="E3561" s="2" t="str">
        <f t="shared" si="221"/>
        <v>2026-2</v>
      </c>
      <c r="F3561" s="2" t="str">
        <f t="shared" si="222"/>
        <v>Week 2</v>
      </c>
      <c r="G3561" s="2" t="str">
        <f t="shared" si="223"/>
        <v>Week 2-2026</v>
      </c>
      <c r="O3561"/>
      <c r="Q3561"/>
    </row>
    <row r="3562" spans="1:17" hidden="1" x14ac:dyDescent="0.2">
      <c r="A3562" s="3">
        <v>46028</v>
      </c>
      <c r="B3562" s="2" t="s">
        <v>37</v>
      </c>
      <c r="C3562" s="2">
        <v>4</v>
      </c>
      <c r="D3562" s="2">
        <f t="shared" si="220"/>
        <v>2026</v>
      </c>
      <c r="E3562" s="2" t="str">
        <f t="shared" si="221"/>
        <v>2026-2</v>
      </c>
      <c r="F3562" s="2" t="str">
        <f t="shared" si="222"/>
        <v>Week 2</v>
      </c>
      <c r="G3562" s="2" t="str">
        <f t="shared" si="223"/>
        <v>Week 2-2026</v>
      </c>
      <c r="O3562"/>
      <c r="Q3562"/>
    </row>
    <row r="3563" spans="1:17" hidden="1" x14ac:dyDescent="0.2">
      <c r="A3563" s="3">
        <v>46028</v>
      </c>
      <c r="B3563" s="2" t="s">
        <v>10</v>
      </c>
      <c r="C3563" s="2">
        <v>2</v>
      </c>
      <c r="D3563" s="2">
        <f t="shared" si="220"/>
        <v>2026</v>
      </c>
      <c r="E3563" s="2" t="str">
        <f t="shared" si="221"/>
        <v>2026-2</v>
      </c>
      <c r="F3563" s="2" t="str">
        <f t="shared" si="222"/>
        <v>Week 2</v>
      </c>
      <c r="G3563" s="2" t="str">
        <f t="shared" si="223"/>
        <v>Week 2-2026</v>
      </c>
      <c r="O3563"/>
      <c r="Q3563"/>
    </row>
    <row r="3564" spans="1:17" hidden="1" x14ac:dyDescent="0.2">
      <c r="A3564" s="3">
        <v>46028</v>
      </c>
      <c r="B3564" s="2" t="s">
        <v>14</v>
      </c>
      <c r="C3564" s="2">
        <v>2</v>
      </c>
      <c r="D3564" s="2">
        <f t="shared" si="220"/>
        <v>2026</v>
      </c>
      <c r="E3564" s="2" t="str">
        <f t="shared" si="221"/>
        <v>2026-2</v>
      </c>
      <c r="F3564" s="2" t="str">
        <f t="shared" si="222"/>
        <v>Week 2</v>
      </c>
      <c r="G3564" s="2" t="str">
        <f t="shared" si="223"/>
        <v>Week 2-2026</v>
      </c>
      <c r="O3564"/>
      <c r="Q3564"/>
    </row>
    <row r="3565" spans="1:17" hidden="1" x14ac:dyDescent="0.2">
      <c r="A3565" s="3">
        <v>46028</v>
      </c>
      <c r="B3565" s="2" t="s">
        <v>30</v>
      </c>
      <c r="C3565" s="2">
        <v>1</v>
      </c>
      <c r="D3565" s="2">
        <f t="shared" si="220"/>
        <v>2026</v>
      </c>
      <c r="E3565" s="2" t="str">
        <f t="shared" si="221"/>
        <v>2026-2</v>
      </c>
      <c r="F3565" s="2" t="str">
        <f t="shared" si="222"/>
        <v>Week 2</v>
      </c>
      <c r="G3565" s="2" t="str">
        <f t="shared" si="223"/>
        <v>Week 2-2026</v>
      </c>
      <c r="O3565"/>
      <c r="Q3565"/>
    </row>
    <row r="3566" spans="1:17" hidden="1" x14ac:dyDescent="0.2">
      <c r="A3566" s="3">
        <v>46028</v>
      </c>
      <c r="B3566" s="2" t="s">
        <v>15</v>
      </c>
      <c r="C3566" s="2">
        <v>1</v>
      </c>
      <c r="D3566" s="2">
        <f t="shared" si="220"/>
        <v>2026</v>
      </c>
      <c r="E3566" s="2" t="str">
        <f t="shared" si="221"/>
        <v>2026-2</v>
      </c>
      <c r="F3566" s="2" t="str">
        <f t="shared" si="222"/>
        <v>Week 2</v>
      </c>
      <c r="G3566" s="2" t="str">
        <f t="shared" si="223"/>
        <v>Week 2-2026</v>
      </c>
      <c r="O3566"/>
      <c r="Q3566"/>
    </row>
    <row r="3567" spans="1:17" hidden="1" x14ac:dyDescent="0.2">
      <c r="A3567" s="3">
        <v>46028</v>
      </c>
      <c r="B3567" s="2" t="s">
        <v>30</v>
      </c>
      <c r="C3567" s="2">
        <v>1</v>
      </c>
      <c r="D3567" s="2">
        <f t="shared" si="220"/>
        <v>2026</v>
      </c>
      <c r="E3567" s="2" t="str">
        <f t="shared" si="221"/>
        <v>2026-2</v>
      </c>
      <c r="F3567" s="2" t="str">
        <f t="shared" si="222"/>
        <v>Week 2</v>
      </c>
      <c r="G3567" s="2" t="str">
        <f t="shared" si="223"/>
        <v>Week 2-2026</v>
      </c>
      <c r="O3567"/>
      <c r="Q3567"/>
    </row>
    <row r="3568" spans="1:17" hidden="1" x14ac:dyDescent="0.2">
      <c r="A3568" s="3">
        <v>46028</v>
      </c>
      <c r="B3568" s="2" t="s">
        <v>30</v>
      </c>
      <c r="C3568" s="2">
        <v>1</v>
      </c>
      <c r="D3568" s="2">
        <f t="shared" si="220"/>
        <v>2026</v>
      </c>
      <c r="E3568" s="2" t="str">
        <f t="shared" si="221"/>
        <v>2026-2</v>
      </c>
      <c r="F3568" s="2" t="str">
        <f t="shared" si="222"/>
        <v>Week 2</v>
      </c>
      <c r="G3568" s="2" t="str">
        <f t="shared" si="223"/>
        <v>Week 2-2026</v>
      </c>
      <c r="O3568"/>
      <c r="Q3568"/>
    </row>
    <row r="3569" spans="1:17" hidden="1" x14ac:dyDescent="0.2">
      <c r="A3569" s="3">
        <v>46029</v>
      </c>
      <c r="B3569" s="2" t="s">
        <v>5</v>
      </c>
      <c r="C3569" s="2">
        <v>24</v>
      </c>
      <c r="D3569" s="2">
        <f t="shared" si="220"/>
        <v>2026</v>
      </c>
      <c r="E3569" s="2" t="str">
        <f t="shared" si="221"/>
        <v>2026-2</v>
      </c>
      <c r="F3569" s="2" t="str">
        <f t="shared" si="222"/>
        <v>Week 2</v>
      </c>
      <c r="G3569" s="2" t="str">
        <f t="shared" si="223"/>
        <v>Week 2-2026</v>
      </c>
      <c r="O3569"/>
      <c r="Q3569"/>
    </row>
    <row r="3570" spans="1:17" hidden="1" x14ac:dyDescent="0.2">
      <c r="A3570" s="3">
        <v>46029</v>
      </c>
      <c r="B3570" s="2" t="s">
        <v>4</v>
      </c>
      <c r="C3570" s="2">
        <v>12</v>
      </c>
      <c r="D3570" s="2">
        <f t="shared" si="220"/>
        <v>2026</v>
      </c>
      <c r="E3570" s="2" t="str">
        <f t="shared" si="221"/>
        <v>2026-2</v>
      </c>
      <c r="F3570" s="2" t="str">
        <f t="shared" si="222"/>
        <v>Week 2</v>
      </c>
      <c r="G3570" s="2" t="str">
        <f t="shared" si="223"/>
        <v>Week 2-2026</v>
      </c>
      <c r="O3570"/>
      <c r="Q3570"/>
    </row>
    <row r="3571" spans="1:17" hidden="1" x14ac:dyDescent="0.2">
      <c r="A3571" s="3">
        <v>46029</v>
      </c>
      <c r="B3571" s="2" t="s">
        <v>37</v>
      </c>
      <c r="C3571" s="2">
        <v>16</v>
      </c>
      <c r="D3571" s="2">
        <f t="shared" si="220"/>
        <v>2026</v>
      </c>
      <c r="E3571" s="2" t="str">
        <f t="shared" si="221"/>
        <v>2026-2</v>
      </c>
      <c r="F3571" s="2" t="str">
        <f t="shared" si="222"/>
        <v>Week 2</v>
      </c>
      <c r="G3571" s="2" t="str">
        <f t="shared" si="223"/>
        <v>Week 2-2026</v>
      </c>
      <c r="O3571"/>
      <c r="Q3571"/>
    </row>
    <row r="3572" spans="1:17" hidden="1" x14ac:dyDescent="0.2">
      <c r="A3572" s="3">
        <v>46029</v>
      </c>
      <c r="B3572" s="2" t="s">
        <v>7</v>
      </c>
      <c r="C3572" s="2">
        <v>8</v>
      </c>
      <c r="D3572" s="2">
        <f t="shared" si="220"/>
        <v>2026</v>
      </c>
      <c r="E3572" s="2" t="str">
        <f t="shared" si="221"/>
        <v>2026-2</v>
      </c>
      <c r="F3572" s="2" t="str">
        <f t="shared" si="222"/>
        <v>Week 2</v>
      </c>
      <c r="G3572" s="2" t="str">
        <f t="shared" si="223"/>
        <v>Week 2-2026</v>
      </c>
      <c r="O3572"/>
      <c r="Q3572"/>
    </row>
    <row r="3573" spans="1:17" hidden="1" x14ac:dyDescent="0.2">
      <c r="A3573" s="3">
        <v>46029</v>
      </c>
      <c r="B3573" s="2" t="s">
        <v>3</v>
      </c>
      <c r="C3573" s="2">
        <v>8</v>
      </c>
      <c r="D3573" s="2">
        <f t="shared" si="220"/>
        <v>2026</v>
      </c>
      <c r="E3573" s="2" t="str">
        <f t="shared" si="221"/>
        <v>2026-2</v>
      </c>
      <c r="F3573" s="2" t="str">
        <f t="shared" si="222"/>
        <v>Week 2</v>
      </c>
      <c r="G3573" s="2" t="str">
        <f t="shared" si="223"/>
        <v>Week 2-2026</v>
      </c>
      <c r="O3573"/>
      <c r="Q3573"/>
    </row>
    <row r="3574" spans="1:17" hidden="1" x14ac:dyDescent="0.2">
      <c r="A3574" s="3">
        <v>46029</v>
      </c>
      <c r="B3574" s="2" t="s">
        <v>10</v>
      </c>
      <c r="C3574" s="2">
        <v>9</v>
      </c>
      <c r="D3574" s="2">
        <f t="shared" si="220"/>
        <v>2026</v>
      </c>
      <c r="E3574" s="2" t="str">
        <f t="shared" si="221"/>
        <v>2026-2</v>
      </c>
      <c r="F3574" s="2" t="str">
        <f t="shared" si="222"/>
        <v>Week 2</v>
      </c>
      <c r="G3574" s="2" t="str">
        <f t="shared" si="223"/>
        <v>Week 2-2026</v>
      </c>
      <c r="O3574"/>
      <c r="Q3574"/>
    </row>
    <row r="3575" spans="1:17" hidden="1" x14ac:dyDescent="0.2">
      <c r="A3575" s="3">
        <v>46029</v>
      </c>
      <c r="B3575" s="2" t="s">
        <v>3</v>
      </c>
      <c r="C3575" s="2">
        <v>6</v>
      </c>
      <c r="D3575" s="2">
        <f t="shared" si="220"/>
        <v>2026</v>
      </c>
      <c r="E3575" s="2" t="str">
        <f t="shared" si="221"/>
        <v>2026-2</v>
      </c>
      <c r="F3575" s="2" t="str">
        <f t="shared" si="222"/>
        <v>Week 2</v>
      </c>
      <c r="G3575" s="2" t="str">
        <f t="shared" si="223"/>
        <v>Week 2-2026</v>
      </c>
      <c r="O3575"/>
      <c r="Q3575"/>
    </row>
    <row r="3576" spans="1:17" hidden="1" x14ac:dyDescent="0.2">
      <c r="A3576" s="3">
        <v>46029</v>
      </c>
      <c r="B3576" s="2" t="s">
        <v>14</v>
      </c>
      <c r="C3576" s="2">
        <v>8</v>
      </c>
      <c r="D3576" s="2">
        <f t="shared" si="220"/>
        <v>2026</v>
      </c>
      <c r="E3576" s="2" t="str">
        <f t="shared" si="221"/>
        <v>2026-2</v>
      </c>
      <c r="F3576" s="2" t="str">
        <f t="shared" si="222"/>
        <v>Week 2</v>
      </c>
      <c r="G3576" s="2" t="str">
        <f t="shared" si="223"/>
        <v>Week 2-2026</v>
      </c>
      <c r="O3576"/>
      <c r="Q3576"/>
    </row>
    <row r="3577" spans="1:17" hidden="1" x14ac:dyDescent="0.2">
      <c r="A3577" s="3">
        <v>46029</v>
      </c>
      <c r="B3577" s="2" t="s">
        <v>9</v>
      </c>
      <c r="C3577" s="2">
        <v>3</v>
      </c>
      <c r="D3577" s="2">
        <f t="shared" si="220"/>
        <v>2026</v>
      </c>
      <c r="E3577" s="2" t="str">
        <f t="shared" si="221"/>
        <v>2026-2</v>
      </c>
      <c r="F3577" s="2" t="str">
        <f t="shared" si="222"/>
        <v>Week 2</v>
      </c>
      <c r="G3577" s="2" t="str">
        <f t="shared" si="223"/>
        <v>Week 2-2026</v>
      </c>
      <c r="O3577"/>
      <c r="Q3577"/>
    </row>
    <row r="3578" spans="1:17" hidden="1" x14ac:dyDescent="0.2">
      <c r="A3578" s="3">
        <v>46029</v>
      </c>
      <c r="B3578" s="2" t="s">
        <v>46</v>
      </c>
      <c r="C3578" s="2">
        <v>2</v>
      </c>
      <c r="D3578" s="2">
        <f t="shared" si="220"/>
        <v>2026</v>
      </c>
      <c r="E3578" s="2" t="str">
        <f t="shared" si="221"/>
        <v>2026-2</v>
      </c>
      <c r="F3578" s="2" t="str">
        <f t="shared" si="222"/>
        <v>Week 2</v>
      </c>
      <c r="G3578" s="2" t="str">
        <f t="shared" si="223"/>
        <v>Week 2-2026</v>
      </c>
      <c r="O3578"/>
      <c r="Q3578"/>
    </row>
    <row r="3579" spans="1:17" hidden="1" x14ac:dyDescent="0.2">
      <c r="A3579" s="3">
        <v>46029</v>
      </c>
      <c r="B3579" s="2" t="s">
        <v>35</v>
      </c>
      <c r="C3579" s="2">
        <v>2</v>
      </c>
      <c r="D3579" s="2">
        <f t="shared" si="220"/>
        <v>2026</v>
      </c>
      <c r="E3579" s="2" t="str">
        <f t="shared" si="221"/>
        <v>2026-2</v>
      </c>
      <c r="F3579" s="2" t="str">
        <f t="shared" si="222"/>
        <v>Week 2</v>
      </c>
      <c r="G3579" s="2" t="str">
        <f t="shared" si="223"/>
        <v>Week 2-2026</v>
      </c>
      <c r="O3579"/>
      <c r="Q3579"/>
    </row>
    <row r="3580" spans="1:17" hidden="1" x14ac:dyDescent="0.2">
      <c r="A3580" s="3">
        <v>46029</v>
      </c>
      <c r="B3580" s="2" t="s">
        <v>10</v>
      </c>
      <c r="C3580" s="2">
        <v>1</v>
      </c>
      <c r="D3580" s="2">
        <f t="shared" si="220"/>
        <v>2026</v>
      </c>
      <c r="E3580" s="2" t="str">
        <f t="shared" si="221"/>
        <v>2026-2</v>
      </c>
      <c r="F3580" s="2" t="str">
        <f t="shared" si="222"/>
        <v>Week 2</v>
      </c>
      <c r="G3580" s="2" t="str">
        <f t="shared" si="223"/>
        <v>Week 2-2026</v>
      </c>
      <c r="O3580"/>
      <c r="Q3580"/>
    </row>
    <row r="3581" spans="1:17" hidden="1" x14ac:dyDescent="0.2">
      <c r="A3581" s="3">
        <v>46030</v>
      </c>
      <c r="B3581" s="2" t="s">
        <v>3</v>
      </c>
      <c r="C3581" s="2">
        <v>4</v>
      </c>
      <c r="D3581" s="2">
        <f t="shared" si="220"/>
        <v>2026</v>
      </c>
      <c r="E3581" s="2" t="str">
        <f t="shared" si="221"/>
        <v>2026-2</v>
      </c>
      <c r="F3581" s="2" t="str">
        <f t="shared" si="222"/>
        <v>Week 2</v>
      </c>
      <c r="G3581" s="2" t="str">
        <f t="shared" si="223"/>
        <v>Week 2-2026</v>
      </c>
      <c r="O3581"/>
      <c r="Q3581"/>
    </row>
    <row r="3582" spans="1:17" hidden="1" x14ac:dyDescent="0.2">
      <c r="A3582" s="3">
        <v>46030</v>
      </c>
      <c r="B3582" s="2" t="s">
        <v>5</v>
      </c>
      <c r="C3582" s="2">
        <v>4</v>
      </c>
      <c r="D3582" s="2">
        <f t="shared" si="220"/>
        <v>2026</v>
      </c>
      <c r="E3582" s="2" t="str">
        <f t="shared" si="221"/>
        <v>2026-2</v>
      </c>
      <c r="F3582" s="2" t="str">
        <f t="shared" si="222"/>
        <v>Week 2</v>
      </c>
      <c r="G3582" s="2" t="str">
        <f t="shared" si="223"/>
        <v>Week 2-2026</v>
      </c>
      <c r="O3582"/>
      <c r="Q3582"/>
    </row>
    <row r="3583" spans="1:17" hidden="1" x14ac:dyDescent="0.2">
      <c r="A3583" s="3">
        <v>46030</v>
      </c>
      <c r="B3583" s="2" t="s">
        <v>28</v>
      </c>
      <c r="C3583" s="2">
        <v>6</v>
      </c>
      <c r="D3583" s="2">
        <f t="shared" si="220"/>
        <v>2026</v>
      </c>
      <c r="E3583" s="2" t="str">
        <f t="shared" si="221"/>
        <v>2026-2</v>
      </c>
      <c r="F3583" s="2" t="str">
        <f t="shared" si="222"/>
        <v>Week 2</v>
      </c>
      <c r="G3583" s="2" t="str">
        <f t="shared" si="223"/>
        <v>Week 2-2026</v>
      </c>
      <c r="O3583"/>
      <c r="Q3583"/>
    </row>
    <row r="3584" spans="1:17" hidden="1" x14ac:dyDescent="0.2">
      <c r="A3584" s="3">
        <v>46030</v>
      </c>
      <c r="B3584" s="2" t="s">
        <v>10</v>
      </c>
      <c r="C3584" s="2">
        <v>4</v>
      </c>
      <c r="D3584" s="2">
        <f t="shared" si="220"/>
        <v>2026</v>
      </c>
      <c r="E3584" s="2" t="str">
        <f t="shared" si="221"/>
        <v>2026-2</v>
      </c>
      <c r="F3584" s="2" t="str">
        <f t="shared" si="222"/>
        <v>Week 2</v>
      </c>
      <c r="G3584" s="2" t="str">
        <f t="shared" si="223"/>
        <v>Week 2-2026</v>
      </c>
      <c r="O3584"/>
      <c r="Q3584"/>
    </row>
    <row r="3585" spans="1:17" hidden="1" x14ac:dyDescent="0.2">
      <c r="A3585" s="3">
        <v>46030</v>
      </c>
      <c r="B3585" s="2" t="s">
        <v>36</v>
      </c>
      <c r="C3585" s="2">
        <v>4</v>
      </c>
      <c r="D3585" s="2">
        <f t="shared" si="220"/>
        <v>2026</v>
      </c>
      <c r="E3585" s="2" t="str">
        <f t="shared" si="221"/>
        <v>2026-2</v>
      </c>
      <c r="F3585" s="2" t="str">
        <f t="shared" si="222"/>
        <v>Week 2</v>
      </c>
      <c r="G3585" s="2" t="str">
        <f t="shared" si="223"/>
        <v>Week 2-2026</v>
      </c>
      <c r="O3585"/>
      <c r="Q3585"/>
    </row>
    <row r="3586" spans="1:17" hidden="1" x14ac:dyDescent="0.2">
      <c r="A3586" s="3">
        <v>46030</v>
      </c>
      <c r="B3586" s="2" t="s">
        <v>28</v>
      </c>
      <c r="C3586" s="2">
        <v>2</v>
      </c>
      <c r="D3586" s="2">
        <f t="shared" ref="D3586:D3649" si="224">YEAR(A3586)</f>
        <v>2026</v>
      </c>
      <c r="E3586" s="2" t="str">
        <f t="shared" ref="E3586:E3649" si="225">YEAR(A3586)&amp;"-"&amp;_xlfn.ISOWEEKNUM(A3586)</f>
        <v>2026-2</v>
      </c>
      <c r="F3586" s="2" t="str">
        <f t="shared" ref="F3586:F3649" si="226">_xlfn.CONCAT("Week "&amp;WEEKNUM(A3586))</f>
        <v>Week 2</v>
      </c>
      <c r="G3586" s="2" t="str">
        <f t="shared" ref="G3586:G3649" si="227">_xlfn.CONCAT(F3586,"-",D3586)</f>
        <v>Week 2-2026</v>
      </c>
      <c r="O3586"/>
      <c r="Q3586"/>
    </row>
    <row r="3587" spans="1:17" hidden="1" x14ac:dyDescent="0.2">
      <c r="A3587" s="3">
        <v>46030</v>
      </c>
      <c r="B3587" s="2" t="s">
        <v>30</v>
      </c>
      <c r="C3587" s="2">
        <v>2</v>
      </c>
      <c r="D3587" s="2">
        <f t="shared" si="224"/>
        <v>2026</v>
      </c>
      <c r="E3587" s="2" t="str">
        <f t="shared" si="225"/>
        <v>2026-2</v>
      </c>
      <c r="F3587" s="2" t="str">
        <f t="shared" si="226"/>
        <v>Week 2</v>
      </c>
      <c r="G3587" s="2" t="str">
        <f t="shared" si="227"/>
        <v>Week 2-2026</v>
      </c>
      <c r="O3587"/>
      <c r="Q3587"/>
    </row>
    <row r="3588" spans="1:17" hidden="1" x14ac:dyDescent="0.2">
      <c r="A3588" s="3">
        <v>46031</v>
      </c>
      <c r="B3588" s="2" t="s">
        <v>3</v>
      </c>
      <c r="C3588" s="2">
        <v>4</v>
      </c>
      <c r="D3588" s="2">
        <f t="shared" si="224"/>
        <v>2026</v>
      </c>
      <c r="E3588" s="2" t="str">
        <f t="shared" si="225"/>
        <v>2026-2</v>
      </c>
      <c r="F3588" s="2" t="str">
        <f t="shared" si="226"/>
        <v>Week 2</v>
      </c>
      <c r="G3588" s="2" t="str">
        <f t="shared" si="227"/>
        <v>Week 2-2026</v>
      </c>
      <c r="O3588"/>
      <c r="Q3588"/>
    </row>
    <row r="3589" spans="1:17" hidden="1" x14ac:dyDescent="0.2">
      <c r="A3589" s="3">
        <v>46031</v>
      </c>
      <c r="B3589" s="2" t="s">
        <v>5</v>
      </c>
      <c r="C3589" s="2">
        <v>4</v>
      </c>
      <c r="D3589" s="2">
        <f t="shared" si="224"/>
        <v>2026</v>
      </c>
      <c r="E3589" s="2" t="str">
        <f t="shared" si="225"/>
        <v>2026-2</v>
      </c>
      <c r="F3589" s="2" t="str">
        <f t="shared" si="226"/>
        <v>Week 2</v>
      </c>
      <c r="G3589" s="2" t="str">
        <f t="shared" si="227"/>
        <v>Week 2-2026</v>
      </c>
      <c r="O3589"/>
      <c r="Q3589"/>
    </row>
    <row r="3590" spans="1:17" hidden="1" x14ac:dyDescent="0.2">
      <c r="A3590" s="3">
        <v>46031</v>
      </c>
      <c r="B3590" s="2" t="s">
        <v>31</v>
      </c>
      <c r="C3590" s="2">
        <v>4</v>
      </c>
      <c r="D3590" s="2">
        <f t="shared" si="224"/>
        <v>2026</v>
      </c>
      <c r="E3590" s="2" t="str">
        <f t="shared" si="225"/>
        <v>2026-2</v>
      </c>
      <c r="F3590" s="2" t="str">
        <f t="shared" si="226"/>
        <v>Week 2</v>
      </c>
      <c r="G3590" s="2" t="str">
        <f t="shared" si="227"/>
        <v>Week 2-2026</v>
      </c>
      <c r="O3590"/>
      <c r="Q3590"/>
    </row>
    <row r="3591" spans="1:17" hidden="1" x14ac:dyDescent="0.2">
      <c r="A3591" s="3">
        <v>46031</v>
      </c>
      <c r="B3591" s="2" t="s">
        <v>10</v>
      </c>
      <c r="C3591" s="2">
        <v>2</v>
      </c>
      <c r="D3591" s="2">
        <f t="shared" si="224"/>
        <v>2026</v>
      </c>
      <c r="E3591" s="2" t="str">
        <f t="shared" si="225"/>
        <v>2026-2</v>
      </c>
      <c r="F3591" s="2" t="str">
        <f t="shared" si="226"/>
        <v>Week 2</v>
      </c>
      <c r="G3591" s="2" t="str">
        <f t="shared" si="227"/>
        <v>Week 2-2026</v>
      </c>
      <c r="O3591"/>
      <c r="Q3591"/>
    </row>
    <row r="3592" spans="1:17" hidden="1" x14ac:dyDescent="0.2">
      <c r="A3592" s="3">
        <v>46032</v>
      </c>
      <c r="B3592" s="2" t="s">
        <v>6</v>
      </c>
      <c r="C3592" s="2">
        <v>16</v>
      </c>
      <c r="D3592" s="2">
        <f t="shared" si="224"/>
        <v>2026</v>
      </c>
      <c r="E3592" s="2" t="str">
        <f t="shared" si="225"/>
        <v>2026-2</v>
      </c>
      <c r="F3592" s="2" t="str">
        <f t="shared" si="226"/>
        <v>Week 2</v>
      </c>
      <c r="G3592" s="2" t="str">
        <f t="shared" si="227"/>
        <v>Week 2-2026</v>
      </c>
      <c r="O3592"/>
      <c r="Q3592"/>
    </row>
    <row r="3593" spans="1:17" hidden="1" x14ac:dyDescent="0.2">
      <c r="A3593" s="3">
        <v>46034</v>
      </c>
      <c r="B3593" s="2" t="s">
        <v>9</v>
      </c>
      <c r="C3593" s="2">
        <v>26</v>
      </c>
      <c r="D3593" s="2">
        <f t="shared" si="224"/>
        <v>2026</v>
      </c>
      <c r="E3593" s="2" t="str">
        <f t="shared" si="225"/>
        <v>2026-3</v>
      </c>
      <c r="F3593" s="2" t="str">
        <f t="shared" si="226"/>
        <v>Week 3</v>
      </c>
      <c r="G3593" s="2" t="str">
        <f t="shared" si="227"/>
        <v>Week 3-2026</v>
      </c>
      <c r="O3593"/>
      <c r="Q3593"/>
    </row>
    <row r="3594" spans="1:17" hidden="1" x14ac:dyDescent="0.2">
      <c r="A3594" s="3">
        <v>46034</v>
      </c>
      <c r="B3594" s="2" t="s">
        <v>14</v>
      </c>
      <c r="C3594" s="2">
        <v>40</v>
      </c>
      <c r="D3594" s="2">
        <f t="shared" si="224"/>
        <v>2026</v>
      </c>
      <c r="E3594" s="2" t="str">
        <f t="shared" si="225"/>
        <v>2026-3</v>
      </c>
      <c r="F3594" s="2" t="str">
        <f t="shared" si="226"/>
        <v>Week 3</v>
      </c>
      <c r="G3594" s="2" t="str">
        <f t="shared" si="227"/>
        <v>Week 3-2026</v>
      </c>
      <c r="O3594"/>
      <c r="Q3594"/>
    </row>
    <row r="3595" spans="1:17" hidden="1" x14ac:dyDescent="0.2">
      <c r="A3595" s="3">
        <v>46034</v>
      </c>
      <c r="B3595" s="2" t="s">
        <v>5</v>
      </c>
      <c r="C3595" s="2">
        <v>24</v>
      </c>
      <c r="D3595" s="2">
        <f t="shared" si="224"/>
        <v>2026</v>
      </c>
      <c r="E3595" s="2" t="str">
        <f t="shared" si="225"/>
        <v>2026-3</v>
      </c>
      <c r="F3595" s="2" t="str">
        <f t="shared" si="226"/>
        <v>Week 3</v>
      </c>
      <c r="G3595" s="2" t="str">
        <f t="shared" si="227"/>
        <v>Week 3-2026</v>
      </c>
      <c r="O3595"/>
      <c r="Q3595"/>
    </row>
    <row r="3596" spans="1:17" hidden="1" x14ac:dyDescent="0.2">
      <c r="A3596" s="3">
        <v>46034</v>
      </c>
      <c r="B3596" s="2" t="s">
        <v>3</v>
      </c>
      <c r="C3596" s="2">
        <v>20</v>
      </c>
      <c r="D3596" s="2">
        <f t="shared" si="224"/>
        <v>2026</v>
      </c>
      <c r="E3596" s="2" t="str">
        <f t="shared" si="225"/>
        <v>2026-3</v>
      </c>
      <c r="F3596" s="2" t="str">
        <f t="shared" si="226"/>
        <v>Week 3</v>
      </c>
      <c r="G3596" s="2" t="str">
        <f t="shared" si="227"/>
        <v>Week 3-2026</v>
      </c>
      <c r="O3596"/>
      <c r="Q3596"/>
    </row>
    <row r="3597" spans="1:17" hidden="1" x14ac:dyDescent="0.2">
      <c r="A3597" s="3">
        <v>46034</v>
      </c>
      <c r="B3597" s="2" t="s">
        <v>5</v>
      </c>
      <c r="C3597" s="2">
        <v>14</v>
      </c>
      <c r="D3597" s="2">
        <f t="shared" si="224"/>
        <v>2026</v>
      </c>
      <c r="E3597" s="2" t="str">
        <f t="shared" si="225"/>
        <v>2026-3</v>
      </c>
      <c r="F3597" s="2" t="str">
        <f t="shared" si="226"/>
        <v>Week 3</v>
      </c>
      <c r="G3597" s="2" t="str">
        <f t="shared" si="227"/>
        <v>Week 3-2026</v>
      </c>
      <c r="O3597"/>
      <c r="Q3597"/>
    </row>
    <row r="3598" spans="1:17" hidden="1" x14ac:dyDescent="0.2">
      <c r="A3598" s="3">
        <v>46034</v>
      </c>
      <c r="B3598" s="2" t="s">
        <v>4</v>
      </c>
      <c r="C3598" s="2">
        <v>8</v>
      </c>
      <c r="D3598" s="2">
        <f t="shared" si="224"/>
        <v>2026</v>
      </c>
      <c r="E3598" s="2" t="str">
        <f t="shared" si="225"/>
        <v>2026-3</v>
      </c>
      <c r="F3598" s="2" t="str">
        <f t="shared" si="226"/>
        <v>Week 3</v>
      </c>
      <c r="G3598" s="2" t="str">
        <f t="shared" si="227"/>
        <v>Week 3-2026</v>
      </c>
      <c r="O3598"/>
      <c r="Q3598"/>
    </row>
    <row r="3599" spans="1:17" hidden="1" x14ac:dyDescent="0.2">
      <c r="A3599" s="3">
        <v>46034</v>
      </c>
      <c r="B3599" s="2" t="s">
        <v>15</v>
      </c>
      <c r="C3599" s="2">
        <v>10</v>
      </c>
      <c r="D3599" s="2">
        <f t="shared" si="224"/>
        <v>2026</v>
      </c>
      <c r="E3599" s="2" t="str">
        <f t="shared" si="225"/>
        <v>2026-3</v>
      </c>
      <c r="F3599" s="2" t="str">
        <f t="shared" si="226"/>
        <v>Week 3</v>
      </c>
      <c r="G3599" s="2" t="str">
        <f t="shared" si="227"/>
        <v>Week 3-2026</v>
      </c>
      <c r="O3599"/>
      <c r="Q3599"/>
    </row>
    <row r="3600" spans="1:17" hidden="1" x14ac:dyDescent="0.2">
      <c r="A3600" s="3">
        <v>46034</v>
      </c>
      <c r="B3600" s="2" t="s">
        <v>36</v>
      </c>
      <c r="C3600" s="2">
        <v>10</v>
      </c>
      <c r="D3600" s="2">
        <f t="shared" si="224"/>
        <v>2026</v>
      </c>
      <c r="E3600" s="2" t="str">
        <f t="shared" si="225"/>
        <v>2026-3</v>
      </c>
      <c r="F3600" s="2" t="str">
        <f t="shared" si="226"/>
        <v>Week 3</v>
      </c>
      <c r="G3600" s="2" t="str">
        <f t="shared" si="227"/>
        <v>Week 3-2026</v>
      </c>
      <c r="O3600"/>
      <c r="Q3600"/>
    </row>
    <row r="3601" spans="1:17" hidden="1" x14ac:dyDescent="0.2">
      <c r="A3601" s="3">
        <v>46034</v>
      </c>
      <c r="B3601" s="2" t="s">
        <v>14</v>
      </c>
      <c r="C3601" s="2">
        <v>5</v>
      </c>
      <c r="D3601" s="2">
        <f t="shared" si="224"/>
        <v>2026</v>
      </c>
      <c r="E3601" s="2" t="str">
        <f t="shared" si="225"/>
        <v>2026-3</v>
      </c>
      <c r="F3601" s="2" t="str">
        <f t="shared" si="226"/>
        <v>Week 3</v>
      </c>
      <c r="G3601" s="2" t="str">
        <f t="shared" si="227"/>
        <v>Week 3-2026</v>
      </c>
      <c r="O3601"/>
      <c r="Q3601"/>
    </row>
    <row r="3602" spans="1:17" hidden="1" x14ac:dyDescent="0.2">
      <c r="A3602" s="3">
        <v>46034</v>
      </c>
      <c r="B3602" s="2" t="s">
        <v>10</v>
      </c>
      <c r="C3602" s="2">
        <v>4</v>
      </c>
      <c r="D3602" s="2">
        <f t="shared" si="224"/>
        <v>2026</v>
      </c>
      <c r="E3602" s="2" t="str">
        <f t="shared" si="225"/>
        <v>2026-3</v>
      </c>
      <c r="F3602" s="2" t="str">
        <f t="shared" si="226"/>
        <v>Week 3</v>
      </c>
      <c r="G3602" s="2" t="str">
        <f t="shared" si="227"/>
        <v>Week 3-2026</v>
      </c>
      <c r="O3602"/>
      <c r="Q3602"/>
    </row>
    <row r="3603" spans="1:17" hidden="1" x14ac:dyDescent="0.2">
      <c r="A3603" s="3">
        <v>46034</v>
      </c>
      <c r="B3603" s="2" t="s">
        <v>27</v>
      </c>
      <c r="C3603" s="2">
        <v>4</v>
      </c>
      <c r="D3603" s="2">
        <f t="shared" si="224"/>
        <v>2026</v>
      </c>
      <c r="E3603" s="2" t="str">
        <f t="shared" si="225"/>
        <v>2026-3</v>
      </c>
      <c r="F3603" s="2" t="str">
        <f t="shared" si="226"/>
        <v>Week 3</v>
      </c>
      <c r="G3603" s="2" t="str">
        <f t="shared" si="227"/>
        <v>Week 3-2026</v>
      </c>
      <c r="O3603"/>
      <c r="Q3603"/>
    </row>
    <row r="3604" spans="1:17" hidden="1" x14ac:dyDescent="0.2">
      <c r="A3604" s="3">
        <v>46034</v>
      </c>
      <c r="B3604" s="2" t="s">
        <v>13</v>
      </c>
      <c r="C3604" s="2">
        <v>2</v>
      </c>
      <c r="D3604" s="2">
        <f t="shared" si="224"/>
        <v>2026</v>
      </c>
      <c r="E3604" s="2" t="str">
        <f t="shared" si="225"/>
        <v>2026-3</v>
      </c>
      <c r="F3604" s="2" t="str">
        <f t="shared" si="226"/>
        <v>Week 3</v>
      </c>
      <c r="G3604" s="2" t="str">
        <f t="shared" si="227"/>
        <v>Week 3-2026</v>
      </c>
      <c r="O3604"/>
      <c r="Q3604"/>
    </row>
    <row r="3605" spans="1:17" hidden="1" x14ac:dyDescent="0.2">
      <c r="A3605" s="3">
        <v>46034</v>
      </c>
      <c r="B3605" s="2" t="s">
        <v>28</v>
      </c>
      <c r="C3605" s="2">
        <v>4</v>
      </c>
      <c r="D3605" s="2">
        <f t="shared" si="224"/>
        <v>2026</v>
      </c>
      <c r="E3605" s="2" t="str">
        <f t="shared" si="225"/>
        <v>2026-3</v>
      </c>
      <c r="F3605" s="2" t="str">
        <f t="shared" si="226"/>
        <v>Week 3</v>
      </c>
      <c r="G3605" s="2" t="str">
        <f t="shared" si="227"/>
        <v>Week 3-2026</v>
      </c>
      <c r="O3605"/>
      <c r="Q3605"/>
    </row>
    <row r="3606" spans="1:17" hidden="1" x14ac:dyDescent="0.2">
      <c r="A3606" s="3">
        <v>46034</v>
      </c>
      <c r="B3606" s="2" t="s">
        <v>17</v>
      </c>
      <c r="C3606" s="2">
        <v>2</v>
      </c>
      <c r="D3606" s="2">
        <f t="shared" si="224"/>
        <v>2026</v>
      </c>
      <c r="E3606" s="2" t="str">
        <f t="shared" si="225"/>
        <v>2026-3</v>
      </c>
      <c r="F3606" s="2" t="str">
        <f t="shared" si="226"/>
        <v>Week 3</v>
      </c>
      <c r="G3606" s="2" t="str">
        <f t="shared" si="227"/>
        <v>Week 3-2026</v>
      </c>
      <c r="O3606"/>
      <c r="Q3606"/>
    </row>
    <row r="3607" spans="1:17" hidden="1" x14ac:dyDescent="0.2">
      <c r="A3607" s="3">
        <v>46034</v>
      </c>
      <c r="B3607" s="2" t="s">
        <v>27</v>
      </c>
      <c r="C3607" s="2">
        <v>2</v>
      </c>
      <c r="D3607" s="2">
        <f t="shared" si="224"/>
        <v>2026</v>
      </c>
      <c r="E3607" s="2" t="str">
        <f t="shared" si="225"/>
        <v>2026-3</v>
      </c>
      <c r="F3607" s="2" t="str">
        <f t="shared" si="226"/>
        <v>Week 3</v>
      </c>
      <c r="G3607" s="2" t="str">
        <f t="shared" si="227"/>
        <v>Week 3-2026</v>
      </c>
      <c r="O3607"/>
      <c r="Q3607"/>
    </row>
    <row r="3608" spans="1:17" hidden="1" x14ac:dyDescent="0.2">
      <c r="A3608" s="3">
        <v>46034</v>
      </c>
      <c r="B3608" s="2" t="s">
        <v>8</v>
      </c>
      <c r="C3608" s="2">
        <v>2</v>
      </c>
      <c r="D3608" s="2">
        <f t="shared" si="224"/>
        <v>2026</v>
      </c>
      <c r="E3608" s="2" t="str">
        <f t="shared" si="225"/>
        <v>2026-3</v>
      </c>
      <c r="F3608" s="2" t="str">
        <f t="shared" si="226"/>
        <v>Week 3</v>
      </c>
      <c r="G3608" s="2" t="str">
        <f t="shared" si="227"/>
        <v>Week 3-2026</v>
      </c>
      <c r="O3608"/>
      <c r="Q3608"/>
    </row>
    <row r="3609" spans="1:17" hidden="1" x14ac:dyDescent="0.2">
      <c r="A3609" s="3">
        <v>46036</v>
      </c>
      <c r="B3609" s="2" t="s">
        <v>5</v>
      </c>
      <c r="C3609" s="2">
        <v>14</v>
      </c>
      <c r="D3609" s="2">
        <f t="shared" si="224"/>
        <v>2026</v>
      </c>
      <c r="E3609" s="2" t="str">
        <f t="shared" si="225"/>
        <v>2026-3</v>
      </c>
      <c r="F3609" s="2" t="str">
        <f t="shared" si="226"/>
        <v>Week 3</v>
      </c>
      <c r="G3609" s="2" t="str">
        <f t="shared" si="227"/>
        <v>Week 3-2026</v>
      </c>
      <c r="O3609"/>
      <c r="Q3609"/>
    </row>
    <row r="3610" spans="1:17" hidden="1" x14ac:dyDescent="0.2">
      <c r="A3610" s="3">
        <v>46036</v>
      </c>
      <c r="B3610" s="2" t="s">
        <v>9</v>
      </c>
      <c r="C3610" s="2">
        <v>10</v>
      </c>
      <c r="D3610" s="2">
        <f t="shared" si="224"/>
        <v>2026</v>
      </c>
      <c r="E3610" s="2" t="str">
        <f t="shared" si="225"/>
        <v>2026-3</v>
      </c>
      <c r="F3610" s="2" t="str">
        <f t="shared" si="226"/>
        <v>Week 3</v>
      </c>
      <c r="G3610" s="2" t="str">
        <f t="shared" si="227"/>
        <v>Week 3-2026</v>
      </c>
      <c r="O3610"/>
      <c r="Q3610"/>
    </row>
    <row r="3611" spans="1:17" hidden="1" x14ac:dyDescent="0.2">
      <c r="A3611" s="3">
        <v>46036</v>
      </c>
      <c r="B3611" s="2" t="s">
        <v>9</v>
      </c>
      <c r="C3611" s="2">
        <v>10</v>
      </c>
      <c r="D3611" s="2">
        <f t="shared" si="224"/>
        <v>2026</v>
      </c>
      <c r="E3611" s="2" t="str">
        <f t="shared" si="225"/>
        <v>2026-3</v>
      </c>
      <c r="F3611" s="2" t="str">
        <f t="shared" si="226"/>
        <v>Week 3</v>
      </c>
      <c r="G3611" s="2" t="str">
        <f t="shared" si="227"/>
        <v>Week 3-2026</v>
      </c>
      <c r="O3611"/>
      <c r="Q3611"/>
    </row>
    <row r="3612" spans="1:17" hidden="1" x14ac:dyDescent="0.2">
      <c r="A3612" s="3">
        <v>46036</v>
      </c>
      <c r="B3612" s="2" t="s">
        <v>3</v>
      </c>
      <c r="C3612" s="2">
        <v>8</v>
      </c>
      <c r="D3612" s="2">
        <f t="shared" si="224"/>
        <v>2026</v>
      </c>
      <c r="E3612" s="2" t="str">
        <f t="shared" si="225"/>
        <v>2026-3</v>
      </c>
      <c r="F3612" s="2" t="str">
        <f t="shared" si="226"/>
        <v>Week 3</v>
      </c>
      <c r="G3612" s="2" t="str">
        <f t="shared" si="227"/>
        <v>Week 3-2026</v>
      </c>
      <c r="O3612"/>
      <c r="Q3612"/>
    </row>
    <row r="3613" spans="1:17" hidden="1" x14ac:dyDescent="0.2">
      <c r="A3613" s="3">
        <v>46036</v>
      </c>
      <c r="B3613" s="2" t="s">
        <v>3</v>
      </c>
      <c r="C3613" s="2">
        <v>8</v>
      </c>
      <c r="D3613" s="2">
        <f t="shared" si="224"/>
        <v>2026</v>
      </c>
      <c r="E3613" s="2" t="str">
        <f t="shared" si="225"/>
        <v>2026-3</v>
      </c>
      <c r="F3613" s="2" t="str">
        <f t="shared" si="226"/>
        <v>Week 3</v>
      </c>
      <c r="G3613" s="2" t="str">
        <f t="shared" si="227"/>
        <v>Week 3-2026</v>
      </c>
      <c r="O3613"/>
      <c r="Q3613"/>
    </row>
    <row r="3614" spans="1:17" hidden="1" x14ac:dyDescent="0.2">
      <c r="A3614" s="3">
        <v>46036</v>
      </c>
      <c r="B3614" s="2" t="s">
        <v>5</v>
      </c>
      <c r="C3614" s="2">
        <v>8</v>
      </c>
      <c r="D3614" s="2">
        <f t="shared" si="224"/>
        <v>2026</v>
      </c>
      <c r="E3614" s="2" t="str">
        <f t="shared" si="225"/>
        <v>2026-3</v>
      </c>
      <c r="F3614" s="2" t="str">
        <f t="shared" si="226"/>
        <v>Week 3</v>
      </c>
      <c r="G3614" s="2" t="str">
        <f t="shared" si="227"/>
        <v>Week 3-2026</v>
      </c>
      <c r="O3614"/>
      <c r="Q3614"/>
    </row>
    <row r="3615" spans="1:17" hidden="1" x14ac:dyDescent="0.2">
      <c r="A3615" s="3">
        <v>46036</v>
      </c>
      <c r="B3615" s="2" t="s">
        <v>5</v>
      </c>
      <c r="C3615" s="2">
        <v>8</v>
      </c>
      <c r="D3615" s="2">
        <f t="shared" si="224"/>
        <v>2026</v>
      </c>
      <c r="E3615" s="2" t="str">
        <f t="shared" si="225"/>
        <v>2026-3</v>
      </c>
      <c r="F3615" s="2" t="str">
        <f t="shared" si="226"/>
        <v>Week 3</v>
      </c>
      <c r="G3615" s="2" t="str">
        <f t="shared" si="227"/>
        <v>Week 3-2026</v>
      </c>
      <c r="O3615"/>
      <c r="Q3615"/>
    </row>
    <row r="3616" spans="1:17" hidden="1" x14ac:dyDescent="0.2">
      <c r="A3616" s="3">
        <v>46036</v>
      </c>
      <c r="B3616" s="2" t="s">
        <v>5</v>
      </c>
      <c r="C3616" s="2">
        <v>8</v>
      </c>
      <c r="D3616" s="2">
        <f t="shared" si="224"/>
        <v>2026</v>
      </c>
      <c r="E3616" s="2" t="str">
        <f t="shared" si="225"/>
        <v>2026-3</v>
      </c>
      <c r="F3616" s="2" t="str">
        <f t="shared" si="226"/>
        <v>Week 3</v>
      </c>
      <c r="G3616" s="2" t="str">
        <f t="shared" si="227"/>
        <v>Week 3-2026</v>
      </c>
      <c r="O3616"/>
      <c r="Q3616"/>
    </row>
    <row r="3617" spans="1:17" hidden="1" x14ac:dyDescent="0.2">
      <c r="A3617" s="3">
        <v>46036</v>
      </c>
      <c r="B3617" s="2" t="s">
        <v>5</v>
      </c>
      <c r="C3617" s="2">
        <v>6</v>
      </c>
      <c r="D3617" s="2">
        <f t="shared" si="224"/>
        <v>2026</v>
      </c>
      <c r="E3617" s="2" t="str">
        <f t="shared" si="225"/>
        <v>2026-3</v>
      </c>
      <c r="F3617" s="2" t="str">
        <f t="shared" si="226"/>
        <v>Week 3</v>
      </c>
      <c r="G3617" s="2" t="str">
        <f t="shared" si="227"/>
        <v>Week 3-2026</v>
      </c>
      <c r="O3617"/>
      <c r="Q3617"/>
    </row>
    <row r="3618" spans="1:17" hidden="1" x14ac:dyDescent="0.2">
      <c r="A3618" s="3">
        <v>46036</v>
      </c>
      <c r="B3618" s="2" t="s">
        <v>9</v>
      </c>
      <c r="C3618" s="2">
        <v>4</v>
      </c>
      <c r="D3618" s="2">
        <f t="shared" si="224"/>
        <v>2026</v>
      </c>
      <c r="E3618" s="2" t="str">
        <f t="shared" si="225"/>
        <v>2026-3</v>
      </c>
      <c r="F3618" s="2" t="str">
        <f t="shared" si="226"/>
        <v>Week 3</v>
      </c>
      <c r="G3618" s="2" t="str">
        <f t="shared" si="227"/>
        <v>Week 3-2026</v>
      </c>
      <c r="O3618"/>
      <c r="Q3618"/>
    </row>
    <row r="3619" spans="1:17" hidden="1" x14ac:dyDescent="0.2">
      <c r="A3619" s="3">
        <v>46036</v>
      </c>
      <c r="B3619" s="2" t="s">
        <v>26</v>
      </c>
      <c r="C3619" s="2">
        <v>4</v>
      </c>
      <c r="D3619" s="2">
        <f t="shared" si="224"/>
        <v>2026</v>
      </c>
      <c r="E3619" s="2" t="str">
        <f t="shared" si="225"/>
        <v>2026-3</v>
      </c>
      <c r="F3619" s="2" t="str">
        <f t="shared" si="226"/>
        <v>Week 3</v>
      </c>
      <c r="G3619" s="2" t="str">
        <f t="shared" si="227"/>
        <v>Week 3-2026</v>
      </c>
      <c r="O3619"/>
      <c r="Q3619"/>
    </row>
    <row r="3620" spans="1:17" hidden="1" x14ac:dyDescent="0.2">
      <c r="A3620" s="3">
        <v>46036</v>
      </c>
      <c r="B3620" s="2" t="s">
        <v>39</v>
      </c>
      <c r="C3620" s="2">
        <v>4</v>
      </c>
      <c r="D3620" s="2">
        <f t="shared" si="224"/>
        <v>2026</v>
      </c>
      <c r="E3620" s="2" t="str">
        <f t="shared" si="225"/>
        <v>2026-3</v>
      </c>
      <c r="F3620" s="2" t="str">
        <f t="shared" si="226"/>
        <v>Week 3</v>
      </c>
      <c r="G3620" s="2" t="str">
        <f t="shared" si="227"/>
        <v>Week 3-2026</v>
      </c>
      <c r="O3620"/>
      <c r="Q3620"/>
    </row>
    <row r="3621" spans="1:17" hidden="1" x14ac:dyDescent="0.2">
      <c r="A3621" s="3">
        <v>46036</v>
      </c>
      <c r="B3621" s="2" t="s">
        <v>37</v>
      </c>
      <c r="C3621" s="2">
        <v>4</v>
      </c>
      <c r="D3621" s="2">
        <f t="shared" si="224"/>
        <v>2026</v>
      </c>
      <c r="E3621" s="2" t="str">
        <f t="shared" si="225"/>
        <v>2026-3</v>
      </c>
      <c r="F3621" s="2" t="str">
        <f t="shared" si="226"/>
        <v>Week 3</v>
      </c>
      <c r="G3621" s="2" t="str">
        <f t="shared" si="227"/>
        <v>Week 3-2026</v>
      </c>
      <c r="O3621"/>
      <c r="Q3621"/>
    </row>
    <row r="3622" spans="1:17" hidden="1" x14ac:dyDescent="0.2">
      <c r="A3622" s="3">
        <v>46036</v>
      </c>
      <c r="B3622" s="2" t="s">
        <v>8</v>
      </c>
      <c r="C3622" s="2">
        <v>4</v>
      </c>
      <c r="D3622" s="2">
        <f t="shared" si="224"/>
        <v>2026</v>
      </c>
      <c r="E3622" s="2" t="str">
        <f t="shared" si="225"/>
        <v>2026-3</v>
      </c>
      <c r="F3622" s="2" t="str">
        <f t="shared" si="226"/>
        <v>Week 3</v>
      </c>
      <c r="G3622" s="2" t="str">
        <f t="shared" si="227"/>
        <v>Week 3-2026</v>
      </c>
      <c r="O3622"/>
      <c r="Q3622"/>
    </row>
    <row r="3623" spans="1:17" hidden="1" x14ac:dyDescent="0.2">
      <c r="A3623" s="3">
        <v>46036</v>
      </c>
      <c r="B3623" s="2" t="s">
        <v>27</v>
      </c>
      <c r="C3623" s="2">
        <v>4</v>
      </c>
      <c r="D3623" s="2">
        <f t="shared" si="224"/>
        <v>2026</v>
      </c>
      <c r="E3623" s="2" t="str">
        <f t="shared" si="225"/>
        <v>2026-3</v>
      </c>
      <c r="F3623" s="2" t="str">
        <f t="shared" si="226"/>
        <v>Week 3</v>
      </c>
      <c r="G3623" s="2" t="str">
        <f t="shared" si="227"/>
        <v>Week 3-2026</v>
      </c>
      <c r="O3623"/>
      <c r="Q3623"/>
    </row>
    <row r="3624" spans="1:17" hidden="1" x14ac:dyDescent="0.2">
      <c r="A3624" s="3">
        <v>46036</v>
      </c>
      <c r="B3624" s="2" t="s">
        <v>8</v>
      </c>
      <c r="C3624" s="2">
        <v>3</v>
      </c>
      <c r="D3624" s="2">
        <f t="shared" si="224"/>
        <v>2026</v>
      </c>
      <c r="E3624" s="2" t="str">
        <f t="shared" si="225"/>
        <v>2026-3</v>
      </c>
      <c r="F3624" s="2" t="str">
        <f t="shared" si="226"/>
        <v>Week 3</v>
      </c>
      <c r="G3624" s="2" t="str">
        <f t="shared" si="227"/>
        <v>Week 3-2026</v>
      </c>
      <c r="O3624"/>
      <c r="Q3624"/>
    </row>
    <row r="3625" spans="1:17" hidden="1" x14ac:dyDescent="0.2">
      <c r="A3625" s="3">
        <v>46036</v>
      </c>
      <c r="B3625" s="2" t="s">
        <v>27</v>
      </c>
      <c r="C3625" s="2">
        <v>4</v>
      </c>
      <c r="D3625" s="2">
        <f t="shared" si="224"/>
        <v>2026</v>
      </c>
      <c r="E3625" s="2" t="str">
        <f t="shared" si="225"/>
        <v>2026-3</v>
      </c>
      <c r="F3625" s="2" t="str">
        <f t="shared" si="226"/>
        <v>Week 3</v>
      </c>
      <c r="G3625" s="2" t="str">
        <f t="shared" si="227"/>
        <v>Week 3-2026</v>
      </c>
      <c r="O3625"/>
      <c r="Q3625"/>
    </row>
    <row r="3626" spans="1:17" hidden="1" x14ac:dyDescent="0.2">
      <c r="A3626" s="3">
        <v>46036</v>
      </c>
      <c r="B3626" s="2" t="s">
        <v>27</v>
      </c>
      <c r="C3626" s="2">
        <v>3</v>
      </c>
      <c r="D3626" s="2">
        <f t="shared" si="224"/>
        <v>2026</v>
      </c>
      <c r="E3626" s="2" t="str">
        <f t="shared" si="225"/>
        <v>2026-3</v>
      </c>
      <c r="F3626" s="2" t="str">
        <f t="shared" si="226"/>
        <v>Week 3</v>
      </c>
      <c r="G3626" s="2" t="str">
        <f t="shared" si="227"/>
        <v>Week 3-2026</v>
      </c>
      <c r="O3626"/>
      <c r="Q3626"/>
    </row>
    <row r="3627" spans="1:17" hidden="1" x14ac:dyDescent="0.2">
      <c r="A3627" s="3">
        <v>46036</v>
      </c>
      <c r="B3627" s="2" t="s">
        <v>15</v>
      </c>
      <c r="C3627" s="2">
        <v>2</v>
      </c>
      <c r="D3627" s="2">
        <f t="shared" si="224"/>
        <v>2026</v>
      </c>
      <c r="E3627" s="2" t="str">
        <f t="shared" si="225"/>
        <v>2026-3</v>
      </c>
      <c r="F3627" s="2" t="str">
        <f t="shared" si="226"/>
        <v>Week 3</v>
      </c>
      <c r="G3627" s="2" t="str">
        <f t="shared" si="227"/>
        <v>Week 3-2026</v>
      </c>
      <c r="O3627"/>
      <c r="Q3627"/>
    </row>
    <row r="3628" spans="1:17" hidden="1" x14ac:dyDescent="0.2">
      <c r="A3628" s="3">
        <v>46036</v>
      </c>
      <c r="B3628" s="2" t="s">
        <v>8</v>
      </c>
      <c r="C3628" s="2">
        <v>1</v>
      </c>
      <c r="D3628" s="2">
        <f t="shared" si="224"/>
        <v>2026</v>
      </c>
      <c r="E3628" s="2" t="str">
        <f t="shared" si="225"/>
        <v>2026-3</v>
      </c>
      <c r="F3628" s="2" t="str">
        <f t="shared" si="226"/>
        <v>Week 3</v>
      </c>
      <c r="G3628" s="2" t="str">
        <f t="shared" si="227"/>
        <v>Week 3-2026</v>
      </c>
      <c r="O3628"/>
      <c r="Q3628"/>
    </row>
    <row r="3629" spans="1:17" hidden="1" x14ac:dyDescent="0.2">
      <c r="A3629" s="3">
        <v>46036</v>
      </c>
      <c r="B3629" s="2" t="s">
        <v>27</v>
      </c>
      <c r="C3629" s="2">
        <v>1</v>
      </c>
      <c r="D3629" s="2">
        <f t="shared" si="224"/>
        <v>2026</v>
      </c>
      <c r="E3629" s="2" t="str">
        <f t="shared" si="225"/>
        <v>2026-3</v>
      </c>
      <c r="F3629" s="2" t="str">
        <f t="shared" si="226"/>
        <v>Week 3</v>
      </c>
      <c r="G3629" s="2" t="str">
        <f t="shared" si="227"/>
        <v>Week 3-2026</v>
      </c>
      <c r="O3629"/>
      <c r="Q3629"/>
    </row>
    <row r="3630" spans="1:17" hidden="1" x14ac:dyDescent="0.2">
      <c r="A3630" s="3">
        <v>46037</v>
      </c>
      <c r="B3630" s="2" t="s">
        <v>5</v>
      </c>
      <c r="C3630" s="2">
        <v>26</v>
      </c>
      <c r="D3630" s="2">
        <f t="shared" si="224"/>
        <v>2026</v>
      </c>
      <c r="E3630" s="2" t="str">
        <f t="shared" si="225"/>
        <v>2026-3</v>
      </c>
      <c r="F3630" s="2" t="str">
        <f t="shared" si="226"/>
        <v>Week 3</v>
      </c>
      <c r="G3630" s="2" t="str">
        <f t="shared" si="227"/>
        <v>Week 3-2026</v>
      </c>
      <c r="O3630"/>
      <c r="Q3630"/>
    </row>
    <row r="3631" spans="1:17" hidden="1" x14ac:dyDescent="0.2">
      <c r="A3631" s="3">
        <v>46037</v>
      </c>
      <c r="B3631" s="2" t="s">
        <v>3</v>
      </c>
      <c r="C3631" s="2">
        <v>16</v>
      </c>
      <c r="D3631" s="2">
        <f t="shared" si="224"/>
        <v>2026</v>
      </c>
      <c r="E3631" s="2" t="str">
        <f t="shared" si="225"/>
        <v>2026-3</v>
      </c>
      <c r="F3631" s="2" t="str">
        <f t="shared" si="226"/>
        <v>Week 3</v>
      </c>
      <c r="G3631" s="2" t="str">
        <f t="shared" si="227"/>
        <v>Week 3-2026</v>
      </c>
      <c r="O3631"/>
      <c r="Q3631"/>
    </row>
    <row r="3632" spans="1:17" hidden="1" x14ac:dyDescent="0.2">
      <c r="A3632" s="3">
        <v>46037</v>
      </c>
      <c r="B3632" s="2" t="s">
        <v>4</v>
      </c>
      <c r="C3632" s="2">
        <v>8</v>
      </c>
      <c r="D3632" s="2">
        <f t="shared" si="224"/>
        <v>2026</v>
      </c>
      <c r="E3632" s="2" t="str">
        <f t="shared" si="225"/>
        <v>2026-3</v>
      </c>
      <c r="F3632" s="2" t="str">
        <f t="shared" si="226"/>
        <v>Week 3</v>
      </c>
      <c r="G3632" s="2" t="str">
        <f t="shared" si="227"/>
        <v>Week 3-2026</v>
      </c>
      <c r="O3632"/>
      <c r="Q3632"/>
    </row>
    <row r="3633" spans="1:17" hidden="1" x14ac:dyDescent="0.2">
      <c r="A3633" s="3">
        <v>46037</v>
      </c>
      <c r="B3633" s="2" t="s">
        <v>14</v>
      </c>
      <c r="C3633" s="2">
        <v>15</v>
      </c>
      <c r="D3633" s="2">
        <f t="shared" si="224"/>
        <v>2026</v>
      </c>
      <c r="E3633" s="2" t="str">
        <f t="shared" si="225"/>
        <v>2026-3</v>
      </c>
      <c r="F3633" s="2" t="str">
        <f t="shared" si="226"/>
        <v>Week 3</v>
      </c>
      <c r="G3633" s="2" t="str">
        <f t="shared" si="227"/>
        <v>Week 3-2026</v>
      </c>
      <c r="O3633"/>
      <c r="Q3633"/>
    </row>
    <row r="3634" spans="1:17" hidden="1" x14ac:dyDescent="0.2">
      <c r="A3634" s="3">
        <v>46037</v>
      </c>
      <c r="B3634" s="2" t="s">
        <v>5</v>
      </c>
      <c r="C3634" s="2">
        <v>8</v>
      </c>
      <c r="D3634" s="2">
        <f t="shared" si="224"/>
        <v>2026</v>
      </c>
      <c r="E3634" s="2" t="str">
        <f t="shared" si="225"/>
        <v>2026-3</v>
      </c>
      <c r="F3634" s="2" t="str">
        <f t="shared" si="226"/>
        <v>Week 3</v>
      </c>
      <c r="G3634" s="2" t="str">
        <f t="shared" si="227"/>
        <v>Week 3-2026</v>
      </c>
      <c r="O3634"/>
      <c r="Q3634"/>
    </row>
    <row r="3635" spans="1:17" hidden="1" x14ac:dyDescent="0.2">
      <c r="A3635" s="3">
        <v>46037</v>
      </c>
      <c r="B3635" s="2" t="s">
        <v>14</v>
      </c>
      <c r="C3635" s="2">
        <v>11</v>
      </c>
      <c r="D3635" s="2">
        <f t="shared" si="224"/>
        <v>2026</v>
      </c>
      <c r="E3635" s="2" t="str">
        <f t="shared" si="225"/>
        <v>2026-3</v>
      </c>
      <c r="F3635" s="2" t="str">
        <f t="shared" si="226"/>
        <v>Week 3</v>
      </c>
      <c r="G3635" s="2" t="str">
        <f t="shared" si="227"/>
        <v>Week 3-2026</v>
      </c>
      <c r="O3635"/>
      <c r="Q3635"/>
    </row>
    <row r="3636" spans="1:17" hidden="1" x14ac:dyDescent="0.2">
      <c r="A3636" s="3">
        <v>46037</v>
      </c>
      <c r="B3636" s="2" t="s">
        <v>8</v>
      </c>
      <c r="C3636" s="2">
        <v>10</v>
      </c>
      <c r="D3636" s="2">
        <f t="shared" si="224"/>
        <v>2026</v>
      </c>
      <c r="E3636" s="2" t="str">
        <f t="shared" si="225"/>
        <v>2026-3</v>
      </c>
      <c r="F3636" s="2" t="str">
        <f t="shared" si="226"/>
        <v>Week 3</v>
      </c>
      <c r="G3636" s="2" t="str">
        <f t="shared" si="227"/>
        <v>Week 3-2026</v>
      </c>
      <c r="O3636"/>
      <c r="Q3636"/>
    </row>
    <row r="3637" spans="1:17" hidden="1" x14ac:dyDescent="0.2">
      <c r="A3637" s="3">
        <v>46037</v>
      </c>
      <c r="B3637" s="2" t="s">
        <v>9</v>
      </c>
      <c r="C3637" s="2">
        <v>4</v>
      </c>
      <c r="D3637" s="2">
        <f t="shared" si="224"/>
        <v>2026</v>
      </c>
      <c r="E3637" s="2" t="str">
        <f t="shared" si="225"/>
        <v>2026-3</v>
      </c>
      <c r="F3637" s="2" t="str">
        <f t="shared" si="226"/>
        <v>Week 3</v>
      </c>
      <c r="G3637" s="2" t="str">
        <f t="shared" si="227"/>
        <v>Week 3-2026</v>
      </c>
      <c r="O3637"/>
      <c r="Q3637"/>
    </row>
    <row r="3638" spans="1:17" hidden="1" x14ac:dyDescent="0.2">
      <c r="A3638" s="3">
        <v>46037</v>
      </c>
      <c r="B3638" s="2" t="s">
        <v>14</v>
      </c>
      <c r="C3638" s="2">
        <v>6</v>
      </c>
      <c r="D3638" s="2">
        <f t="shared" si="224"/>
        <v>2026</v>
      </c>
      <c r="E3638" s="2" t="str">
        <f t="shared" si="225"/>
        <v>2026-3</v>
      </c>
      <c r="F3638" s="2" t="str">
        <f t="shared" si="226"/>
        <v>Week 3</v>
      </c>
      <c r="G3638" s="2" t="str">
        <f t="shared" si="227"/>
        <v>Week 3-2026</v>
      </c>
      <c r="O3638"/>
      <c r="Q3638"/>
    </row>
    <row r="3639" spans="1:17" hidden="1" x14ac:dyDescent="0.2">
      <c r="A3639" s="3">
        <v>46037</v>
      </c>
      <c r="B3639" s="2" t="s">
        <v>21</v>
      </c>
      <c r="C3639" s="2">
        <v>2</v>
      </c>
      <c r="D3639" s="2">
        <f t="shared" si="224"/>
        <v>2026</v>
      </c>
      <c r="E3639" s="2" t="str">
        <f t="shared" si="225"/>
        <v>2026-3</v>
      </c>
      <c r="F3639" s="2" t="str">
        <f t="shared" si="226"/>
        <v>Week 3</v>
      </c>
      <c r="G3639" s="2" t="str">
        <f t="shared" si="227"/>
        <v>Week 3-2026</v>
      </c>
      <c r="O3639"/>
      <c r="Q3639"/>
    </row>
    <row r="3640" spans="1:17" hidden="1" x14ac:dyDescent="0.2">
      <c r="A3640" s="3">
        <v>46037</v>
      </c>
      <c r="B3640" s="2" t="s">
        <v>5</v>
      </c>
      <c r="C3640" s="2">
        <v>4</v>
      </c>
      <c r="D3640" s="2">
        <f t="shared" si="224"/>
        <v>2026</v>
      </c>
      <c r="E3640" s="2" t="str">
        <f t="shared" si="225"/>
        <v>2026-3</v>
      </c>
      <c r="F3640" s="2" t="str">
        <f t="shared" si="226"/>
        <v>Week 3</v>
      </c>
      <c r="G3640" s="2" t="str">
        <f t="shared" si="227"/>
        <v>Week 3-2026</v>
      </c>
      <c r="O3640"/>
      <c r="Q3640"/>
    </row>
    <row r="3641" spans="1:17" hidden="1" x14ac:dyDescent="0.2">
      <c r="A3641" s="3">
        <v>46037</v>
      </c>
      <c r="B3641" s="2" t="s">
        <v>7</v>
      </c>
      <c r="C3641" s="2">
        <v>2</v>
      </c>
      <c r="D3641" s="2">
        <f t="shared" si="224"/>
        <v>2026</v>
      </c>
      <c r="E3641" s="2" t="str">
        <f t="shared" si="225"/>
        <v>2026-3</v>
      </c>
      <c r="F3641" s="2" t="str">
        <f t="shared" si="226"/>
        <v>Week 3</v>
      </c>
      <c r="G3641" s="2" t="str">
        <f t="shared" si="227"/>
        <v>Week 3-2026</v>
      </c>
      <c r="O3641"/>
      <c r="Q3641"/>
    </row>
    <row r="3642" spans="1:17" hidden="1" x14ac:dyDescent="0.2">
      <c r="A3642" s="3">
        <v>46037</v>
      </c>
      <c r="B3642" s="2" t="s">
        <v>38</v>
      </c>
      <c r="C3642" s="2">
        <v>4</v>
      </c>
      <c r="D3642" s="2">
        <f t="shared" si="224"/>
        <v>2026</v>
      </c>
      <c r="E3642" s="2" t="str">
        <f t="shared" si="225"/>
        <v>2026-3</v>
      </c>
      <c r="F3642" s="2" t="str">
        <f t="shared" si="226"/>
        <v>Week 3</v>
      </c>
      <c r="G3642" s="2" t="str">
        <f t="shared" si="227"/>
        <v>Week 3-2026</v>
      </c>
      <c r="O3642"/>
      <c r="Q3642"/>
    </row>
    <row r="3643" spans="1:17" hidden="1" x14ac:dyDescent="0.2">
      <c r="A3643" s="3">
        <v>46037</v>
      </c>
      <c r="B3643" s="2" t="s">
        <v>14</v>
      </c>
      <c r="C3643" s="2">
        <v>2</v>
      </c>
      <c r="D3643" s="2">
        <f t="shared" si="224"/>
        <v>2026</v>
      </c>
      <c r="E3643" s="2" t="str">
        <f t="shared" si="225"/>
        <v>2026-3</v>
      </c>
      <c r="F3643" s="2" t="str">
        <f t="shared" si="226"/>
        <v>Week 3</v>
      </c>
      <c r="G3643" s="2" t="str">
        <f t="shared" si="227"/>
        <v>Week 3-2026</v>
      </c>
      <c r="O3643"/>
      <c r="Q3643"/>
    </row>
    <row r="3644" spans="1:17" hidden="1" x14ac:dyDescent="0.2">
      <c r="A3644" s="3">
        <v>46037</v>
      </c>
      <c r="B3644" s="2" t="s">
        <v>27</v>
      </c>
      <c r="C3644" s="2">
        <v>2</v>
      </c>
      <c r="D3644" s="2">
        <f t="shared" si="224"/>
        <v>2026</v>
      </c>
      <c r="E3644" s="2" t="str">
        <f t="shared" si="225"/>
        <v>2026-3</v>
      </c>
      <c r="F3644" s="2" t="str">
        <f t="shared" si="226"/>
        <v>Week 3</v>
      </c>
      <c r="G3644" s="2" t="str">
        <f t="shared" si="227"/>
        <v>Week 3-2026</v>
      </c>
      <c r="O3644"/>
      <c r="Q3644"/>
    </row>
    <row r="3645" spans="1:17" hidden="1" x14ac:dyDescent="0.2">
      <c r="A3645" s="3">
        <v>46038</v>
      </c>
      <c r="B3645" s="2" t="s">
        <v>14</v>
      </c>
      <c r="C3645" s="2">
        <v>14</v>
      </c>
      <c r="D3645" s="2">
        <f t="shared" si="224"/>
        <v>2026</v>
      </c>
      <c r="E3645" s="2" t="str">
        <f t="shared" si="225"/>
        <v>2026-3</v>
      </c>
      <c r="F3645" s="2" t="str">
        <f t="shared" si="226"/>
        <v>Week 3</v>
      </c>
      <c r="G3645" s="2" t="str">
        <f t="shared" si="227"/>
        <v>Week 3-2026</v>
      </c>
      <c r="O3645"/>
      <c r="Q3645"/>
    </row>
    <row r="3646" spans="1:17" hidden="1" x14ac:dyDescent="0.2">
      <c r="A3646" s="3">
        <v>46038</v>
      </c>
      <c r="B3646" s="2" t="s">
        <v>36</v>
      </c>
      <c r="C3646" s="2">
        <v>2</v>
      </c>
      <c r="D3646" s="2">
        <f t="shared" si="224"/>
        <v>2026</v>
      </c>
      <c r="E3646" s="2" t="str">
        <f t="shared" si="225"/>
        <v>2026-3</v>
      </c>
      <c r="F3646" s="2" t="str">
        <f t="shared" si="226"/>
        <v>Week 3</v>
      </c>
      <c r="G3646" s="2" t="str">
        <f t="shared" si="227"/>
        <v>Week 3-2026</v>
      </c>
      <c r="O3646"/>
      <c r="Q3646"/>
    </row>
    <row r="3647" spans="1:17" hidden="1" x14ac:dyDescent="0.2">
      <c r="A3647" s="3">
        <v>46041</v>
      </c>
      <c r="B3647" s="2" t="s">
        <v>6</v>
      </c>
      <c r="C3647" s="2">
        <v>24</v>
      </c>
      <c r="D3647" s="2">
        <f t="shared" si="224"/>
        <v>2026</v>
      </c>
      <c r="E3647" s="2" t="str">
        <f t="shared" si="225"/>
        <v>2026-4</v>
      </c>
      <c r="F3647" s="2" t="str">
        <f t="shared" si="226"/>
        <v>Week 4</v>
      </c>
      <c r="G3647" s="2" t="str">
        <f t="shared" si="227"/>
        <v>Week 4-2026</v>
      </c>
      <c r="O3647"/>
      <c r="Q3647"/>
    </row>
    <row r="3648" spans="1:17" hidden="1" x14ac:dyDescent="0.2">
      <c r="A3648" s="3">
        <v>46041</v>
      </c>
      <c r="B3648" s="2" t="s">
        <v>5</v>
      </c>
      <c r="C3648" s="2">
        <v>34</v>
      </c>
      <c r="D3648" s="2">
        <f t="shared" si="224"/>
        <v>2026</v>
      </c>
      <c r="E3648" s="2" t="str">
        <f t="shared" si="225"/>
        <v>2026-4</v>
      </c>
      <c r="F3648" s="2" t="str">
        <f t="shared" si="226"/>
        <v>Week 4</v>
      </c>
      <c r="G3648" s="2" t="str">
        <f t="shared" si="227"/>
        <v>Week 4-2026</v>
      </c>
      <c r="O3648"/>
      <c r="Q3648"/>
    </row>
    <row r="3649" spans="1:17" hidden="1" x14ac:dyDescent="0.2">
      <c r="A3649" s="3">
        <v>46041</v>
      </c>
      <c r="B3649" s="2" t="s">
        <v>9</v>
      </c>
      <c r="C3649" s="2">
        <v>18</v>
      </c>
      <c r="D3649" s="2">
        <f t="shared" si="224"/>
        <v>2026</v>
      </c>
      <c r="E3649" s="2" t="str">
        <f t="shared" si="225"/>
        <v>2026-4</v>
      </c>
      <c r="F3649" s="2" t="str">
        <f t="shared" si="226"/>
        <v>Week 4</v>
      </c>
      <c r="G3649" s="2" t="str">
        <f t="shared" si="227"/>
        <v>Week 4-2026</v>
      </c>
      <c r="O3649"/>
      <c r="Q3649"/>
    </row>
    <row r="3650" spans="1:17" hidden="1" x14ac:dyDescent="0.2">
      <c r="A3650" s="3">
        <v>46041</v>
      </c>
      <c r="B3650" s="2" t="s">
        <v>12</v>
      </c>
      <c r="C3650" s="2">
        <v>8</v>
      </c>
      <c r="D3650" s="2">
        <f t="shared" ref="D3650:D3713" si="228">YEAR(A3650)</f>
        <v>2026</v>
      </c>
      <c r="E3650" s="2" t="str">
        <f t="shared" ref="E3650:E3713" si="229">YEAR(A3650)&amp;"-"&amp;_xlfn.ISOWEEKNUM(A3650)</f>
        <v>2026-4</v>
      </c>
      <c r="F3650" s="2" t="str">
        <f t="shared" ref="F3650:F3713" si="230">_xlfn.CONCAT("Week "&amp;WEEKNUM(A3650))</f>
        <v>Week 4</v>
      </c>
      <c r="G3650" s="2" t="str">
        <f t="shared" ref="G3650:G3713" si="231">_xlfn.CONCAT(F3650,"-",D3650)</f>
        <v>Week 4-2026</v>
      </c>
      <c r="O3650"/>
      <c r="Q3650"/>
    </row>
    <row r="3651" spans="1:17" hidden="1" x14ac:dyDescent="0.2">
      <c r="A3651" s="3">
        <v>46041</v>
      </c>
      <c r="B3651" s="2" t="s">
        <v>3</v>
      </c>
      <c r="C3651" s="2">
        <v>16</v>
      </c>
      <c r="D3651" s="2">
        <f t="shared" si="228"/>
        <v>2026</v>
      </c>
      <c r="E3651" s="2" t="str">
        <f t="shared" si="229"/>
        <v>2026-4</v>
      </c>
      <c r="F3651" s="2" t="str">
        <f t="shared" si="230"/>
        <v>Week 4</v>
      </c>
      <c r="G3651" s="2" t="str">
        <f t="shared" si="231"/>
        <v>Week 4-2026</v>
      </c>
      <c r="O3651"/>
      <c r="Q3651"/>
    </row>
    <row r="3652" spans="1:17" hidden="1" x14ac:dyDescent="0.2">
      <c r="A3652" s="3">
        <v>46041</v>
      </c>
      <c r="B3652" s="2" t="s">
        <v>34</v>
      </c>
      <c r="C3652" s="2">
        <v>24</v>
      </c>
      <c r="D3652" s="2">
        <f t="shared" si="228"/>
        <v>2026</v>
      </c>
      <c r="E3652" s="2" t="str">
        <f t="shared" si="229"/>
        <v>2026-4</v>
      </c>
      <c r="F3652" s="2" t="str">
        <f t="shared" si="230"/>
        <v>Week 4</v>
      </c>
      <c r="G3652" s="2" t="str">
        <f t="shared" si="231"/>
        <v>Week 4-2026</v>
      </c>
      <c r="O3652"/>
      <c r="Q3652"/>
    </row>
    <row r="3653" spans="1:17" hidden="1" x14ac:dyDescent="0.2">
      <c r="A3653" s="3">
        <v>46041</v>
      </c>
      <c r="B3653" s="2" t="s">
        <v>9</v>
      </c>
      <c r="C3653" s="2">
        <v>10</v>
      </c>
      <c r="D3653" s="2">
        <f t="shared" si="228"/>
        <v>2026</v>
      </c>
      <c r="E3653" s="2" t="str">
        <f t="shared" si="229"/>
        <v>2026-4</v>
      </c>
      <c r="F3653" s="2" t="str">
        <f t="shared" si="230"/>
        <v>Week 4</v>
      </c>
      <c r="G3653" s="2" t="str">
        <f t="shared" si="231"/>
        <v>Week 4-2026</v>
      </c>
      <c r="O3653"/>
      <c r="Q3653"/>
    </row>
    <row r="3654" spans="1:17" hidden="1" x14ac:dyDescent="0.2">
      <c r="A3654" s="3">
        <v>46041</v>
      </c>
      <c r="B3654" s="2" t="s">
        <v>9</v>
      </c>
      <c r="C3654" s="2">
        <v>10</v>
      </c>
      <c r="D3654" s="2">
        <f t="shared" si="228"/>
        <v>2026</v>
      </c>
      <c r="E3654" s="2" t="str">
        <f t="shared" si="229"/>
        <v>2026-4</v>
      </c>
      <c r="F3654" s="2" t="str">
        <f t="shared" si="230"/>
        <v>Week 4</v>
      </c>
      <c r="G3654" s="2" t="str">
        <f t="shared" si="231"/>
        <v>Week 4-2026</v>
      </c>
      <c r="O3654"/>
      <c r="Q3654"/>
    </row>
    <row r="3655" spans="1:17" hidden="1" x14ac:dyDescent="0.2">
      <c r="A3655" s="3">
        <v>46041</v>
      </c>
      <c r="B3655" s="2" t="s">
        <v>6</v>
      </c>
      <c r="C3655" s="2">
        <v>8</v>
      </c>
      <c r="D3655" s="2">
        <f t="shared" si="228"/>
        <v>2026</v>
      </c>
      <c r="E3655" s="2" t="str">
        <f t="shared" si="229"/>
        <v>2026-4</v>
      </c>
      <c r="F3655" s="2" t="str">
        <f t="shared" si="230"/>
        <v>Week 4</v>
      </c>
      <c r="G3655" s="2" t="str">
        <f t="shared" si="231"/>
        <v>Week 4-2026</v>
      </c>
      <c r="O3655"/>
      <c r="Q3655"/>
    </row>
    <row r="3656" spans="1:17" hidden="1" x14ac:dyDescent="0.2">
      <c r="A3656" s="3">
        <v>46041</v>
      </c>
      <c r="B3656" s="2" t="s">
        <v>23</v>
      </c>
      <c r="C3656" s="2">
        <v>6</v>
      </c>
      <c r="D3656" s="2">
        <f t="shared" si="228"/>
        <v>2026</v>
      </c>
      <c r="E3656" s="2" t="str">
        <f t="shared" si="229"/>
        <v>2026-4</v>
      </c>
      <c r="F3656" s="2" t="str">
        <f t="shared" si="230"/>
        <v>Week 4</v>
      </c>
      <c r="G3656" s="2" t="str">
        <f t="shared" si="231"/>
        <v>Week 4-2026</v>
      </c>
      <c r="O3656"/>
      <c r="Q3656"/>
    </row>
    <row r="3657" spans="1:17" hidden="1" x14ac:dyDescent="0.2">
      <c r="A3657" s="3">
        <v>46041</v>
      </c>
      <c r="B3657" s="2" t="s">
        <v>13</v>
      </c>
      <c r="C3657" s="2">
        <v>2</v>
      </c>
      <c r="D3657" s="2">
        <f t="shared" si="228"/>
        <v>2026</v>
      </c>
      <c r="E3657" s="2" t="str">
        <f t="shared" si="229"/>
        <v>2026-4</v>
      </c>
      <c r="F3657" s="2" t="str">
        <f t="shared" si="230"/>
        <v>Week 4</v>
      </c>
      <c r="G3657" s="2" t="str">
        <f t="shared" si="231"/>
        <v>Week 4-2026</v>
      </c>
      <c r="O3657"/>
      <c r="Q3657"/>
    </row>
    <row r="3658" spans="1:17" hidden="1" x14ac:dyDescent="0.2">
      <c r="A3658" s="3">
        <v>46041</v>
      </c>
      <c r="B3658" s="2" t="s">
        <v>38</v>
      </c>
      <c r="C3658" s="2">
        <v>16</v>
      </c>
      <c r="D3658" s="2">
        <f t="shared" si="228"/>
        <v>2026</v>
      </c>
      <c r="E3658" s="2" t="str">
        <f t="shared" si="229"/>
        <v>2026-4</v>
      </c>
      <c r="F3658" s="2" t="str">
        <f t="shared" si="230"/>
        <v>Week 4</v>
      </c>
      <c r="G3658" s="2" t="str">
        <f t="shared" si="231"/>
        <v>Week 4-2026</v>
      </c>
      <c r="O3658"/>
      <c r="Q3658"/>
    </row>
    <row r="3659" spans="1:17" hidden="1" x14ac:dyDescent="0.2">
      <c r="A3659" s="3">
        <v>46041</v>
      </c>
      <c r="B3659" s="2" t="s">
        <v>5</v>
      </c>
      <c r="C3659" s="2">
        <v>8</v>
      </c>
      <c r="D3659" s="2">
        <f t="shared" si="228"/>
        <v>2026</v>
      </c>
      <c r="E3659" s="2" t="str">
        <f t="shared" si="229"/>
        <v>2026-4</v>
      </c>
      <c r="F3659" s="2" t="str">
        <f t="shared" si="230"/>
        <v>Week 4</v>
      </c>
      <c r="G3659" s="2" t="str">
        <f t="shared" si="231"/>
        <v>Week 4-2026</v>
      </c>
      <c r="O3659"/>
      <c r="Q3659"/>
    </row>
    <row r="3660" spans="1:17" hidden="1" x14ac:dyDescent="0.2">
      <c r="A3660" s="3">
        <v>46041</v>
      </c>
      <c r="B3660" s="2" t="s">
        <v>5</v>
      </c>
      <c r="C3660" s="2">
        <v>8</v>
      </c>
      <c r="D3660" s="2">
        <f t="shared" si="228"/>
        <v>2026</v>
      </c>
      <c r="E3660" s="2" t="str">
        <f t="shared" si="229"/>
        <v>2026-4</v>
      </c>
      <c r="F3660" s="2" t="str">
        <f t="shared" si="230"/>
        <v>Week 4</v>
      </c>
      <c r="G3660" s="2" t="str">
        <f t="shared" si="231"/>
        <v>Week 4-2026</v>
      </c>
      <c r="O3660"/>
      <c r="Q3660"/>
    </row>
    <row r="3661" spans="1:17" hidden="1" x14ac:dyDescent="0.2">
      <c r="A3661" s="3">
        <v>46041</v>
      </c>
      <c r="B3661" s="2" t="s">
        <v>5</v>
      </c>
      <c r="C3661" s="2">
        <v>6</v>
      </c>
      <c r="D3661" s="2">
        <f t="shared" si="228"/>
        <v>2026</v>
      </c>
      <c r="E3661" s="2" t="str">
        <f t="shared" si="229"/>
        <v>2026-4</v>
      </c>
      <c r="F3661" s="2" t="str">
        <f t="shared" si="230"/>
        <v>Week 4</v>
      </c>
      <c r="G3661" s="2" t="str">
        <f t="shared" si="231"/>
        <v>Week 4-2026</v>
      </c>
      <c r="O3661"/>
      <c r="Q3661"/>
    </row>
    <row r="3662" spans="1:17" hidden="1" x14ac:dyDescent="0.2">
      <c r="A3662" s="3">
        <v>46041</v>
      </c>
      <c r="B3662" s="2" t="s">
        <v>5</v>
      </c>
      <c r="C3662" s="2">
        <v>6</v>
      </c>
      <c r="D3662" s="2">
        <f t="shared" si="228"/>
        <v>2026</v>
      </c>
      <c r="E3662" s="2" t="str">
        <f t="shared" si="229"/>
        <v>2026-4</v>
      </c>
      <c r="F3662" s="2" t="str">
        <f t="shared" si="230"/>
        <v>Week 4</v>
      </c>
      <c r="G3662" s="2" t="str">
        <f t="shared" si="231"/>
        <v>Week 4-2026</v>
      </c>
      <c r="O3662"/>
      <c r="Q3662"/>
    </row>
    <row r="3663" spans="1:17" hidden="1" x14ac:dyDescent="0.2">
      <c r="A3663" s="3">
        <v>46041</v>
      </c>
      <c r="B3663" s="2" t="s">
        <v>10</v>
      </c>
      <c r="C3663" s="2">
        <v>8</v>
      </c>
      <c r="D3663" s="2">
        <f t="shared" si="228"/>
        <v>2026</v>
      </c>
      <c r="E3663" s="2" t="str">
        <f t="shared" si="229"/>
        <v>2026-4</v>
      </c>
      <c r="F3663" s="2" t="str">
        <f t="shared" si="230"/>
        <v>Week 4</v>
      </c>
      <c r="G3663" s="2" t="str">
        <f t="shared" si="231"/>
        <v>Week 4-2026</v>
      </c>
      <c r="O3663"/>
      <c r="Q3663"/>
    </row>
    <row r="3664" spans="1:17" hidden="1" x14ac:dyDescent="0.2">
      <c r="A3664" s="3">
        <v>46041</v>
      </c>
      <c r="B3664" s="2" t="s">
        <v>37</v>
      </c>
      <c r="C3664" s="2">
        <v>8</v>
      </c>
      <c r="D3664" s="2">
        <f t="shared" si="228"/>
        <v>2026</v>
      </c>
      <c r="E3664" s="2" t="str">
        <f t="shared" si="229"/>
        <v>2026-4</v>
      </c>
      <c r="F3664" s="2" t="str">
        <f t="shared" si="230"/>
        <v>Week 4</v>
      </c>
      <c r="G3664" s="2" t="str">
        <f t="shared" si="231"/>
        <v>Week 4-2026</v>
      </c>
      <c r="O3664"/>
      <c r="Q3664"/>
    </row>
    <row r="3665" spans="1:17" hidden="1" x14ac:dyDescent="0.2">
      <c r="A3665" s="3">
        <v>46041</v>
      </c>
      <c r="B3665" s="2" t="s">
        <v>34</v>
      </c>
      <c r="C3665" s="2">
        <v>8</v>
      </c>
      <c r="D3665" s="2">
        <f t="shared" si="228"/>
        <v>2026</v>
      </c>
      <c r="E3665" s="2" t="str">
        <f t="shared" si="229"/>
        <v>2026-4</v>
      </c>
      <c r="F3665" s="2" t="str">
        <f t="shared" si="230"/>
        <v>Week 4</v>
      </c>
      <c r="G3665" s="2" t="str">
        <f t="shared" si="231"/>
        <v>Week 4-2026</v>
      </c>
      <c r="O3665"/>
      <c r="Q3665"/>
    </row>
    <row r="3666" spans="1:17" hidden="1" x14ac:dyDescent="0.2">
      <c r="A3666" s="3">
        <v>46041</v>
      </c>
      <c r="B3666" s="2" t="s">
        <v>17</v>
      </c>
      <c r="C3666" s="2">
        <v>6</v>
      </c>
      <c r="D3666" s="2">
        <f t="shared" si="228"/>
        <v>2026</v>
      </c>
      <c r="E3666" s="2" t="str">
        <f t="shared" si="229"/>
        <v>2026-4</v>
      </c>
      <c r="F3666" s="2" t="str">
        <f t="shared" si="230"/>
        <v>Week 4</v>
      </c>
      <c r="G3666" s="2" t="str">
        <f t="shared" si="231"/>
        <v>Week 4-2026</v>
      </c>
      <c r="O3666"/>
      <c r="Q3666"/>
    </row>
    <row r="3667" spans="1:17" hidden="1" x14ac:dyDescent="0.2">
      <c r="A3667" s="3">
        <v>46041</v>
      </c>
      <c r="B3667" s="2" t="s">
        <v>14</v>
      </c>
      <c r="C3667" s="2">
        <v>6</v>
      </c>
      <c r="D3667" s="2">
        <f t="shared" si="228"/>
        <v>2026</v>
      </c>
      <c r="E3667" s="2" t="str">
        <f t="shared" si="229"/>
        <v>2026-4</v>
      </c>
      <c r="F3667" s="2" t="str">
        <f t="shared" si="230"/>
        <v>Week 4</v>
      </c>
      <c r="G3667" s="2" t="str">
        <f t="shared" si="231"/>
        <v>Week 4-2026</v>
      </c>
      <c r="O3667"/>
      <c r="Q3667"/>
    </row>
    <row r="3668" spans="1:17" hidden="1" x14ac:dyDescent="0.2">
      <c r="A3668" s="3">
        <v>46041</v>
      </c>
      <c r="B3668" s="2" t="s">
        <v>14</v>
      </c>
      <c r="C3668" s="2">
        <v>6</v>
      </c>
      <c r="D3668" s="2">
        <f t="shared" si="228"/>
        <v>2026</v>
      </c>
      <c r="E3668" s="2" t="str">
        <f t="shared" si="229"/>
        <v>2026-4</v>
      </c>
      <c r="F3668" s="2" t="str">
        <f t="shared" si="230"/>
        <v>Week 4</v>
      </c>
      <c r="G3668" s="2" t="str">
        <f t="shared" si="231"/>
        <v>Week 4-2026</v>
      </c>
      <c r="O3668"/>
      <c r="Q3668"/>
    </row>
    <row r="3669" spans="1:17" hidden="1" x14ac:dyDescent="0.2">
      <c r="A3669" s="3">
        <v>46041</v>
      </c>
      <c r="B3669" s="2" t="s">
        <v>5</v>
      </c>
      <c r="C3669" s="2">
        <v>4</v>
      </c>
      <c r="D3669" s="2">
        <f t="shared" si="228"/>
        <v>2026</v>
      </c>
      <c r="E3669" s="2" t="str">
        <f t="shared" si="229"/>
        <v>2026-4</v>
      </c>
      <c r="F3669" s="2" t="str">
        <f t="shared" si="230"/>
        <v>Week 4</v>
      </c>
      <c r="G3669" s="2" t="str">
        <f t="shared" si="231"/>
        <v>Week 4-2026</v>
      </c>
      <c r="O3669"/>
      <c r="Q3669"/>
    </row>
    <row r="3670" spans="1:17" hidden="1" x14ac:dyDescent="0.2">
      <c r="A3670" s="3">
        <v>46041</v>
      </c>
      <c r="B3670" s="2" t="s">
        <v>5</v>
      </c>
      <c r="C3670" s="2">
        <v>4</v>
      </c>
      <c r="D3670" s="2">
        <f t="shared" si="228"/>
        <v>2026</v>
      </c>
      <c r="E3670" s="2" t="str">
        <f t="shared" si="229"/>
        <v>2026-4</v>
      </c>
      <c r="F3670" s="2" t="str">
        <f t="shared" si="230"/>
        <v>Week 4</v>
      </c>
      <c r="G3670" s="2" t="str">
        <f t="shared" si="231"/>
        <v>Week 4-2026</v>
      </c>
      <c r="O3670"/>
      <c r="Q3670"/>
    </row>
    <row r="3671" spans="1:17" hidden="1" x14ac:dyDescent="0.2">
      <c r="A3671" s="3">
        <v>46041</v>
      </c>
      <c r="B3671" s="2" t="s">
        <v>5</v>
      </c>
      <c r="C3671" s="2">
        <v>4</v>
      </c>
      <c r="D3671" s="2">
        <f t="shared" si="228"/>
        <v>2026</v>
      </c>
      <c r="E3671" s="2" t="str">
        <f t="shared" si="229"/>
        <v>2026-4</v>
      </c>
      <c r="F3671" s="2" t="str">
        <f t="shared" si="230"/>
        <v>Week 4</v>
      </c>
      <c r="G3671" s="2" t="str">
        <f t="shared" si="231"/>
        <v>Week 4-2026</v>
      </c>
      <c r="O3671"/>
      <c r="Q3671"/>
    </row>
    <row r="3672" spans="1:17" hidden="1" x14ac:dyDescent="0.2">
      <c r="A3672" s="3">
        <v>46041</v>
      </c>
      <c r="B3672" s="2" t="s">
        <v>5</v>
      </c>
      <c r="C3672" s="2">
        <v>4</v>
      </c>
      <c r="D3672" s="2">
        <f t="shared" si="228"/>
        <v>2026</v>
      </c>
      <c r="E3672" s="2" t="str">
        <f t="shared" si="229"/>
        <v>2026-4</v>
      </c>
      <c r="F3672" s="2" t="str">
        <f t="shared" si="230"/>
        <v>Week 4</v>
      </c>
      <c r="G3672" s="2" t="str">
        <f t="shared" si="231"/>
        <v>Week 4-2026</v>
      </c>
      <c r="O3672"/>
      <c r="Q3672"/>
    </row>
    <row r="3673" spans="1:17" hidden="1" x14ac:dyDescent="0.2">
      <c r="A3673" s="3">
        <v>46041</v>
      </c>
      <c r="B3673" s="2" t="s">
        <v>5</v>
      </c>
      <c r="C3673" s="2">
        <v>4</v>
      </c>
      <c r="D3673" s="2">
        <f t="shared" si="228"/>
        <v>2026</v>
      </c>
      <c r="E3673" s="2" t="str">
        <f t="shared" si="229"/>
        <v>2026-4</v>
      </c>
      <c r="F3673" s="2" t="str">
        <f t="shared" si="230"/>
        <v>Week 4</v>
      </c>
      <c r="G3673" s="2" t="str">
        <f t="shared" si="231"/>
        <v>Week 4-2026</v>
      </c>
      <c r="O3673"/>
      <c r="Q3673"/>
    </row>
    <row r="3674" spans="1:17" hidden="1" x14ac:dyDescent="0.2">
      <c r="A3674" s="3">
        <v>46041</v>
      </c>
      <c r="B3674" s="2" t="s">
        <v>5</v>
      </c>
      <c r="C3674" s="2">
        <v>4</v>
      </c>
      <c r="D3674" s="2">
        <f t="shared" si="228"/>
        <v>2026</v>
      </c>
      <c r="E3674" s="2" t="str">
        <f t="shared" si="229"/>
        <v>2026-4</v>
      </c>
      <c r="F3674" s="2" t="str">
        <f t="shared" si="230"/>
        <v>Week 4</v>
      </c>
      <c r="G3674" s="2" t="str">
        <f t="shared" si="231"/>
        <v>Week 4-2026</v>
      </c>
      <c r="O3674"/>
      <c r="Q3674"/>
    </row>
    <row r="3675" spans="1:17" hidden="1" x14ac:dyDescent="0.2">
      <c r="A3675" s="3">
        <v>46041</v>
      </c>
      <c r="B3675" s="2" t="s">
        <v>5</v>
      </c>
      <c r="C3675" s="2">
        <v>4</v>
      </c>
      <c r="D3675" s="2">
        <f t="shared" si="228"/>
        <v>2026</v>
      </c>
      <c r="E3675" s="2" t="str">
        <f t="shared" si="229"/>
        <v>2026-4</v>
      </c>
      <c r="F3675" s="2" t="str">
        <f t="shared" si="230"/>
        <v>Week 4</v>
      </c>
      <c r="G3675" s="2" t="str">
        <f t="shared" si="231"/>
        <v>Week 4-2026</v>
      </c>
      <c r="O3675"/>
      <c r="Q3675"/>
    </row>
    <row r="3676" spans="1:17" hidden="1" x14ac:dyDescent="0.2">
      <c r="A3676" s="3">
        <v>46041</v>
      </c>
      <c r="B3676" s="2" t="s">
        <v>5</v>
      </c>
      <c r="C3676" s="2">
        <v>4</v>
      </c>
      <c r="D3676" s="2">
        <f t="shared" si="228"/>
        <v>2026</v>
      </c>
      <c r="E3676" s="2" t="str">
        <f t="shared" si="229"/>
        <v>2026-4</v>
      </c>
      <c r="F3676" s="2" t="str">
        <f t="shared" si="230"/>
        <v>Week 4</v>
      </c>
      <c r="G3676" s="2" t="str">
        <f t="shared" si="231"/>
        <v>Week 4-2026</v>
      </c>
      <c r="O3676"/>
      <c r="Q3676"/>
    </row>
    <row r="3677" spans="1:17" hidden="1" x14ac:dyDescent="0.2">
      <c r="A3677" s="3">
        <v>46041</v>
      </c>
      <c r="B3677" s="2" t="s">
        <v>14</v>
      </c>
      <c r="C3677" s="2">
        <v>6</v>
      </c>
      <c r="D3677" s="2">
        <f t="shared" si="228"/>
        <v>2026</v>
      </c>
      <c r="E3677" s="2" t="str">
        <f t="shared" si="229"/>
        <v>2026-4</v>
      </c>
      <c r="F3677" s="2" t="str">
        <f t="shared" si="230"/>
        <v>Week 4</v>
      </c>
      <c r="G3677" s="2" t="str">
        <f t="shared" si="231"/>
        <v>Week 4-2026</v>
      </c>
      <c r="O3677"/>
      <c r="Q3677"/>
    </row>
    <row r="3678" spans="1:17" hidden="1" x14ac:dyDescent="0.2">
      <c r="A3678" s="3">
        <v>46041</v>
      </c>
      <c r="B3678" s="2" t="s">
        <v>9</v>
      </c>
      <c r="C3678" s="2">
        <v>4</v>
      </c>
      <c r="D3678" s="2">
        <f t="shared" si="228"/>
        <v>2026</v>
      </c>
      <c r="E3678" s="2" t="str">
        <f t="shared" si="229"/>
        <v>2026-4</v>
      </c>
      <c r="F3678" s="2" t="str">
        <f t="shared" si="230"/>
        <v>Week 4</v>
      </c>
      <c r="G3678" s="2" t="str">
        <f t="shared" si="231"/>
        <v>Week 4-2026</v>
      </c>
      <c r="O3678"/>
      <c r="Q3678"/>
    </row>
    <row r="3679" spans="1:17" hidden="1" x14ac:dyDescent="0.2">
      <c r="A3679" s="3">
        <v>46041</v>
      </c>
      <c r="B3679" s="2" t="s">
        <v>19</v>
      </c>
      <c r="C3679" s="2">
        <v>2</v>
      </c>
      <c r="D3679" s="2">
        <f t="shared" si="228"/>
        <v>2026</v>
      </c>
      <c r="E3679" s="2" t="str">
        <f t="shared" si="229"/>
        <v>2026-4</v>
      </c>
      <c r="F3679" s="2" t="str">
        <f t="shared" si="230"/>
        <v>Week 4</v>
      </c>
      <c r="G3679" s="2" t="str">
        <f t="shared" si="231"/>
        <v>Week 4-2026</v>
      </c>
      <c r="O3679"/>
      <c r="Q3679"/>
    </row>
    <row r="3680" spans="1:17" hidden="1" x14ac:dyDescent="0.2">
      <c r="A3680" s="3">
        <v>46041</v>
      </c>
      <c r="B3680" s="2" t="s">
        <v>19</v>
      </c>
      <c r="C3680" s="2">
        <v>2</v>
      </c>
      <c r="D3680" s="2">
        <f t="shared" si="228"/>
        <v>2026</v>
      </c>
      <c r="E3680" s="2" t="str">
        <f t="shared" si="229"/>
        <v>2026-4</v>
      </c>
      <c r="F3680" s="2" t="str">
        <f t="shared" si="230"/>
        <v>Week 4</v>
      </c>
      <c r="G3680" s="2" t="str">
        <f t="shared" si="231"/>
        <v>Week 4-2026</v>
      </c>
      <c r="O3680"/>
      <c r="Q3680"/>
    </row>
    <row r="3681" spans="1:17" hidden="1" x14ac:dyDescent="0.2">
      <c r="A3681" s="3">
        <v>46041</v>
      </c>
      <c r="B3681" s="2" t="s">
        <v>19</v>
      </c>
      <c r="C3681" s="2">
        <v>2</v>
      </c>
      <c r="D3681" s="2">
        <f t="shared" si="228"/>
        <v>2026</v>
      </c>
      <c r="E3681" s="2" t="str">
        <f t="shared" si="229"/>
        <v>2026-4</v>
      </c>
      <c r="F3681" s="2" t="str">
        <f t="shared" si="230"/>
        <v>Week 4</v>
      </c>
      <c r="G3681" s="2" t="str">
        <f t="shared" si="231"/>
        <v>Week 4-2026</v>
      </c>
      <c r="O3681"/>
      <c r="Q3681"/>
    </row>
    <row r="3682" spans="1:17" hidden="1" x14ac:dyDescent="0.2">
      <c r="A3682" s="3">
        <v>46041</v>
      </c>
      <c r="B3682" s="2" t="s">
        <v>19</v>
      </c>
      <c r="C3682" s="2">
        <v>2</v>
      </c>
      <c r="D3682" s="2">
        <f t="shared" si="228"/>
        <v>2026</v>
      </c>
      <c r="E3682" s="2" t="str">
        <f t="shared" si="229"/>
        <v>2026-4</v>
      </c>
      <c r="F3682" s="2" t="str">
        <f t="shared" si="230"/>
        <v>Week 4</v>
      </c>
      <c r="G3682" s="2" t="str">
        <f t="shared" si="231"/>
        <v>Week 4-2026</v>
      </c>
      <c r="O3682"/>
      <c r="Q3682"/>
    </row>
    <row r="3683" spans="1:17" hidden="1" x14ac:dyDescent="0.2">
      <c r="A3683" s="3">
        <v>46041</v>
      </c>
      <c r="B3683" s="2" t="s">
        <v>19</v>
      </c>
      <c r="C3683" s="2">
        <v>2</v>
      </c>
      <c r="D3683" s="2">
        <f t="shared" si="228"/>
        <v>2026</v>
      </c>
      <c r="E3683" s="2" t="str">
        <f t="shared" si="229"/>
        <v>2026-4</v>
      </c>
      <c r="F3683" s="2" t="str">
        <f t="shared" si="230"/>
        <v>Week 4</v>
      </c>
      <c r="G3683" s="2" t="str">
        <f t="shared" si="231"/>
        <v>Week 4-2026</v>
      </c>
      <c r="O3683"/>
      <c r="Q3683"/>
    </row>
    <row r="3684" spans="1:17" hidden="1" x14ac:dyDescent="0.2">
      <c r="A3684" s="3">
        <v>46041</v>
      </c>
      <c r="B3684" s="2" t="s">
        <v>19</v>
      </c>
      <c r="C3684" s="2">
        <v>2</v>
      </c>
      <c r="D3684" s="2">
        <f t="shared" si="228"/>
        <v>2026</v>
      </c>
      <c r="E3684" s="2" t="str">
        <f t="shared" si="229"/>
        <v>2026-4</v>
      </c>
      <c r="F3684" s="2" t="str">
        <f t="shared" si="230"/>
        <v>Week 4</v>
      </c>
      <c r="G3684" s="2" t="str">
        <f t="shared" si="231"/>
        <v>Week 4-2026</v>
      </c>
      <c r="O3684"/>
      <c r="Q3684"/>
    </row>
    <row r="3685" spans="1:17" hidden="1" x14ac:dyDescent="0.2">
      <c r="A3685" s="3">
        <v>46041</v>
      </c>
      <c r="B3685" s="2" t="s">
        <v>17</v>
      </c>
      <c r="C3685" s="2">
        <v>4</v>
      </c>
      <c r="D3685" s="2">
        <f t="shared" si="228"/>
        <v>2026</v>
      </c>
      <c r="E3685" s="2" t="str">
        <f t="shared" si="229"/>
        <v>2026-4</v>
      </c>
      <c r="F3685" s="2" t="str">
        <f t="shared" si="230"/>
        <v>Week 4</v>
      </c>
      <c r="G3685" s="2" t="str">
        <f t="shared" si="231"/>
        <v>Week 4-2026</v>
      </c>
      <c r="O3685"/>
      <c r="Q3685"/>
    </row>
    <row r="3686" spans="1:17" hidden="1" x14ac:dyDescent="0.2">
      <c r="A3686" s="3">
        <v>46041</v>
      </c>
      <c r="B3686" s="2" t="s">
        <v>14</v>
      </c>
      <c r="C3686" s="2">
        <v>4</v>
      </c>
      <c r="D3686" s="2">
        <f t="shared" si="228"/>
        <v>2026</v>
      </c>
      <c r="E3686" s="2" t="str">
        <f t="shared" si="229"/>
        <v>2026-4</v>
      </c>
      <c r="F3686" s="2" t="str">
        <f t="shared" si="230"/>
        <v>Week 4</v>
      </c>
      <c r="G3686" s="2" t="str">
        <f t="shared" si="231"/>
        <v>Week 4-2026</v>
      </c>
      <c r="O3686"/>
      <c r="Q3686"/>
    </row>
    <row r="3687" spans="1:17" hidden="1" x14ac:dyDescent="0.2">
      <c r="A3687" s="3">
        <v>46041</v>
      </c>
      <c r="B3687" s="2" t="s">
        <v>14</v>
      </c>
      <c r="C3687" s="2">
        <v>4</v>
      </c>
      <c r="D3687" s="2">
        <f t="shared" si="228"/>
        <v>2026</v>
      </c>
      <c r="E3687" s="2" t="str">
        <f t="shared" si="229"/>
        <v>2026-4</v>
      </c>
      <c r="F3687" s="2" t="str">
        <f t="shared" si="230"/>
        <v>Week 4</v>
      </c>
      <c r="G3687" s="2" t="str">
        <f t="shared" si="231"/>
        <v>Week 4-2026</v>
      </c>
      <c r="O3687"/>
      <c r="Q3687"/>
    </row>
    <row r="3688" spans="1:17" hidden="1" x14ac:dyDescent="0.2">
      <c r="A3688" s="3">
        <v>46041</v>
      </c>
      <c r="B3688" s="2" t="s">
        <v>14</v>
      </c>
      <c r="C3688" s="2">
        <v>4</v>
      </c>
      <c r="D3688" s="2">
        <f t="shared" si="228"/>
        <v>2026</v>
      </c>
      <c r="E3688" s="2" t="str">
        <f t="shared" si="229"/>
        <v>2026-4</v>
      </c>
      <c r="F3688" s="2" t="str">
        <f t="shared" si="230"/>
        <v>Week 4</v>
      </c>
      <c r="G3688" s="2" t="str">
        <f t="shared" si="231"/>
        <v>Week 4-2026</v>
      </c>
      <c r="O3688"/>
      <c r="Q3688"/>
    </row>
    <row r="3689" spans="1:17" hidden="1" x14ac:dyDescent="0.2">
      <c r="A3689" s="3">
        <v>46041</v>
      </c>
      <c r="B3689" s="2" t="s">
        <v>14</v>
      </c>
      <c r="C3689" s="2">
        <v>4</v>
      </c>
      <c r="D3689" s="2">
        <f t="shared" si="228"/>
        <v>2026</v>
      </c>
      <c r="E3689" s="2" t="str">
        <f t="shared" si="229"/>
        <v>2026-4</v>
      </c>
      <c r="F3689" s="2" t="str">
        <f t="shared" si="230"/>
        <v>Week 4</v>
      </c>
      <c r="G3689" s="2" t="str">
        <f t="shared" si="231"/>
        <v>Week 4-2026</v>
      </c>
      <c r="O3689"/>
      <c r="Q3689"/>
    </row>
    <row r="3690" spans="1:17" hidden="1" x14ac:dyDescent="0.2">
      <c r="A3690" s="3">
        <v>46041</v>
      </c>
      <c r="B3690" s="2" t="s">
        <v>14</v>
      </c>
      <c r="C3690" s="2">
        <v>5</v>
      </c>
      <c r="D3690" s="2">
        <f t="shared" si="228"/>
        <v>2026</v>
      </c>
      <c r="E3690" s="2" t="str">
        <f t="shared" si="229"/>
        <v>2026-4</v>
      </c>
      <c r="F3690" s="2" t="str">
        <f t="shared" si="230"/>
        <v>Week 4</v>
      </c>
      <c r="G3690" s="2" t="str">
        <f t="shared" si="231"/>
        <v>Week 4-2026</v>
      </c>
      <c r="O3690"/>
      <c r="Q3690"/>
    </row>
    <row r="3691" spans="1:17" hidden="1" x14ac:dyDescent="0.2">
      <c r="A3691" s="3">
        <v>46041</v>
      </c>
      <c r="B3691" s="2" t="s">
        <v>8</v>
      </c>
      <c r="C3691" s="2">
        <v>4</v>
      </c>
      <c r="D3691" s="2">
        <f t="shared" si="228"/>
        <v>2026</v>
      </c>
      <c r="E3691" s="2" t="str">
        <f t="shared" si="229"/>
        <v>2026-4</v>
      </c>
      <c r="F3691" s="2" t="str">
        <f t="shared" si="230"/>
        <v>Week 4</v>
      </c>
      <c r="G3691" s="2" t="str">
        <f t="shared" si="231"/>
        <v>Week 4-2026</v>
      </c>
      <c r="O3691"/>
      <c r="Q3691"/>
    </row>
    <row r="3692" spans="1:17" hidden="1" x14ac:dyDescent="0.2">
      <c r="A3692" s="3">
        <v>46041</v>
      </c>
      <c r="B3692" s="2" t="s">
        <v>8</v>
      </c>
      <c r="C3692" s="2">
        <v>4</v>
      </c>
      <c r="D3692" s="2">
        <f t="shared" si="228"/>
        <v>2026</v>
      </c>
      <c r="E3692" s="2" t="str">
        <f t="shared" si="229"/>
        <v>2026-4</v>
      </c>
      <c r="F3692" s="2" t="str">
        <f t="shared" si="230"/>
        <v>Week 4</v>
      </c>
      <c r="G3692" s="2" t="str">
        <f t="shared" si="231"/>
        <v>Week 4-2026</v>
      </c>
      <c r="O3692"/>
      <c r="Q3692"/>
    </row>
    <row r="3693" spans="1:17" hidden="1" x14ac:dyDescent="0.2">
      <c r="A3693" s="3">
        <v>46041</v>
      </c>
      <c r="B3693" s="2" t="s">
        <v>27</v>
      </c>
      <c r="C3693" s="2">
        <v>4</v>
      </c>
      <c r="D3693" s="2">
        <f t="shared" si="228"/>
        <v>2026</v>
      </c>
      <c r="E3693" s="2" t="str">
        <f t="shared" si="229"/>
        <v>2026-4</v>
      </c>
      <c r="F3693" s="2" t="str">
        <f t="shared" si="230"/>
        <v>Week 4</v>
      </c>
      <c r="G3693" s="2" t="str">
        <f t="shared" si="231"/>
        <v>Week 4-2026</v>
      </c>
      <c r="O3693"/>
      <c r="Q3693"/>
    </row>
    <row r="3694" spans="1:17" hidden="1" x14ac:dyDescent="0.2">
      <c r="A3694" s="3">
        <v>46041</v>
      </c>
      <c r="B3694" s="2" t="s">
        <v>8</v>
      </c>
      <c r="C3694" s="2">
        <v>3</v>
      </c>
      <c r="D3694" s="2">
        <f t="shared" si="228"/>
        <v>2026</v>
      </c>
      <c r="E3694" s="2" t="str">
        <f t="shared" si="229"/>
        <v>2026-4</v>
      </c>
      <c r="F3694" s="2" t="str">
        <f t="shared" si="230"/>
        <v>Week 4</v>
      </c>
      <c r="G3694" s="2" t="str">
        <f t="shared" si="231"/>
        <v>Week 4-2026</v>
      </c>
      <c r="O3694"/>
      <c r="Q3694"/>
    </row>
    <row r="3695" spans="1:17" hidden="1" x14ac:dyDescent="0.2">
      <c r="A3695" s="3">
        <v>46041</v>
      </c>
      <c r="B3695" s="2" t="s">
        <v>29</v>
      </c>
      <c r="C3695" s="2">
        <v>2</v>
      </c>
      <c r="D3695" s="2">
        <f t="shared" si="228"/>
        <v>2026</v>
      </c>
      <c r="E3695" s="2" t="str">
        <f t="shared" si="229"/>
        <v>2026-4</v>
      </c>
      <c r="F3695" s="2" t="str">
        <f t="shared" si="230"/>
        <v>Week 4</v>
      </c>
      <c r="G3695" s="2" t="str">
        <f t="shared" si="231"/>
        <v>Week 4-2026</v>
      </c>
      <c r="O3695"/>
      <c r="Q3695"/>
    </row>
    <row r="3696" spans="1:17" hidden="1" x14ac:dyDescent="0.2">
      <c r="A3696" s="3">
        <v>46041</v>
      </c>
      <c r="B3696" s="2" t="s">
        <v>27</v>
      </c>
      <c r="C3696" s="2">
        <v>3</v>
      </c>
      <c r="D3696" s="2">
        <f t="shared" si="228"/>
        <v>2026</v>
      </c>
      <c r="E3696" s="2" t="str">
        <f t="shared" si="229"/>
        <v>2026-4</v>
      </c>
      <c r="F3696" s="2" t="str">
        <f t="shared" si="230"/>
        <v>Week 4</v>
      </c>
      <c r="G3696" s="2" t="str">
        <f t="shared" si="231"/>
        <v>Week 4-2026</v>
      </c>
      <c r="O3696"/>
      <c r="Q3696"/>
    </row>
    <row r="3697" spans="1:17" hidden="1" x14ac:dyDescent="0.2">
      <c r="A3697" s="3">
        <v>46041</v>
      </c>
      <c r="B3697" s="2" t="s">
        <v>15</v>
      </c>
      <c r="C3697" s="2">
        <v>4</v>
      </c>
      <c r="D3697" s="2">
        <f t="shared" si="228"/>
        <v>2026</v>
      </c>
      <c r="E3697" s="2" t="str">
        <f t="shared" si="229"/>
        <v>2026-4</v>
      </c>
      <c r="F3697" s="2" t="str">
        <f t="shared" si="230"/>
        <v>Week 4</v>
      </c>
      <c r="G3697" s="2" t="str">
        <f t="shared" si="231"/>
        <v>Week 4-2026</v>
      </c>
      <c r="O3697"/>
      <c r="Q3697"/>
    </row>
    <row r="3698" spans="1:17" hidden="1" x14ac:dyDescent="0.2">
      <c r="A3698" s="3">
        <v>46041</v>
      </c>
      <c r="B3698" s="2" t="s">
        <v>8</v>
      </c>
      <c r="C3698" s="2">
        <v>2</v>
      </c>
      <c r="D3698" s="2">
        <f t="shared" si="228"/>
        <v>2026</v>
      </c>
      <c r="E3698" s="2" t="str">
        <f t="shared" si="229"/>
        <v>2026-4</v>
      </c>
      <c r="F3698" s="2" t="str">
        <f t="shared" si="230"/>
        <v>Week 4</v>
      </c>
      <c r="G3698" s="2" t="str">
        <f t="shared" si="231"/>
        <v>Week 4-2026</v>
      </c>
      <c r="O3698"/>
      <c r="Q3698"/>
    </row>
    <row r="3699" spans="1:17" hidden="1" x14ac:dyDescent="0.2">
      <c r="A3699" s="3">
        <v>46041</v>
      </c>
      <c r="B3699" s="2" t="s">
        <v>37</v>
      </c>
      <c r="C3699" s="2">
        <v>2</v>
      </c>
      <c r="D3699" s="2">
        <f t="shared" si="228"/>
        <v>2026</v>
      </c>
      <c r="E3699" s="2" t="str">
        <f t="shared" si="229"/>
        <v>2026-4</v>
      </c>
      <c r="F3699" s="2" t="str">
        <f t="shared" si="230"/>
        <v>Week 4</v>
      </c>
      <c r="G3699" s="2" t="str">
        <f t="shared" si="231"/>
        <v>Week 4-2026</v>
      </c>
      <c r="O3699"/>
      <c r="Q3699"/>
    </row>
    <row r="3700" spans="1:17" hidden="1" x14ac:dyDescent="0.2">
      <c r="A3700" s="3">
        <v>46041</v>
      </c>
      <c r="B3700" s="2" t="s">
        <v>14</v>
      </c>
      <c r="C3700" s="2">
        <v>2</v>
      </c>
      <c r="D3700" s="2">
        <f t="shared" si="228"/>
        <v>2026</v>
      </c>
      <c r="E3700" s="2" t="str">
        <f t="shared" si="229"/>
        <v>2026-4</v>
      </c>
      <c r="F3700" s="2" t="str">
        <f t="shared" si="230"/>
        <v>Week 4</v>
      </c>
      <c r="G3700" s="2" t="str">
        <f t="shared" si="231"/>
        <v>Week 4-2026</v>
      </c>
      <c r="O3700"/>
      <c r="Q3700"/>
    </row>
    <row r="3701" spans="1:17" hidden="1" x14ac:dyDescent="0.2">
      <c r="A3701" s="3">
        <v>46041</v>
      </c>
      <c r="B3701" s="2" t="s">
        <v>35</v>
      </c>
      <c r="C3701" s="2">
        <v>2</v>
      </c>
      <c r="D3701" s="2">
        <f t="shared" si="228"/>
        <v>2026</v>
      </c>
      <c r="E3701" s="2" t="str">
        <f t="shared" si="229"/>
        <v>2026-4</v>
      </c>
      <c r="F3701" s="2" t="str">
        <f t="shared" si="230"/>
        <v>Week 4</v>
      </c>
      <c r="G3701" s="2" t="str">
        <f t="shared" si="231"/>
        <v>Week 4-2026</v>
      </c>
      <c r="O3701"/>
      <c r="Q3701"/>
    </row>
    <row r="3702" spans="1:17" hidden="1" x14ac:dyDescent="0.2">
      <c r="A3702" s="3">
        <v>46041</v>
      </c>
      <c r="B3702" s="2" t="s">
        <v>35</v>
      </c>
      <c r="C3702" s="2">
        <v>2</v>
      </c>
      <c r="D3702" s="2">
        <f t="shared" si="228"/>
        <v>2026</v>
      </c>
      <c r="E3702" s="2" t="str">
        <f t="shared" si="229"/>
        <v>2026-4</v>
      </c>
      <c r="F3702" s="2" t="str">
        <f t="shared" si="230"/>
        <v>Week 4</v>
      </c>
      <c r="G3702" s="2" t="str">
        <f t="shared" si="231"/>
        <v>Week 4-2026</v>
      </c>
      <c r="O3702"/>
      <c r="Q3702"/>
    </row>
    <row r="3703" spans="1:17" hidden="1" x14ac:dyDescent="0.2">
      <c r="A3703" s="3">
        <v>46041</v>
      </c>
      <c r="B3703" s="2" t="s">
        <v>42</v>
      </c>
      <c r="C3703" s="2">
        <v>2</v>
      </c>
      <c r="D3703" s="2">
        <f t="shared" si="228"/>
        <v>2026</v>
      </c>
      <c r="E3703" s="2" t="str">
        <f t="shared" si="229"/>
        <v>2026-4</v>
      </c>
      <c r="F3703" s="2" t="str">
        <f t="shared" si="230"/>
        <v>Week 4</v>
      </c>
      <c r="G3703" s="2" t="str">
        <f t="shared" si="231"/>
        <v>Week 4-2026</v>
      </c>
      <c r="O3703"/>
      <c r="Q3703"/>
    </row>
    <row r="3704" spans="1:17" hidden="1" x14ac:dyDescent="0.2">
      <c r="A3704" s="3">
        <v>46041</v>
      </c>
      <c r="B3704" s="2" t="s">
        <v>8</v>
      </c>
      <c r="C3704" s="2">
        <v>1</v>
      </c>
      <c r="D3704" s="2">
        <f t="shared" si="228"/>
        <v>2026</v>
      </c>
      <c r="E3704" s="2" t="str">
        <f t="shared" si="229"/>
        <v>2026-4</v>
      </c>
      <c r="F3704" s="2" t="str">
        <f t="shared" si="230"/>
        <v>Week 4</v>
      </c>
      <c r="G3704" s="2" t="str">
        <f t="shared" si="231"/>
        <v>Week 4-2026</v>
      </c>
      <c r="O3704"/>
      <c r="Q3704"/>
    </row>
    <row r="3705" spans="1:17" hidden="1" x14ac:dyDescent="0.2">
      <c r="A3705" s="3">
        <v>46041</v>
      </c>
      <c r="B3705" s="2" t="s">
        <v>27</v>
      </c>
      <c r="C3705" s="2">
        <v>1</v>
      </c>
      <c r="D3705" s="2">
        <f t="shared" si="228"/>
        <v>2026</v>
      </c>
      <c r="E3705" s="2" t="str">
        <f t="shared" si="229"/>
        <v>2026-4</v>
      </c>
      <c r="F3705" s="2" t="str">
        <f t="shared" si="230"/>
        <v>Week 4</v>
      </c>
      <c r="G3705" s="2" t="str">
        <f t="shared" si="231"/>
        <v>Week 4-2026</v>
      </c>
      <c r="O3705"/>
      <c r="Q3705"/>
    </row>
    <row r="3706" spans="1:17" hidden="1" x14ac:dyDescent="0.2">
      <c r="A3706" s="3">
        <v>46043</v>
      </c>
      <c r="B3706" s="2" t="s">
        <v>5</v>
      </c>
      <c r="C3706" s="2">
        <v>37</v>
      </c>
      <c r="D3706" s="2">
        <f t="shared" si="228"/>
        <v>2026</v>
      </c>
      <c r="E3706" s="2" t="str">
        <f t="shared" si="229"/>
        <v>2026-4</v>
      </c>
      <c r="F3706" s="2" t="str">
        <f t="shared" si="230"/>
        <v>Week 4</v>
      </c>
      <c r="G3706" s="2" t="str">
        <f t="shared" si="231"/>
        <v>Week 4-2026</v>
      </c>
      <c r="O3706"/>
      <c r="Q3706"/>
    </row>
    <row r="3707" spans="1:17" hidden="1" x14ac:dyDescent="0.2">
      <c r="A3707" s="3">
        <v>46043</v>
      </c>
      <c r="B3707" s="2" t="s">
        <v>5</v>
      </c>
      <c r="C3707" s="2">
        <v>34</v>
      </c>
      <c r="D3707" s="2">
        <f t="shared" si="228"/>
        <v>2026</v>
      </c>
      <c r="E3707" s="2" t="str">
        <f t="shared" si="229"/>
        <v>2026-4</v>
      </c>
      <c r="F3707" s="2" t="str">
        <f t="shared" si="230"/>
        <v>Week 4</v>
      </c>
      <c r="G3707" s="2" t="str">
        <f t="shared" si="231"/>
        <v>Week 4-2026</v>
      </c>
      <c r="O3707"/>
      <c r="Q3707"/>
    </row>
    <row r="3708" spans="1:17" hidden="1" x14ac:dyDescent="0.2">
      <c r="A3708" s="3">
        <v>46043</v>
      </c>
      <c r="B3708" s="2" t="s">
        <v>4</v>
      </c>
      <c r="C3708" s="2">
        <v>12</v>
      </c>
      <c r="D3708" s="2">
        <f t="shared" si="228"/>
        <v>2026</v>
      </c>
      <c r="E3708" s="2" t="str">
        <f t="shared" si="229"/>
        <v>2026-4</v>
      </c>
      <c r="F3708" s="2" t="str">
        <f t="shared" si="230"/>
        <v>Week 4</v>
      </c>
      <c r="G3708" s="2" t="str">
        <f t="shared" si="231"/>
        <v>Week 4-2026</v>
      </c>
      <c r="O3708"/>
      <c r="Q3708"/>
    </row>
    <row r="3709" spans="1:17" hidden="1" x14ac:dyDescent="0.2">
      <c r="A3709" s="3">
        <v>46043</v>
      </c>
      <c r="B3709" s="2" t="s">
        <v>9</v>
      </c>
      <c r="C3709" s="2">
        <v>12</v>
      </c>
      <c r="D3709" s="2">
        <f t="shared" si="228"/>
        <v>2026</v>
      </c>
      <c r="E3709" s="2" t="str">
        <f t="shared" si="229"/>
        <v>2026-4</v>
      </c>
      <c r="F3709" s="2" t="str">
        <f t="shared" si="230"/>
        <v>Week 4</v>
      </c>
      <c r="G3709" s="2" t="str">
        <f t="shared" si="231"/>
        <v>Week 4-2026</v>
      </c>
      <c r="O3709"/>
      <c r="Q3709"/>
    </row>
    <row r="3710" spans="1:17" hidden="1" x14ac:dyDescent="0.2">
      <c r="A3710" s="3">
        <v>46043</v>
      </c>
      <c r="B3710" s="2" t="s">
        <v>9</v>
      </c>
      <c r="C3710" s="2">
        <v>12</v>
      </c>
      <c r="D3710" s="2">
        <f t="shared" si="228"/>
        <v>2026</v>
      </c>
      <c r="E3710" s="2" t="str">
        <f t="shared" si="229"/>
        <v>2026-4</v>
      </c>
      <c r="F3710" s="2" t="str">
        <f t="shared" si="230"/>
        <v>Week 4</v>
      </c>
      <c r="G3710" s="2" t="str">
        <f t="shared" si="231"/>
        <v>Week 4-2026</v>
      </c>
      <c r="O3710"/>
      <c r="Q3710"/>
    </row>
    <row r="3711" spans="1:17" hidden="1" x14ac:dyDescent="0.2">
      <c r="A3711" s="3">
        <v>46043</v>
      </c>
      <c r="B3711" s="2" t="s">
        <v>5</v>
      </c>
      <c r="C3711" s="2">
        <v>15</v>
      </c>
      <c r="D3711" s="2">
        <f t="shared" si="228"/>
        <v>2026</v>
      </c>
      <c r="E3711" s="2" t="str">
        <f t="shared" si="229"/>
        <v>2026-4</v>
      </c>
      <c r="F3711" s="2" t="str">
        <f t="shared" si="230"/>
        <v>Week 4</v>
      </c>
      <c r="G3711" s="2" t="str">
        <f t="shared" si="231"/>
        <v>Week 4-2026</v>
      </c>
      <c r="O3711"/>
      <c r="Q3711"/>
    </row>
    <row r="3712" spans="1:17" hidden="1" x14ac:dyDescent="0.2">
      <c r="A3712" s="3">
        <v>46043</v>
      </c>
      <c r="B3712" s="2" t="s">
        <v>7</v>
      </c>
      <c r="C3712" s="2">
        <v>10</v>
      </c>
      <c r="D3712" s="2">
        <f t="shared" si="228"/>
        <v>2026</v>
      </c>
      <c r="E3712" s="2" t="str">
        <f t="shared" si="229"/>
        <v>2026-4</v>
      </c>
      <c r="F3712" s="2" t="str">
        <f t="shared" si="230"/>
        <v>Week 4</v>
      </c>
      <c r="G3712" s="2" t="str">
        <f t="shared" si="231"/>
        <v>Week 4-2026</v>
      </c>
      <c r="O3712"/>
      <c r="Q3712"/>
    </row>
    <row r="3713" spans="1:17" hidden="1" x14ac:dyDescent="0.2">
      <c r="A3713" s="3">
        <v>46043</v>
      </c>
      <c r="B3713" s="2" t="s">
        <v>3</v>
      </c>
      <c r="C3713" s="2">
        <v>11</v>
      </c>
      <c r="D3713" s="2">
        <f t="shared" si="228"/>
        <v>2026</v>
      </c>
      <c r="E3713" s="2" t="str">
        <f t="shared" si="229"/>
        <v>2026-4</v>
      </c>
      <c r="F3713" s="2" t="str">
        <f t="shared" si="230"/>
        <v>Week 4</v>
      </c>
      <c r="G3713" s="2" t="str">
        <f t="shared" si="231"/>
        <v>Week 4-2026</v>
      </c>
      <c r="O3713"/>
      <c r="Q3713"/>
    </row>
    <row r="3714" spans="1:17" hidden="1" x14ac:dyDescent="0.2">
      <c r="A3714" s="3">
        <v>46043</v>
      </c>
      <c r="B3714" s="2" t="s">
        <v>3</v>
      </c>
      <c r="C3714" s="2">
        <v>10</v>
      </c>
      <c r="D3714" s="2">
        <f t="shared" ref="D3714:D3777" si="232">YEAR(A3714)</f>
        <v>2026</v>
      </c>
      <c r="E3714" s="2" t="str">
        <f t="shared" ref="E3714:E3777" si="233">YEAR(A3714)&amp;"-"&amp;_xlfn.ISOWEEKNUM(A3714)</f>
        <v>2026-4</v>
      </c>
      <c r="F3714" s="2" t="str">
        <f t="shared" ref="F3714:F3777" si="234">_xlfn.CONCAT("Week "&amp;WEEKNUM(A3714))</f>
        <v>Week 4</v>
      </c>
      <c r="G3714" s="2" t="str">
        <f t="shared" ref="G3714:G3777" si="235">_xlfn.CONCAT(F3714,"-",D3714)</f>
        <v>Week 4-2026</v>
      </c>
      <c r="O3714"/>
      <c r="Q3714"/>
    </row>
    <row r="3715" spans="1:17" hidden="1" x14ac:dyDescent="0.2">
      <c r="A3715" s="3">
        <v>46043</v>
      </c>
      <c r="B3715" s="2" t="s">
        <v>3</v>
      </c>
      <c r="C3715" s="2">
        <v>7</v>
      </c>
      <c r="D3715" s="2">
        <f t="shared" si="232"/>
        <v>2026</v>
      </c>
      <c r="E3715" s="2" t="str">
        <f t="shared" si="233"/>
        <v>2026-4</v>
      </c>
      <c r="F3715" s="2" t="str">
        <f t="shared" si="234"/>
        <v>Week 4</v>
      </c>
      <c r="G3715" s="2" t="str">
        <f t="shared" si="235"/>
        <v>Week 4-2026</v>
      </c>
      <c r="O3715"/>
      <c r="Q3715"/>
    </row>
    <row r="3716" spans="1:17" hidden="1" x14ac:dyDescent="0.2">
      <c r="A3716" s="3">
        <v>46043</v>
      </c>
      <c r="B3716" s="2" t="s">
        <v>4</v>
      </c>
      <c r="C3716" s="2">
        <v>4</v>
      </c>
      <c r="D3716" s="2">
        <f t="shared" si="232"/>
        <v>2026</v>
      </c>
      <c r="E3716" s="2" t="str">
        <f t="shared" si="233"/>
        <v>2026-4</v>
      </c>
      <c r="F3716" s="2" t="str">
        <f t="shared" si="234"/>
        <v>Week 4</v>
      </c>
      <c r="G3716" s="2" t="str">
        <f t="shared" si="235"/>
        <v>Week 4-2026</v>
      </c>
      <c r="O3716"/>
      <c r="Q3716"/>
    </row>
    <row r="3717" spans="1:17" hidden="1" x14ac:dyDescent="0.2">
      <c r="A3717" s="3">
        <v>46043</v>
      </c>
      <c r="B3717" s="2" t="s">
        <v>14</v>
      </c>
      <c r="C3717" s="2">
        <v>6</v>
      </c>
      <c r="D3717" s="2">
        <f t="shared" si="232"/>
        <v>2026</v>
      </c>
      <c r="E3717" s="2" t="str">
        <f t="shared" si="233"/>
        <v>2026-4</v>
      </c>
      <c r="F3717" s="2" t="str">
        <f t="shared" si="234"/>
        <v>Week 4</v>
      </c>
      <c r="G3717" s="2" t="str">
        <f t="shared" si="235"/>
        <v>Week 4-2026</v>
      </c>
      <c r="O3717"/>
      <c r="Q3717"/>
    </row>
    <row r="3718" spans="1:17" hidden="1" x14ac:dyDescent="0.2">
      <c r="A3718" s="3">
        <v>46043</v>
      </c>
      <c r="B3718" s="2" t="s">
        <v>18</v>
      </c>
      <c r="C3718" s="2">
        <v>2</v>
      </c>
      <c r="D3718" s="2">
        <f t="shared" si="232"/>
        <v>2026</v>
      </c>
      <c r="E3718" s="2" t="str">
        <f t="shared" si="233"/>
        <v>2026-4</v>
      </c>
      <c r="F3718" s="2" t="str">
        <f t="shared" si="234"/>
        <v>Week 4</v>
      </c>
      <c r="G3718" s="2" t="str">
        <f t="shared" si="235"/>
        <v>Week 4-2026</v>
      </c>
      <c r="O3718"/>
      <c r="Q3718"/>
    </row>
    <row r="3719" spans="1:17" hidden="1" x14ac:dyDescent="0.2">
      <c r="A3719" s="3">
        <v>46043</v>
      </c>
      <c r="B3719" s="2" t="s">
        <v>10</v>
      </c>
      <c r="C3719" s="2">
        <v>4</v>
      </c>
      <c r="D3719" s="2">
        <f t="shared" si="232"/>
        <v>2026</v>
      </c>
      <c r="E3719" s="2" t="str">
        <f t="shared" si="233"/>
        <v>2026-4</v>
      </c>
      <c r="F3719" s="2" t="str">
        <f t="shared" si="234"/>
        <v>Week 4</v>
      </c>
      <c r="G3719" s="2" t="str">
        <f t="shared" si="235"/>
        <v>Week 4-2026</v>
      </c>
      <c r="O3719"/>
      <c r="Q3719"/>
    </row>
    <row r="3720" spans="1:17" hidden="1" x14ac:dyDescent="0.2">
      <c r="A3720" s="3">
        <v>46043</v>
      </c>
      <c r="B3720" s="2" t="s">
        <v>19</v>
      </c>
      <c r="C3720" s="2">
        <v>2</v>
      </c>
      <c r="D3720" s="2">
        <f t="shared" si="232"/>
        <v>2026</v>
      </c>
      <c r="E3720" s="2" t="str">
        <f t="shared" si="233"/>
        <v>2026-4</v>
      </c>
      <c r="F3720" s="2" t="str">
        <f t="shared" si="234"/>
        <v>Week 4</v>
      </c>
      <c r="G3720" s="2" t="str">
        <f t="shared" si="235"/>
        <v>Week 4-2026</v>
      </c>
      <c r="O3720"/>
      <c r="Q3720"/>
    </row>
    <row r="3721" spans="1:17" hidden="1" x14ac:dyDescent="0.2">
      <c r="A3721" s="3">
        <v>46043</v>
      </c>
      <c r="B3721" s="2" t="s">
        <v>7</v>
      </c>
      <c r="C3721" s="2">
        <v>2</v>
      </c>
      <c r="D3721" s="2">
        <f t="shared" si="232"/>
        <v>2026</v>
      </c>
      <c r="E3721" s="2" t="str">
        <f t="shared" si="233"/>
        <v>2026-4</v>
      </c>
      <c r="F3721" s="2" t="str">
        <f t="shared" si="234"/>
        <v>Week 4</v>
      </c>
      <c r="G3721" s="2" t="str">
        <f t="shared" si="235"/>
        <v>Week 4-2026</v>
      </c>
      <c r="O3721"/>
      <c r="Q3721"/>
    </row>
    <row r="3722" spans="1:17" hidden="1" x14ac:dyDescent="0.2">
      <c r="A3722" s="3">
        <v>46043</v>
      </c>
      <c r="B3722" s="2" t="s">
        <v>28</v>
      </c>
      <c r="C3722" s="2">
        <v>4</v>
      </c>
      <c r="D3722" s="2">
        <f t="shared" si="232"/>
        <v>2026</v>
      </c>
      <c r="E3722" s="2" t="str">
        <f t="shared" si="233"/>
        <v>2026-4</v>
      </c>
      <c r="F3722" s="2" t="str">
        <f t="shared" si="234"/>
        <v>Week 4</v>
      </c>
      <c r="G3722" s="2" t="str">
        <f t="shared" si="235"/>
        <v>Week 4-2026</v>
      </c>
      <c r="O3722"/>
      <c r="Q3722"/>
    </row>
    <row r="3723" spans="1:17" hidden="1" x14ac:dyDescent="0.2">
      <c r="A3723" s="3">
        <v>46043</v>
      </c>
      <c r="B3723" s="2" t="s">
        <v>5</v>
      </c>
      <c r="C3723" s="2">
        <v>2</v>
      </c>
      <c r="D3723" s="2">
        <f t="shared" si="232"/>
        <v>2026</v>
      </c>
      <c r="E3723" s="2" t="str">
        <f t="shared" si="233"/>
        <v>2026-4</v>
      </c>
      <c r="F3723" s="2" t="str">
        <f t="shared" si="234"/>
        <v>Week 4</v>
      </c>
      <c r="G3723" s="2" t="str">
        <f t="shared" si="235"/>
        <v>Week 4-2026</v>
      </c>
      <c r="O3723"/>
      <c r="Q3723"/>
    </row>
    <row r="3724" spans="1:17" hidden="1" x14ac:dyDescent="0.2">
      <c r="A3724" s="3">
        <v>46043</v>
      </c>
      <c r="B3724" s="2" t="s">
        <v>39</v>
      </c>
      <c r="C3724" s="2">
        <v>2</v>
      </c>
      <c r="D3724" s="2">
        <f t="shared" si="232"/>
        <v>2026</v>
      </c>
      <c r="E3724" s="2" t="str">
        <f t="shared" si="233"/>
        <v>2026-4</v>
      </c>
      <c r="F3724" s="2" t="str">
        <f t="shared" si="234"/>
        <v>Week 4</v>
      </c>
      <c r="G3724" s="2" t="str">
        <f t="shared" si="235"/>
        <v>Week 4-2026</v>
      </c>
      <c r="O3724"/>
      <c r="Q3724"/>
    </row>
    <row r="3725" spans="1:17" hidden="1" x14ac:dyDescent="0.2">
      <c r="A3725" s="3">
        <v>46043</v>
      </c>
      <c r="B3725" s="2" t="s">
        <v>8</v>
      </c>
      <c r="C3725" s="2">
        <v>2</v>
      </c>
      <c r="D3725" s="2">
        <f t="shared" si="232"/>
        <v>2026</v>
      </c>
      <c r="E3725" s="2" t="str">
        <f t="shared" si="233"/>
        <v>2026-4</v>
      </c>
      <c r="F3725" s="2" t="str">
        <f t="shared" si="234"/>
        <v>Week 4</v>
      </c>
      <c r="G3725" s="2" t="str">
        <f t="shared" si="235"/>
        <v>Week 4-2026</v>
      </c>
      <c r="O3725"/>
      <c r="Q3725"/>
    </row>
    <row r="3726" spans="1:17" hidden="1" x14ac:dyDescent="0.2">
      <c r="A3726" s="3">
        <v>46043</v>
      </c>
      <c r="B3726" s="2" t="s">
        <v>35</v>
      </c>
      <c r="C3726" s="2">
        <v>2</v>
      </c>
      <c r="D3726" s="2">
        <f t="shared" si="232"/>
        <v>2026</v>
      </c>
      <c r="E3726" s="2" t="str">
        <f t="shared" si="233"/>
        <v>2026-4</v>
      </c>
      <c r="F3726" s="2" t="str">
        <f t="shared" si="234"/>
        <v>Week 4</v>
      </c>
      <c r="G3726" s="2" t="str">
        <f t="shared" si="235"/>
        <v>Week 4-2026</v>
      </c>
      <c r="O3726"/>
      <c r="Q3726"/>
    </row>
    <row r="3727" spans="1:17" hidden="1" x14ac:dyDescent="0.2">
      <c r="A3727" s="3">
        <v>46043</v>
      </c>
      <c r="B3727" s="2" t="s">
        <v>27</v>
      </c>
      <c r="C3727" s="2">
        <v>2</v>
      </c>
      <c r="D3727" s="2">
        <f t="shared" si="232"/>
        <v>2026</v>
      </c>
      <c r="E3727" s="2" t="str">
        <f t="shared" si="233"/>
        <v>2026-4</v>
      </c>
      <c r="F3727" s="2" t="str">
        <f t="shared" si="234"/>
        <v>Week 4</v>
      </c>
      <c r="G3727" s="2" t="str">
        <f t="shared" si="235"/>
        <v>Week 4-2026</v>
      </c>
      <c r="O3727"/>
      <c r="Q3727"/>
    </row>
    <row r="3728" spans="1:17" hidden="1" x14ac:dyDescent="0.2">
      <c r="A3728" s="3">
        <v>46043</v>
      </c>
      <c r="B3728" s="2" t="s">
        <v>42</v>
      </c>
      <c r="C3728" s="2">
        <v>2</v>
      </c>
      <c r="D3728" s="2">
        <f t="shared" si="232"/>
        <v>2026</v>
      </c>
      <c r="E3728" s="2" t="str">
        <f t="shared" si="233"/>
        <v>2026-4</v>
      </c>
      <c r="F3728" s="2" t="str">
        <f t="shared" si="234"/>
        <v>Week 4</v>
      </c>
      <c r="G3728" s="2" t="str">
        <f t="shared" si="235"/>
        <v>Week 4-2026</v>
      </c>
      <c r="O3728"/>
      <c r="Q3728"/>
    </row>
    <row r="3729" spans="1:17" hidden="1" x14ac:dyDescent="0.2">
      <c r="A3729" s="3">
        <v>46043</v>
      </c>
      <c r="B3729" s="2" t="s">
        <v>15</v>
      </c>
      <c r="C3729" s="2">
        <v>2</v>
      </c>
      <c r="D3729" s="2">
        <f t="shared" si="232"/>
        <v>2026</v>
      </c>
      <c r="E3729" s="2" t="str">
        <f t="shared" si="233"/>
        <v>2026-4</v>
      </c>
      <c r="F3729" s="2" t="str">
        <f t="shared" si="234"/>
        <v>Week 4</v>
      </c>
      <c r="G3729" s="2" t="str">
        <f t="shared" si="235"/>
        <v>Week 4-2026</v>
      </c>
      <c r="O3729"/>
      <c r="Q3729"/>
    </row>
    <row r="3730" spans="1:17" x14ac:dyDescent="0.2">
      <c r="A3730" s="3">
        <v>46043</v>
      </c>
      <c r="B3730" s="2" t="s">
        <v>24</v>
      </c>
      <c r="C3730" s="2">
        <v>2</v>
      </c>
      <c r="D3730" s="2">
        <f t="shared" si="232"/>
        <v>2026</v>
      </c>
      <c r="E3730" s="2" t="str">
        <f t="shared" si="233"/>
        <v>2026-4</v>
      </c>
      <c r="F3730" s="2" t="str">
        <f t="shared" si="234"/>
        <v>Week 4</v>
      </c>
      <c r="G3730" s="2" t="str">
        <f t="shared" si="235"/>
        <v>Week 4-2026</v>
      </c>
      <c r="O3730"/>
      <c r="Q3730"/>
    </row>
    <row r="3731" spans="1:17" hidden="1" x14ac:dyDescent="0.2">
      <c r="A3731" s="3">
        <v>46043</v>
      </c>
      <c r="B3731" s="2" t="s">
        <v>8</v>
      </c>
      <c r="C3731" s="2">
        <v>1</v>
      </c>
      <c r="D3731" s="2">
        <f t="shared" si="232"/>
        <v>2026</v>
      </c>
      <c r="E3731" s="2" t="str">
        <f t="shared" si="233"/>
        <v>2026-4</v>
      </c>
      <c r="F3731" s="2" t="str">
        <f t="shared" si="234"/>
        <v>Week 4</v>
      </c>
      <c r="G3731" s="2" t="str">
        <f t="shared" si="235"/>
        <v>Week 4-2026</v>
      </c>
      <c r="O3731"/>
      <c r="Q3731"/>
    </row>
    <row r="3732" spans="1:17" hidden="1" x14ac:dyDescent="0.2">
      <c r="A3732" s="3">
        <v>46044</v>
      </c>
      <c r="B3732" s="2" t="s">
        <v>8</v>
      </c>
      <c r="C3732" s="2">
        <v>2</v>
      </c>
      <c r="D3732" s="2">
        <f t="shared" si="232"/>
        <v>2026</v>
      </c>
      <c r="E3732" s="2" t="str">
        <f t="shared" si="233"/>
        <v>2026-4</v>
      </c>
      <c r="F3732" s="2" t="str">
        <f t="shared" si="234"/>
        <v>Week 4</v>
      </c>
      <c r="G3732" s="2" t="str">
        <f t="shared" si="235"/>
        <v>Week 4-2026</v>
      </c>
      <c r="O3732"/>
      <c r="Q3732"/>
    </row>
    <row r="3733" spans="1:17" hidden="1" x14ac:dyDescent="0.2">
      <c r="A3733" s="3">
        <v>46045</v>
      </c>
      <c r="B3733" s="2" t="s">
        <v>3</v>
      </c>
      <c r="C3733" s="2">
        <v>18</v>
      </c>
      <c r="D3733" s="2">
        <f t="shared" si="232"/>
        <v>2026</v>
      </c>
      <c r="E3733" s="2" t="str">
        <f t="shared" si="233"/>
        <v>2026-4</v>
      </c>
      <c r="F3733" s="2" t="str">
        <f t="shared" si="234"/>
        <v>Week 4</v>
      </c>
      <c r="G3733" s="2" t="str">
        <f t="shared" si="235"/>
        <v>Week 4-2026</v>
      </c>
      <c r="O3733"/>
      <c r="Q3733"/>
    </row>
    <row r="3734" spans="1:17" hidden="1" x14ac:dyDescent="0.2">
      <c r="A3734" s="3">
        <v>46045</v>
      </c>
      <c r="B3734" s="2" t="s">
        <v>5</v>
      </c>
      <c r="C3734" s="2">
        <v>16</v>
      </c>
      <c r="D3734" s="2">
        <f t="shared" si="232"/>
        <v>2026</v>
      </c>
      <c r="E3734" s="2" t="str">
        <f t="shared" si="233"/>
        <v>2026-4</v>
      </c>
      <c r="F3734" s="2" t="str">
        <f t="shared" si="234"/>
        <v>Week 4</v>
      </c>
      <c r="G3734" s="2" t="str">
        <f t="shared" si="235"/>
        <v>Week 4-2026</v>
      </c>
      <c r="O3734"/>
      <c r="Q3734"/>
    </row>
    <row r="3735" spans="1:17" hidden="1" x14ac:dyDescent="0.2">
      <c r="A3735" s="3">
        <v>46045</v>
      </c>
      <c r="B3735" s="2" t="s">
        <v>5</v>
      </c>
      <c r="C3735" s="2">
        <v>12</v>
      </c>
      <c r="D3735" s="2">
        <f t="shared" si="232"/>
        <v>2026</v>
      </c>
      <c r="E3735" s="2" t="str">
        <f t="shared" si="233"/>
        <v>2026-4</v>
      </c>
      <c r="F3735" s="2" t="str">
        <f t="shared" si="234"/>
        <v>Week 4</v>
      </c>
      <c r="G3735" s="2" t="str">
        <f t="shared" si="235"/>
        <v>Week 4-2026</v>
      </c>
      <c r="O3735"/>
      <c r="Q3735"/>
    </row>
    <row r="3736" spans="1:17" hidden="1" x14ac:dyDescent="0.2">
      <c r="A3736" s="3">
        <v>46045</v>
      </c>
      <c r="B3736" s="2" t="s">
        <v>5</v>
      </c>
      <c r="C3736" s="2">
        <v>14</v>
      </c>
      <c r="D3736" s="2">
        <f t="shared" si="232"/>
        <v>2026</v>
      </c>
      <c r="E3736" s="2" t="str">
        <f t="shared" si="233"/>
        <v>2026-4</v>
      </c>
      <c r="F3736" s="2" t="str">
        <f t="shared" si="234"/>
        <v>Week 4</v>
      </c>
      <c r="G3736" s="2" t="str">
        <f t="shared" si="235"/>
        <v>Week 4-2026</v>
      </c>
      <c r="O3736"/>
      <c r="Q3736"/>
    </row>
    <row r="3737" spans="1:17" hidden="1" x14ac:dyDescent="0.2">
      <c r="A3737" s="3">
        <v>46045</v>
      </c>
      <c r="B3737" s="2" t="s">
        <v>14</v>
      </c>
      <c r="C3737" s="2">
        <v>17</v>
      </c>
      <c r="D3737" s="2">
        <f t="shared" si="232"/>
        <v>2026</v>
      </c>
      <c r="E3737" s="2" t="str">
        <f t="shared" si="233"/>
        <v>2026-4</v>
      </c>
      <c r="F3737" s="2" t="str">
        <f t="shared" si="234"/>
        <v>Week 4</v>
      </c>
      <c r="G3737" s="2" t="str">
        <f t="shared" si="235"/>
        <v>Week 4-2026</v>
      </c>
      <c r="O3737"/>
      <c r="Q3737"/>
    </row>
    <row r="3738" spans="1:17" hidden="1" x14ac:dyDescent="0.2">
      <c r="A3738" s="3">
        <v>46045</v>
      </c>
      <c r="B3738" s="2" t="s">
        <v>9</v>
      </c>
      <c r="C3738" s="2">
        <v>7</v>
      </c>
      <c r="D3738" s="2">
        <f t="shared" si="232"/>
        <v>2026</v>
      </c>
      <c r="E3738" s="2" t="str">
        <f t="shared" si="233"/>
        <v>2026-4</v>
      </c>
      <c r="F3738" s="2" t="str">
        <f t="shared" si="234"/>
        <v>Week 4</v>
      </c>
      <c r="G3738" s="2" t="str">
        <f t="shared" si="235"/>
        <v>Week 4-2026</v>
      </c>
      <c r="O3738"/>
      <c r="Q3738"/>
    </row>
    <row r="3739" spans="1:17" hidden="1" x14ac:dyDescent="0.2">
      <c r="A3739" s="3">
        <v>46045</v>
      </c>
      <c r="B3739" s="2" t="s">
        <v>14</v>
      </c>
      <c r="C3739" s="2">
        <v>10</v>
      </c>
      <c r="D3739" s="2">
        <f t="shared" si="232"/>
        <v>2026</v>
      </c>
      <c r="E3739" s="2" t="str">
        <f t="shared" si="233"/>
        <v>2026-4</v>
      </c>
      <c r="F3739" s="2" t="str">
        <f t="shared" si="234"/>
        <v>Week 4</v>
      </c>
      <c r="G3739" s="2" t="str">
        <f t="shared" si="235"/>
        <v>Week 4-2026</v>
      </c>
      <c r="O3739"/>
      <c r="Q3739"/>
    </row>
    <row r="3740" spans="1:17" hidden="1" x14ac:dyDescent="0.2">
      <c r="A3740" s="3">
        <v>46045</v>
      </c>
      <c r="B3740" s="2" t="s">
        <v>9</v>
      </c>
      <c r="C3740" s="2">
        <v>5</v>
      </c>
      <c r="D3740" s="2">
        <f t="shared" si="232"/>
        <v>2026</v>
      </c>
      <c r="E3740" s="2" t="str">
        <f t="shared" si="233"/>
        <v>2026-4</v>
      </c>
      <c r="F3740" s="2" t="str">
        <f t="shared" si="234"/>
        <v>Week 4</v>
      </c>
      <c r="G3740" s="2" t="str">
        <f t="shared" si="235"/>
        <v>Week 4-2026</v>
      </c>
      <c r="O3740"/>
      <c r="Q3740"/>
    </row>
    <row r="3741" spans="1:17" hidden="1" x14ac:dyDescent="0.2">
      <c r="A3741" s="3">
        <v>46045</v>
      </c>
      <c r="B3741" s="2" t="s">
        <v>7</v>
      </c>
      <c r="C3741" s="2">
        <v>4</v>
      </c>
      <c r="D3741" s="2">
        <f t="shared" si="232"/>
        <v>2026</v>
      </c>
      <c r="E3741" s="2" t="str">
        <f t="shared" si="233"/>
        <v>2026-4</v>
      </c>
      <c r="F3741" s="2" t="str">
        <f t="shared" si="234"/>
        <v>Week 4</v>
      </c>
      <c r="G3741" s="2" t="str">
        <f t="shared" si="235"/>
        <v>Week 4-2026</v>
      </c>
      <c r="O3741"/>
      <c r="Q3741"/>
    </row>
    <row r="3742" spans="1:17" hidden="1" x14ac:dyDescent="0.2">
      <c r="A3742" s="3">
        <v>46045</v>
      </c>
      <c r="B3742" s="2" t="s">
        <v>5</v>
      </c>
      <c r="C3742" s="2">
        <v>4</v>
      </c>
      <c r="D3742" s="2">
        <f t="shared" si="232"/>
        <v>2026</v>
      </c>
      <c r="E3742" s="2" t="str">
        <f t="shared" si="233"/>
        <v>2026-4</v>
      </c>
      <c r="F3742" s="2" t="str">
        <f t="shared" si="234"/>
        <v>Week 4</v>
      </c>
      <c r="G3742" s="2" t="str">
        <f t="shared" si="235"/>
        <v>Week 4-2026</v>
      </c>
      <c r="O3742"/>
      <c r="Q3742"/>
    </row>
    <row r="3743" spans="1:17" hidden="1" x14ac:dyDescent="0.2">
      <c r="A3743" s="3">
        <v>46045</v>
      </c>
      <c r="B3743" s="2" t="s">
        <v>9</v>
      </c>
      <c r="C3743" s="2">
        <v>4</v>
      </c>
      <c r="D3743" s="2">
        <f t="shared" si="232"/>
        <v>2026</v>
      </c>
      <c r="E3743" s="2" t="str">
        <f t="shared" si="233"/>
        <v>2026-4</v>
      </c>
      <c r="F3743" s="2" t="str">
        <f t="shared" si="234"/>
        <v>Week 4</v>
      </c>
      <c r="G3743" s="2" t="str">
        <f t="shared" si="235"/>
        <v>Week 4-2026</v>
      </c>
      <c r="O3743"/>
      <c r="Q3743"/>
    </row>
    <row r="3744" spans="1:17" hidden="1" x14ac:dyDescent="0.2">
      <c r="A3744" s="3">
        <v>46045</v>
      </c>
      <c r="B3744" s="2" t="s">
        <v>9</v>
      </c>
      <c r="C3744" s="2">
        <v>2</v>
      </c>
      <c r="D3744" s="2">
        <f t="shared" si="232"/>
        <v>2026</v>
      </c>
      <c r="E3744" s="2" t="str">
        <f t="shared" si="233"/>
        <v>2026-4</v>
      </c>
      <c r="F3744" s="2" t="str">
        <f t="shared" si="234"/>
        <v>Week 4</v>
      </c>
      <c r="G3744" s="2" t="str">
        <f t="shared" si="235"/>
        <v>Week 4-2026</v>
      </c>
      <c r="O3744"/>
      <c r="Q3744"/>
    </row>
    <row r="3745" spans="1:17" hidden="1" x14ac:dyDescent="0.2">
      <c r="A3745" s="3">
        <v>46045</v>
      </c>
      <c r="B3745" s="2" t="s">
        <v>9</v>
      </c>
      <c r="C3745" s="2">
        <v>2</v>
      </c>
      <c r="D3745" s="2">
        <f t="shared" si="232"/>
        <v>2026</v>
      </c>
      <c r="E3745" s="2" t="str">
        <f t="shared" si="233"/>
        <v>2026-4</v>
      </c>
      <c r="F3745" s="2" t="str">
        <f t="shared" si="234"/>
        <v>Week 4</v>
      </c>
      <c r="G3745" s="2" t="str">
        <f t="shared" si="235"/>
        <v>Week 4-2026</v>
      </c>
      <c r="O3745"/>
      <c r="Q3745"/>
    </row>
    <row r="3746" spans="1:17" hidden="1" x14ac:dyDescent="0.2">
      <c r="A3746" s="3">
        <v>46045</v>
      </c>
      <c r="B3746" s="2" t="s">
        <v>10</v>
      </c>
      <c r="C3746" s="2">
        <v>4</v>
      </c>
      <c r="D3746" s="2">
        <f t="shared" si="232"/>
        <v>2026</v>
      </c>
      <c r="E3746" s="2" t="str">
        <f t="shared" si="233"/>
        <v>2026-4</v>
      </c>
      <c r="F3746" s="2" t="str">
        <f t="shared" si="234"/>
        <v>Week 4</v>
      </c>
      <c r="G3746" s="2" t="str">
        <f t="shared" si="235"/>
        <v>Week 4-2026</v>
      </c>
      <c r="O3746"/>
      <c r="Q3746"/>
    </row>
    <row r="3747" spans="1:17" hidden="1" x14ac:dyDescent="0.2">
      <c r="A3747" s="3">
        <v>46045</v>
      </c>
      <c r="B3747" s="2" t="s">
        <v>38</v>
      </c>
      <c r="C3747" s="2">
        <v>4</v>
      </c>
      <c r="D3747" s="2">
        <f t="shared" si="232"/>
        <v>2026</v>
      </c>
      <c r="E3747" s="2" t="str">
        <f t="shared" si="233"/>
        <v>2026-4</v>
      </c>
      <c r="F3747" s="2" t="str">
        <f t="shared" si="234"/>
        <v>Week 4</v>
      </c>
      <c r="G3747" s="2" t="str">
        <f t="shared" si="235"/>
        <v>Week 4-2026</v>
      </c>
      <c r="O3747"/>
      <c r="Q3747"/>
    </row>
    <row r="3748" spans="1:17" hidden="1" x14ac:dyDescent="0.2">
      <c r="A3748" s="3">
        <v>46045</v>
      </c>
      <c r="B3748" s="2" t="s">
        <v>30</v>
      </c>
      <c r="C3748" s="2">
        <v>2</v>
      </c>
      <c r="D3748" s="2">
        <f t="shared" si="232"/>
        <v>2026</v>
      </c>
      <c r="E3748" s="2" t="str">
        <f t="shared" si="233"/>
        <v>2026-4</v>
      </c>
      <c r="F3748" s="2" t="str">
        <f t="shared" si="234"/>
        <v>Week 4</v>
      </c>
      <c r="G3748" s="2" t="str">
        <f t="shared" si="235"/>
        <v>Week 4-2026</v>
      </c>
      <c r="O3748"/>
      <c r="Q3748"/>
    </row>
    <row r="3749" spans="1:17" hidden="1" x14ac:dyDescent="0.2">
      <c r="A3749" s="3">
        <v>46045</v>
      </c>
      <c r="B3749" s="2" t="s">
        <v>30</v>
      </c>
      <c r="C3749" s="2">
        <v>2</v>
      </c>
      <c r="D3749" s="2">
        <f t="shared" si="232"/>
        <v>2026</v>
      </c>
      <c r="E3749" s="2" t="str">
        <f t="shared" si="233"/>
        <v>2026-4</v>
      </c>
      <c r="F3749" s="2" t="str">
        <f t="shared" si="234"/>
        <v>Week 4</v>
      </c>
      <c r="G3749" s="2" t="str">
        <f t="shared" si="235"/>
        <v>Week 4-2026</v>
      </c>
      <c r="O3749"/>
      <c r="Q3749"/>
    </row>
    <row r="3750" spans="1:17" hidden="1" x14ac:dyDescent="0.2">
      <c r="A3750" s="3">
        <v>46045</v>
      </c>
      <c r="B3750" s="2" t="s">
        <v>27</v>
      </c>
      <c r="C3750" s="2">
        <v>2</v>
      </c>
      <c r="D3750" s="2">
        <f t="shared" si="232"/>
        <v>2026</v>
      </c>
      <c r="E3750" s="2" t="str">
        <f t="shared" si="233"/>
        <v>2026-4</v>
      </c>
      <c r="F3750" s="2" t="str">
        <f t="shared" si="234"/>
        <v>Week 4</v>
      </c>
      <c r="G3750" s="2" t="str">
        <f t="shared" si="235"/>
        <v>Week 4-2026</v>
      </c>
      <c r="O3750"/>
      <c r="Q3750"/>
    </row>
    <row r="3751" spans="1:17" hidden="1" x14ac:dyDescent="0.2">
      <c r="A3751" s="3">
        <v>46045</v>
      </c>
      <c r="B3751" s="2" t="s">
        <v>27</v>
      </c>
      <c r="C3751" s="2">
        <v>2</v>
      </c>
      <c r="D3751" s="2">
        <f t="shared" si="232"/>
        <v>2026</v>
      </c>
      <c r="E3751" s="2" t="str">
        <f t="shared" si="233"/>
        <v>2026-4</v>
      </c>
      <c r="F3751" s="2" t="str">
        <f t="shared" si="234"/>
        <v>Week 4</v>
      </c>
      <c r="G3751" s="2" t="str">
        <f t="shared" si="235"/>
        <v>Week 4-2026</v>
      </c>
      <c r="O3751"/>
      <c r="Q3751"/>
    </row>
    <row r="3752" spans="1:17" hidden="1" x14ac:dyDescent="0.2">
      <c r="A3752" s="3">
        <v>46045</v>
      </c>
      <c r="B3752" s="2" t="s">
        <v>8</v>
      </c>
      <c r="C3752" s="2">
        <v>1</v>
      </c>
      <c r="D3752" s="2">
        <f t="shared" si="232"/>
        <v>2026</v>
      </c>
      <c r="E3752" s="2" t="str">
        <f t="shared" si="233"/>
        <v>2026-4</v>
      </c>
      <c r="F3752" s="2" t="str">
        <f t="shared" si="234"/>
        <v>Week 4</v>
      </c>
      <c r="G3752" s="2" t="str">
        <f t="shared" si="235"/>
        <v>Week 4-2026</v>
      </c>
      <c r="O3752"/>
      <c r="Q3752"/>
    </row>
    <row r="3753" spans="1:17" hidden="1" x14ac:dyDescent="0.2">
      <c r="A3753" s="3">
        <v>46046</v>
      </c>
      <c r="B3753" s="2" t="s">
        <v>28</v>
      </c>
      <c r="C3753" s="2">
        <v>4</v>
      </c>
      <c r="D3753" s="2">
        <f t="shared" si="232"/>
        <v>2026</v>
      </c>
      <c r="E3753" s="2" t="str">
        <f t="shared" si="233"/>
        <v>2026-4</v>
      </c>
      <c r="F3753" s="2" t="str">
        <f t="shared" si="234"/>
        <v>Week 4</v>
      </c>
      <c r="G3753" s="2" t="str">
        <f t="shared" si="235"/>
        <v>Week 4-2026</v>
      </c>
      <c r="O3753"/>
      <c r="Q3753"/>
    </row>
    <row r="3754" spans="1:17" hidden="1" x14ac:dyDescent="0.2">
      <c r="A3754" s="3">
        <v>46046</v>
      </c>
      <c r="B3754" s="2" t="s">
        <v>14</v>
      </c>
      <c r="C3754" s="2">
        <v>2</v>
      </c>
      <c r="D3754" s="2">
        <f t="shared" si="232"/>
        <v>2026</v>
      </c>
      <c r="E3754" s="2" t="str">
        <f t="shared" si="233"/>
        <v>2026-4</v>
      </c>
      <c r="F3754" s="2" t="str">
        <f t="shared" si="234"/>
        <v>Week 4</v>
      </c>
      <c r="G3754" s="2" t="str">
        <f t="shared" si="235"/>
        <v>Week 4-2026</v>
      </c>
      <c r="O3754"/>
      <c r="Q3754"/>
    </row>
    <row r="3755" spans="1:17" hidden="1" x14ac:dyDescent="0.2">
      <c r="A3755" s="3">
        <v>46049</v>
      </c>
      <c r="B3755" s="2" t="s">
        <v>14</v>
      </c>
      <c r="C3755" s="2">
        <v>16</v>
      </c>
      <c r="D3755" s="2">
        <f t="shared" si="232"/>
        <v>2026</v>
      </c>
      <c r="E3755" s="2" t="str">
        <f t="shared" si="233"/>
        <v>2026-5</v>
      </c>
      <c r="F3755" s="2" t="str">
        <f t="shared" si="234"/>
        <v>Week 5</v>
      </c>
      <c r="G3755" s="2" t="str">
        <f t="shared" si="235"/>
        <v>Week 5-2026</v>
      </c>
      <c r="O3755"/>
      <c r="Q3755"/>
    </row>
    <row r="3756" spans="1:17" hidden="1" x14ac:dyDescent="0.2">
      <c r="A3756" s="3">
        <v>46049</v>
      </c>
      <c r="B3756" s="2" t="s">
        <v>12</v>
      </c>
      <c r="C3756" s="2">
        <v>2</v>
      </c>
      <c r="D3756" s="2">
        <f t="shared" si="232"/>
        <v>2026</v>
      </c>
      <c r="E3756" s="2" t="str">
        <f t="shared" si="233"/>
        <v>2026-5</v>
      </c>
      <c r="F3756" s="2" t="str">
        <f t="shared" si="234"/>
        <v>Week 5</v>
      </c>
      <c r="G3756" s="2" t="str">
        <f t="shared" si="235"/>
        <v>Week 5-2026</v>
      </c>
      <c r="O3756"/>
      <c r="Q3756"/>
    </row>
    <row r="3757" spans="1:17" hidden="1" x14ac:dyDescent="0.2">
      <c r="A3757" s="3">
        <v>46049</v>
      </c>
      <c r="B3757" s="2" t="s">
        <v>9</v>
      </c>
      <c r="C3757" s="2">
        <v>1</v>
      </c>
      <c r="D3757" s="2">
        <f t="shared" si="232"/>
        <v>2026</v>
      </c>
      <c r="E3757" s="2" t="str">
        <f t="shared" si="233"/>
        <v>2026-5</v>
      </c>
      <c r="F3757" s="2" t="str">
        <f t="shared" si="234"/>
        <v>Week 5</v>
      </c>
      <c r="G3757" s="2" t="str">
        <f t="shared" si="235"/>
        <v>Week 5-2026</v>
      </c>
      <c r="O3757"/>
      <c r="Q3757"/>
    </row>
    <row r="3758" spans="1:17" hidden="1" x14ac:dyDescent="0.2">
      <c r="A3758" s="3">
        <v>46049</v>
      </c>
      <c r="B3758" s="2" t="s">
        <v>9</v>
      </c>
      <c r="C3758" s="2">
        <v>1</v>
      </c>
      <c r="D3758" s="2">
        <f t="shared" si="232"/>
        <v>2026</v>
      </c>
      <c r="E3758" s="2" t="str">
        <f t="shared" si="233"/>
        <v>2026-5</v>
      </c>
      <c r="F3758" s="2" t="str">
        <f t="shared" si="234"/>
        <v>Week 5</v>
      </c>
      <c r="G3758" s="2" t="str">
        <f t="shared" si="235"/>
        <v>Week 5-2026</v>
      </c>
      <c r="O3758"/>
      <c r="Q3758"/>
    </row>
    <row r="3759" spans="1:17" hidden="1" x14ac:dyDescent="0.2">
      <c r="A3759" s="3">
        <v>46050</v>
      </c>
      <c r="B3759" s="2" t="s">
        <v>12</v>
      </c>
      <c r="C3759" s="2">
        <v>18</v>
      </c>
      <c r="D3759" s="2">
        <f t="shared" si="232"/>
        <v>2026</v>
      </c>
      <c r="E3759" s="2" t="str">
        <f t="shared" si="233"/>
        <v>2026-5</v>
      </c>
      <c r="F3759" s="2" t="str">
        <f t="shared" si="234"/>
        <v>Week 5</v>
      </c>
      <c r="G3759" s="2" t="str">
        <f t="shared" si="235"/>
        <v>Week 5-2026</v>
      </c>
      <c r="O3759"/>
      <c r="Q3759"/>
    </row>
    <row r="3760" spans="1:17" hidden="1" x14ac:dyDescent="0.2">
      <c r="A3760" s="3">
        <v>46050</v>
      </c>
      <c r="B3760" s="2" t="s">
        <v>6</v>
      </c>
      <c r="C3760" s="2">
        <v>16</v>
      </c>
      <c r="D3760" s="2">
        <f t="shared" si="232"/>
        <v>2026</v>
      </c>
      <c r="E3760" s="2" t="str">
        <f t="shared" si="233"/>
        <v>2026-5</v>
      </c>
      <c r="F3760" s="2" t="str">
        <f t="shared" si="234"/>
        <v>Week 5</v>
      </c>
      <c r="G3760" s="2" t="str">
        <f t="shared" si="235"/>
        <v>Week 5-2026</v>
      </c>
      <c r="O3760"/>
      <c r="Q3760"/>
    </row>
    <row r="3761" spans="1:17" hidden="1" x14ac:dyDescent="0.2">
      <c r="A3761" s="3">
        <v>46050</v>
      </c>
      <c r="B3761" s="2" t="s">
        <v>9</v>
      </c>
      <c r="C3761" s="2">
        <v>17</v>
      </c>
      <c r="D3761" s="2">
        <f t="shared" si="232"/>
        <v>2026</v>
      </c>
      <c r="E3761" s="2" t="str">
        <f t="shared" si="233"/>
        <v>2026-5</v>
      </c>
      <c r="F3761" s="2" t="str">
        <f t="shared" si="234"/>
        <v>Week 5</v>
      </c>
      <c r="G3761" s="2" t="str">
        <f t="shared" si="235"/>
        <v>Week 5-2026</v>
      </c>
      <c r="O3761"/>
      <c r="Q3761"/>
    </row>
    <row r="3762" spans="1:17" hidden="1" x14ac:dyDescent="0.2">
      <c r="A3762" s="3">
        <v>46050</v>
      </c>
      <c r="B3762" s="2" t="s">
        <v>6</v>
      </c>
      <c r="C3762" s="2">
        <v>12</v>
      </c>
      <c r="D3762" s="2">
        <f t="shared" si="232"/>
        <v>2026</v>
      </c>
      <c r="E3762" s="2" t="str">
        <f t="shared" si="233"/>
        <v>2026-5</v>
      </c>
      <c r="F3762" s="2" t="str">
        <f t="shared" si="234"/>
        <v>Week 5</v>
      </c>
      <c r="G3762" s="2" t="str">
        <f t="shared" si="235"/>
        <v>Week 5-2026</v>
      </c>
      <c r="O3762"/>
      <c r="Q3762"/>
    </row>
    <row r="3763" spans="1:17" hidden="1" x14ac:dyDescent="0.2">
      <c r="A3763" s="3">
        <v>46050</v>
      </c>
      <c r="B3763" s="2" t="s">
        <v>19</v>
      </c>
      <c r="C3763" s="2">
        <v>10</v>
      </c>
      <c r="D3763" s="2">
        <f t="shared" si="232"/>
        <v>2026</v>
      </c>
      <c r="E3763" s="2" t="str">
        <f t="shared" si="233"/>
        <v>2026-5</v>
      </c>
      <c r="F3763" s="2" t="str">
        <f t="shared" si="234"/>
        <v>Week 5</v>
      </c>
      <c r="G3763" s="2" t="str">
        <f t="shared" si="235"/>
        <v>Week 5-2026</v>
      </c>
      <c r="O3763"/>
      <c r="Q3763"/>
    </row>
    <row r="3764" spans="1:17" hidden="1" x14ac:dyDescent="0.2">
      <c r="A3764" s="3">
        <v>46050</v>
      </c>
      <c r="B3764" s="2" t="s">
        <v>6</v>
      </c>
      <c r="C3764" s="2">
        <v>9</v>
      </c>
      <c r="D3764" s="2">
        <f t="shared" si="232"/>
        <v>2026</v>
      </c>
      <c r="E3764" s="2" t="str">
        <f t="shared" si="233"/>
        <v>2026-5</v>
      </c>
      <c r="F3764" s="2" t="str">
        <f t="shared" si="234"/>
        <v>Week 5</v>
      </c>
      <c r="G3764" s="2" t="str">
        <f t="shared" si="235"/>
        <v>Week 5-2026</v>
      </c>
      <c r="O3764"/>
      <c r="Q3764"/>
    </row>
    <row r="3765" spans="1:17" hidden="1" x14ac:dyDescent="0.2">
      <c r="A3765" s="3">
        <v>46050</v>
      </c>
      <c r="B3765" s="2" t="s">
        <v>37</v>
      </c>
      <c r="C3765" s="2">
        <v>16</v>
      </c>
      <c r="D3765" s="2">
        <f t="shared" si="232"/>
        <v>2026</v>
      </c>
      <c r="E3765" s="2" t="str">
        <f t="shared" si="233"/>
        <v>2026-5</v>
      </c>
      <c r="F3765" s="2" t="str">
        <f t="shared" si="234"/>
        <v>Week 5</v>
      </c>
      <c r="G3765" s="2" t="str">
        <f t="shared" si="235"/>
        <v>Week 5-2026</v>
      </c>
      <c r="O3765"/>
      <c r="Q3765"/>
    </row>
    <row r="3766" spans="1:17" hidden="1" x14ac:dyDescent="0.2">
      <c r="A3766" s="3">
        <v>46050</v>
      </c>
      <c r="B3766" s="2" t="s">
        <v>6</v>
      </c>
      <c r="C3766" s="2">
        <v>7</v>
      </c>
      <c r="D3766" s="2">
        <f t="shared" si="232"/>
        <v>2026</v>
      </c>
      <c r="E3766" s="2" t="str">
        <f t="shared" si="233"/>
        <v>2026-5</v>
      </c>
      <c r="F3766" s="2" t="str">
        <f t="shared" si="234"/>
        <v>Week 5</v>
      </c>
      <c r="G3766" s="2" t="str">
        <f t="shared" si="235"/>
        <v>Week 5-2026</v>
      </c>
      <c r="O3766"/>
      <c r="Q3766"/>
    </row>
    <row r="3767" spans="1:17" hidden="1" x14ac:dyDescent="0.2">
      <c r="A3767" s="3">
        <v>46050</v>
      </c>
      <c r="B3767" s="2" t="s">
        <v>29</v>
      </c>
      <c r="C3767" s="2">
        <v>10</v>
      </c>
      <c r="D3767" s="2">
        <f t="shared" si="232"/>
        <v>2026</v>
      </c>
      <c r="E3767" s="2" t="str">
        <f t="shared" si="233"/>
        <v>2026-5</v>
      </c>
      <c r="F3767" s="2" t="str">
        <f t="shared" si="234"/>
        <v>Week 5</v>
      </c>
      <c r="G3767" s="2" t="str">
        <f t="shared" si="235"/>
        <v>Week 5-2026</v>
      </c>
      <c r="O3767"/>
      <c r="Q3767"/>
    </row>
    <row r="3768" spans="1:17" hidden="1" x14ac:dyDescent="0.2">
      <c r="A3768" s="3">
        <v>46050</v>
      </c>
      <c r="B3768" s="2" t="s">
        <v>5</v>
      </c>
      <c r="C3768" s="2">
        <v>12</v>
      </c>
      <c r="D3768" s="2">
        <f t="shared" si="232"/>
        <v>2026</v>
      </c>
      <c r="E3768" s="2" t="str">
        <f t="shared" si="233"/>
        <v>2026-5</v>
      </c>
      <c r="F3768" s="2" t="str">
        <f t="shared" si="234"/>
        <v>Week 5</v>
      </c>
      <c r="G3768" s="2" t="str">
        <f t="shared" si="235"/>
        <v>Week 5-2026</v>
      </c>
      <c r="O3768"/>
      <c r="Q3768"/>
    </row>
    <row r="3769" spans="1:17" hidden="1" x14ac:dyDescent="0.2">
      <c r="A3769" s="3">
        <v>46050</v>
      </c>
      <c r="B3769" s="2" t="s">
        <v>9</v>
      </c>
      <c r="C3769" s="2">
        <v>8</v>
      </c>
      <c r="D3769" s="2">
        <f t="shared" si="232"/>
        <v>2026</v>
      </c>
      <c r="E3769" s="2" t="str">
        <f t="shared" si="233"/>
        <v>2026-5</v>
      </c>
      <c r="F3769" s="2" t="str">
        <f t="shared" si="234"/>
        <v>Week 5</v>
      </c>
      <c r="G3769" s="2" t="str">
        <f t="shared" si="235"/>
        <v>Week 5-2026</v>
      </c>
      <c r="O3769"/>
      <c r="Q3769"/>
    </row>
    <row r="3770" spans="1:17" hidden="1" x14ac:dyDescent="0.2">
      <c r="A3770" s="3">
        <v>46050</v>
      </c>
      <c r="B3770" s="2" t="s">
        <v>19</v>
      </c>
      <c r="C3770" s="2">
        <v>6</v>
      </c>
      <c r="D3770" s="2">
        <f t="shared" si="232"/>
        <v>2026</v>
      </c>
      <c r="E3770" s="2" t="str">
        <f t="shared" si="233"/>
        <v>2026-5</v>
      </c>
      <c r="F3770" s="2" t="str">
        <f t="shared" si="234"/>
        <v>Week 5</v>
      </c>
      <c r="G3770" s="2" t="str">
        <f t="shared" si="235"/>
        <v>Week 5-2026</v>
      </c>
      <c r="O3770"/>
      <c r="Q3770"/>
    </row>
    <row r="3771" spans="1:17" hidden="1" x14ac:dyDescent="0.2">
      <c r="A3771" s="3">
        <v>46050</v>
      </c>
      <c r="B3771" s="2" t="s">
        <v>19</v>
      </c>
      <c r="C3771" s="2">
        <v>6</v>
      </c>
      <c r="D3771" s="2">
        <f t="shared" si="232"/>
        <v>2026</v>
      </c>
      <c r="E3771" s="2" t="str">
        <f t="shared" si="233"/>
        <v>2026-5</v>
      </c>
      <c r="F3771" s="2" t="str">
        <f t="shared" si="234"/>
        <v>Week 5</v>
      </c>
      <c r="G3771" s="2" t="str">
        <f t="shared" si="235"/>
        <v>Week 5-2026</v>
      </c>
      <c r="O3771"/>
      <c r="Q3771"/>
    </row>
    <row r="3772" spans="1:17" hidden="1" x14ac:dyDescent="0.2">
      <c r="A3772" s="3">
        <v>46050</v>
      </c>
      <c r="B3772" s="2" t="s">
        <v>3</v>
      </c>
      <c r="C3772" s="2">
        <v>8</v>
      </c>
      <c r="D3772" s="2">
        <f t="shared" si="232"/>
        <v>2026</v>
      </c>
      <c r="E3772" s="2" t="str">
        <f t="shared" si="233"/>
        <v>2026-5</v>
      </c>
      <c r="F3772" s="2" t="str">
        <f t="shared" si="234"/>
        <v>Week 5</v>
      </c>
      <c r="G3772" s="2" t="str">
        <f t="shared" si="235"/>
        <v>Week 5-2026</v>
      </c>
      <c r="O3772"/>
      <c r="Q3772"/>
    </row>
    <row r="3773" spans="1:17" hidden="1" x14ac:dyDescent="0.2">
      <c r="A3773" s="3">
        <v>46050</v>
      </c>
      <c r="B3773" s="2" t="s">
        <v>7</v>
      </c>
      <c r="C3773" s="2">
        <v>6</v>
      </c>
      <c r="D3773" s="2">
        <f t="shared" si="232"/>
        <v>2026</v>
      </c>
      <c r="E3773" s="2" t="str">
        <f t="shared" si="233"/>
        <v>2026-5</v>
      </c>
      <c r="F3773" s="2" t="str">
        <f t="shared" si="234"/>
        <v>Week 5</v>
      </c>
      <c r="G3773" s="2" t="str">
        <f t="shared" si="235"/>
        <v>Week 5-2026</v>
      </c>
      <c r="O3773"/>
      <c r="Q3773"/>
    </row>
    <row r="3774" spans="1:17" hidden="1" x14ac:dyDescent="0.2">
      <c r="A3774" s="3">
        <v>46050</v>
      </c>
      <c r="B3774" s="2" t="s">
        <v>13</v>
      </c>
      <c r="C3774" s="2">
        <v>8</v>
      </c>
      <c r="D3774" s="2">
        <f t="shared" si="232"/>
        <v>2026</v>
      </c>
      <c r="E3774" s="2" t="str">
        <f t="shared" si="233"/>
        <v>2026-5</v>
      </c>
      <c r="F3774" s="2" t="str">
        <f t="shared" si="234"/>
        <v>Week 5</v>
      </c>
      <c r="G3774" s="2" t="str">
        <f t="shared" si="235"/>
        <v>Week 5-2026</v>
      </c>
      <c r="O3774"/>
      <c r="Q3774"/>
    </row>
    <row r="3775" spans="1:17" hidden="1" x14ac:dyDescent="0.2">
      <c r="A3775" s="3">
        <v>46050</v>
      </c>
      <c r="B3775" s="2" t="s">
        <v>17</v>
      </c>
      <c r="C3775" s="2">
        <v>8</v>
      </c>
      <c r="D3775" s="2">
        <f t="shared" si="232"/>
        <v>2026</v>
      </c>
      <c r="E3775" s="2" t="str">
        <f t="shared" si="233"/>
        <v>2026-5</v>
      </c>
      <c r="F3775" s="2" t="str">
        <f t="shared" si="234"/>
        <v>Week 5</v>
      </c>
      <c r="G3775" s="2" t="str">
        <f t="shared" si="235"/>
        <v>Week 5-2026</v>
      </c>
      <c r="O3775"/>
      <c r="Q3775"/>
    </row>
    <row r="3776" spans="1:17" hidden="1" x14ac:dyDescent="0.2">
      <c r="A3776" s="3">
        <v>46050</v>
      </c>
      <c r="B3776" s="2" t="s">
        <v>18</v>
      </c>
      <c r="C3776" s="2">
        <v>4</v>
      </c>
      <c r="D3776" s="2">
        <f t="shared" si="232"/>
        <v>2026</v>
      </c>
      <c r="E3776" s="2" t="str">
        <f t="shared" si="233"/>
        <v>2026-5</v>
      </c>
      <c r="F3776" s="2" t="str">
        <f t="shared" si="234"/>
        <v>Week 5</v>
      </c>
      <c r="G3776" s="2" t="str">
        <f t="shared" si="235"/>
        <v>Week 5-2026</v>
      </c>
      <c r="O3776"/>
      <c r="Q3776"/>
    </row>
    <row r="3777" spans="1:17" hidden="1" x14ac:dyDescent="0.2">
      <c r="A3777" s="3">
        <v>46050</v>
      </c>
      <c r="B3777" s="2" t="s">
        <v>37</v>
      </c>
      <c r="C3777" s="2">
        <v>8</v>
      </c>
      <c r="D3777" s="2">
        <f t="shared" si="232"/>
        <v>2026</v>
      </c>
      <c r="E3777" s="2" t="str">
        <f t="shared" si="233"/>
        <v>2026-5</v>
      </c>
      <c r="F3777" s="2" t="str">
        <f t="shared" si="234"/>
        <v>Week 5</v>
      </c>
      <c r="G3777" s="2" t="str">
        <f t="shared" si="235"/>
        <v>Week 5-2026</v>
      </c>
      <c r="O3777"/>
      <c r="Q3777"/>
    </row>
    <row r="3778" spans="1:17" hidden="1" x14ac:dyDescent="0.2">
      <c r="A3778" s="3">
        <v>46050</v>
      </c>
      <c r="B3778" s="2" t="s">
        <v>19</v>
      </c>
      <c r="C3778" s="2">
        <v>4</v>
      </c>
      <c r="D3778" s="2">
        <f t="shared" ref="D3778:D3841" si="236">YEAR(A3778)</f>
        <v>2026</v>
      </c>
      <c r="E3778" s="2" t="str">
        <f t="shared" ref="E3778:E3841" si="237">YEAR(A3778)&amp;"-"&amp;_xlfn.ISOWEEKNUM(A3778)</f>
        <v>2026-5</v>
      </c>
      <c r="F3778" s="2" t="str">
        <f t="shared" ref="F3778:F3841" si="238">_xlfn.CONCAT("Week "&amp;WEEKNUM(A3778))</f>
        <v>Week 5</v>
      </c>
      <c r="G3778" s="2" t="str">
        <f t="shared" ref="G3778:G3841" si="239">_xlfn.CONCAT(F3778,"-",D3778)</f>
        <v>Week 5-2026</v>
      </c>
      <c r="O3778"/>
      <c r="Q3778"/>
    </row>
    <row r="3779" spans="1:17" hidden="1" x14ac:dyDescent="0.2">
      <c r="A3779" s="3">
        <v>46050</v>
      </c>
      <c r="B3779" s="2" t="s">
        <v>5</v>
      </c>
      <c r="C3779" s="2">
        <v>6</v>
      </c>
      <c r="D3779" s="2">
        <f t="shared" si="236"/>
        <v>2026</v>
      </c>
      <c r="E3779" s="2" t="str">
        <f t="shared" si="237"/>
        <v>2026-5</v>
      </c>
      <c r="F3779" s="2" t="str">
        <f t="shared" si="238"/>
        <v>Week 5</v>
      </c>
      <c r="G3779" s="2" t="str">
        <f t="shared" si="239"/>
        <v>Week 5-2026</v>
      </c>
      <c r="O3779"/>
      <c r="Q3779"/>
    </row>
    <row r="3780" spans="1:17" hidden="1" x14ac:dyDescent="0.2">
      <c r="A3780" s="3">
        <v>46050</v>
      </c>
      <c r="B3780" s="2" t="s">
        <v>34</v>
      </c>
      <c r="C3780" s="2">
        <v>8</v>
      </c>
      <c r="D3780" s="2">
        <f t="shared" si="236"/>
        <v>2026</v>
      </c>
      <c r="E3780" s="2" t="str">
        <f t="shared" si="237"/>
        <v>2026-5</v>
      </c>
      <c r="F3780" s="2" t="str">
        <f t="shared" si="238"/>
        <v>Week 5</v>
      </c>
      <c r="G3780" s="2" t="str">
        <f t="shared" si="239"/>
        <v>Week 5-2026</v>
      </c>
      <c r="O3780"/>
      <c r="Q3780"/>
    </row>
    <row r="3781" spans="1:17" hidden="1" x14ac:dyDescent="0.2">
      <c r="A3781" s="3">
        <v>46050</v>
      </c>
      <c r="B3781" s="2" t="s">
        <v>31</v>
      </c>
      <c r="C3781" s="2">
        <v>8</v>
      </c>
      <c r="D3781" s="2">
        <f t="shared" si="236"/>
        <v>2026</v>
      </c>
      <c r="E3781" s="2" t="str">
        <f t="shared" si="237"/>
        <v>2026-5</v>
      </c>
      <c r="F3781" s="2" t="str">
        <f t="shared" si="238"/>
        <v>Week 5</v>
      </c>
      <c r="G3781" s="2" t="str">
        <f t="shared" si="239"/>
        <v>Week 5-2026</v>
      </c>
      <c r="O3781"/>
      <c r="Q3781"/>
    </row>
    <row r="3782" spans="1:17" hidden="1" x14ac:dyDescent="0.2">
      <c r="A3782" s="3">
        <v>46050</v>
      </c>
      <c r="B3782" s="2" t="s">
        <v>8</v>
      </c>
      <c r="C3782" s="2">
        <v>8</v>
      </c>
      <c r="D3782" s="2">
        <f t="shared" si="236"/>
        <v>2026</v>
      </c>
      <c r="E3782" s="2" t="str">
        <f t="shared" si="237"/>
        <v>2026-5</v>
      </c>
      <c r="F3782" s="2" t="str">
        <f t="shared" si="238"/>
        <v>Week 5</v>
      </c>
      <c r="G3782" s="2" t="str">
        <f t="shared" si="239"/>
        <v>Week 5-2026</v>
      </c>
      <c r="O3782"/>
      <c r="Q3782"/>
    </row>
    <row r="3783" spans="1:17" hidden="1" x14ac:dyDescent="0.2">
      <c r="A3783" s="3">
        <v>46050</v>
      </c>
      <c r="B3783" s="2" t="s">
        <v>8</v>
      </c>
      <c r="C3783" s="2">
        <v>8</v>
      </c>
      <c r="D3783" s="2">
        <f t="shared" si="236"/>
        <v>2026</v>
      </c>
      <c r="E3783" s="2" t="str">
        <f t="shared" si="237"/>
        <v>2026-5</v>
      </c>
      <c r="F3783" s="2" t="str">
        <f t="shared" si="238"/>
        <v>Week 5</v>
      </c>
      <c r="G3783" s="2" t="str">
        <f t="shared" si="239"/>
        <v>Week 5-2026</v>
      </c>
      <c r="O3783"/>
      <c r="Q3783"/>
    </row>
    <row r="3784" spans="1:17" hidden="1" x14ac:dyDescent="0.2">
      <c r="A3784" s="3">
        <v>46050</v>
      </c>
      <c r="B3784" s="2" t="s">
        <v>9</v>
      </c>
      <c r="C3784" s="2">
        <v>4</v>
      </c>
      <c r="D3784" s="2">
        <f t="shared" si="236"/>
        <v>2026</v>
      </c>
      <c r="E3784" s="2" t="str">
        <f t="shared" si="237"/>
        <v>2026-5</v>
      </c>
      <c r="F3784" s="2" t="str">
        <f t="shared" si="238"/>
        <v>Week 5</v>
      </c>
      <c r="G3784" s="2" t="str">
        <f t="shared" si="239"/>
        <v>Week 5-2026</v>
      </c>
      <c r="O3784"/>
      <c r="Q3784"/>
    </row>
    <row r="3785" spans="1:17" hidden="1" x14ac:dyDescent="0.2">
      <c r="A3785" s="3">
        <v>46050</v>
      </c>
      <c r="B3785" s="2" t="s">
        <v>10</v>
      </c>
      <c r="C3785" s="2">
        <v>6</v>
      </c>
      <c r="D3785" s="2">
        <f t="shared" si="236"/>
        <v>2026</v>
      </c>
      <c r="E3785" s="2" t="str">
        <f t="shared" si="237"/>
        <v>2026-5</v>
      </c>
      <c r="F3785" s="2" t="str">
        <f t="shared" si="238"/>
        <v>Week 5</v>
      </c>
      <c r="G3785" s="2" t="str">
        <f t="shared" si="239"/>
        <v>Week 5-2026</v>
      </c>
      <c r="O3785"/>
      <c r="Q3785"/>
    </row>
    <row r="3786" spans="1:17" hidden="1" x14ac:dyDescent="0.2">
      <c r="A3786" s="3">
        <v>46050</v>
      </c>
      <c r="B3786" s="2" t="s">
        <v>46</v>
      </c>
      <c r="C3786" s="2">
        <v>8</v>
      </c>
      <c r="D3786" s="2">
        <f t="shared" si="236"/>
        <v>2026</v>
      </c>
      <c r="E3786" s="2" t="str">
        <f t="shared" si="237"/>
        <v>2026-5</v>
      </c>
      <c r="F3786" s="2" t="str">
        <f t="shared" si="238"/>
        <v>Week 5</v>
      </c>
      <c r="G3786" s="2" t="str">
        <f t="shared" si="239"/>
        <v>Week 5-2026</v>
      </c>
      <c r="O3786"/>
      <c r="Q3786"/>
    </row>
    <row r="3787" spans="1:17" hidden="1" x14ac:dyDescent="0.2">
      <c r="A3787" s="3">
        <v>46050</v>
      </c>
      <c r="B3787" s="2" t="s">
        <v>13</v>
      </c>
      <c r="C3787" s="2">
        <v>4</v>
      </c>
      <c r="D3787" s="2">
        <f t="shared" si="236"/>
        <v>2026</v>
      </c>
      <c r="E3787" s="2" t="str">
        <f t="shared" si="237"/>
        <v>2026-5</v>
      </c>
      <c r="F3787" s="2" t="str">
        <f t="shared" si="238"/>
        <v>Week 5</v>
      </c>
      <c r="G3787" s="2" t="str">
        <f t="shared" si="239"/>
        <v>Week 5-2026</v>
      </c>
      <c r="O3787"/>
      <c r="Q3787"/>
    </row>
    <row r="3788" spans="1:17" hidden="1" x14ac:dyDescent="0.2">
      <c r="A3788" s="3">
        <v>46050</v>
      </c>
      <c r="B3788" s="2" t="s">
        <v>38</v>
      </c>
      <c r="C3788" s="2">
        <v>6</v>
      </c>
      <c r="D3788" s="2">
        <f t="shared" si="236"/>
        <v>2026</v>
      </c>
      <c r="E3788" s="2" t="str">
        <f t="shared" si="237"/>
        <v>2026-5</v>
      </c>
      <c r="F3788" s="2" t="str">
        <f t="shared" si="238"/>
        <v>Week 5</v>
      </c>
      <c r="G3788" s="2" t="str">
        <f t="shared" si="239"/>
        <v>Week 5-2026</v>
      </c>
      <c r="O3788"/>
      <c r="Q3788"/>
    </row>
    <row r="3789" spans="1:17" hidden="1" x14ac:dyDescent="0.2">
      <c r="A3789" s="3">
        <v>46050</v>
      </c>
      <c r="B3789" s="2" t="s">
        <v>5</v>
      </c>
      <c r="C3789" s="2">
        <v>4</v>
      </c>
      <c r="D3789" s="2">
        <f t="shared" si="236"/>
        <v>2026</v>
      </c>
      <c r="E3789" s="2" t="str">
        <f t="shared" si="237"/>
        <v>2026-5</v>
      </c>
      <c r="F3789" s="2" t="str">
        <f t="shared" si="238"/>
        <v>Week 5</v>
      </c>
      <c r="G3789" s="2" t="str">
        <f t="shared" si="239"/>
        <v>Week 5-2026</v>
      </c>
      <c r="O3789"/>
      <c r="Q3789"/>
    </row>
    <row r="3790" spans="1:17" hidden="1" x14ac:dyDescent="0.2">
      <c r="A3790" s="3">
        <v>46050</v>
      </c>
      <c r="B3790" s="2" t="s">
        <v>5</v>
      </c>
      <c r="C3790" s="2">
        <v>4</v>
      </c>
      <c r="D3790" s="2">
        <f t="shared" si="236"/>
        <v>2026</v>
      </c>
      <c r="E3790" s="2" t="str">
        <f t="shared" si="237"/>
        <v>2026-5</v>
      </c>
      <c r="F3790" s="2" t="str">
        <f t="shared" si="238"/>
        <v>Week 5</v>
      </c>
      <c r="G3790" s="2" t="str">
        <f t="shared" si="239"/>
        <v>Week 5-2026</v>
      </c>
      <c r="O3790"/>
      <c r="Q3790"/>
    </row>
    <row r="3791" spans="1:17" hidden="1" x14ac:dyDescent="0.2">
      <c r="A3791" s="3">
        <v>46050</v>
      </c>
      <c r="B3791" s="2" t="s">
        <v>17</v>
      </c>
      <c r="C3791" s="2">
        <v>4</v>
      </c>
      <c r="D3791" s="2">
        <f t="shared" si="236"/>
        <v>2026</v>
      </c>
      <c r="E3791" s="2" t="str">
        <f t="shared" si="237"/>
        <v>2026-5</v>
      </c>
      <c r="F3791" s="2" t="str">
        <f t="shared" si="238"/>
        <v>Week 5</v>
      </c>
      <c r="G3791" s="2" t="str">
        <f t="shared" si="239"/>
        <v>Week 5-2026</v>
      </c>
      <c r="O3791"/>
      <c r="Q3791"/>
    </row>
    <row r="3792" spans="1:17" hidden="1" x14ac:dyDescent="0.2">
      <c r="A3792" s="3">
        <v>46050</v>
      </c>
      <c r="B3792" s="2" t="s">
        <v>28</v>
      </c>
      <c r="C3792" s="2">
        <v>6</v>
      </c>
      <c r="D3792" s="2">
        <f t="shared" si="236"/>
        <v>2026</v>
      </c>
      <c r="E3792" s="2" t="str">
        <f t="shared" si="237"/>
        <v>2026-5</v>
      </c>
      <c r="F3792" s="2" t="str">
        <f t="shared" si="238"/>
        <v>Week 5</v>
      </c>
      <c r="G3792" s="2" t="str">
        <f t="shared" si="239"/>
        <v>Week 5-2026</v>
      </c>
      <c r="O3792"/>
      <c r="Q3792"/>
    </row>
    <row r="3793" spans="1:17" hidden="1" x14ac:dyDescent="0.2">
      <c r="A3793" s="3">
        <v>46050</v>
      </c>
      <c r="B3793" s="2" t="s">
        <v>6</v>
      </c>
      <c r="C3793" s="2">
        <v>2</v>
      </c>
      <c r="D3793" s="2">
        <f t="shared" si="236"/>
        <v>2026</v>
      </c>
      <c r="E3793" s="2" t="str">
        <f t="shared" si="237"/>
        <v>2026-5</v>
      </c>
      <c r="F3793" s="2" t="str">
        <f t="shared" si="238"/>
        <v>Week 5</v>
      </c>
      <c r="G3793" s="2" t="str">
        <f t="shared" si="239"/>
        <v>Week 5-2026</v>
      </c>
      <c r="O3793"/>
      <c r="Q3793"/>
    </row>
    <row r="3794" spans="1:17" hidden="1" x14ac:dyDescent="0.2">
      <c r="A3794" s="3">
        <v>46050</v>
      </c>
      <c r="B3794" s="2" t="s">
        <v>19</v>
      </c>
      <c r="C3794" s="2">
        <v>2</v>
      </c>
      <c r="D3794" s="2">
        <f t="shared" si="236"/>
        <v>2026</v>
      </c>
      <c r="E3794" s="2" t="str">
        <f t="shared" si="237"/>
        <v>2026-5</v>
      </c>
      <c r="F3794" s="2" t="str">
        <f t="shared" si="238"/>
        <v>Week 5</v>
      </c>
      <c r="G3794" s="2" t="str">
        <f t="shared" si="239"/>
        <v>Week 5-2026</v>
      </c>
      <c r="O3794"/>
      <c r="Q3794"/>
    </row>
    <row r="3795" spans="1:17" hidden="1" x14ac:dyDescent="0.2">
      <c r="A3795" s="3">
        <v>46050</v>
      </c>
      <c r="B3795" s="2" t="s">
        <v>7</v>
      </c>
      <c r="C3795" s="2">
        <v>2</v>
      </c>
      <c r="D3795" s="2">
        <f t="shared" si="236"/>
        <v>2026</v>
      </c>
      <c r="E3795" s="2" t="str">
        <f t="shared" si="237"/>
        <v>2026-5</v>
      </c>
      <c r="F3795" s="2" t="str">
        <f t="shared" si="238"/>
        <v>Week 5</v>
      </c>
      <c r="G3795" s="2" t="str">
        <f t="shared" si="239"/>
        <v>Week 5-2026</v>
      </c>
      <c r="O3795"/>
      <c r="Q3795"/>
    </row>
    <row r="3796" spans="1:17" hidden="1" x14ac:dyDescent="0.2">
      <c r="A3796" s="3">
        <v>46050</v>
      </c>
      <c r="B3796" s="2" t="s">
        <v>14</v>
      </c>
      <c r="C3796" s="2">
        <v>4</v>
      </c>
      <c r="D3796" s="2">
        <f t="shared" si="236"/>
        <v>2026</v>
      </c>
      <c r="E3796" s="2" t="str">
        <f t="shared" si="237"/>
        <v>2026-5</v>
      </c>
      <c r="F3796" s="2" t="str">
        <f t="shared" si="238"/>
        <v>Week 5</v>
      </c>
      <c r="G3796" s="2" t="str">
        <f t="shared" si="239"/>
        <v>Week 5-2026</v>
      </c>
      <c r="O3796"/>
      <c r="Q3796"/>
    </row>
    <row r="3797" spans="1:17" hidden="1" x14ac:dyDescent="0.2">
      <c r="A3797" s="3">
        <v>46050</v>
      </c>
      <c r="B3797" s="2" t="s">
        <v>14</v>
      </c>
      <c r="C3797" s="2">
        <v>4</v>
      </c>
      <c r="D3797" s="2">
        <f t="shared" si="236"/>
        <v>2026</v>
      </c>
      <c r="E3797" s="2" t="str">
        <f t="shared" si="237"/>
        <v>2026-5</v>
      </c>
      <c r="F3797" s="2" t="str">
        <f t="shared" si="238"/>
        <v>Week 5</v>
      </c>
      <c r="G3797" s="2" t="str">
        <f t="shared" si="239"/>
        <v>Week 5-2026</v>
      </c>
      <c r="O3797"/>
      <c r="Q3797"/>
    </row>
    <row r="3798" spans="1:17" hidden="1" x14ac:dyDescent="0.2">
      <c r="A3798" s="3">
        <v>46050</v>
      </c>
      <c r="B3798" s="2" t="s">
        <v>9</v>
      </c>
      <c r="C3798" s="2">
        <v>2</v>
      </c>
      <c r="D3798" s="2">
        <f t="shared" si="236"/>
        <v>2026</v>
      </c>
      <c r="E3798" s="2" t="str">
        <f t="shared" si="237"/>
        <v>2026-5</v>
      </c>
      <c r="F3798" s="2" t="str">
        <f t="shared" si="238"/>
        <v>Week 5</v>
      </c>
      <c r="G3798" s="2" t="str">
        <f t="shared" si="239"/>
        <v>Week 5-2026</v>
      </c>
      <c r="O3798"/>
      <c r="Q3798"/>
    </row>
    <row r="3799" spans="1:17" hidden="1" x14ac:dyDescent="0.2">
      <c r="A3799" s="3">
        <v>46050</v>
      </c>
      <c r="B3799" s="2" t="s">
        <v>9</v>
      </c>
      <c r="C3799" s="2">
        <v>2</v>
      </c>
      <c r="D3799" s="2">
        <f t="shared" si="236"/>
        <v>2026</v>
      </c>
      <c r="E3799" s="2" t="str">
        <f t="shared" si="237"/>
        <v>2026-5</v>
      </c>
      <c r="F3799" s="2" t="str">
        <f t="shared" si="238"/>
        <v>Week 5</v>
      </c>
      <c r="G3799" s="2" t="str">
        <f t="shared" si="239"/>
        <v>Week 5-2026</v>
      </c>
      <c r="O3799"/>
      <c r="Q3799"/>
    </row>
    <row r="3800" spans="1:17" hidden="1" x14ac:dyDescent="0.2">
      <c r="A3800" s="3">
        <v>46050</v>
      </c>
      <c r="B3800" s="2" t="s">
        <v>35</v>
      </c>
      <c r="C3800" s="2">
        <v>4</v>
      </c>
      <c r="D3800" s="2">
        <f t="shared" si="236"/>
        <v>2026</v>
      </c>
      <c r="E3800" s="2" t="str">
        <f t="shared" si="237"/>
        <v>2026-5</v>
      </c>
      <c r="F3800" s="2" t="str">
        <f t="shared" si="238"/>
        <v>Week 5</v>
      </c>
      <c r="G3800" s="2" t="str">
        <f t="shared" si="239"/>
        <v>Week 5-2026</v>
      </c>
      <c r="O3800"/>
      <c r="Q3800"/>
    </row>
    <row r="3801" spans="1:17" hidden="1" x14ac:dyDescent="0.2">
      <c r="A3801" s="3">
        <v>46050</v>
      </c>
      <c r="B3801" s="2" t="s">
        <v>35</v>
      </c>
      <c r="C3801" s="2">
        <v>4</v>
      </c>
      <c r="D3801" s="2">
        <f t="shared" si="236"/>
        <v>2026</v>
      </c>
      <c r="E3801" s="2" t="str">
        <f t="shared" si="237"/>
        <v>2026-5</v>
      </c>
      <c r="F3801" s="2" t="str">
        <f t="shared" si="238"/>
        <v>Week 5</v>
      </c>
      <c r="G3801" s="2" t="str">
        <f t="shared" si="239"/>
        <v>Week 5-2026</v>
      </c>
      <c r="O3801"/>
      <c r="Q3801"/>
    </row>
    <row r="3802" spans="1:17" hidden="1" x14ac:dyDescent="0.2">
      <c r="A3802" s="3">
        <v>46050</v>
      </c>
      <c r="B3802" s="2" t="s">
        <v>28</v>
      </c>
      <c r="C3802" s="2">
        <v>4</v>
      </c>
      <c r="D3802" s="2">
        <f t="shared" si="236"/>
        <v>2026</v>
      </c>
      <c r="E3802" s="2" t="str">
        <f t="shared" si="237"/>
        <v>2026-5</v>
      </c>
      <c r="F3802" s="2" t="str">
        <f t="shared" si="238"/>
        <v>Week 5</v>
      </c>
      <c r="G3802" s="2" t="str">
        <f t="shared" si="239"/>
        <v>Week 5-2026</v>
      </c>
      <c r="O3802"/>
      <c r="Q3802"/>
    </row>
    <row r="3803" spans="1:17" hidden="1" x14ac:dyDescent="0.2">
      <c r="A3803" s="3">
        <v>46050</v>
      </c>
      <c r="B3803" s="2" t="s">
        <v>29</v>
      </c>
      <c r="C3803" s="2">
        <v>2</v>
      </c>
      <c r="D3803" s="2">
        <f t="shared" si="236"/>
        <v>2026</v>
      </c>
      <c r="E3803" s="2" t="str">
        <f t="shared" si="237"/>
        <v>2026-5</v>
      </c>
      <c r="F3803" s="2" t="str">
        <f t="shared" si="238"/>
        <v>Week 5</v>
      </c>
      <c r="G3803" s="2" t="str">
        <f t="shared" si="239"/>
        <v>Week 5-2026</v>
      </c>
      <c r="O3803"/>
      <c r="Q3803"/>
    </row>
    <row r="3804" spans="1:17" hidden="1" x14ac:dyDescent="0.2">
      <c r="A3804" s="3">
        <v>46050</v>
      </c>
      <c r="B3804" s="2" t="s">
        <v>36</v>
      </c>
      <c r="C3804" s="2">
        <v>4</v>
      </c>
      <c r="D3804" s="2">
        <f t="shared" si="236"/>
        <v>2026</v>
      </c>
      <c r="E3804" s="2" t="str">
        <f t="shared" si="237"/>
        <v>2026-5</v>
      </c>
      <c r="F3804" s="2" t="str">
        <f t="shared" si="238"/>
        <v>Week 5</v>
      </c>
      <c r="G3804" s="2" t="str">
        <f t="shared" si="239"/>
        <v>Week 5-2026</v>
      </c>
      <c r="O3804"/>
      <c r="Q3804"/>
    </row>
    <row r="3805" spans="1:17" hidden="1" x14ac:dyDescent="0.2">
      <c r="A3805" s="3">
        <v>46050</v>
      </c>
      <c r="B3805" s="2" t="s">
        <v>9</v>
      </c>
      <c r="C3805" s="2">
        <v>1</v>
      </c>
      <c r="D3805" s="2">
        <f t="shared" si="236"/>
        <v>2026</v>
      </c>
      <c r="E3805" s="2" t="str">
        <f t="shared" si="237"/>
        <v>2026-5</v>
      </c>
      <c r="F3805" s="2" t="str">
        <f t="shared" si="238"/>
        <v>Week 5</v>
      </c>
      <c r="G3805" s="2" t="str">
        <f t="shared" si="239"/>
        <v>Week 5-2026</v>
      </c>
      <c r="O3805"/>
      <c r="Q3805"/>
    </row>
    <row r="3806" spans="1:17" hidden="1" x14ac:dyDescent="0.2">
      <c r="A3806" s="3">
        <v>46050</v>
      </c>
      <c r="B3806" s="2" t="s">
        <v>28</v>
      </c>
      <c r="C3806" s="2">
        <v>2</v>
      </c>
      <c r="D3806" s="2">
        <f t="shared" si="236"/>
        <v>2026</v>
      </c>
      <c r="E3806" s="2" t="str">
        <f t="shared" si="237"/>
        <v>2026-5</v>
      </c>
      <c r="F3806" s="2" t="str">
        <f t="shared" si="238"/>
        <v>Week 5</v>
      </c>
      <c r="G3806" s="2" t="str">
        <f t="shared" si="239"/>
        <v>Week 5-2026</v>
      </c>
      <c r="O3806"/>
      <c r="Q3806"/>
    </row>
    <row r="3807" spans="1:17" hidden="1" x14ac:dyDescent="0.2">
      <c r="A3807" s="3">
        <v>46050</v>
      </c>
      <c r="B3807" s="2" t="s">
        <v>30</v>
      </c>
      <c r="C3807" s="2">
        <v>2</v>
      </c>
      <c r="D3807" s="2">
        <f t="shared" si="236"/>
        <v>2026</v>
      </c>
      <c r="E3807" s="2" t="str">
        <f t="shared" si="237"/>
        <v>2026-5</v>
      </c>
      <c r="F3807" s="2" t="str">
        <f t="shared" si="238"/>
        <v>Week 5</v>
      </c>
      <c r="G3807" s="2" t="str">
        <f t="shared" si="239"/>
        <v>Week 5-2026</v>
      </c>
      <c r="O3807"/>
      <c r="Q3807"/>
    </row>
    <row r="3808" spans="1:17" hidden="1" x14ac:dyDescent="0.2">
      <c r="A3808" s="3">
        <v>46050</v>
      </c>
      <c r="B3808" s="2" t="s">
        <v>30</v>
      </c>
      <c r="C3808" s="2">
        <v>2</v>
      </c>
      <c r="D3808" s="2">
        <f t="shared" si="236"/>
        <v>2026</v>
      </c>
      <c r="E3808" s="2" t="str">
        <f t="shared" si="237"/>
        <v>2026-5</v>
      </c>
      <c r="F3808" s="2" t="str">
        <f t="shared" si="238"/>
        <v>Week 5</v>
      </c>
      <c r="G3808" s="2" t="str">
        <f t="shared" si="239"/>
        <v>Week 5-2026</v>
      </c>
      <c r="O3808"/>
      <c r="Q3808"/>
    </row>
    <row r="3809" spans="1:17" hidden="1" x14ac:dyDescent="0.2">
      <c r="A3809" s="3">
        <v>46051</v>
      </c>
      <c r="B3809" s="2" t="s">
        <v>12</v>
      </c>
      <c r="C3809" s="2">
        <v>8</v>
      </c>
      <c r="D3809" s="2">
        <f t="shared" si="236"/>
        <v>2026</v>
      </c>
      <c r="E3809" s="2" t="str">
        <f t="shared" si="237"/>
        <v>2026-5</v>
      </c>
      <c r="F3809" s="2" t="str">
        <f t="shared" si="238"/>
        <v>Week 5</v>
      </c>
      <c r="G3809" s="2" t="str">
        <f t="shared" si="239"/>
        <v>Week 5-2026</v>
      </c>
      <c r="O3809"/>
      <c r="Q3809"/>
    </row>
    <row r="3810" spans="1:17" hidden="1" x14ac:dyDescent="0.2">
      <c r="A3810" s="3">
        <v>46051</v>
      </c>
      <c r="B3810" s="2" t="s">
        <v>29</v>
      </c>
      <c r="C3810" s="2">
        <v>9</v>
      </c>
      <c r="D3810" s="2">
        <f t="shared" si="236"/>
        <v>2026</v>
      </c>
      <c r="E3810" s="2" t="str">
        <f t="shared" si="237"/>
        <v>2026-5</v>
      </c>
      <c r="F3810" s="2" t="str">
        <f t="shared" si="238"/>
        <v>Week 5</v>
      </c>
      <c r="G3810" s="2" t="str">
        <f t="shared" si="239"/>
        <v>Week 5-2026</v>
      </c>
      <c r="O3810"/>
      <c r="Q3810"/>
    </row>
    <row r="3811" spans="1:17" hidden="1" x14ac:dyDescent="0.2">
      <c r="A3811" s="3">
        <v>46051</v>
      </c>
      <c r="B3811" s="2" t="s">
        <v>17</v>
      </c>
      <c r="C3811" s="2">
        <v>6</v>
      </c>
      <c r="D3811" s="2">
        <f t="shared" si="236"/>
        <v>2026</v>
      </c>
      <c r="E3811" s="2" t="str">
        <f t="shared" si="237"/>
        <v>2026-5</v>
      </c>
      <c r="F3811" s="2" t="str">
        <f t="shared" si="238"/>
        <v>Week 5</v>
      </c>
      <c r="G3811" s="2" t="str">
        <f t="shared" si="239"/>
        <v>Week 5-2026</v>
      </c>
      <c r="O3811"/>
      <c r="Q3811"/>
    </row>
    <row r="3812" spans="1:17" hidden="1" x14ac:dyDescent="0.2">
      <c r="A3812" s="3">
        <v>46051</v>
      </c>
      <c r="B3812" s="2" t="s">
        <v>5</v>
      </c>
      <c r="C3812" s="2">
        <v>4</v>
      </c>
      <c r="D3812" s="2">
        <f t="shared" si="236"/>
        <v>2026</v>
      </c>
      <c r="E3812" s="2" t="str">
        <f t="shared" si="237"/>
        <v>2026-5</v>
      </c>
      <c r="F3812" s="2" t="str">
        <f t="shared" si="238"/>
        <v>Week 5</v>
      </c>
      <c r="G3812" s="2" t="str">
        <f t="shared" si="239"/>
        <v>Week 5-2026</v>
      </c>
      <c r="O3812"/>
      <c r="Q3812"/>
    </row>
    <row r="3813" spans="1:17" hidden="1" x14ac:dyDescent="0.2">
      <c r="A3813" s="3">
        <v>46051</v>
      </c>
      <c r="B3813" s="2" t="s">
        <v>29</v>
      </c>
      <c r="C3813" s="2">
        <v>1</v>
      </c>
      <c r="D3813" s="2">
        <f t="shared" si="236"/>
        <v>2026</v>
      </c>
      <c r="E3813" s="2" t="str">
        <f t="shared" si="237"/>
        <v>2026-5</v>
      </c>
      <c r="F3813" s="2" t="str">
        <f t="shared" si="238"/>
        <v>Week 5</v>
      </c>
      <c r="G3813" s="2" t="str">
        <f t="shared" si="239"/>
        <v>Week 5-2026</v>
      </c>
      <c r="O3813"/>
      <c r="Q3813"/>
    </row>
    <row r="3814" spans="1:17" hidden="1" x14ac:dyDescent="0.2">
      <c r="A3814" s="3">
        <v>46052</v>
      </c>
      <c r="B3814" s="2" t="s">
        <v>5</v>
      </c>
      <c r="C3814" s="2">
        <v>48</v>
      </c>
      <c r="D3814" s="2">
        <f t="shared" si="236"/>
        <v>2026</v>
      </c>
      <c r="E3814" s="2" t="str">
        <f t="shared" si="237"/>
        <v>2026-5</v>
      </c>
      <c r="F3814" s="2" t="str">
        <f t="shared" si="238"/>
        <v>Week 5</v>
      </c>
      <c r="G3814" s="2" t="str">
        <f t="shared" si="239"/>
        <v>Week 5-2026</v>
      </c>
      <c r="O3814"/>
      <c r="Q3814"/>
    </row>
    <row r="3815" spans="1:17" hidden="1" x14ac:dyDescent="0.2">
      <c r="A3815" s="3">
        <v>46052</v>
      </c>
      <c r="B3815" s="2" t="s">
        <v>4</v>
      </c>
      <c r="C3815" s="2">
        <v>32</v>
      </c>
      <c r="D3815" s="2">
        <f t="shared" si="236"/>
        <v>2026</v>
      </c>
      <c r="E3815" s="2" t="str">
        <f t="shared" si="237"/>
        <v>2026-5</v>
      </c>
      <c r="F3815" s="2" t="str">
        <f t="shared" si="238"/>
        <v>Week 5</v>
      </c>
      <c r="G3815" s="2" t="str">
        <f t="shared" si="239"/>
        <v>Week 5-2026</v>
      </c>
      <c r="O3815"/>
      <c r="Q3815"/>
    </row>
    <row r="3816" spans="1:17" hidden="1" x14ac:dyDescent="0.2">
      <c r="A3816" s="3">
        <v>46052</v>
      </c>
      <c r="B3816" s="2" t="s">
        <v>5</v>
      </c>
      <c r="C3816" s="2">
        <v>22</v>
      </c>
      <c r="D3816" s="2">
        <f t="shared" si="236"/>
        <v>2026</v>
      </c>
      <c r="E3816" s="2" t="str">
        <f t="shared" si="237"/>
        <v>2026-5</v>
      </c>
      <c r="F3816" s="2" t="str">
        <f t="shared" si="238"/>
        <v>Week 5</v>
      </c>
      <c r="G3816" s="2" t="str">
        <f t="shared" si="239"/>
        <v>Week 5-2026</v>
      </c>
      <c r="O3816"/>
      <c r="Q3816"/>
    </row>
    <row r="3817" spans="1:17" hidden="1" x14ac:dyDescent="0.2">
      <c r="A3817" s="3">
        <v>46052</v>
      </c>
      <c r="B3817" s="2" t="s">
        <v>9</v>
      </c>
      <c r="C3817" s="2">
        <v>14</v>
      </c>
      <c r="D3817" s="2">
        <f t="shared" si="236"/>
        <v>2026</v>
      </c>
      <c r="E3817" s="2" t="str">
        <f t="shared" si="237"/>
        <v>2026-5</v>
      </c>
      <c r="F3817" s="2" t="str">
        <f t="shared" si="238"/>
        <v>Week 5</v>
      </c>
      <c r="G3817" s="2" t="str">
        <f t="shared" si="239"/>
        <v>Week 5-2026</v>
      </c>
      <c r="O3817"/>
      <c r="Q3817"/>
    </row>
    <row r="3818" spans="1:17" hidden="1" x14ac:dyDescent="0.2">
      <c r="A3818" s="3">
        <v>46052</v>
      </c>
      <c r="B3818" s="2" t="s">
        <v>14</v>
      </c>
      <c r="C3818" s="2">
        <v>12</v>
      </c>
      <c r="D3818" s="2">
        <f t="shared" si="236"/>
        <v>2026</v>
      </c>
      <c r="E3818" s="2" t="str">
        <f t="shared" si="237"/>
        <v>2026-5</v>
      </c>
      <c r="F3818" s="2" t="str">
        <f t="shared" si="238"/>
        <v>Week 5</v>
      </c>
      <c r="G3818" s="2" t="str">
        <f t="shared" si="239"/>
        <v>Week 5-2026</v>
      </c>
      <c r="O3818"/>
      <c r="Q3818"/>
    </row>
    <row r="3819" spans="1:17" hidden="1" x14ac:dyDescent="0.2">
      <c r="A3819" s="3">
        <v>46052</v>
      </c>
      <c r="B3819" s="2" t="s">
        <v>3</v>
      </c>
      <c r="C3819" s="2">
        <v>5</v>
      </c>
      <c r="D3819" s="2">
        <f t="shared" si="236"/>
        <v>2026</v>
      </c>
      <c r="E3819" s="2" t="str">
        <f t="shared" si="237"/>
        <v>2026-5</v>
      </c>
      <c r="F3819" s="2" t="str">
        <f t="shared" si="238"/>
        <v>Week 5</v>
      </c>
      <c r="G3819" s="2" t="str">
        <f t="shared" si="239"/>
        <v>Week 5-2026</v>
      </c>
      <c r="O3819"/>
      <c r="Q3819"/>
    </row>
    <row r="3820" spans="1:17" hidden="1" x14ac:dyDescent="0.2">
      <c r="A3820" s="3">
        <v>46052</v>
      </c>
      <c r="B3820" s="2" t="s">
        <v>3</v>
      </c>
      <c r="C3820" s="2">
        <v>3</v>
      </c>
      <c r="D3820" s="2">
        <f t="shared" si="236"/>
        <v>2026</v>
      </c>
      <c r="E3820" s="2" t="str">
        <f t="shared" si="237"/>
        <v>2026-5</v>
      </c>
      <c r="F3820" s="2" t="str">
        <f t="shared" si="238"/>
        <v>Week 5</v>
      </c>
      <c r="G3820" s="2" t="str">
        <f t="shared" si="239"/>
        <v>Week 5-2026</v>
      </c>
      <c r="O3820"/>
      <c r="Q3820"/>
    </row>
    <row r="3821" spans="1:17" hidden="1" x14ac:dyDescent="0.2">
      <c r="A3821" s="3">
        <v>46052</v>
      </c>
      <c r="B3821" s="2" t="s">
        <v>51</v>
      </c>
      <c r="C3821" s="2">
        <v>4</v>
      </c>
      <c r="D3821" s="2">
        <f t="shared" si="236"/>
        <v>2026</v>
      </c>
      <c r="E3821" s="2" t="str">
        <f t="shared" si="237"/>
        <v>2026-5</v>
      </c>
      <c r="F3821" s="2" t="str">
        <f t="shared" si="238"/>
        <v>Week 5</v>
      </c>
      <c r="G3821" s="2" t="str">
        <f t="shared" si="239"/>
        <v>Week 5-2026</v>
      </c>
      <c r="O3821"/>
      <c r="Q3821"/>
    </row>
    <row r="3822" spans="1:17" hidden="1" x14ac:dyDescent="0.2">
      <c r="A3822" s="3">
        <v>46053</v>
      </c>
      <c r="B3822" s="2" t="s">
        <v>5</v>
      </c>
      <c r="C3822" s="2">
        <v>49</v>
      </c>
      <c r="D3822" s="2">
        <f t="shared" si="236"/>
        <v>2026</v>
      </c>
      <c r="E3822" s="2" t="str">
        <f t="shared" si="237"/>
        <v>2026-5</v>
      </c>
      <c r="F3822" s="2" t="str">
        <f t="shared" si="238"/>
        <v>Week 5</v>
      </c>
      <c r="G3822" s="2" t="str">
        <f t="shared" si="239"/>
        <v>Week 5-2026</v>
      </c>
      <c r="O3822"/>
      <c r="Q3822"/>
    </row>
    <row r="3823" spans="1:17" hidden="1" x14ac:dyDescent="0.2">
      <c r="A3823" s="3">
        <v>46053</v>
      </c>
      <c r="B3823" s="2" t="s">
        <v>5</v>
      </c>
      <c r="C3823" s="2">
        <v>48</v>
      </c>
      <c r="D3823" s="2">
        <f t="shared" si="236"/>
        <v>2026</v>
      </c>
      <c r="E3823" s="2" t="str">
        <f t="shared" si="237"/>
        <v>2026-5</v>
      </c>
      <c r="F3823" s="2" t="str">
        <f t="shared" si="238"/>
        <v>Week 5</v>
      </c>
      <c r="G3823" s="2" t="str">
        <f t="shared" si="239"/>
        <v>Week 5-2026</v>
      </c>
      <c r="O3823"/>
      <c r="Q3823"/>
    </row>
    <row r="3824" spans="1:17" hidden="1" x14ac:dyDescent="0.2">
      <c r="A3824" s="3">
        <v>46053</v>
      </c>
      <c r="B3824" s="2" t="s">
        <v>3</v>
      </c>
      <c r="C3824" s="2">
        <v>26</v>
      </c>
      <c r="D3824" s="2">
        <f t="shared" si="236"/>
        <v>2026</v>
      </c>
      <c r="E3824" s="2" t="str">
        <f t="shared" si="237"/>
        <v>2026-5</v>
      </c>
      <c r="F3824" s="2" t="str">
        <f t="shared" si="238"/>
        <v>Week 5</v>
      </c>
      <c r="G3824" s="2" t="str">
        <f t="shared" si="239"/>
        <v>Week 5-2026</v>
      </c>
      <c r="O3824"/>
      <c r="Q3824"/>
    </row>
    <row r="3825" spans="1:17" hidden="1" x14ac:dyDescent="0.2">
      <c r="A3825" s="3">
        <v>46053</v>
      </c>
      <c r="B3825" s="2" t="s">
        <v>14</v>
      </c>
      <c r="C3825" s="2">
        <v>26</v>
      </c>
      <c r="D3825" s="2">
        <f t="shared" si="236"/>
        <v>2026</v>
      </c>
      <c r="E3825" s="2" t="str">
        <f t="shared" si="237"/>
        <v>2026-5</v>
      </c>
      <c r="F3825" s="2" t="str">
        <f t="shared" si="238"/>
        <v>Week 5</v>
      </c>
      <c r="G3825" s="2" t="str">
        <f t="shared" si="239"/>
        <v>Week 5-2026</v>
      </c>
      <c r="O3825"/>
      <c r="Q3825"/>
    </row>
    <row r="3826" spans="1:17" hidden="1" x14ac:dyDescent="0.2">
      <c r="A3826" s="3">
        <v>46053</v>
      </c>
      <c r="B3826" s="2" t="s">
        <v>5</v>
      </c>
      <c r="C3826" s="2">
        <v>12</v>
      </c>
      <c r="D3826" s="2">
        <f t="shared" si="236"/>
        <v>2026</v>
      </c>
      <c r="E3826" s="2" t="str">
        <f t="shared" si="237"/>
        <v>2026-5</v>
      </c>
      <c r="F3826" s="2" t="str">
        <f t="shared" si="238"/>
        <v>Week 5</v>
      </c>
      <c r="G3826" s="2" t="str">
        <f t="shared" si="239"/>
        <v>Week 5-2026</v>
      </c>
      <c r="O3826"/>
      <c r="Q3826"/>
    </row>
    <row r="3827" spans="1:17" hidden="1" x14ac:dyDescent="0.2">
      <c r="A3827" s="3">
        <v>46053</v>
      </c>
      <c r="B3827" s="2" t="s">
        <v>4</v>
      </c>
      <c r="C3827" s="2">
        <v>8</v>
      </c>
      <c r="D3827" s="2">
        <f t="shared" si="236"/>
        <v>2026</v>
      </c>
      <c r="E3827" s="2" t="str">
        <f t="shared" si="237"/>
        <v>2026-5</v>
      </c>
      <c r="F3827" s="2" t="str">
        <f t="shared" si="238"/>
        <v>Week 5</v>
      </c>
      <c r="G3827" s="2" t="str">
        <f t="shared" si="239"/>
        <v>Week 5-2026</v>
      </c>
      <c r="O3827"/>
      <c r="Q3827"/>
    </row>
    <row r="3828" spans="1:17" hidden="1" x14ac:dyDescent="0.2">
      <c r="A3828" s="3">
        <v>46053</v>
      </c>
      <c r="B3828" s="2" t="s">
        <v>5</v>
      </c>
      <c r="C3828" s="2">
        <v>8</v>
      </c>
      <c r="D3828" s="2">
        <f t="shared" si="236"/>
        <v>2026</v>
      </c>
      <c r="E3828" s="2" t="str">
        <f t="shared" si="237"/>
        <v>2026-5</v>
      </c>
      <c r="F3828" s="2" t="str">
        <f t="shared" si="238"/>
        <v>Week 5</v>
      </c>
      <c r="G3828" s="2" t="str">
        <f t="shared" si="239"/>
        <v>Week 5-2026</v>
      </c>
      <c r="O3828"/>
      <c r="Q3828"/>
    </row>
    <row r="3829" spans="1:17" hidden="1" x14ac:dyDescent="0.2">
      <c r="A3829" s="3">
        <v>46053</v>
      </c>
      <c r="B3829" s="2" t="s">
        <v>14</v>
      </c>
      <c r="C3829" s="2">
        <v>10</v>
      </c>
      <c r="D3829" s="2">
        <f t="shared" si="236"/>
        <v>2026</v>
      </c>
      <c r="E3829" s="2" t="str">
        <f t="shared" si="237"/>
        <v>2026-5</v>
      </c>
      <c r="F3829" s="2" t="str">
        <f t="shared" si="238"/>
        <v>Week 5</v>
      </c>
      <c r="G3829" s="2" t="str">
        <f t="shared" si="239"/>
        <v>Week 5-2026</v>
      </c>
      <c r="O3829"/>
      <c r="Q3829"/>
    </row>
    <row r="3830" spans="1:17" hidden="1" x14ac:dyDescent="0.2">
      <c r="A3830" s="3">
        <v>46053</v>
      </c>
      <c r="B3830" s="2" t="s">
        <v>17</v>
      </c>
      <c r="C3830" s="2">
        <v>10</v>
      </c>
      <c r="D3830" s="2">
        <f t="shared" si="236"/>
        <v>2026</v>
      </c>
      <c r="E3830" s="2" t="str">
        <f t="shared" si="237"/>
        <v>2026-5</v>
      </c>
      <c r="F3830" s="2" t="str">
        <f t="shared" si="238"/>
        <v>Week 5</v>
      </c>
      <c r="G3830" s="2" t="str">
        <f t="shared" si="239"/>
        <v>Week 5-2026</v>
      </c>
      <c r="O3830"/>
      <c r="Q3830"/>
    </row>
    <row r="3831" spans="1:17" hidden="1" x14ac:dyDescent="0.2">
      <c r="A3831" s="3">
        <v>46053</v>
      </c>
      <c r="B3831" s="2" t="s">
        <v>9</v>
      </c>
      <c r="C3831" s="2">
        <v>7</v>
      </c>
      <c r="D3831" s="2">
        <f t="shared" si="236"/>
        <v>2026</v>
      </c>
      <c r="E3831" s="2" t="str">
        <f t="shared" si="237"/>
        <v>2026-5</v>
      </c>
      <c r="F3831" s="2" t="str">
        <f t="shared" si="238"/>
        <v>Week 5</v>
      </c>
      <c r="G3831" s="2" t="str">
        <f t="shared" si="239"/>
        <v>Week 5-2026</v>
      </c>
      <c r="O3831"/>
      <c r="Q3831"/>
    </row>
    <row r="3832" spans="1:17" hidden="1" x14ac:dyDescent="0.2">
      <c r="A3832" s="3">
        <v>46053</v>
      </c>
      <c r="B3832" s="2" t="s">
        <v>4</v>
      </c>
      <c r="C3832" s="2">
        <v>6</v>
      </c>
      <c r="D3832" s="2">
        <f t="shared" si="236"/>
        <v>2026</v>
      </c>
      <c r="E3832" s="2" t="str">
        <f t="shared" si="237"/>
        <v>2026-5</v>
      </c>
      <c r="F3832" s="2" t="str">
        <f t="shared" si="238"/>
        <v>Week 5</v>
      </c>
      <c r="G3832" s="2" t="str">
        <f t="shared" si="239"/>
        <v>Week 5-2026</v>
      </c>
      <c r="O3832"/>
      <c r="Q3832"/>
    </row>
    <row r="3833" spans="1:17" hidden="1" x14ac:dyDescent="0.2">
      <c r="A3833" s="3">
        <v>46053</v>
      </c>
      <c r="B3833" s="2" t="s">
        <v>14</v>
      </c>
      <c r="C3833" s="2">
        <v>8</v>
      </c>
      <c r="D3833" s="2">
        <f t="shared" si="236"/>
        <v>2026</v>
      </c>
      <c r="E3833" s="2" t="str">
        <f t="shared" si="237"/>
        <v>2026-5</v>
      </c>
      <c r="F3833" s="2" t="str">
        <f t="shared" si="238"/>
        <v>Week 5</v>
      </c>
      <c r="G3833" s="2" t="str">
        <f t="shared" si="239"/>
        <v>Week 5-2026</v>
      </c>
      <c r="O3833"/>
      <c r="Q3833"/>
    </row>
    <row r="3834" spans="1:17" hidden="1" x14ac:dyDescent="0.2">
      <c r="A3834" s="3">
        <v>46053</v>
      </c>
      <c r="B3834" s="2" t="s">
        <v>14</v>
      </c>
      <c r="C3834" s="2">
        <v>8</v>
      </c>
      <c r="D3834" s="2">
        <f t="shared" si="236"/>
        <v>2026</v>
      </c>
      <c r="E3834" s="2" t="str">
        <f t="shared" si="237"/>
        <v>2026-5</v>
      </c>
      <c r="F3834" s="2" t="str">
        <f t="shared" si="238"/>
        <v>Week 5</v>
      </c>
      <c r="G3834" s="2" t="str">
        <f t="shared" si="239"/>
        <v>Week 5-2026</v>
      </c>
      <c r="O3834"/>
      <c r="Q3834"/>
    </row>
    <row r="3835" spans="1:17" hidden="1" x14ac:dyDescent="0.2">
      <c r="A3835" s="3">
        <v>46053</v>
      </c>
      <c r="B3835" s="2" t="s">
        <v>27</v>
      </c>
      <c r="C3835" s="2">
        <v>8</v>
      </c>
      <c r="D3835" s="2">
        <f t="shared" si="236"/>
        <v>2026</v>
      </c>
      <c r="E3835" s="2" t="str">
        <f t="shared" si="237"/>
        <v>2026-5</v>
      </c>
      <c r="F3835" s="2" t="str">
        <f t="shared" si="238"/>
        <v>Week 5</v>
      </c>
      <c r="G3835" s="2" t="str">
        <f t="shared" si="239"/>
        <v>Week 5-2026</v>
      </c>
      <c r="O3835"/>
      <c r="Q3835"/>
    </row>
    <row r="3836" spans="1:17" hidden="1" x14ac:dyDescent="0.2">
      <c r="A3836" s="3">
        <v>46053</v>
      </c>
      <c r="B3836" s="2" t="s">
        <v>8</v>
      </c>
      <c r="C3836" s="2">
        <v>8</v>
      </c>
      <c r="D3836" s="2">
        <f t="shared" si="236"/>
        <v>2026</v>
      </c>
      <c r="E3836" s="2" t="str">
        <f t="shared" si="237"/>
        <v>2026-5</v>
      </c>
      <c r="F3836" s="2" t="str">
        <f t="shared" si="238"/>
        <v>Week 5</v>
      </c>
      <c r="G3836" s="2" t="str">
        <f t="shared" si="239"/>
        <v>Week 5-2026</v>
      </c>
      <c r="O3836"/>
      <c r="Q3836"/>
    </row>
    <row r="3837" spans="1:17" hidden="1" x14ac:dyDescent="0.2">
      <c r="A3837" s="3">
        <v>46053</v>
      </c>
      <c r="B3837" s="2" t="s">
        <v>17</v>
      </c>
      <c r="C3837" s="2">
        <v>4</v>
      </c>
      <c r="D3837" s="2">
        <f t="shared" si="236"/>
        <v>2026</v>
      </c>
      <c r="E3837" s="2" t="str">
        <f t="shared" si="237"/>
        <v>2026-5</v>
      </c>
      <c r="F3837" s="2" t="str">
        <f t="shared" si="238"/>
        <v>Week 5</v>
      </c>
      <c r="G3837" s="2" t="str">
        <f t="shared" si="239"/>
        <v>Week 5-2026</v>
      </c>
      <c r="O3837"/>
      <c r="Q3837"/>
    </row>
    <row r="3838" spans="1:17" hidden="1" x14ac:dyDescent="0.2">
      <c r="A3838" s="3">
        <v>46053</v>
      </c>
      <c r="B3838" s="2" t="s">
        <v>34</v>
      </c>
      <c r="C3838" s="2">
        <v>6</v>
      </c>
      <c r="D3838" s="2">
        <f t="shared" si="236"/>
        <v>2026</v>
      </c>
      <c r="E3838" s="2" t="str">
        <f t="shared" si="237"/>
        <v>2026-5</v>
      </c>
      <c r="F3838" s="2" t="str">
        <f t="shared" si="238"/>
        <v>Week 5</v>
      </c>
      <c r="G3838" s="2" t="str">
        <f t="shared" si="239"/>
        <v>Week 5-2026</v>
      </c>
      <c r="O3838"/>
      <c r="Q3838"/>
    </row>
    <row r="3839" spans="1:17" hidden="1" x14ac:dyDescent="0.2">
      <c r="A3839" s="3">
        <v>46053</v>
      </c>
      <c r="B3839" s="2" t="s">
        <v>6</v>
      </c>
      <c r="C3839" s="2">
        <v>2</v>
      </c>
      <c r="D3839" s="2">
        <f t="shared" si="236"/>
        <v>2026</v>
      </c>
      <c r="E3839" s="2" t="str">
        <f t="shared" si="237"/>
        <v>2026-5</v>
      </c>
      <c r="F3839" s="2" t="str">
        <f t="shared" si="238"/>
        <v>Week 5</v>
      </c>
      <c r="G3839" s="2" t="str">
        <f t="shared" si="239"/>
        <v>Week 5-2026</v>
      </c>
      <c r="O3839"/>
      <c r="Q3839"/>
    </row>
    <row r="3840" spans="1:17" hidden="1" x14ac:dyDescent="0.2">
      <c r="A3840" s="3">
        <v>46053</v>
      </c>
      <c r="B3840" s="2" t="s">
        <v>10</v>
      </c>
      <c r="C3840" s="2">
        <v>4</v>
      </c>
      <c r="D3840" s="2">
        <f t="shared" si="236"/>
        <v>2026</v>
      </c>
      <c r="E3840" s="2" t="str">
        <f t="shared" si="237"/>
        <v>2026-5</v>
      </c>
      <c r="F3840" s="2" t="str">
        <f t="shared" si="238"/>
        <v>Week 5</v>
      </c>
      <c r="G3840" s="2" t="str">
        <f t="shared" si="239"/>
        <v>Week 5-2026</v>
      </c>
      <c r="O3840"/>
      <c r="Q3840"/>
    </row>
    <row r="3841" spans="1:17" hidden="1" x14ac:dyDescent="0.2">
      <c r="A3841" s="3">
        <v>46053</v>
      </c>
      <c r="B3841" s="2" t="s">
        <v>14</v>
      </c>
      <c r="C3841" s="2">
        <v>4</v>
      </c>
      <c r="D3841" s="2">
        <f t="shared" si="236"/>
        <v>2026</v>
      </c>
      <c r="E3841" s="2" t="str">
        <f t="shared" si="237"/>
        <v>2026-5</v>
      </c>
      <c r="F3841" s="2" t="str">
        <f t="shared" si="238"/>
        <v>Week 5</v>
      </c>
      <c r="G3841" s="2" t="str">
        <f t="shared" si="239"/>
        <v>Week 5-2026</v>
      </c>
      <c r="O3841"/>
      <c r="Q3841"/>
    </row>
    <row r="3842" spans="1:17" hidden="1" x14ac:dyDescent="0.2">
      <c r="A3842" s="3">
        <v>46053</v>
      </c>
      <c r="B3842" s="2" t="s">
        <v>4</v>
      </c>
      <c r="C3842" s="2">
        <v>2</v>
      </c>
      <c r="D3842" s="2">
        <f t="shared" ref="D3842:D3905" si="240">YEAR(A3842)</f>
        <v>2026</v>
      </c>
      <c r="E3842" s="2" t="str">
        <f t="shared" ref="E3842:E3905" si="241">YEAR(A3842)&amp;"-"&amp;_xlfn.ISOWEEKNUM(A3842)</f>
        <v>2026-5</v>
      </c>
      <c r="F3842" s="2" t="str">
        <f t="shared" ref="F3842:F3905" si="242">_xlfn.CONCAT("Week "&amp;WEEKNUM(A3842))</f>
        <v>Week 5</v>
      </c>
      <c r="G3842" s="2" t="str">
        <f t="shared" ref="G3842:G3905" si="243">_xlfn.CONCAT(F3842,"-",D3842)</f>
        <v>Week 5-2026</v>
      </c>
      <c r="O3842"/>
      <c r="Q3842"/>
    </row>
    <row r="3843" spans="1:17" hidden="1" x14ac:dyDescent="0.2">
      <c r="A3843" s="3">
        <v>46053</v>
      </c>
      <c r="B3843" s="2" t="s">
        <v>9</v>
      </c>
      <c r="C3843" s="2">
        <v>2</v>
      </c>
      <c r="D3843" s="2">
        <f t="shared" si="240"/>
        <v>2026</v>
      </c>
      <c r="E3843" s="2" t="str">
        <f t="shared" si="241"/>
        <v>2026-5</v>
      </c>
      <c r="F3843" s="2" t="str">
        <f t="shared" si="242"/>
        <v>Week 5</v>
      </c>
      <c r="G3843" s="2" t="str">
        <f t="shared" si="243"/>
        <v>Week 5-2026</v>
      </c>
      <c r="O3843"/>
      <c r="Q3843"/>
    </row>
    <row r="3844" spans="1:17" hidden="1" x14ac:dyDescent="0.2">
      <c r="A3844" s="3">
        <v>46053</v>
      </c>
      <c r="B3844" s="2" t="s">
        <v>28</v>
      </c>
      <c r="C3844" s="2">
        <v>4</v>
      </c>
      <c r="D3844" s="2">
        <f t="shared" si="240"/>
        <v>2026</v>
      </c>
      <c r="E3844" s="2" t="str">
        <f t="shared" si="241"/>
        <v>2026-5</v>
      </c>
      <c r="F3844" s="2" t="str">
        <f t="shared" si="242"/>
        <v>Week 5</v>
      </c>
      <c r="G3844" s="2" t="str">
        <f t="shared" si="243"/>
        <v>Week 5-2026</v>
      </c>
      <c r="O3844"/>
      <c r="Q3844"/>
    </row>
    <row r="3845" spans="1:17" hidden="1" x14ac:dyDescent="0.2">
      <c r="A3845" s="3">
        <v>46053</v>
      </c>
      <c r="B3845" s="2" t="s">
        <v>15</v>
      </c>
      <c r="C3845" s="2">
        <v>4</v>
      </c>
      <c r="D3845" s="2">
        <f t="shared" si="240"/>
        <v>2026</v>
      </c>
      <c r="E3845" s="2" t="str">
        <f t="shared" si="241"/>
        <v>2026-5</v>
      </c>
      <c r="F3845" s="2" t="str">
        <f t="shared" si="242"/>
        <v>Week 5</v>
      </c>
      <c r="G3845" s="2" t="str">
        <f t="shared" si="243"/>
        <v>Week 5-2026</v>
      </c>
      <c r="O3845"/>
      <c r="Q3845"/>
    </row>
    <row r="3846" spans="1:17" hidden="1" x14ac:dyDescent="0.2">
      <c r="A3846" s="3">
        <v>46053</v>
      </c>
      <c r="B3846" s="2" t="s">
        <v>42</v>
      </c>
      <c r="C3846" s="2">
        <v>2</v>
      </c>
      <c r="D3846" s="2">
        <f t="shared" si="240"/>
        <v>2026</v>
      </c>
      <c r="E3846" s="2" t="str">
        <f t="shared" si="241"/>
        <v>2026-5</v>
      </c>
      <c r="F3846" s="2" t="str">
        <f t="shared" si="242"/>
        <v>Week 5</v>
      </c>
      <c r="G3846" s="2" t="str">
        <f t="shared" si="243"/>
        <v>Week 5-2026</v>
      </c>
      <c r="O3846"/>
      <c r="Q3846"/>
    </row>
    <row r="3847" spans="1:17" hidden="1" x14ac:dyDescent="0.2">
      <c r="A3847" s="3">
        <v>46055</v>
      </c>
      <c r="B3847" s="2" t="s">
        <v>5</v>
      </c>
      <c r="C3847" s="2">
        <v>39</v>
      </c>
      <c r="D3847" s="2">
        <f t="shared" si="240"/>
        <v>2026</v>
      </c>
      <c r="E3847" s="2" t="str">
        <f t="shared" si="241"/>
        <v>2026-6</v>
      </c>
      <c r="F3847" s="2" t="str">
        <f t="shared" si="242"/>
        <v>Week 6</v>
      </c>
      <c r="G3847" s="2" t="str">
        <f t="shared" si="243"/>
        <v>Week 6-2026</v>
      </c>
      <c r="O3847"/>
      <c r="Q3847"/>
    </row>
    <row r="3848" spans="1:17" hidden="1" x14ac:dyDescent="0.2">
      <c r="A3848" s="3">
        <v>46055</v>
      </c>
      <c r="B3848" s="2" t="s">
        <v>28</v>
      </c>
      <c r="C3848" s="2">
        <v>14</v>
      </c>
      <c r="D3848" s="2">
        <f t="shared" si="240"/>
        <v>2026</v>
      </c>
      <c r="E3848" s="2" t="str">
        <f t="shared" si="241"/>
        <v>2026-6</v>
      </c>
      <c r="F3848" s="2" t="str">
        <f t="shared" si="242"/>
        <v>Week 6</v>
      </c>
      <c r="G3848" s="2" t="str">
        <f t="shared" si="243"/>
        <v>Week 6-2026</v>
      </c>
      <c r="O3848"/>
      <c r="Q3848"/>
    </row>
    <row r="3849" spans="1:17" hidden="1" x14ac:dyDescent="0.2">
      <c r="A3849" s="3">
        <v>46055</v>
      </c>
      <c r="B3849" s="2" t="s">
        <v>27</v>
      </c>
      <c r="C3849" s="2">
        <v>15</v>
      </c>
      <c r="D3849" s="2">
        <f t="shared" si="240"/>
        <v>2026</v>
      </c>
      <c r="E3849" s="2" t="str">
        <f t="shared" si="241"/>
        <v>2026-6</v>
      </c>
      <c r="F3849" s="2" t="str">
        <f t="shared" si="242"/>
        <v>Week 6</v>
      </c>
      <c r="G3849" s="2" t="str">
        <f t="shared" si="243"/>
        <v>Week 6-2026</v>
      </c>
      <c r="O3849"/>
      <c r="Q3849"/>
    </row>
    <row r="3850" spans="1:17" hidden="1" x14ac:dyDescent="0.2">
      <c r="A3850" s="3">
        <v>46055</v>
      </c>
      <c r="B3850" s="2" t="s">
        <v>8</v>
      </c>
      <c r="C3850" s="2">
        <v>10</v>
      </c>
      <c r="D3850" s="2">
        <f t="shared" si="240"/>
        <v>2026</v>
      </c>
      <c r="E3850" s="2" t="str">
        <f t="shared" si="241"/>
        <v>2026-6</v>
      </c>
      <c r="F3850" s="2" t="str">
        <f t="shared" si="242"/>
        <v>Week 6</v>
      </c>
      <c r="G3850" s="2" t="str">
        <f t="shared" si="243"/>
        <v>Week 6-2026</v>
      </c>
      <c r="O3850"/>
      <c r="Q3850"/>
    </row>
    <row r="3851" spans="1:17" hidden="1" x14ac:dyDescent="0.2">
      <c r="A3851" s="3">
        <v>46055</v>
      </c>
      <c r="B3851" s="2" t="s">
        <v>3</v>
      </c>
      <c r="C3851" s="2">
        <v>6</v>
      </c>
      <c r="D3851" s="2">
        <f t="shared" si="240"/>
        <v>2026</v>
      </c>
      <c r="E3851" s="2" t="str">
        <f t="shared" si="241"/>
        <v>2026-6</v>
      </c>
      <c r="F3851" s="2" t="str">
        <f t="shared" si="242"/>
        <v>Week 6</v>
      </c>
      <c r="G3851" s="2" t="str">
        <f t="shared" si="243"/>
        <v>Week 6-2026</v>
      </c>
      <c r="O3851"/>
      <c r="Q3851"/>
    </row>
    <row r="3852" spans="1:17" hidden="1" x14ac:dyDescent="0.2">
      <c r="A3852" s="3">
        <v>46055</v>
      </c>
      <c r="B3852" s="2" t="s">
        <v>5</v>
      </c>
      <c r="C3852" s="2">
        <v>4</v>
      </c>
      <c r="D3852" s="2">
        <f t="shared" si="240"/>
        <v>2026</v>
      </c>
      <c r="E3852" s="2" t="str">
        <f t="shared" si="241"/>
        <v>2026-6</v>
      </c>
      <c r="F3852" s="2" t="str">
        <f t="shared" si="242"/>
        <v>Week 6</v>
      </c>
      <c r="G3852" s="2" t="str">
        <f t="shared" si="243"/>
        <v>Week 6-2026</v>
      </c>
      <c r="O3852"/>
      <c r="Q3852"/>
    </row>
    <row r="3853" spans="1:17" hidden="1" x14ac:dyDescent="0.2">
      <c r="A3853" s="3">
        <v>46055</v>
      </c>
      <c r="B3853" s="2" t="s">
        <v>5</v>
      </c>
      <c r="C3853" s="2">
        <v>4</v>
      </c>
      <c r="D3853" s="2">
        <f t="shared" si="240"/>
        <v>2026</v>
      </c>
      <c r="E3853" s="2" t="str">
        <f t="shared" si="241"/>
        <v>2026-6</v>
      </c>
      <c r="F3853" s="2" t="str">
        <f t="shared" si="242"/>
        <v>Week 6</v>
      </c>
      <c r="G3853" s="2" t="str">
        <f t="shared" si="243"/>
        <v>Week 6-2026</v>
      </c>
      <c r="O3853"/>
      <c r="Q3853"/>
    </row>
    <row r="3854" spans="1:17" hidden="1" x14ac:dyDescent="0.2">
      <c r="A3854" s="3">
        <v>46055</v>
      </c>
      <c r="B3854" s="2" t="s">
        <v>14</v>
      </c>
      <c r="C3854" s="2">
        <v>6</v>
      </c>
      <c r="D3854" s="2">
        <f t="shared" si="240"/>
        <v>2026</v>
      </c>
      <c r="E3854" s="2" t="str">
        <f t="shared" si="241"/>
        <v>2026-6</v>
      </c>
      <c r="F3854" s="2" t="str">
        <f t="shared" si="242"/>
        <v>Week 6</v>
      </c>
      <c r="G3854" s="2" t="str">
        <f t="shared" si="243"/>
        <v>Week 6-2026</v>
      </c>
      <c r="O3854"/>
      <c r="Q3854"/>
    </row>
    <row r="3855" spans="1:17" hidden="1" x14ac:dyDescent="0.2">
      <c r="A3855" s="3">
        <v>46055</v>
      </c>
      <c r="B3855" s="2" t="s">
        <v>8</v>
      </c>
      <c r="C3855" s="2">
        <v>4</v>
      </c>
      <c r="D3855" s="2">
        <f t="shared" si="240"/>
        <v>2026</v>
      </c>
      <c r="E3855" s="2" t="str">
        <f t="shared" si="241"/>
        <v>2026-6</v>
      </c>
      <c r="F3855" s="2" t="str">
        <f t="shared" si="242"/>
        <v>Week 6</v>
      </c>
      <c r="G3855" s="2" t="str">
        <f t="shared" si="243"/>
        <v>Week 6-2026</v>
      </c>
      <c r="O3855"/>
      <c r="Q3855"/>
    </row>
    <row r="3856" spans="1:17" hidden="1" x14ac:dyDescent="0.2">
      <c r="A3856" s="3">
        <v>46055</v>
      </c>
      <c r="B3856" s="2" t="s">
        <v>8</v>
      </c>
      <c r="C3856" s="2">
        <v>4</v>
      </c>
      <c r="D3856" s="2">
        <f t="shared" si="240"/>
        <v>2026</v>
      </c>
      <c r="E3856" s="2" t="str">
        <f t="shared" si="241"/>
        <v>2026-6</v>
      </c>
      <c r="F3856" s="2" t="str">
        <f t="shared" si="242"/>
        <v>Week 6</v>
      </c>
      <c r="G3856" s="2" t="str">
        <f t="shared" si="243"/>
        <v>Week 6-2026</v>
      </c>
      <c r="O3856"/>
      <c r="Q3856"/>
    </row>
    <row r="3857" spans="1:17" hidden="1" x14ac:dyDescent="0.2">
      <c r="A3857" s="3">
        <v>46055</v>
      </c>
      <c r="B3857" s="2" t="s">
        <v>5</v>
      </c>
      <c r="C3857" s="2">
        <v>4</v>
      </c>
      <c r="D3857" s="2">
        <f t="shared" si="240"/>
        <v>2026</v>
      </c>
      <c r="E3857" s="2" t="str">
        <f t="shared" si="241"/>
        <v>2026-6</v>
      </c>
      <c r="F3857" s="2" t="str">
        <f t="shared" si="242"/>
        <v>Week 6</v>
      </c>
      <c r="G3857" s="2" t="str">
        <f t="shared" si="243"/>
        <v>Week 6-2026</v>
      </c>
      <c r="O3857"/>
      <c r="Q3857"/>
    </row>
    <row r="3858" spans="1:17" hidden="1" x14ac:dyDescent="0.2">
      <c r="A3858" s="3">
        <v>46055</v>
      </c>
      <c r="B3858" s="2" t="s">
        <v>14</v>
      </c>
      <c r="C3858" s="2">
        <v>5</v>
      </c>
      <c r="D3858" s="2">
        <f t="shared" si="240"/>
        <v>2026</v>
      </c>
      <c r="E3858" s="2" t="str">
        <f t="shared" si="241"/>
        <v>2026-6</v>
      </c>
      <c r="F3858" s="2" t="str">
        <f t="shared" si="242"/>
        <v>Week 6</v>
      </c>
      <c r="G3858" s="2" t="str">
        <f t="shared" si="243"/>
        <v>Week 6-2026</v>
      </c>
      <c r="O3858"/>
      <c r="Q3858"/>
    </row>
    <row r="3859" spans="1:17" hidden="1" x14ac:dyDescent="0.2">
      <c r="A3859" s="3">
        <v>46055</v>
      </c>
      <c r="B3859" s="2" t="s">
        <v>5</v>
      </c>
      <c r="C3859" s="2">
        <v>2</v>
      </c>
      <c r="D3859" s="2">
        <f t="shared" si="240"/>
        <v>2026</v>
      </c>
      <c r="E3859" s="2" t="str">
        <f t="shared" si="241"/>
        <v>2026-6</v>
      </c>
      <c r="F3859" s="2" t="str">
        <f t="shared" si="242"/>
        <v>Week 6</v>
      </c>
      <c r="G3859" s="2" t="str">
        <f t="shared" si="243"/>
        <v>Week 6-2026</v>
      </c>
      <c r="O3859"/>
      <c r="Q3859"/>
    </row>
    <row r="3860" spans="1:17" hidden="1" x14ac:dyDescent="0.2">
      <c r="A3860" s="3">
        <v>46055</v>
      </c>
      <c r="B3860" s="2" t="s">
        <v>28</v>
      </c>
      <c r="C3860" s="2">
        <v>5</v>
      </c>
      <c r="D3860" s="2">
        <f t="shared" si="240"/>
        <v>2026</v>
      </c>
      <c r="E3860" s="2" t="str">
        <f t="shared" si="241"/>
        <v>2026-6</v>
      </c>
      <c r="F3860" s="2" t="str">
        <f t="shared" si="242"/>
        <v>Week 6</v>
      </c>
      <c r="G3860" s="2" t="str">
        <f t="shared" si="243"/>
        <v>Week 6-2026</v>
      </c>
      <c r="O3860"/>
      <c r="Q3860"/>
    </row>
    <row r="3861" spans="1:17" hidden="1" x14ac:dyDescent="0.2">
      <c r="A3861" s="3">
        <v>46055</v>
      </c>
      <c r="B3861" s="2" t="s">
        <v>9</v>
      </c>
      <c r="C3861" s="2">
        <v>2</v>
      </c>
      <c r="D3861" s="2">
        <f t="shared" si="240"/>
        <v>2026</v>
      </c>
      <c r="E3861" s="2" t="str">
        <f t="shared" si="241"/>
        <v>2026-6</v>
      </c>
      <c r="F3861" s="2" t="str">
        <f t="shared" si="242"/>
        <v>Week 6</v>
      </c>
      <c r="G3861" s="2" t="str">
        <f t="shared" si="243"/>
        <v>Week 6-2026</v>
      </c>
      <c r="O3861"/>
      <c r="Q3861"/>
    </row>
    <row r="3862" spans="1:17" hidden="1" x14ac:dyDescent="0.2">
      <c r="A3862" s="3">
        <v>46055</v>
      </c>
      <c r="B3862" s="2" t="s">
        <v>9</v>
      </c>
      <c r="C3862" s="2">
        <v>2</v>
      </c>
      <c r="D3862" s="2">
        <f t="shared" si="240"/>
        <v>2026</v>
      </c>
      <c r="E3862" s="2" t="str">
        <f t="shared" si="241"/>
        <v>2026-6</v>
      </c>
      <c r="F3862" s="2" t="str">
        <f t="shared" si="242"/>
        <v>Week 6</v>
      </c>
      <c r="G3862" s="2" t="str">
        <f t="shared" si="243"/>
        <v>Week 6-2026</v>
      </c>
      <c r="O3862"/>
      <c r="Q3862"/>
    </row>
    <row r="3863" spans="1:17" hidden="1" x14ac:dyDescent="0.2">
      <c r="A3863" s="3">
        <v>46055</v>
      </c>
      <c r="B3863" s="2" t="s">
        <v>3</v>
      </c>
      <c r="C3863" s="2">
        <v>2</v>
      </c>
      <c r="D3863" s="2">
        <f t="shared" si="240"/>
        <v>2026</v>
      </c>
      <c r="E3863" s="2" t="str">
        <f t="shared" si="241"/>
        <v>2026-6</v>
      </c>
      <c r="F3863" s="2" t="str">
        <f t="shared" si="242"/>
        <v>Week 6</v>
      </c>
      <c r="G3863" s="2" t="str">
        <f t="shared" si="243"/>
        <v>Week 6-2026</v>
      </c>
      <c r="O3863"/>
      <c r="Q3863"/>
    </row>
    <row r="3864" spans="1:17" hidden="1" x14ac:dyDescent="0.2">
      <c r="A3864" s="3">
        <v>46055</v>
      </c>
      <c r="B3864" s="2" t="s">
        <v>14</v>
      </c>
      <c r="C3864" s="2">
        <v>2</v>
      </c>
      <c r="D3864" s="2">
        <f t="shared" si="240"/>
        <v>2026</v>
      </c>
      <c r="E3864" s="2" t="str">
        <f t="shared" si="241"/>
        <v>2026-6</v>
      </c>
      <c r="F3864" s="2" t="str">
        <f t="shared" si="242"/>
        <v>Week 6</v>
      </c>
      <c r="G3864" s="2" t="str">
        <f t="shared" si="243"/>
        <v>Week 6-2026</v>
      </c>
      <c r="O3864"/>
      <c r="Q3864"/>
    </row>
    <row r="3865" spans="1:17" hidden="1" x14ac:dyDescent="0.2">
      <c r="A3865" s="3">
        <v>46055</v>
      </c>
      <c r="B3865" s="2" t="s">
        <v>10</v>
      </c>
      <c r="C3865" s="2">
        <v>2</v>
      </c>
      <c r="D3865" s="2">
        <f t="shared" si="240"/>
        <v>2026</v>
      </c>
      <c r="E3865" s="2" t="str">
        <f t="shared" si="241"/>
        <v>2026-6</v>
      </c>
      <c r="F3865" s="2" t="str">
        <f t="shared" si="242"/>
        <v>Week 6</v>
      </c>
      <c r="G3865" s="2" t="str">
        <f t="shared" si="243"/>
        <v>Week 6-2026</v>
      </c>
      <c r="O3865"/>
      <c r="Q3865"/>
    </row>
    <row r="3866" spans="1:17" hidden="1" x14ac:dyDescent="0.2">
      <c r="A3866" s="3">
        <v>46055</v>
      </c>
      <c r="B3866" s="2" t="s">
        <v>14</v>
      </c>
      <c r="C3866" s="2">
        <v>2</v>
      </c>
      <c r="D3866" s="2">
        <f t="shared" si="240"/>
        <v>2026</v>
      </c>
      <c r="E3866" s="2" t="str">
        <f t="shared" si="241"/>
        <v>2026-6</v>
      </c>
      <c r="F3866" s="2" t="str">
        <f t="shared" si="242"/>
        <v>Week 6</v>
      </c>
      <c r="G3866" s="2" t="str">
        <f t="shared" si="243"/>
        <v>Week 6-2026</v>
      </c>
      <c r="O3866"/>
      <c r="Q3866"/>
    </row>
    <row r="3867" spans="1:17" hidden="1" x14ac:dyDescent="0.2">
      <c r="A3867" s="3">
        <v>46055</v>
      </c>
      <c r="B3867" s="2" t="s">
        <v>15</v>
      </c>
      <c r="C3867" s="2">
        <v>2</v>
      </c>
      <c r="D3867" s="2">
        <f t="shared" si="240"/>
        <v>2026</v>
      </c>
      <c r="E3867" s="2" t="str">
        <f t="shared" si="241"/>
        <v>2026-6</v>
      </c>
      <c r="F3867" s="2" t="str">
        <f t="shared" si="242"/>
        <v>Week 6</v>
      </c>
      <c r="G3867" s="2" t="str">
        <f t="shared" si="243"/>
        <v>Week 6-2026</v>
      </c>
      <c r="O3867"/>
      <c r="Q3867"/>
    </row>
    <row r="3868" spans="1:17" hidden="1" x14ac:dyDescent="0.2">
      <c r="A3868" s="3">
        <v>46055</v>
      </c>
      <c r="B3868" s="2" t="s">
        <v>14</v>
      </c>
      <c r="C3868" s="2">
        <v>1</v>
      </c>
      <c r="D3868" s="2">
        <f t="shared" si="240"/>
        <v>2026</v>
      </c>
      <c r="E3868" s="2" t="str">
        <f t="shared" si="241"/>
        <v>2026-6</v>
      </c>
      <c r="F3868" s="2" t="str">
        <f t="shared" si="242"/>
        <v>Week 6</v>
      </c>
      <c r="G3868" s="2" t="str">
        <f t="shared" si="243"/>
        <v>Week 6-2026</v>
      </c>
      <c r="O3868"/>
      <c r="Q3868"/>
    </row>
    <row r="3869" spans="1:17" hidden="1" x14ac:dyDescent="0.2">
      <c r="A3869" s="3">
        <v>46055</v>
      </c>
      <c r="B3869" s="2" t="s">
        <v>14</v>
      </c>
      <c r="C3869" s="2">
        <v>1</v>
      </c>
      <c r="D3869" s="2">
        <f t="shared" si="240"/>
        <v>2026</v>
      </c>
      <c r="E3869" s="2" t="str">
        <f t="shared" si="241"/>
        <v>2026-6</v>
      </c>
      <c r="F3869" s="2" t="str">
        <f t="shared" si="242"/>
        <v>Week 6</v>
      </c>
      <c r="G3869" s="2" t="str">
        <f t="shared" si="243"/>
        <v>Week 6-2026</v>
      </c>
      <c r="O3869"/>
      <c r="Q3869"/>
    </row>
    <row r="3870" spans="1:17" hidden="1" x14ac:dyDescent="0.2">
      <c r="A3870" s="3">
        <v>46056</v>
      </c>
      <c r="B3870" s="2" t="s">
        <v>4</v>
      </c>
      <c r="C3870" s="2">
        <v>24</v>
      </c>
      <c r="D3870" s="2">
        <f t="shared" si="240"/>
        <v>2026</v>
      </c>
      <c r="E3870" s="2" t="str">
        <f t="shared" si="241"/>
        <v>2026-6</v>
      </c>
      <c r="F3870" s="2" t="str">
        <f t="shared" si="242"/>
        <v>Week 6</v>
      </c>
      <c r="G3870" s="2" t="str">
        <f t="shared" si="243"/>
        <v>Week 6-2026</v>
      </c>
      <c r="O3870"/>
      <c r="Q3870"/>
    </row>
    <row r="3871" spans="1:17" hidden="1" x14ac:dyDescent="0.2">
      <c r="A3871" s="3">
        <v>46056</v>
      </c>
      <c r="B3871" s="2" t="s">
        <v>21</v>
      </c>
      <c r="C3871" s="2">
        <v>4</v>
      </c>
      <c r="D3871" s="2">
        <f t="shared" si="240"/>
        <v>2026</v>
      </c>
      <c r="E3871" s="2" t="str">
        <f t="shared" si="241"/>
        <v>2026-6</v>
      </c>
      <c r="F3871" s="2" t="str">
        <f t="shared" si="242"/>
        <v>Week 6</v>
      </c>
      <c r="G3871" s="2" t="str">
        <f t="shared" si="243"/>
        <v>Week 6-2026</v>
      </c>
      <c r="O3871"/>
      <c r="Q3871"/>
    </row>
    <row r="3872" spans="1:17" hidden="1" x14ac:dyDescent="0.2">
      <c r="A3872" s="3">
        <v>46056</v>
      </c>
      <c r="B3872" s="2" t="s">
        <v>4</v>
      </c>
      <c r="C3872" s="2">
        <v>4</v>
      </c>
      <c r="D3872" s="2">
        <f t="shared" si="240"/>
        <v>2026</v>
      </c>
      <c r="E3872" s="2" t="str">
        <f t="shared" si="241"/>
        <v>2026-6</v>
      </c>
      <c r="F3872" s="2" t="str">
        <f t="shared" si="242"/>
        <v>Week 6</v>
      </c>
      <c r="G3872" s="2" t="str">
        <f t="shared" si="243"/>
        <v>Week 6-2026</v>
      </c>
      <c r="O3872"/>
      <c r="Q3872"/>
    </row>
    <row r="3873" spans="1:17" hidden="1" x14ac:dyDescent="0.2">
      <c r="A3873" s="3">
        <v>46056</v>
      </c>
      <c r="B3873" s="2" t="s">
        <v>10</v>
      </c>
      <c r="C3873" s="2">
        <v>8</v>
      </c>
      <c r="D3873" s="2">
        <f t="shared" si="240"/>
        <v>2026</v>
      </c>
      <c r="E3873" s="2" t="str">
        <f t="shared" si="241"/>
        <v>2026-6</v>
      </c>
      <c r="F3873" s="2" t="str">
        <f t="shared" si="242"/>
        <v>Week 6</v>
      </c>
      <c r="G3873" s="2" t="str">
        <f t="shared" si="243"/>
        <v>Week 6-2026</v>
      </c>
      <c r="O3873"/>
      <c r="Q3873"/>
    </row>
    <row r="3874" spans="1:17" hidden="1" x14ac:dyDescent="0.2">
      <c r="A3874" s="3">
        <v>46056</v>
      </c>
      <c r="B3874" s="2" t="s">
        <v>7</v>
      </c>
      <c r="C3874" s="2">
        <v>1</v>
      </c>
      <c r="D3874" s="2">
        <f t="shared" si="240"/>
        <v>2026</v>
      </c>
      <c r="E3874" s="2" t="str">
        <f t="shared" si="241"/>
        <v>2026-6</v>
      </c>
      <c r="F3874" s="2" t="str">
        <f t="shared" si="242"/>
        <v>Week 6</v>
      </c>
      <c r="G3874" s="2" t="str">
        <f t="shared" si="243"/>
        <v>Week 6-2026</v>
      </c>
      <c r="O3874"/>
      <c r="Q3874"/>
    </row>
    <row r="3875" spans="1:17" hidden="1" x14ac:dyDescent="0.2">
      <c r="A3875" s="3">
        <v>46056</v>
      </c>
      <c r="B3875" s="2" t="s">
        <v>15</v>
      </c>
      <c r="C3875" s="2">
        <v>2</v>
      </c>
      <c r="D3875" s="2">
        <f t="shared" si="240"/>
        <v>2026</v>
      </c>
      <c r="E3875" s="2" t="str">
        <f t="shared" si="241"/>
        <v>2026-6</v>
      </c>
      <c r="F3875" s="2" t="str">
        <f t="shared" si="242"/>
        <v>Week 6</v>
      </c>
      <c r="G3875" s="2" t="str">
        <f t="shared" si="243"/>
        <v>Week 6-2026</v>
      </c>
      <c r="O3875"/>
      <c r="Q3875"/>
    </row>
    <row r="3876" spans="1:17" hidden="1" x14ac:dyDescent="0.2">
      <c r="A3876" s="3">
        <v>46057</v>
      </c>
      <c r="B3876" s="2" t="s">
        <v>5</v>
      </c>
      <c r="C3876" s="2">
        <v>8</v>
      </c>
      <c r="D3876" s="2">
        <f t="shared" si="240"/>
        <v>2026</v>
      </c>
      <c r="E3876" s="2" t="str">
        <f t="shared" si="241"/>
        <v>2026-6</v>
      </c>
      <c r="F3876" s="2" t="str">
        <f t="shared" si="242"/>
        <v>Week 6</v>
      </c>
      <c r="G3876" s="2" t="str">
        <f t="shared" si="243"/>
        <v>Week 6-2026</v>
      </c>
      <c r="O3876"/>
      <c r="Q3876"/>
    </row>
    <row r="3877" spans="1:17" hidden="1" x14ac:dyDescent="0.2">
      <c r="A3877" s="3">
        <v>46057</v>
      </c>
      <c r="B3877" s="2" t="s">
        <v>9</v>
      </c>
      <c r="C3877" s="2">
        <v>4</v>
      </c>
      <c r="D3877" s="2">
        <f t="shared" si="240"/>
        <v>2026</v>
      </c>
      <c r="E3877" s="2" t="str">
        <f t="shared" si="241"/>
        <v>2026-6</v>
      </c>
      <c r="F3877" s="2" t="str">
        <f t="shared" si="242"/>
        <v>Week 6</v>
      </c>
      <c r="G3877" s="2" t="str">
        <f t="shared" si="243"/>
        <v>Week 6-2026</v>
      </c>
      <c r="O3877"/>
      <c r="Q3877"/>
    </row>
    <row r="3878" spans="1:17" hidden="1" x14ac:dyDescent="0.2">
      <c r="A3878" s="3">
        <v>46057</v>
      </c>
      <c r="B3878" s="2" t="s">
        <v>15</v>
      </c>
      <c r="C3878" s="2">
        <v>4</v>
      </c>
      <c r="D3878" s="2">
        <f t="shared" si="240"/>
        <v>2026</v>
      </c>
      <c r="E3878" s="2" t="str">
        <f t="shared" si="241"/>
        <v>2026-6</v>
      </c>
      <c r="F3878" s="2" t="str">
        <f t="shared" si="242"/>
        <v>Week 6</v>
      </c>
      <c r="G3878" s="2" t="str">
        <f t="shared" si="243"/>
        <v>Week 6-2026</v>
      </c>
      <c r="O3878"/>
      <c r="Q3878"/>
    </row>
    <row r="3879" spans="1:17" hidden="1" x14ac:dyDescent="0.2">
      <c r="A3879" s="3">
        <v>46058</v>
      </c>
      <c r="B3879" s="2" t="s">
        <v>10</v>
      </c>
      <c r="C3879" s="2">
        <v>2</v>
      </c>
      <c r="D3879" s="2">
        <f t="shared" si="240"/>
        <v>2026</v>
      </c>
      <c r="E3879" s="2" t="str">
        <f t="shared" si="241"/>
        <v>2026-6</v>
      </c>
      <c r="F3879" s="2" t="str">
        <f t="shared" si="242"/>
        <v>Week 6</v>
      </c>
      <c r="G3879" s="2" t="str">
        <f t="shared" si="243"/>
        <v>Week 6-2026</v>
      </c>
      <c r="O3879"/>
      <c r="Q3879"/>
    </row>
    <row r="3880" spans="1:17" hidden="1" x14ac:dyDescent="0.2">
      <c r="A3880" s="3">
        <v>46059</v>
      </c>
      <c r="B3880" s="2" t="s">
        <v>5</v>
      </c>
      <c r="C3880" s="2">
        <v>16</v>
      </c>
      <c r="D3880" s="2">
        <f t="shared" si="240"/>
        <v>2026</v>
      </c>
      <c r="E3880" s="2" t="str">
        <f t="shared" si="241"/>
        <v>2026-6</v>
      </c>
      <c r="F3880" s="2" t="str">
        <f t="shared" si="242"/>
        <v>Week 6</v>
      </c>
      <c r="G3880" s="2" t="str">
        <f t="shared" si="243"/>
        <v>Week 6-2026</v>
      </c>
      <c r="O3880"/>
      <c r="Q3880"/>
    </row>
    <row r="3881" spans="1:17" hidden="1" x14ac:dyDescent="0.2">
      <c r="A3881" s="3">
        <v>46059</v>
      </c>
      <c r="B3881" s="2" t="s">
        <v>5</v>
      </c>
      <c r="C3881" s="2">
        <v>12</v>
      </c>
      <c r="D3881" s="2">
        <f t="shared" si="240"/>
        <v>2026</v>
      </c>
      <c r="E3881" s="2" t="str">
        <f t="shared" si="241"/>
        <v>2026-6</v>
      </c>
      <c r="F3881" s="2" t="str">
        <f t="shared" si="242"/>
        <v>Week 6</v>
      </c>
      <c r="G3881" s="2" t="str">
        <f t="shared" si="243"/>
        <v>Week 6-2026</v>
      </c>
      <c r="O3881"/>
      <c r="Q3881"/>
    </row>
    <row r="3882" spans="1:17" hidden="1" x14ac:dyDescent="0.2">
      <c r="A3882" s="3">
        <v>46059</v>
      </c>
      <c r="B3882" s="2" t="s">
        <v>5</v>
      </c>
      <c r="C3882" s="2">
        <v>12</v>
      </c>
      <c r="D3882" s="2">
        <f t="shared" si="240"/>
        <v>2026</v>
      </c>
      <c r="E3882" s="2" t="str">
        <f t="shared" si="241"/>
        <v>2026-6</v>
      </c>
      <c r="F3882" s="2" t="str">
        <f t="shared" si="242"/>
        <v>Week 6</v>
      </c>
      <c r="G3882" s="2" t="str">
        <f t="shared" si="243"/>
        <v>Week 6-2026</v>
      </c>
      <c r="O3882"/>
      <c r="Q3882"/>
    </row>
    <row r="3883" spans="1:17" hidden="1" x14ac:dyDescent="0.2">
      <c r="A3883" s="3">
        <v>46059</v>
      </c>
      <c r="B3883" s="2" t="s">
        <v>5</v>
      </c>
      <c r="C3883" s="2">
        <v>6</v>
      </c>
      <c r="D3883" s="2">
        <f t="shared" si="240"/>
        <v>2026</v>
      </c>
      <c r="E3883" s="2" t="str">
        <f t="shared" si="241"/>
        <v>2026-6</v>
      </c>
      <c r="F3883" s="2" t="str">
        <f t="shared" si="242"/>
        <v>Week 6</v>
      </c>
      <c r="G3883" s="2" t="str">
        <f t="shared" si="243"/>
        <v>Week 6-2026</v>
      </c>
      <c r="O3883"/>
      <c r="Q3883"/>
    </row>
    <row r="3884" spans="1:17" hidden="1" x14ac:dyDescent="0.2">
      <c r="A3884" s="3">
        <v>46059</v>
      </c>
      <c r="B3884" s="2" t="s">
        <v>14</v>
      </c>
      <c r="C3884" s="2">
        <v>6</v>
      </c>
      <c r="D3884" s="2">
        <f t="shared" si="240"/>
        <v>2026</v>
      </c>
      <c r="E3884" s="2" t="str">
        <f t="shared" si="241"/>
        <v>2026-6</v>
      </c>
      <c r="F3884" s="2" t="str">
        <f t="shared" si="242"/>
        <v>Week 6</v>
      </c>
      <c r="G3884" s="2" t="str">
        <f t="shared" si="243"/>
        <v>Week 6-2026</v>
      </c>
      <c r="O3884"/>
      <c r="Q3884"/>
    </row>
    <row r="3885" spans="1:17" hidden="1" x14ac:dyDescent="0.2">
      <c r="A3885" s="3">
        <v>46059</v>
      </c>
      <c r="B3885" s="2" t="s">
        <v>9</v>
      </c>
      <c r="C3885" s="2">
        <v>2</v>
      </c>
      <c r="D3885" s="2">
        <f t="shared" si="240"/>
        <v>2026</v>
      </c>
      <c r="E3885" s="2" t="str">
        <f t="shared" si="241"/>
        <v>2026-6</v>
      </c>
      <c r="F3885" s="2" t="str">
        <f t="shared" si="242"/>
        <v>Week 6</v>
      </c>
      <c r="G3885" s="2" t="str">
        <f t="shared" si="243"/>
        <v>Week 6-2026</v>
      </c>
      <c r="O3885"/>
      <c r="Q3885"/>
    </row>
    <row r="3886" spans="1:17" hidden="1" x14ac:dyDescent="0.2">
      <c r="A3886" s="3">
        <v>46059</v>
      </c>
      <c r="B3886" s="2" t="s">
        <v>3</v>
      </c>
      <c r="C3886" s="2">
        <v>2</v>
      </c>
      <c r="D3886" s="2">
        <f t="shared" si="240"/>
        <v>2026</v>
      </c>
      <c r="E3886" s="2" t="str">
        <f t="shared" si="241"/>
        <v>2026-6</v>
      </c>
      <c r="F3886" s="2" t="str">
        <f t="shared" si="242"/>
        <v>Week 6</v>
      </c>
      <c r="G3886" s="2" t="str">
        <f t="shared" si="243"/>
        <v>Week 6-2026</v>
      </c>
      <c r="O3886"/>
      <c r="Q3886"/>
    </row>
    <row r="3887" spans="1:17" hidden="1" x14ac:dyDescent="0.2">
      <c r="A3887" s="3">
        <v>46059</v>
      </c>
      <c r="B3887" s="2" t="s">
        <v>3</v>
      </c>
      <c r="C3887" s="2">
        <v>2</v>
      </c>
      <c r="D3887" s="2">
        <f t="shared" si="240"/>
        <v>2026</v>
      </c>
      <c r="E3887" s="2" t="str">
        <f t="shared" si="241"/>
        <v>2026-6</v>
      </c>
      <c r="F3887" s="2" t="str">
        <f t="shared" si="242"/>
        <v>Week 6</v>
      </c>
      <c r="G3887" s="2" t="str">
        <f t="shared" si="243"/>
        <v>Week 6-2026</v>
      </c>
      <c r="O3887"/>
      <c r="Q3887"/>
    </row>
    <row r="3888" spans="1:17" hidden="1" x14ac:dyDescent="0.2">
      <c r="A3888" s="3">
        <v>46059</v>
      </c>
      <c r="B3888" s="2" t="s">
        <v>36</v>
      </c>
      <c r="C3888" s="2">
        <v>3</v>
      </c>
      <c r="D3888" s="2">
        <f t="shared" si="240"/>
        <v>2026</v>
      </c>
      <c r="E3888" s="2" t="str">
        <f t="shared" si="241"/>
        <v>2026-6</v>
      </c>
      <c r="F3888" s="2" t="str">
        <f t="shared" si="242"/>
        <v>Week 6</v>
      </c>
      <c r="G3888" s="2" t="str">
        <f t="shared" si="243"/>
        <v>Week 6-2026</v>
      </c>
      <c r="O3888"/>
      <c r="Q3888"/>
    </row>
    <row r="3889" spans="1:17" hidden="1" x14ac:dyDescent="0.2">
      <c r="A3889" s="3">
        <v>46059</v>
      </c>
      <c r="B3889" s="2" t="s">
        <v>15</v>
      </c>
      <c r="C3889" s="2">
        <v>2</v>
      </c>
      <c r="D3889" s="2">
        <f t="shared" si="240"/>
        <v>2026</v>
      </c>
      <c r="E3889" s="2" t="str">
        <f t="shared" si="241"/>
        <v>2026-6</v>
      </c>
      <c r="F3889" s="2" t="str">
        <f t="shared" si="242"/>
        <v>Week 6</v>
      </c>
      <c r="G3889" s="2" t="str">
        <f t="shared" si="243"/>
        <v>Week 6-2026</v>
      </c>
      <c r="O3889"/>
      <c r="Q3889"/>
    </row>
    <row r="3890" spans="1:17" hidden="1" x14ac:dyDescent="0.2">
      <c r="A3890" s="3">
        <v>46059</v>
      </c>
      <c r="B3890" s="2" t="s">
        <v>30</v>
      </c>
      <c r="C3890" s="2">
        <v>1</v>
      </c>
      <c r="D3890" s="2">
        <f t="shared" si="240"/>
        <v>2026</v>
      </c>
      <c r="E3890" s="2" t="str">
        <f t="shared" si="241"/>
        <v>2026-6</v>
      </c>
      <c r="F3890" s="2" t="str">
        <f t="shared" si="242"/>
        <v>Week 6</v>
      </c>
      <c r="G3890" s="2" t="str">
        <f t="shared" si="243"/>
        <v>Week 6-2026</v>
      </c>
      <c r="O3890"/>
      <c r="Q3890"/>
    </row>
    <row r="3891" spans="1:17" hidden="1" x14ac:dyDescent="0.2">
      <c r="A3891" s="3">
        <v>46059</v>
      </c>
      <c r="B3891" s="2" t="s">
        <v>27</v>
      </c>
      <c r="C3891" s="2">
        <v>1</v>
      </c>
      <c r="D3891" s="2">
        <f t="shared" si="240"/>
        <v>2026</v>
      </c>
      <c r="E3891" s="2" t="str">
        <f t="shared" si="241"/>
        <v>2026-6</v>
      </c>
      <c r="F3891" s="2" t="str">
        <f t="shared" si="242"/>
        <v>Week 6</v>
      </c>
      <c r="G3891" s="2" t="str">
        <f t="shared" si="243"/>
        <v>Week 6-2026</v>
      </c>
      <c r="O3891"/>
      <c r="Q3891"/>
    </row>
    <row r="3892" spans="1:17" hidden="1" x14ac:dyDescent="0.2">
      <c r="A3892" s="3">
        <v>46059</v>
      </c>
      <c r="B3892" s="2" t="s">
        <v>36</v>
      </c>
      <c r="C3892" s="2">
        <v>1</v>
      </c>
      <c r="D3892" s="2">
        <f t="shared" si="240"/>
        <v>2026</v>
      </c>
      <c r="E3892" s="2" t="str">
        <f t="shared" si="241"/>
        <v>2026-6</v>
      </c>
      <c r="F3892" s="2" t="str">
        <f t="shared" si="242"/>
        <v>Week 6</v>
      </c>
      <c r="G3892" s="2" t="str">
        <f t="shared" si="243"/>
        <v>Week 6-2026</v>
      </c>
      <c r="O3892"/>
      <c r="Q3892"/>
    </row>
    <row r="3893" spans="1:17" hidden="1" x14ac:dyDescent="0.2">
      <c r="A3893" s="3">
        <v>46060</v>
      </c>
      <c r="B3893" s="2" t="s">
        <v>14</v>
      </c>
      <c r="C3893" s="2">
        <v>16</v>
      </c>
      <c r="D3893" s="2">
        <f t="shared" si="240"/>
        <v>2026</v>
      </c>
      <c r="E3893" s="2" t="str">
        <f t="shared" si="241"/>
        <v>2026-6</v>
      </c>
      <c r="F3893" s="2" t="str">
        <f t="shared" si="242"/>
        <v>Week 6</v>
      </c>
      <c r="G3893" s="2" t="str">
        <f t="shared" si="243"/>
        <v>Week 6-2026</v>
      </c>
      <c r="O3893"/>
      <c r="Q3893"/>
    </row>
    <row r="3894" spans="1:17" hidden="1" x14ac:dyDescent="0.2">
      <c r="A3894" s="3">
        <v>46060</v>
      </c>
      <c r="B3894" s="2" t="s">
        <v>6</v>
      </c>
      <c r="C3894" s="2">
        <v>6</v>
      </c>
      <c r="D3894" s="2">
        <f t="shared" si="240"/>
        <v>2026</v>
      </c>
      <c r="E3894" s="2" t="str">
        <f t="shared" si="241"/>
        <v>2026-6</v>
      </c>
      <c r="F3894" s="2" t="str">
        <f t="shared" si="242"/>
        <v>Week 6</v>
      </c>
      <c r="G3894" s="2" t="str">
        <f t="shared" si="243"/>
        <v>Week 6-2026</v>
      </c>
      <c r="O3894"/>
      <c r="Q3894"/>
    </row>
    <row r="3895" spans="1:17" hidden="1" x14ac:dyDescent="0.2">
      <c r="A3895" s="3">
        <v>46060</v>
      </c>
      <c r="B3895" s="2" t="s">
        <v>4</v>
      </c>
      <c r="C3895" s="2">
        <v>4</v>
      </c>
      <c r="D3895" s="2">
        <f t="shared" si="240"/>
        <v>2026</v>
      </c>
      <c r="E3895" s="2" t="str">
        <f t="shared" si="241"/>
        <v>2026-6</v>
      </c>
      <c r="F3895" s="2" t="str">
        <f t="shared" si="242"/>
        <v>Week 6</v>
      </c>
      <c r="G3895" s="2" t="str">
        <f t="shared" si="243"/>
        <v>Week 6-2026</v>
      </c>
      <c r="O3895"/>
      <c r="Q3895"/>
    </row>
    <row r="3896" spans="1:17" hidden="1" x14ac:dyDescent="0.2">
      <c r="A3896" s="3">
        <v>46060</v>
      </c>
      <c r="B3896" s="2" t="s">
        <v>9</v>
      </c>
      <c r="C3896" s="2">
        <v>4</v>
      </c>
      <c r="D3896" s="2">
        <f t="shared" si="240"/>
        <v>2026</v>
      </c>
      <c r="E3896" s="2" t="str">
        <f t="shared" si="241"/>
        <v>2026-6</v>
      </c>
      <c r="F3896" s="2" t="str">
        <f t="shared" si="242"/>
        <v>Week 6</v>
      </c>
      <c r="G3896" s="2" t="str">
        <f t="shared" si="243"/>
        <v>Week 6-2026</v>
      </c>
      <c r="O3896"/>
      <c r="Q3896"/>
    </row>
    <row r="3897" spans="1:17" hidden="1" x14ac:dyDescent="0.2">
      <c r="A3897" s="3">
        <v>46060</v>
      </c>
      <c r="B3897" s="2" t="s">
        <v>10</v>
      </c>
      <c r="C3897" s="2">
        <v>4</v>
      </c>
      <c r="D3897" s="2">
        <f t="shared" si="240"/>
        <v>2026</v>
      </c>
      <c r="E3897" s="2" t="str">
        <f t="shared" si="241"/>
        <v>2026-6</v>
      </c>
      <c r="F3897" s="2" t="str">
        <f t="shared" si="242"/>
        <v>Week 6</v>
      </c>
      <c r="G3897" s="2" t="str">
        <f t="shared" si="243"/>
        <v>Week 6-2026</v>
      </c>
      <c r="O3897"/>
      <c r="Q3897"/>
    </row>
    <row r="3898" spans="1:17" hidden="1" x14ac:dyDescent="0.2">
      <c r="A3898" s="3">
        <v>46060</v>
      </c>
      <c r="B3898" s="2" t="s">
        <v>6</v>
      </c>
      <c r="C3898" s="2">
        <v>2</v>
      </c>
      <c r="D3898" s="2">
        <f t="shared" si="240"/>
        <v>2026</v>
      </c>
      <c r="E3898" s="2" t="str">
        <f t="shared" si="241"/>
        <v>2026-6</v>
      </c>
      <c r="F3898" s="2" t="str">
        <f t="shared" si="242"/>
        <v>Week 6</v>
      </c>
      <c r="G3898" s="2" t="str">
        <f t="shared" si="243"/>
        <v>Week 6-2026</v>
      </c>
      <c r="O3898"/>
      <c r="Q3898"/>
    </row>
    <row r="3899" spans="1:17" hidden="1" x14ac:dyDescent="0.2">
      <c r="A3899" s="3">
        <v>46060</v>
      </c>
      <c r="B3899" s="2" t="s">
        <v>17</v>
      </c>
      <c r="C3899" s="2">
        <v>3</v>
      </c>
      <c r="D3899" s="2">
        <f t="shared" si="240"/>
        <v>2026</v>
      </c>
      <c r="E3899" s="2" t="str">
        <f t="shared" si="241"/>
        <v>2026-6</v>
      </c>
      <c r="F3899" s="2" t="str">
        <f t="shared" si="242"/>
        <v>Week 6</v>
      </c>
      <c r="G3899" s="2" t="str">
        <f t="shared" si="243"/>
        <v>Week 6-2026</v>
      </c>
      <c r="O3899"/>
      <c r="Q3899"/>
    </row>
    <row r="3900" spans="1:17" hidden="1" x14ac:dyDescent="0.2">
      <c r="A3900" s="3">
        <v>46060</v>
      </c>
      <c r="B3900" s="2" t="s">
        <v>9</v>
      </c>
      <c r="C3900" s="2">
        <v>2</v>
      </c>
      <c r="D3900" s="2">
        <f t="shared" si="240"/>
        <v>2026</v>
      </c>
      <c r="E3900" s="2" t="str">
        <f t="shared" si="241"/>
        <v>2026-6</v>
      </c>
      <c r="F3900" s="2" t="str">
        <f t="shared" si="242"/>
        <v>Week 6</v>
      </c>
      <c r="G3900" s="2" t="str">
        <f t="shared" si="243"/>
        <v>Week 6-2026</v>
      </c>
      <c r="O3900"/>
      <c r="Q3900"/>
    </row>
    <row r="3901" spans="1:17" hidden="1" x14ac:dyDescent="0.2">
      <c r="A3901" s="3">
        <v>46060</v>
      </c>
      <c r="B3901" s="2" t="s">
        <v>29</v>
      </c>
      <c r="C3901" s="2">
        <v>1</v>
      </c>
      <c r="D3901" s="2">
        <f t="shared" si="240"/>
        <v>2026</v>
      </c>
      <c r="E3901" s="2" t="str">
        <f t="shared" si="241"/>
        <v>2026-6</v>
      </c>
      <c r="F3901" s="2" t="str">
        <f t="shared" si="242"/>
        <v>Week 6</v>
      </c>
      <c r="G3901" s="2" t="str">
        <f t="shared" si="243"/>
        <v>Week 6-2026</v>
      </c>
      <c r="O3901"/>
      <c r="Q3901"/>
    </row>
    <row r="3902" spans="1:17" hidden="1" x14ac:dyDescent="0.2">
      <c r="A3902" s="3">
        <v>46062</v>
      </c>
      <c r="B3902" s="2" t="s">
        <v>5</v>
      </c>
      <c r="C3902" s="2">
        <v>29</v>
      </c>
      <c r="D3902" s="2">
        <f t="shared" si="240"/>
        <v>2026</v>
      </c>
      <c r="E3902" s="2" t="str">
        <f t="shared" si="241"/>
        <v>2026-7</v>
      </c>
      <c r="F3902" s="2" t="str">
        <f t="shared" si="242"/>
        <v>Week 7</v>
      </c>
      <c r="G3902" s="2" t="str">
        <f t="shared" si="243"/>
        <v>Week 7-2026</v>
      </c>
      <c r="O3902"/>
      <c r="Q3902"/>
    </row>
    <row r="3903" spans="1:17" hidden="1" x14ac:dyDescent="0.2">
      <c r="A3903" s="3">
        <v>46062</v>
      </c>
      <c r="B3903" s="2" t="s">
        <v>5</v>
      </c>
      <c r="C3903" s="2">
        <v>12</v>
      </c>
      <c r="D3903" s="2">
        <f t="shared" si="240"/>
        <v>2026</v>
      </c>
      <c r="E3903" s="2" t="str">
        <f t="shared" si="241"/>
        <v>2026-7</v>
      </c>
      <c r="F3903" s="2" t="str">
        <f t="shared" si="242"/>
        <v>Week 7</v>
      </c>
      <c r="G3903" s="2" t="str">
        <f t="shared" si="243"/>
        <v>Week 7-2026</v>
      </c>
      <c r="O3903"/>
      <c r="Q3903"/>
    </row>
    <row r="3904" spans="1:17" hidden="1" x14ac:dyDescent="0.2">
      <c r="A3904" s="3">
        <v>46062</v>
      </c>
      <c r="B3904" s="2" t="s">
        <v>14</v>
      </c>
      <c r="C3904" s="2">
        <v>22</v>
      </c>
      <c r="D3904" s="2">
        <f t="shared" si="240"/>
        <v>2026</v>
      </c>
      <c r="E3904" s="2" t="str">
        <f t="shared" si="241"/>
        <v>2026-7</v>
      </c>
      <c r="F3904" s="2" t="str">
        <f t="shared" si="242"/>
        <v>Week 7</v>
      </c>
      <c r="G3904" s="2" t="str">
        <f t="shared" si="243"/>
        <v>Week 7-2026</v>
      </c>
      <c r="O3904"/>
      <c r="Q3904"/>
    </row>
    <row r="3905" spans="1:17" hidden="1" x14ac:dyDescent="0.2">
      <c r="A3905" s="3">
        <v>46062</v>
      </c>
      <c r="B3905" s="2" t="s">
        <v>8</v>
      </c>
      <c r="C3905" s="2">
        <v>20</v>
      </c>
      <c r="D3905" s="2">
        <f t="shared" si="240"/>
        <v>2026</v>
      </c>
      <c r="E3905" s="2" t="str">
        <f t="shared" si="241"/>
        <v>2026-7</v>
      </c>
      <c r="F3905" s="2" t="str">
        <f t="shared" si="242"/>
        <v>Week 7</v>
      </c>
      <c r="G3905" s="2" t="str">
        <f t="shared" si="243"/>
        <v>Week 7-2026</v>
      </c>
      <c r="O3905"/>
      <c r="Q3905"/>
    </row>
    <row r="3906" spans="1:17" hidden="1" x14ac:dyDescent="0.2">
      <c r="A3906" s="3">
        <v>46062</v>
      </c>
      <c r="B3906" s="2" t="s">
        <v>14</v>
      </c>
      <c r="C3906" s="2">
        <v>16</v>
      </c>
      <c r="D3906" s="2">
        <f t="shared" ref="D3906:D3969" si="244">YEAR(A3906)</f>
        <v>2026</v>
      </c>
      <c r="E3906" s="2" t="str">
        <f t="shared" ref="E3906:E3969" si="245">YEAR(A3906)&amp;"-"&amp;_xlfn.ISOWEEKNUM(A3906)</f>
        <v>2026-7</v>
      </c>
      <c r="F3906" s="2" t="str">
        <f t="shared" ref="F3906:F3969" si="246">_xlfn.CONCAT("Week "&amp;WEEKNUM(A3906))</f>
        <v>Week 7</v>
      </c>
      <c r="G3906" s="2" t="str">
        <f t="shared" ref="G3906:G3969" si="247">_xlfn.CONCAT(F3906,"-",D3906)</f>
        <v>Week 7-2026</v>
      </c>
      <c r="O3906"/>
      <c r="Q3906"/>
    </row>
    <row r="3907" spans="1:17" hidden="1" x14ac:dyDescent="0.2">
      <c r="A3907" s="3">
        <v>46062</v>
      </c>
      <c r="B3907" s="2" t="s">
        <v>5</v>
      </c>
      <c r="C3907" s="2">
        <v>10</v>
      </c>
      <c r="D3907" s="2">
        <f t="shared" si="244"/>
        <v>2026</v>
      </c>
      <c r="E3907" s="2" t="str">
        <f t="shared" si="245"/>
        <v>2026-7</v>
      </c>
      <c r="F3907" s="2" t="str">
        <f t="shared" si="246"/>
        <v>Week 7</v>
      </c>
      <c r="G3907" s="2" t="str">
        <f t="shared" si="247"/>
        <v>Week 7-2026</v>
      </c>
      <c r="O3907"/>
      <c r="Q3907"/>
    </row>
    <row r="3908" spans="1:17" hidden="1" x14ac:dyDescent="0.2">
      <c r="A3908" s="3">
        <v>46062</v>
      </c>
      <c r="B3908" s="2" t="s">
        <v>3</v>
      </c>
      <c r="C3908" s="2">
        <v>6</v>
      </c>
      <c r="D3908" s="2">
        <f t="shared" si="244"/>
        <v>2026</v>
      </c>
      <c r="E3908" s="2" t="str">
        <f t="shared" si="245"/>
        <v>2026-7</v>
      </c>
      <c r="F3908" s="2" t="str">
        <f t="shared" si="246"/>
        <v>Week 7</v>
      </c>
      <c r="G3908" s="2" t="str">
        <f t="shared" si="247"/>
        <v>Week 7-2026</v>
      </c>
      <c r="O3908"/>
      <c r="Q3908"/>
    </row>
    <row r="3909" spans="1:17" hidden="1" x14ac:dyDescent="0.2">
      <c r="A3909" s="3">
        <v>46062</v>
      </c>
      <c r="B3909" s="2" t="s">
        <v>3</v>
      </c>
      <c r="C3909" s="2">
        <v>6</v>
      </c>
      <c r="D3909" s="2">
        <f t="shared" si="244"/>
        <v>2026</v>
      </c>
      <c r="E3909" s="2" t="str">
        <f t="shared" si="245"/>
        <v>2026-7</v>
      </c>
      <c r="F3909" s="2" t="str">
        <f t="shared" si="246"/>
        <v>Week 7</v>
      </c>
      <c r="G3909" s="2" t="str">
        <f t="shared" si="247"/>
        <v>Week 7-2026</v>
      </c>
      <c r="O3909"/>
      <c r="Q3909"/>
    </row>
    <row r="3910" spans="1:17" hidden="1" x14ac:dyDescent="0.2">
      <c r="A3910" s="3">
        <v>46062</v>
      </c>
      <c r="B3910" s="2" t="s">
        <v>9</v>
      </c>
      <c r="C3910" s="2">
        <v>5</v>
      </c>
      <c r="D3910" s="2">
        <f t="shared" si="244"/>
        <v>2026</v>
      </c>
      <c r="E3910" s="2" t="str">
        <f t="shared" si="245"/>
        <v>2026-7</v>
      </c>
      <c r="F3910" s="2" t="str">
        <f t="shared" si="246"/>
        <v>Week 7</v>
      </c>
      <c r="G3910" s="2" t="str">
        <f t="shared" si="247"/>
        <v>Week 7-2026</v>
      </c>
      <c r="O3910"/>
      <c r="Q3910"/>
    </row>
    <row r="3911" spans="1:17" hidden="1" x14ac:dyDescent="0.2">
      <c r="A3911" s="3">
        <v>46062</v>
      </c>
      <c r="B3911" s="2" t="s">
        <v>5</v>
      </c>
      <c r="C3911" s="2">
        <v>6</v>
      </c>
      <c r="D3911" s="2">
        <f t="shared" si="244"/>
        <v>2026</v>
      </c>
      <c r="E3911" s="2" t="str">
        <f t="shared" si="245"/>
        <v>2026-7</v>
      </c>
      <c r="F3911" s="2" t="str">
        <f t="shared" si="246"/>
        <v>Week 7</v>
      </c>
      <c r="G3911" s="2" t="str">
        <f t="shared" si="247"/>
        <v>Week 7-2026</v>
      </c>
      <c r="O3911"/>
      <c r="Q3911"/>
    </row>
    <row r="3912" spans="1:17" hidden="1" x14ac:dyDescent="0.2">
      <c r="A3912" s="3">
        <v>46062</v>
      </c>
      <c r="B3912" s="2" t="s">
        <v>5</v>
      </c>
      <c r="C3912" s="2">
        <v>4</v>
      </c>
      <c r="D3912" s="2">
        <f t="shared" si="244"/>
        <v>2026</v>
      </c>
      <c r="E3912" s="2" t="str">
        <f t="shared" si="245"/>
        <v>2026-7</v>
      </c>
      <c r="F3912" s="2" t="str">
        <f t="shared" si="246"/>
        <v>Week 7</v>
      </c>
      <c r="G3912" s="2" t="str">
        <f t="shared" si="247"/>
        <v>Week 7-2026</v>
      </c>
      <c r="O3912"/>
      <c r="Q3912"/>
    </row>
    <row r="3913" spans="1:17" hidden="1" x14ac:dyDescent="0.2">
      <c r="A3913" s="3">
        <v>46062</v>
      </c>
      <c r="B3913" s="2" t="s">
        <v>14</v>
      </c>
      <c r="C3913" s="2">
        <v>6</v>
      </c>
      <c r="D3913" s="2">
        <f t="shared" si="244"/>
        <v>2026</v>
      </c>
      <c r="E3913" s="2" t="str">
        <f t="shared" si="245"/>
        <v>2026-7</v>
      </c>
      <c r="F3913" s="2" t="str">
        <f t="shared" si="246"/>
        <v>Week 7</v>
      </c>
      <c r="G3913" s="2" t="str">
        <f t="shared" si="247"/>
        <v>Week 7-2026</v>
      </c>
      <c r="O3913"/>
      <c r="Q3913"/>
    </row>
    <row r="3914" spans="1:17" hidden="1" x14ac:dyDescent="0.2">
      <c r="A3914" s="3">
        <v>46062</v>
      </c>
      <c r="B3914" s="2" t="s">
        <v>9</v>
      </c>
      <c r="C3914" s="2">
        <v>2</v>
      </c>
      <c r="D3914" s="2">
        <f t="shared" si="244"/>
        <v>2026</v>
      </c>
      <c r="E3914" s="2" t="str">
        <f t="shared" si="245"/>
        <v>2026-7</v>
      </c>
      <c r="F3914" s="2" t="str">
        <f t="shared" si="246"/>
        <v>Week 7</v>
      </c>
      <c r="G3914" s="2" t="str">
        <f t="shared" si="247"/>
        <v>Week 7-2026</v>
      </c>
      <c r="O3914"/>
      <c r="Q3914"/>
    </row>
    <row r="3915" spans="1:17" hidden="1" x14ac:dyDescent="0.2">
      <c r="A3915" s="3">
        <v>46062</v>
      </c>
      <c r="B3915" s="2" t="s">
        <v>3</v>
      </c>
      <c r="C3915" s="2">
        <v>2</v>
      </c>
      <c r="D3915" s="2">
        <f t="shared" si="244"/>
        <v>2026</v>
      </c>
      <c r="E3915" s="2" t="str">
        <f t="shared" si="245"/>
        <v>2026-7</v>
      </c>
      <c r="F3915" s="2" t="str">
        <f t="shared" si="246"/>
        <v>Week 7</v>
      </c>
      <c r="G3915" s="2" t="str">
        <f t="shared" si="247"/>
        <v>Week 7-2026</v>
      </c>
      <c r="O3915"/>
      <c r="Q3915"/>
    </row>
    <row r="3916" spans="1:17" hidden="1" x14ac:dyDescent="0.2">
      <c r="A3916" s="3">
        <v>46062</v>
      </c>
      <c r="B3916" s="2" t="s">
        <v>7</v>
      </c>
      <c r="C3916" s="2">
        <v>2</v>
      </c>
      <c r="D3916" s="2">
        <f t="shared" si="244"/>
        <v>2026</v>
      </c>
      <c r="E3916" s="2" t="str">
        <f t="shared" si="245"/>
        <v>2026-7</v>
      </c>
      <c r="F3916" s="2" t="str">
        <f t="shared" si="246"/>
        <v>Week 7</v>
      </c>
      <c r="G3916" s="2" t="str">
        <f t="shared" si="247"/>
        <v>Week 7-2026</v>
      </c>
      <c r="O3916"/>
      <c r="Q3916"/>
    </row>
    <row r="3917" spans="1:17" hidden="1" x14ac:dyDescent="0.2">
      <c r="A3917" s="3">
        <v>46062</v>
      </c>
      <c r="B3917" s="2" t="s">
        <v>27</v>
      </c>
      <c r="C3917" s="2">
        <v>4</v>
      </c>
      <c r="D3917" s="2">
        <f t="shared" si="244"/>
        <v>2026</v>
      </c>
      <c r="E3917" s="2" t="str">
        <f t="shared" si="245"/>
        <v>2026-7</v>
      </c>
      <c r="F3917" s="2" t="str">
        <f t="shared" si="246"/>
        <v>Week 7</v>
      </c>
      <c r="G3917" s="2" t="str">
        <f t="shared" si="247"/>
        <v>Week 7-2026</v>
      </c>
      <c r="O3917"/>
      <c r="Q3917"/>
    </row>
    <row r="3918" spans="1:17" hidden="1" x14ac:dyDescent="0.2">
      <c r="A3918" s="3">
        <v>46062</v>
      </c>
      <c r="B3918" s="2" t="s">
        <v>38</v>
      </c>
      <c r="C3918" s="2">
        <v>4</v>
      </c>
      <c r="D3918" s="2">
        <f t="shared" si="244"/>
        <v>2026</v>
      </c>
      <c r="E3918" s="2" t="str">
        <f t="shared" si="245"/>
        <v>2026-7</v>
      </c>
      <c r="F3918" s="2" t="str">
        <f t="shared" si="246"/>
        <v>Week 7</v>
      </c>
      <c r="G3918" s="2" t="str">
        <f t="shared" si="247"/>
        <v>Week 7-2026</v>
      </c>
      <c r="O3918"/>
      <c r="Q3918"/>
    </row>
    <row r="3919" spans="1:17" hidden="1" x14ac:dyDescent="0.2">
      <c r="A3919" s="3">
        <v>46062</v>
      </c>
      <c r="B3919" s="2" t="s">
        <v>9</v>
      </c>
      <c r="C3919" s="2">
        <v>2</v>
      </c>
      <c r="D3919" s="2">
        <f t="shared" si="244"/>
        <v>2026</v>
      </c>
      <c r="E3919" s="2" t="str">
        <f t="shared" si="245"/>
        <v>2026-7</v>
      </c>
      <c r="F3919" s="2" t="str">
        <f t="shared" si="246"/>
        <v>Week 7</v>
      </c>
      <c r="G3919" s="2" t="str">
        <f t="shared" si="247"/>
        <v>Week 7-2026</v>
      </c>
      <c r="O3919"/>
      <c r="Q3919"/>
    </row>
    <row r="3920" spans="1:17" hidden="1" x14ac:dyDescent="0.2">
      <c r="A3920" s="3">
        <v>46062</v>
      </c>
      <c r="B3920" s="2" t="s">
        <v>28</v>
      </c>
      <c r="C3920" s="2">
        <v>4</v>
      </c>
      <c r="D3920" s="2">
        <f t="shared" si="244"/>
        <v>2026</v>
      </c>
      <c r="E3920" s="2" t="str">
        <f t="shared" si="245"/>
        <v>2026-7</v>
      </c>
      <c r="F3920" s="2" t="str">
        <f t="shared" si="246"/>
        <v>Week 7</v>
      </c>
      <c r="G3920" s="2" t="str">
        <f t="shared" si="247"/>
        <v>Week 7-2026</v>
      </c>
      <c r="O3920"/>
      <c r="Q3920"/>
    </row>
    <row r="3921" spans="1:17" hidden="1" x14ac:dyDescent="0.2">
      <c r="A3921" s="3">
        <v>46063</v>
      </c>
      <c r="B3921" s="2" t="s">
        <v>6</v>
      </c>
      <c r="C3921" s="2">
        <v>4</v>
      </c>
      <c r="D3921" s="2">
        <f t="shared" si="244"/>
        <v>2026</v>
      </c>
      <c r="E3921" s="2" t="str">
        <f t="shared" si="245"/>
        <v>2026-7</v>
      </c>
      <c r="F3921" s="2" t="str">
        <f t="shared" si="246"/>
        <v>Week 7</v>
      </c>
      <c r="G3921" s="2" t="str">
        <f t="shared" si="247"/>
        <v>Week 7-2026</v>
      </c>
      <c r="O3921"/>
      <c r="Q3921"/>
    </row>
    <row r="3922" spans="1:17" hidden="1" x14ac:dyDescent="0.2">
      <c r="A3922" s="3">
        <v>46063</v>
      </c>
      <c r="B3922" s="2" t="s">
        <v>19</v>
      </c>
      <c r="C3922" s="2">
        <v>4</v>
      </c>
      <c r="D3922" s="2">
        <f t="shared" si="244"/>
        <v>2026</v>
      </c>
      <c r="E3922" s="2" t="str">
        <f t="shared" si="245"/>
        <v>2026-7</v>
      </c>
      <c r="F3922" s="2" t="str">
        <f t="shared" si="246"/>
        <v>Week 7</v>
      </c>
      <c r="G3922" s="2" t="str">
        <f t="shared" si="247"/>
        <v>Week 7-2026</v>
      </c>
      <c r="O3922"/>
      <c r="Q3922"/>
    </row>
    <row r="3923" spans="1:17" hidden="1" x14ac:dyDescent="0.2">
      <c r="A3923" s="3">
        <v>46063</v>
      </c>
      <c r="B3923" s="2" t="s">
        <v>3</v>
      </c>
      <c r="C3923" s="2">
        <v>4</v>
      </c>
      <c r="D3923" s="2">
        <f t="shared" si="244"/>
        <v>2026</v>
      </c>
      <c r="E3923" s="2" t="str">
        <f t="shared" si="245"/>
        <v>2026-7</v>
      </c>
      <c r="F3923" s="2" t="str">
        <f t="shared" si="246"/>
        <v>Week 7</v>
      </c>
      <c r="G3923" s="2" t="str">
        <f t="shared" si="247"/>
        <v>Week 7-2026</v>
      </c>
      <c r="O3923"/>
      <c r="Q3923"/>
    </row>
    <row r="3924" spans="1:17" hidden="1" x14ac:dyDescent="0.2">
      <c r="A3924" s="3">
        <v>46063</v>
      </c>
      <c r="B3924" s="2" t="s">
        <v>8</v>
      </c>
      <c r="C3924" s="2">
        <v>6</v>
      </c>
      <c r="D3924" s="2">
        <f t="shared" si="244"/>
        <v>2026</v>
      </c>
      <c r="E3924" s="2" t="str">
        <f t="shared" si="245"/>
        <v>2026-7</v>
      </c>
      <c r="F3924" s="2" t="str">
        <f t="shared" si="246"/>
        <v>Week 7</v>
      </c>
      <c r="G3924" s="2" t="str">
        <f t="shared" si="247"/>
        <v>Week 7-2026</v>
      </c>
      <c r="O3924"/>
      <c r="Q3924"/>
    </row>
    <row r="3925" spans="1:17" hidden="1" x14ac:dyDescent="0.2">
      <c r="A3925" s="3">
        <v>46063</v>
      </c>
      <c r="B3925" s="2" t="s">
        <v>14</v>
      </c>
      <c r="C3925" s="2">
        <v>4</v>
      </c>
      <c r="D3925" s="2">
        <f t="shared" si="244"/>
        <v>2026</v>
      </c>
      <c r="E3925" s="2" t="str">
        <f t="shared" si="245"/>
        <v>2026-7</v>
      </c>
      <c r="F3925" s="2" t="str">
        <f t="shared" si="246"/>
        <v>Week 7</v>
      </c>
      <c r="G3925" s="2" t="str">
        <f t="shared" si="247"/>
        <v>Week 7-2026</v>
      </c>
      <c r="O3925"/>
      <c r="Q3925"/>
    </row>
    <row r="3926" spans="1:17" hidden="1" x14ac:dyDescent="0.2">
      <c r="A3926" s="3">
        <v>46063</v>
      </c>
      <c r="B3926" s="2" t="s">
        <v>9</v>
      </c>
      <c r="C3926" s="2">
        <v>2</v>
      </c>
      <c r="D3926" s="2">
        <f t="shared" si="244"/>
        <v>2026</v>
      </c>
      <c r="E3926" s="2" t="str">
        <f t="shared" si="245"/>
        <v>2026-7</v>
      </c>
      <c r="F3926" s="2" t="str">
        <f t="shared" si="246"/>
        <v>Week 7</v>
      </c>
      <c r="G3926" s="2" t="str">
        <f t="shared" si="247"/>
        <v>Week 7-2026</v>
      </c>
      <c r="O3926"/>
      <c r="Q3926"/>
    </row>
    <row r="3927" spans="1:17" hidden="1" x14ac:dyDescent="0.2">
      <c r="A3927" s="3">
        <v>46063</v>
      </c>
      <c r="B3927" s="2" t="s">
        <v>8</v>
      </c>
      <c r="C3927" s="2">
        <v>4</v>
      </c>
      <c r="D3927" s="2">
        <f t="shared" si="244"/>
        <v>2026</v>
      </c>
      <c r="E3927" s="2" t="str">
        <f t="shared" si="245"/>
        <v>2026-7</v>
      </c>
      <c r="F3927" s="2" t="str">
        <f t="shared" si="246"/>
        <v>Week 7</v>
      </c>
      <c r="G3927" s="2" t="str">
        <f t="shared" si="247"/>
        <v>Week 7-2026</v>
      </c>
      <c r="O3927"/>
      <c r="Q3927"/>
    </row>
    <row r="3928" spans="1:17" hidden="1" x14ac:dyDescent="0.2">
      <c r="A3928" s="3">
        <v>46063</v>
      </c>
      <c r="B3928" s="2" t="s">
        <v>3</v>
      </c>
      <c r="C3928" s="2">
        <v>2</v>
      </c>
      <c r="D3928" s="2">
        <f t="shared" si="244"/>
        <v>2026</v>
      </c>
      <c r="E3928" s="2" t="str">
        <f t="shared" si="245"/>
        <v>2026-7</v>
      </c>
      <c r="F3928" s="2" t="str">
        <f t="shared" si="246"/>
        <v>Week 7</v>
      </c>
      <c r="G3928" s="2" t="str">
        <f t="shared" si="247"/>
        <v>Week 7-2026</v>
      </c>
      <c r="O3928"/>
      <c r="Q3928"/>
    </row>
    <row r="3929" spans="1:17" hidden="1" x14ac:dyDescent="0.2">
      <c r="A3929" s="3">
        <v>46064</v>
      </c>
      <c r="B3929" s="2" t="s">
        <v>12</v>
      </c>
      <c r="C3929" s="2">
        <v>4</v>
      </c>
      <c r="D3929" s="2">
        <f t="shared" si="244"/>
        <v>2026</v>
      </c>
      <c r="E3929" s="2" t="str">
        <f t="shared" si="245"/>
        <v>2026-7</v>
      </c>
      <c r="F3929" s="2" t="str">
        <f t="shared" si="246"/>
        <v>Week 7</v>
      </c>
      <c r="G3929" s="2" t="str">
        <f t="shared" si="247"/>
        <v>Week 7-2026</v>
      </c>
      <c r="O3929"/>
      <c r="Q3929"/>
    </row>
    <row r="3930" spans="1:17" hidden="1" x14ac:dyDescent="0.2">
      <c r="A3930" s="3">
        <v>46064</v>
      </c>
      <c r="B3930" s="2" t="s">
        <v>6</v>
      </c>
      <c r="C3930" s="2">
        <v>4</v>
      </c>
      <c r="D3930" s="2">
        <f t="shared" si="244"/>
        <v>2026</v>
      </c>
      <c r="E3930" s="2" t="str">
        <f t="shared" si="245"/>
        <v>2026-7</v>
      </c>
      <c r="F3930" s="2" t="str">
        <f t="shared" si="246"/>
        <v>Week 7</v>
      </c>
      <c r="G3930" s="2" t="str">
        <f t="shared" si="247"/>
        <v>Week 7-2026</v>
      </c>
      <c r="O3930"/>
      <c r="Q3930"/>
    </row>
    <row r="3931" spans="1:17" hidden="1" x14ac:dyDescent="0.2">
      <c r="A3931" s="3">
        <v>46064</v>
      </c>
      <c r="B3931" s="2" t="s">
        <v>45</v>
      </c>
      <c r="C3931" s="2">
        <v>8</v>
      </c>
      <c r="D3931" s="2">
        <f t="shared" si="244"/>
        <v>2026</v>
      </c>
      <c r="E3931" s="2" t="str">
        <f t="shared" si="245"/>
        <v>2026-7</v>
      </c>
      <c r="F3931" s="2" t="str">
        <f t="shared" si="246"/>
        <v>Week 7</v>
      </c>
      <c r="G3931" s="2" t="str">
        <f t="shared" si="247"/>
        <v>Week 7-2026</v>
      </c>
      <c r="O3931"/>
      <c r="Q3931"/>
    </row>
    <row r="3932" spans="1:17" hidden="1" x14ac:dyDescent="0.2">
      <c r="A3932" s="3">
        <v>46064</v>
      </c>
      <c r="B3932" s="2" t="s">
        <v>10</v>
      </c>
      <c r="C3932" s="2">
        <v>4</v>
      </c>
      <c r="D3932" s="2">
        <f t="shared" si="244"/>
        <v>2026</v>
      </c>
      <c r="E3932" s="2" t="str">
        <f t="shared" si="245"/>
        <v>2026-7</v>
      </c>
      <c r="F3932" s="2" t="str">
        <f t="shared" si="246"/>
        <v>Week 7</v>
      </c>
      <c r="G3932" s="2" t="str">
        <f t="shared" si="247"/>
        <v>Week 7-2026</v>
      </c>
      <c r="O3932"/>
      <c r="Q3932"/>
    </row>
    <row r="3933" spans="1:17" hidden="1" x14ac:dyDescent="0.2">
      <c r="A3933" s="3">
        <v>46064</v>
      </c>
      <c r="B3933" s="2" t="s">
        <v>6</v>
      </c>
      <c r="C3933" s="2">
        <v>2</v>
      </c>
      <c r="D3933" s="2">
        <f t="shared" si="244"/>
        <v>2026</v>
      </c>
      <c r="E3933" s="2" t="str">
        <f t="shared" si="245"/>
        <v>2026-7</v>
      </c>
      <c r="F3933" s="2" t="str">
        <f t="shared" si="246"/>
        <v>Week 7</v>
      </c>
      <c r="G3933" s="2" t="str">
        <f t="shared" si="247"/>
        <v>Week 7-2026</v>
      </c>
      <c r="O3933"/>
      <c r="Q3933"/>
    </row>
    <row r="3934" spans="1:17" hidden="1" x14ac:dyDescent="0.2">
      <c r="A3934" s="3">
        <v>46064</v>
      </c>
      <c r="B3934" s="2" t="s">
        <v>17</v>
      </c>
      <c r="C3934" s="2">
        <v>3</v>
      </c>
      <c r="D3934" s="2">
        <f t="shared" si="244"/>
        <v>2026</v>
      </c>
      <c r="E3934" s="2" t="str">
        <f t="shared" si="245"/>
        <v>2026-7</v>
      </c>
      <c r="F3934" s="2" t="str">
        <f t="shared" si="246"/>
        <v>Week 7</v>
      </c>
      <c r="G3934" s="2" t="str">
        <f t="shared" si="247"/>
        <v>Week 7-2026</v>
      </c>
      <c r="O3934"/>
      <c r="Q3934"/>
    </row>
    <row r="3935" spans="1:17" hidden="1" x14ac:dyDescent="0.2">
      <c r="A3935" s="3">
        <v>46064</v>
      </c>
      <c r="B3935" s="2" t="s">
        <v>9</v>
      </c>
      <c r="C3935" s="2">
        <v>2</v>
      </c>
      <c r="D3935" s="2">
        <f t="shared" si="244"/>
        <v>2026</v>
      </c>
      <c r="E3935" s="2" t="str">
        <f t="shared" si="245"/>
        <v>2026-7</v>
      </c>
      <c r="F3935" s="2" t="str">
        <f t="shared" si="246"/>
        <v>Week 7</v>
      </c>
      <c r="G3935" s="2" t="str">
        <f t="shared" si="247"/>
        <v>Week 7-2026</v>
      </c>
      <c r="O3935"/>
      <c r="Q3935"/>
    </row>
    <row r="3936" spans="1:17" hidden="1" x14ac:dyDescent="0.2">
      <c r="A3936" s="3">
        <v>46064</v>
      </c>
      <c r="B3936" s="2" t="s">
        <v>29</v>
      </c>
      <c r="C3936" s="2">
        <v>1</v>
      </c>
      <c r="D3936" s="2">
        <f t="shared" si="244"/>
        <v>2026</v>
      </c>
      <c r="E3936" s="2" t="str">
        <f t="shared" si="245"/>
        <v>2026-7</v>
      </c>
      <c r="F3936" s="2" t="str">
        <f t="shared" si="246"/>
        <v>Week 7</v>
      </c>
      <c r="G3936" s="2" t="str">
        <f t="shared" si="247"/>
        <v>Week 7-2026</v>
      </c>
      <c r="O3936"/>
      <c r="Q3936"/>
    </row>
    <row r="3937" spans="1:17" hidden="1" x14ac:dyDescent="0.2">
      <c r="A3937" s="3">
        <v>46064</v>
      </c>
      <c r="B3937" s="2" t="s">
        <v>27</v>
      </c>
      <c r="C3937" s="2">
        <v>2</v>
      </c>
      <c r="D3937" s="2">
        <f t="shared" si="244"/>
        <v>2026</v>
      </c>
      <c r="E3937" s="2" t="str">
        <f t="shared" si="245"/>
        <v>2026-7</v>
      </c>
      <c r="F3937" s="2" t="str">
        <f t="shared" si="246"/>
        <v>Week 7</v>
      </c>
      <c r="G3937" s="2" t="str">
        <f t="shared" si="247"/>
        <v>Week 7-2026</v>
      </c>
      <c r="O3937"/>
      <c r="Q3937"/>
    </row>
    <row r="3938" spans="1:17" hidden="1" x14ac:dyDescent="0.2">
      <c r="A3938" s="3">
        <v>46065</v>
      </c>
      <c r="B3938" s="2" t="s">
        <v>5</v>
      </c>
      <c r="C3938" s="2">
        <v>8</v>
      </c>
      <c r="D3938" s="2">
        <f t="shared" si="244"/>
        <v>2026</v>
      </c>
      <c r="E3938" s="2" t="str">
        <f t="shared" si="245"/>
        <v>2026-7</v>
      </c>
      <c r="F3938" s="2" t="str">
        <f t="shared" si="246"/>
        <v>Week 7</v>
      </c>
      <c r="G3938" s="2" t="str">
        <f t="shared" si="247"/>
        <v>Week 7-2026</v>
      </c>
      <c r="O3938"/>
      <c r="Q3938"/>
    </row>
    <row r="3939" spans="1:17" hidden="1" x14ac:dyDescent="0.2">
      <c r="A3939" s="3">
        <v>46065</v>
      </c>
      <c r="B3939" s="2" t="s">
        <v>9</v>
      </c>
      <c r="C3939" s="2">
        <v>4</v>
      </c>
      <c r="D3939" s="2">
        <f t="shared" si="244"/>
        <v>2026</v>
      </c>
      <c r="E3939" s="2" t="str">
        <f t="shared" si="245"/>
        <v>2026-7</v>
      </c>
      <c r="F3939" s="2" t="str">
        <f t="shared" si="246"/>
        <v>Week 7</v>
      </c>
      <c r="G3939" s="2" t="str">
        <f t="shared" si="247"/>
        <v>Week 7-2026</v>
      </c>
      <c r="O3939"/>
      <c r="Q3939"/>
    </row>
    <row r="3940" spans="1:17" x14ac:dyDescent="0.2">
      <c r="A3940" s="3">
        <v>46065</v>
      </c>
      <c r="B3940" s="2" t="s">
        <v>24</v>
      </c>
      <c r="C3940" s="2">
        <v>5</v>
      </c>
      <c r="D3940" s="2">
        <f t="shared" si="244"/>
        <v>2026</v>
      </c>
      <c r="E3940" s="2" t="str">
        <f t="shared" si="245"/>
        <v>2026-7</v>
      </c>
      <c r="F3940" s="2" t="str">
        <f t="shared" si="246"/>
        <v>Week 7</v>
      </c>
      <c r="G3940" s="2" t="str">
        <f t="shared" si="247"/>
        <v>Week 7-2026</v>
      </c>
      <c r="O3940"/>
      <c r="Q3940"/>
    </row>
    <row r="3941" spans="1:17" hidden="1" x14ac:dyDescent="0.2">
      <c r="A3941" s="3">
        <v>46067</v>
      </c>
      <c r="B3941" s="2" t="s">
        <v>5</v>
      </c>
      <c r="C3941" s="2">
        <v>11</v>
      </c>
      <c r="D3941" s="2">
        <f t="shared" si="244"/>
        <v>2026</v>
      </c>
      <c r="E3941" s="2" t="str">
        <f t="shared" si="245"/>
        <v>2026-7</v>
      </c>
      <c r="F3941" s="2" t="str">
        <f t="shared" si="246"/>
        <v>Week 7</v>
      </c>
      <c r="G3941" s="2" t="str">
        <f t="shared" si="247"/>
        <v>Week 7-2026</v>
      </c>
      <c r="O3941"/>
      <c r="Q3941"/>
    </row>
    <row r="3942" spans="1:17" hidden="1" x14ac:dyDescent="0.2">
      <c r="A3942" s="3">
        <v>46067</v>
      </c>
      <c r="B3942" s="2" t="s">
        <v>30</v>
      </c>
      <c r="C3942" s="2">
        <v>16</v>
      </c>
      <c r="D3942" s="2">
        <f t="shared" si="244"/>
        <v>2026</v>
      </c>
      <c r="E3942" s="2" t="str">
        <f t="shared" si="245"/>
        <v>2026-7</v>
      </c>
      <c r="F3942" s="2" t="str">
        <f t="shared" si="246"/>
        <v>Week 7</v>
      </c>
      <c r="G3942" s="2" t="str">
        <f t="shared" si="247"/>
        <v>Week 7-2026</v>
      </c>
      <c r="O3942"/>
      <c r="Q3942"/>
    </row>
    <row r="3943" spans="1:17" hidden="1" x14ac:dyDescent="0.2">
      <c r="A3943" s="3">
        <v>46067</v>
      </c>
      <c r="B3943" s="2" t="s">
        <v>3</v>
      </c>
      <c r="C3943" s="2">
        <v>8</v>
      </c>
      <c r="D3943" s="2">
        <f t="shared" si="244"/>
        <v>2026</v>
      </c>
      <c r="E3943" s="2" t="str">
        <f t="shared" si="245"/>
        <v>2026-7</v>
      </c>
      <c r="F3943" s="2" t="str">
        <f t="shared" si="246"/>
        <v>Week 7</v>
      </c>
      <c r="G3943" s="2" t="str">
        <f t="shared" si="247"/>
        <v>Week 7-2026</v>
      </c>
      <c r="O3943"/>
      <c r="Q3943"/>
    </row>
    <row r="3944" spans="1:17" hidden="1" x14ac:dyDescent="0.2">
      <c r="A3944" s="3">
        <v>46067</v>
      </c>
      <c r="B3944" s="2" t="s">
        <v>19</v>
      </c>
      <c r="C3944" s="2">
        <v>4</v>
      </c>
      <c r="D3944" s="2">
        <f t="shared" si="244"/>
        <v>2026</v>
      </c>
      <c r="E3944" s="2" t="str">
        <f t="shared" si="245"/>
        <v>2026-7</v>
      </c>
      <c r="F3944" s="2" t="str">
        <f t="shared" si="246"/>
        <v>Week 7</v>
      </c>
      <c r="G3944" s="2" t="str">
        <f t="shared" si="247"/>
        <v>Week 7-2026</v>
      </c>
      <c r="O3944"/>
      <c r="Q3944"/>
    </row>
    <row r="3945" spans="1:17" hidden="1" x14ac:dyDescent="0.2">
      <c r="A3945" s="3">
        <v>46067</v>
      </c>
      <c r="B3945" s="2" t="s">
        <v>5</v>
      </c>
      <c r="C3945" s="2">
        <v>5</v>
      </c>
      <c r="D3945" s="2">
        <f t="shared" si="244"/>
        <v>2026</v>
      </c>
      <c r="E3945" s="2" t="str">
        <f t="shared" si="245"/>
        <v>2026-7</v>
      </c>
      <c r="F3945" s="2" t="str">
        <f t="shared" si="246"/>
        <v>Week 7</v>
      </c>
      <c r="G3945" s="2" t="str">
        <f t="shared" si="247"/>
        <v>Week 7-2026</v>
      </c>
      <c r="O3945"/>
      <c r="Q3945"/>
    </row>
    <row r="3946" spans="1:17" hidden="1" x14ac:dyDescent="0.2">
      <c r="A3946" s="3">
        <v>46069</v>
      </c>
      <c r="B3946" s="2" t="s">
        <v>4</v>
      </c>
      <c r="C3946" s="2">
        <v>13</v>
      </c>
      <c r="D3946" s="2">
        <f t="shared" si="244"/>
        <v>2026</v>
      </c>
      <c r="E3946" s="2" t="str">
        <f t="shared" si="245"/>
        <v>2026-8</v>
      </c>
      <c r="F3946" s="2" t="str">
        <f t="shared" si="246"/>
        <v>Week 8</v>
      </c>
      <c r="G3946" s="2" t="str">
        <f t="shared" si="247"/>
        <v>Week 8-2026</v>
      </c>
      <c r="O3946"/>
      <c r="Q3946"/>
    </row>
    <row r="3947" spans="1:17" hidden="1" x14ac:dyDescent="0.2">
      <c r="A3947" s="3">
        <v>46069</v>
      </c>
      <c r="B3947" s="2" t="s">
        <v>35</v>
      </c>
      <c r="C3947" s="2">
        <v>28</v>
      </c>
      <c r="D3947" s="2">
        <f t="shared" si="244"/>
        <v>2026</v>
      </c>
      <c r="E3947" s="2" t="str">
        <f t="shared" si="245"/>
        <v>2026-8</v>
      </c>
      <c r="F3947" s="2" t="str">
        <f t="shared" si="246"/>
        <v>Week 8</v>
      </c>
      <c r="G3947" s="2" t="str">
        <f t="shared" si="247"/>
        <v>Week 8-2026</v>
      </c>
      <c r="O3947"/>
      <c r="Q3947"/>
    </row>
    <row r="3948" spans="1:17" hidden="1" x14ac:dyDescent="0.2">
      <c r="A3948" s="3">
        <v>46069</v>
      </c>
      <c r="B3948" s="2" t="s">
        <v>6</v>
      </c>
      <c r="C3948" s="2">
        <v>10</v>
      </c>
      <c r="D3948" s="2">
        <f t="shared" si="244"/>
        <v>2026</v>
      </c>
      <c r="E3948" s="2" t="str">
        <f t="shared" si="245"/>
        <v>2026-8</v>
      </c>
      <c r="F3948" s="2" t="str">
        <f t="shared" si="246"/>
        <v>Week 8</v>
      </c>
      <c r="G3948" s="2" t="str">
        <f t="shared" si="247"/>
        <v>Week 8-2026</v>
      </c>
      <c r="O3948"/>
      <c r="Q3948"/>
    </row>
    <row r="3949" spans="1:17" hidden="1" x14ac:dyDescent="0.2">
      <c r="A3949" s="3">
        <v>46069</v>
      </c>
      <c r="B3949" s="2" t="s">
        <v>18</v>
      </c>
      <c r="C3949" s="2">
        <v>9</v>
      </c>
      <c r="D3949" s="2">
        <f t="shared" si="244"/>
        <v>2026</v>
      </c>
      <c r="E3949" s="2" t="str">
        <f t="shared" si="245"/>
        <v>2026-8</v>
      </c>
      <c r="F3949" s="2" t="str">
        <f t="shared" si="246"/>
        <v>Week 8</v>
      </c>
      <c r="G3949" s="2" t="str">
        <f t="shared" si="247"/>
        <v>Week 8-2026</v>
      </c>
      <c r="O3949"/>
      <c r="Q3949"/>
    </row>
    <row r="3950" spans="1:17" hidden="1" x14ac:dyDescent="0.2">
      <c r="A3950" s="3">
        <v>46069</v>
      </c>
      <c r="B3950" s="2" t="s">
        <v>21</v>
      </c>
      <c r="C3950" s="2">
        <v>6</v>
      </c>
      <c r="D3950" s="2">
        <f t="shared" si="244"/>
        <v>2026</v>
      </c>
      <c r="E3950" s="2" t="str">
        <f t="shared" si="245"/>
        <v>2026-8</v>
      </c>
      <c r="F3950" s="2" t="str">
        <f t="shared" si="246"/>
        <v>Week 8</v>
      </c>
      <c r="G3950" s="2" t="str">
        <f t="shared" si="247"/>
        <v>Week 8-2026</v>
      </c>
      <c r="O3950"/>
      <c r="Q3950"/>
    </row>
    <row r="3951" spans="1:17" hidden="1" x14ac:dyDescent="0.2">
      <c r="A3951" s="3">
        <v>46069</v>
      </c>
      <c r="B3951" s="2" t="s">
        <v>4</v>
      </c>
      <c r="C3951" s="2">
        <v>9</v>
      </c>
      <c r="D3951" s="2">
        <f t="shared" si="244"/>
        <v>2026</v>
      </c>
      <c r="E3951" s="2" t="str">
        <f t="shared" si="245"/>
        <v>2026-8</v>
      </c>
      <c r="F3951" s="2" t="str">
        <f t="shared" si="246"/>
        <v>Week 8</v>
      </c>
      <c r="G3951" s="2" t="str">
        <f t="shared" si="247"/>
        <v>Week 8-2026</v>
      </c>
      <c r="O3951"/>
      <c r="Q3951"/>
    </row>
    <row r="3952" spans="1:17" hidden="1" x14ac:dyDescent="0.2">
      <c r="A3952" s="3">
        <v>46069</v>
      </c>
      <c r="B3952" s="2" t="s">
        <v>18</v>
      </c>
      <c r="C3952" s="2">
        <v>7</v>
      </c>
      <c r="D3952" s="2">
        <f t="shared" si="244"/>
        <v>2026</v>
      </c>
      <c r="E3952" s="2" t="str">
        <f t="shared" si="245"/>
        <v>2026-8</v>
      </c>
      <c r="F3952" s="2" t="str">
        <f t="shared" si="246"/>
        <v>Week 8</v>
      </c>
      <c r="G3952" s="2" t="str">
        <f t="shared" si="247"/>
        <v>Week 8-2026</v>
      </c>
      <c r="O3952"/>
      <c r="Q3952"/>
    </row>
    <row r="3953" spans="1:17" hidden="1" x14ac:dyDescent="0.2">
      <c r="A3953" s="3">
        <v>46069</v>
      </c>
      <c r="B3953" s="2" t="s">
        <v>29</v>
      </c>
      <c r="C3953" s="2">
        <v>11</v>
      </c>
      <c r="D3953" s="2">
        <f t="shared" si="244"/>
        <v>2026</v>
      </c>
      <c r="E3953" s="2" t="str">
        <f t="shared" si="245"/>
        <v>2026-8</v>
      </c>
      <c r="F3953" s="2" t="str">
        <f t="shared" si="246"/>
        <v>Week 8</v>
      </c>
      <c r="G3953" s="2" t="str">
        <f t="shared" si="247"/>
        <v>Week 8-2026</v>
      </c>
      <c r="O3953"/>
      <c r="Q3953"/>
    </row>
    <row r="3954" spans="1:17" hidden="1" x14ac:dyDescent="0.2">
      <c r="A3954" s="3">
        <v>46069</v>
      </c>
      <c r="B3954" s="2" t="s">
        <v>7</v>
      </c>
      <c r="C3954" s="2">
        <v>6</v>
      </c>
      <c r="D3954" s="2">
        <f t="shared" si="244"/>
        <v>2026</v>
      </c>
      <c r="E3954" s="2" t="str">
        <f t="shared" si="245"/>
        <v>2026-8</v>
      </c>
      <c r="F3954" s="2" t="str">
        <f t="shared" si="246"/>
        <v>Week 8</v>
      </c>
      <c r="G3954" s="2" t="str">
        <f t="shared" si="247"/>
        <v>Week 8-2026</v>
      </c>
      <c r="O3954"/>
      <c r="Q3954"/>
    </row>
    <row r="3955" spans="1:17" hidden="1" x14ac:dyDescent="0.2">
      <c r="A3955" s="3">
        <v>46069</v>
      </c>
      <c r="B3955" s="2" t="s">
        <v>17</v>
      </c>
      <c r="C3955" s="2">
        <v>8</v>
      </c>
      <c r="D3955" s="2">
        <f t="shared" si="244"/>
        <v>2026</v>
      </c>
      <c r="E3955" s="2" t="str">
        <f t="shared" si="245"/>
        <v>2026-8</v>
      </c>
      <c r="F3955" s="2" t="str">
        <f t="shared" si="246"/>
        <v>Week 8</v>
      </c>
      <c r="G3955" s="2" t="str">
        <f t="shared" si="247"/>
        <v>Week 8-2026</v>
      </c>
      <c r="O3955"/>
      <c r="Q3955"/>
    </row>
    <row r="3956" spans="1:17" hidden="1" x14ac:dyDescent="0.2">
      <c r="A3956" s="3">
        <v>46069</v>
      </c>
      <c r="B3956" s="2" t="s">
        <v>17</v>
      </c>
      <c r="C3956" s="2">
        <v>8</v>
      </c>
      <c r="D3956" s="2">
        <f t="shared" si="244"/>
        <v>2026</v>
      </c>
      <c r="E3956" s="2" t="str">
        <f t="shared" si="245"/>
        <v>2026-8</v>
      </c>
      <c r="F3956" s="2" t="str">
        <f t="shared" si="246"/>
        <v>Week 8</v>
      </c>
      <c r="G3956" s="2" t="str">
        <f t="shared" si="247"/>
        <v>Week 8-2026</v>
      </c>
      <c r="O3956"/>
      <c r="Q3956"/>
    </row>
    <row r="3957" spans="1:17" x14ac:dyDescent="0.2">
      <c r="A3957" s="3">
        <v>46069</v>
      </c>
      <c r="B3957" s="2" t="s">
        <v>24</v>
      </c>
      <c r="C3957" s="2">
        <v>14</v>
      </c>
      <c r="D3957" s="2">
        <f t="shared" si="244"/>
        <v>2026</v>
      </c>
      <c r="E3957" s="2" t="str">
        <f t="shared" si="245"/>
        <v>2026-8</v>
      </c>
      <c r="F3957" s="2" t="str">
        <f t="shared" si="246"/>
        <v>Week 8</v>
      </c>
      <c r="G3957" s="2" t="str">
        <f t="shared" si="247"/>
        <v>Week 8-2026</v>
      </c>
      <c r="O3957"/>
      <c r="Q3957"/>
    </row>
    <row r="3958" spans="1:17" hidden="1" x14ac:dyDescent="0.2">
      <c r="A3958" s="3">
        <v>46069</v>
      </c>
      <c r="B3958" s="2" t="s">
        <v>42</v>
      </c>
      <c r="C3958" s="2">
        <v>12</v>
      </c>
      <c r="D3958" s="2">
        <f t="shared" si="244"/>
        <v>2026</v>
      </c>
      <c r="E3958" s="2" t="str">
        <f t="shared" si="245"/>
        <v>2026-8</v>
      </c>
      <c r="F3958" s="2" t="str">
        <f t="shared" si="246"/>
        <v>Week 8</v>
      </c>
      <c r="G3958" s="2" t="str">
        <f t="shared" si="247"/>
        <v>Week 8-2026</v>
      </c>
      <c r="O3958"/>
      <c r="Q3958"/>
    </row>
    <row r="3959" spans="1:17" hidden="1" x14ac:dyDescent="0.2">
      <c r="A3959" s="3">
        <v>46069</v>
      </c>
      <c r="B3959" s="2" t="s">
        <v>6</v>
      </c>
      <c r="C3959" s="2">
        <v>4</v>
      </c>
      <c r="D3959" s="2">
        <f t="shared" si="244"/>
        <v>2026</v>
      </c>
      <c r="E3959" s="2" t="str">
        <f t="shared" si="245"/>
        <v>2026-8</v>
      </c>
      <c r="F3959" s="2" t="str">
        <f t="shared" si="246"/>
        <v>Week 8</v>
      </c>
      <c r="G3959" s="2" t="str">
        <f t="shared" si="247"/>
        <v>Week 8-2026</v>
      </c>
      <c r="O3959"/>
      <c r="Q3959"/>
    </row>
    <row r="3960" spans="1:17" hidden="1" x14ac:dyDescent="0.2">
      <c r="A3960" s="3">
        <v>46069</v>
      </c>
      <c r="B3960" s="2" t="s">
        <v>9</v>
      </c>
      <c r="C3960" s="2">
        <v>4</v>
      </c>
      <c r="D3960" s="2">
        <f t="shared" si="244"/>
        <v>2026</v>
      </c>
      <c r="E3960" s="2" t="str">
        <f t="shared" si="245"/>
        <v>2026-8</v>
      </c>
      <c r="F3960" s="2" t="str">
        <f t="shared" si="246"/>
        <v>Week 8</v>
      </c>
      <c r="G3960" s="2" t="str">
        <f t="shared" si="247"/>
        <v>Week 8-2026</v>
      </c>
      <c r="O3960"/>
      <c r="Q3960"/>
    </row>
    <row r="3961" spans="1:17" hidden="1" x14ac:dyDescent="0.2">
      <c r="A3961" s="3">
        <v>46069</v>
      </c>
      <c r="B3961" s="2" t="s">
        <v>5</v>
      </c>
      <c r="C3961" s="2">
        <v>4</v>
      </c>
      <c r="D3961" s="2">
        <f t="shared" si="244"/>
        <v>2026</v>
      </c>
      <c r="E3961" s="2" t="str">
        <f t="shared" si="245"/>
        <v>2026-8</v>
      </c>
      <c r="F3961" s="2" t="str">
        <f t="shared" si="246"/>
        <v>Week 8</v>
      </c>
      <c r="G3961" s="2" t="str">
        <f t="shared" si="247"/>
        <v>Week 8-2026</v>
      </c>
      <c r="O3961"/>
      <c r="Q3961"/>
    </row>
    <row r="3962" spans="1:17" hidden="1" x14ac:dyDescent="0.2">
      <c r="A3962" s="3">
        <v>46069</v>
      </c>
      <c r="B3962" s="2" t="s">
        <v>36</v>
      </c>
      <c r="C3962" s="2">
        <v>8</v>
      </c>
      <c r="D3962" s="2">
        <f t="shared" si="244"/>
        <v>2026</v>
      </c>
      <c r="E3962" s="2" t="str">
        <f t="shared" si="245"/>
        <v>2026-8</v>
      </c>
      <c r="F3962" s="2" t="str">
        <f t="shared" si="246"/>
        <v>Week 8</v>
      </c>
      <c r="G3962" s="2" t="str">
        <f t="shared" si="247"/>
        <v>Week 8-2026</v>
      </c>
      <c r="O3962"/>
      <c r="Q3962"/>
    </row>
    <row r="3963" spans="1:17" hidden="1" x14ac:dyDescent="0.2">
      <c r="A3963" s="3">
        <v>46069</v>
      </c>
      <c r="B3963" s="2" t="s">
        <v>28</v>
      </c>
      <c r="C3963" s="2">
        <v>6</v>
      </c>
      <c r="D3963" s="2">
        <f t="shared" si="244"/>
        <v>2026</v>
      </c>
      <c r="E3963" s="2" t="str">
        <f t="shared" si="245"/>
        <v>2026-8</v>
      </c>
      <c r="F3963" s="2" t="str">
        <f t="shared" si="246"/>
        <v>Week 8</v>
      </c>
      <c r="G3963" s="2" t="str">
        <f t="shared" si="247"/>
        <v>Week 8-2026</v>
      </c>
      <c r="O3963"/>
      <c r="Q3963"/>
    </row>
    <row r="3964" spans="1:17" hidden="1" x14ac:dyDescent="0.2">
      <c r="A3964" s="3">
        <v>46069</v>
      </c>
      <c r="B3964" s="2" t="s">
        <v>3</v>
      </c>
      <c r="C3964" s="2">
        <v>3</v>
      </c>
      <c r="D3964" s="2">
        <f t="shared" si="244"/>
        <v>2026</v>
      </c>
      <c r="E3964" s="2" t="str">
        <f t="shared" si="245"/>
        <v>2026-8</v>
      </c>
      <c r="F3964" s="2" t="str">
        <f t="shared" si="246"/>
        <v>Week 8</v>
      </c>
      <c r="G3964" s="2" t="str">
        <f t="shared" si="247"/>
        <v>Week 8-2026</v>
      </c>
      <c r="O3964"/>
      <c r="Q3964"/>
    </row>
    <row r="3965" spans="1:17" hidden="1" x14ac:dyDescent="0.2">
      <c r="A3965" s="3">
        <v>46069</v>
      </c>
      <c r="B3965" s="2" t="s">
        <v>10</v>
      </c>
      <c r="C3965" s="2">
        <v>4</v>
      </c>
      <c r="D3965" s="2">
        <f t="shared" si="244"/>
        <v>2026</v>
      </c>
      <c r="E3965" s="2" t="str">
        <f t="shared" si="245"/>
        <v>2026-8</v>
      </c>
      <c r="F3965" s="2" t="str">
        <f t="shared" si="246"/>
        <v>Week 8</v>
      </c>
      <c r="G3965" s="2" t="str">
        <f t="shared" si="247"/>
        <v>Week 8-2026</v>
      </c>
      <c r="O3965"/>
      <c r="Q3965"/>
    </row>
    <row r="3966" spans="1:17" hidden="1" x14ac:dyDescent="0.2">
      <c r="A3966" s="3">
        <v>46069</v>
      </c>
      <c r="B3966" s="2" t="s">
        <v>15</v>
      </c>
      <c r="C3966" s="2">
        <v>6</v>
      </c>
      <c r="D3966" s="2">
        <f t="shared" si="244"/>
        <v>2026</v>
      </c>
      <c r="E3966" s="2" t="str">
        <f t="shared" si="245"/>
        <v>2026-8</v>
      </c>
      <c r="F3966" s="2" t="str">
        <f t="shared" si="246"/>
        <v>Week 8</v>
      </c>
      <c r="G3966" s="2" t="str">
        <f t="shared" si="247"/>
        <v>Week 8-2026</v>
      </c>
      <c r="O3966"/>
      <c r="Q3966"/>
    </row>
    <row r="3967" spans="1:17" hidden="1" x14ac:dyDescent="0.2">
      <c r="A3967" s="3">
        <v>46069</v>
      </c>
      <c r="B3967" s="2" t="s">
        <v>4</v>
      </c>
      <c r="C3967" s="2">
        <v>2</v>
      </c>
      <c r="D3967" s="2">
        <f t="shared" si="244"/>
        <v>2026</v>
      </c>
      <c r="E3967" s="2" t="str">
        <f t="shared" si="245"/>
        <v>2026-8</v>
      </c>
      <c r="F3967" s="2" t="str">
        <f t="shared" si="246"/>
        <v>Week 8</v>
      </c>
      <c r="G3967" s="2" t="str">
        <f t="shared" si="247"/>
        <v>Week 8-2026</v>
      </c>
      <c r="O3967"/>
      <c r="Q3967"/>
    </row>
    <row r="3968" spans="1:17" hidden="1" x14ac:dyDescent="0.2">
      <c r="A3968" s="3">
        <v>46069</v>
      </c>
      <c r="B3968" s="2" t="s">
        <v>37</v>
      </c>
      <c r="C3968" s="2">
        <v>4</v>
      </c>
      <c r="D3968" s="2">
        <f t="shared" si="244"/>
        <v>2026</v>
      </c>
      <c r="E3968" s="2" t="str">
        <f t="shared" si="245"/>
        <v>2026-8</v>
      </c>
      <c r="F3968" s="2" t="str">
        <f t="shared" si="246"/>
        <v>Week 8</v>
      </c>
      <c r="G3968" s="2" t="str">
        <f t="shared" si="247"/>
        <v>Week 8-2026</v>
      </c>
      <c r="O3968"/>
      <c r="Q3968"/>
    </row>
    <row r="3969" spans="1:17" hidden="1" x14ac:dyDescent="0.2">
      <c r="A3969" s="3">
        <v>46069</v>
      </c>
      <c r="B3969" s="2" t="s">
        <v>9</v>
      </c>
      <c r="C3969" s="2">
        <v>2</v>
      </c>
      <c r="D3969" s="2">
        <f t="shared" si="244"/>
        <v>2026</v>
      </c>
      <c r="E3969" s="2" t="str">
        <f t="shared" si="245"/>
        <v>2026-8</v>
      </c>
      <c r="F3969" s="2" t="str">
        <f t="shared" si="246"/>
        <v>Week 8</v>
      </c>
      <c r="G3969" s="2" t="str">
        <f t="shared" si="247"/>
        <v>Week 8-2026</v>
      </c>
      <c r="O3969"/>
      <c r="Q3969"/>
    </row>
    <row r="3970" spans="1:17" x14ac:dyDescent="0.2">
      <c r="A3970" s="3">
        <v>46069</v>
      </c>
      <c r="B3970" s="2" t="s">
        <v>24</v>
      </c>
      <c r="C3970" s="2">
        <v>4</v>
      </c>
      <c r="D3970" s="2">
        <f t="shared" ref="D3970:D4033" si="248">YEAR(A3970)</f>
        <v>2026</v>
      </c>
      <c r="E3970" s="2" t="str">
        <f t="shared" ref="E3970:E4033" si="249">YEAR(A3970)&amp;"-"&amp;_xlfn.ISOWEEKNUM(A3970)</f>
        <v>2026-8</v>
      </c>
      <c r="F3970" s="2" t="str">
        <f t="shared" ref="F3970:F4033" si="250">_xlfn.CONCAT("Week "&amp;WEEKNUM(A3970))</f>
        <v>Week 8</v>
      </c>
      <c r="G3970" s="2" t="str">
        <f t="shared" ref="G3970:G4033" si="251">_xlfn.CONCAT(F3970,"-",D3970)</f>
        <v>Week 8-2026</v>
      </c>
      <c r="O3970"/>
      <c r="Q3970"/>
    </row>
    <row r="3971" spans="1:17" hidden="1" x14ac:dyDescent="0.2">
      <c r="A3971" s="3">
        <v>46069</v>
      </c>
      <c r="B3971" s="2" t="s">
        <v>8</v>
      </c>
      <c r="C3971" s="2">
        <v>2</v>
      </c>
      <c r="D3971" s="2">
        <f t="shared" si="248"/>
        <v>2026</v>
      </c>
      <c r="E3971" s="2" t="str">
        <f t="shared" si="249"/>
        <v>2026-8</v>
      </c>
      <c r="F3971" s="2" t="str">
        <f t="shared" si="250"/>
        <v>Week 8</v>
      </c>
      <c r="G3971" s="2" t="str">
        <f t="shared" si="251"/>
        <v>Week 8-2026</v>
      </c>
      <c r="O3971"/>
      <c r="Q3971"/>
    </row>
    <row r="3972" spans="1:17" hidden="1" x14ac:dyDescent="0.2">
      <c r="A3972" s="3">
        <v>46069</v>
      </c>
      <c r="B3972" s="2" t="s">
        <v>8</v>
      </c>
      <c r="C3972" s="2">
        <v>2</v>
      </c>
      <c r="D3972" s="2">
        <f t="shared" si="248"/>
        <v>2026</v>
      </c>
      <c r="E3972" s="2" t="str">
        <f t="shared" si="249"/>
        <v>2026-8</v>
      </c>
      <c r="F3972" s="2" t="str">
        <f t="shared" si="250"/>
        <v>Week 8</v>
      </c>
      <c r="G3972" s="2" t="str">
        <f t="shared" si="251"/>
        <v>Week 8-2026</v>
      </c>
      <c r="O3972"/>
      <c r="Q3972"/>
    </row>
    <row r="3973" spans="1:17" hidden="1" x14ac:dyDescent="0.2">
      <c r="A3973" s="3">
        <v>46069</v>
      </c>
      <c r="B3973" s="2" t="s">
        <v>35</v>
      </c>
      <c r="C3973" s="2">
        <v>2</v>
      </c>
      <c r="D3973" s="2">
        <f t="shared" si="248"/>
        <v>2026</v>
      </c>
      <c r="E3973" s="2" t="str">
        <f t="shared" si="249"/>
        <v>2026-8</v>
      </c>
      <c r="F3973" s="2" t="str">
        <f t="shared" si="250"/>
        <v>Week 8</v>
      </c>
      <c r="G3973" s="2" t="str">
        <f t="shared" si="251"/>
        <v>Week 8-2026</v>
      </c>
      <c r="O3973"/>
      <c r="Q3973"/>
    </row>
    <row r="3974" spans="1:17" hidden="1" x14ac:dyDescent="0.2">
      <c r="A3974" s="3">
        <v>46069</v>
      </c>
      <c r="B3974" s="2" t="s">
        <v>29</v>
      </c>
      <c r="C3974" s="2">
        <v>1</v>
      </c>
      <c r="D3974" s="2">
        <f t="shared" si="248"/>
        <v>2026</v>
      </c>
      <c r="E3974" s="2" t="str">
        <f t="shared" si="249"/>
        <v>2026-8</v>
      </c>
      <c r="F3974" s="2" t="str">
        <f t="shared" si="250"/>
        <v>Week 8</v>
      </c>
      <c r="G3974" s="2" t="str">
        <f t="shared" si="251"/>
        <v>Week 8-2026</v>
      </c>
      <c r="O3974"/>
      <c r="Q3974"/>
    </row>
    <row r="3975" spans="1:17" hidden="1" x14ac:dyDescent="0.2">
      <c r="A3975" s="3">
        <v>46069</v>
      </c>
      <c r="B3975" s="2" t="s">
        <v>42</v>
      </c>
      <c r="C3975" s="2">
        <v>2</v>
      </c>
      <c r="D3975" s="2">
        <f t="shared" si="248"/>
        <v>2026</v>
      </c>
      <c r="E3975" s="2" t="str">
        <f t="shared" si="249"/>
        <v>2026-8</v>
      </c>
      <c r="F3975" s="2" t="str">
        <f t="shared" si="250"/>
        <v>Week 8</v>
      </c>
      <c r="G3975" s="2" t="str">
        <f t="shared" si="251"/>
        <v>Week 8-2026</v>
      </c>
      <c r="O3975"/>
      <c r="Q3975"/>
    </row>
    <row r="3976" spans="1:17" hidden="1" x14ac:dyDescent="0.2">
      <c r="A3976" s="3">
        <v>46069</v>
      </c>
      <c r="B3976" s="2" t="s">
        <v>36</v>
      </c>
      <c r="C3976" s="2">
        <v>2</v>
      </c>
      <c r="D3976" s="2">
        <f t="shared" si="248"/>
        <v>2026</v>
      </c>
      <c r="E3976" s="2" t="str">
        <f t="shared" si="249"/>
        <v>2026-8</v>
      </c>
      <c r="F3976" s="2" t="str">
        <f t="shared" si="250"/>
        <v>Week 8</v>
      </c>
      <c r="G3976" s="2" t="str">
        <f t="shared" si="251"/>
        <v>Week 8-2026</v>
      </c>
      <c r="O3976"/>
      <c r="Q3976"/>
    </row>
    <row r="3977" spans="1:17" hidden="1" x14ac:dyDescent="0.2">
      <c r="A3977" s="3">
        <v>46069</v>
      </c>
      <c r="B3977" s="2" t="s">
        <v>36</v>
      </c>
      <c r="C3977" s="2">
        <v>2</v>
      </c>
      <c r="D3977" s="2">
        <f t="shared" si="248"/>
        <v>2026</v>
      </c>
      <c r="E3977" s="2" t="str">
        <f t="shared" si="249"/>
        <v>2026-8</v>
      </c>
      <c r="F3977" s="2" t="str">
        <f t="shared" si="250"/>
        <v>Week 8</v>
      </c>
      <c r="G3977" s="2" t="str">
        <f t="shared" si="251"/>
        <v>Week 8-2026</v>
      </c>
      <c r="O3977"/>
      <c r="Q3977"/>
    </row>
    <row r="3978" spans="1:17" hidden="1" x14ac:dyDescent="0.2">
      <c r="A3978" s="3">
        <v>46069</v>
      </c>
      <c r="B3978" s="2" t="s">
        <v>36</v>
      </c>
      <c r="C3978" s="2">
        <v>2</v>
      </c>
      <c r="D3978" s="2">
        <f t="shared" si="248"/>
        <v>2026</v>
      </c>
      <c r="E3978" s="2" t="str">
        <f t="shared" si="249"/>
        <v>2026-8</v>
      </c>
      <c r="F3978" s="2" t="str">
        <f t="shared" si="250"/>
        <v>Week 8</v>
      </c>
      <c r="G3978" s="2" t="str">
        <f t="shared" si="251"/>
        <v>Week 8-2026</v>
      </c>
      <c r="O3978"/>
      <c r="Q3978"/>
    </row>
    <row r="3979" spans="1:17" hidden="1" x14ac:dyDescent="0.2">
      <c r="A3979" s="3">
        <v>46070</v>
      </c>
      <c r="B3979" s="2" t="s">
        <v>5</v>
      </c>
      <c r="C3979" s="2">
        <v>28</v>
      </c>
      <c r="D3979" s="2">
        <f t="shared" si="248"/>
        <v>2026</v>
      </c>
      <c r="E3979" s="2" t="str">
        <f t="shared" si="249"/>
        <v>2026-8</v>
      </c>
      <c r="F3979" s="2" t="str">
        <f t="shared" si="250"/>
        <v>Week 8</v>
      </c>
      <c r="G3979" s="2" t="str">
        <f t="shared" si="251"/>
        <v>Week 8-2026</v>
      </c>
      <c r="O3979"/>
      <c r="Q3979"/>
    </row>
    <row r="3980" spans="1:17" hidden="1" x14ac:dyDescent="0.2">
      <c r="A3980" s="3">
        <v>46070</v>
      </c>
      <c r="B3980" s="2" t="s">
        <v>9</v>
      </c>
      <c r="C3980" s="2">
        <v>12</v>
      </c>
      <c r="D3980" s="2">
        <f t="shared" si="248"/>
        <v>2026</v>
      </c>
      <c r="E3980" s="2" t="str">
        <f t="shared" si="249"/>
        <v>2026-8</v>
      </c>
      <c r="F3980" s="2" t="str">
        <f t="shared" si="250"/>
        <v>Week 8</v>
      </c>
      <c r="G3980" s="2" t="str">
        <f t="shared" si="251"/>
        <v>Week 8-2026</v>
      </c>
      <c r="O3980"/>
      <c r="Q3980"/>
    </row>
    <row r="3981" spans="1:17" hidden="1" x14ac:dyDescent="0.2">
      <c r="A3981" s="3">
        <v>46070</v>
      </c>
      <c r="B3981" s="2" t="s">
        <v>5</v>
      </c>
      <c r="C3981" s="2">
        <v>13</v>
      </c>
      <c r="D3981" s="2">
        <f t="shared" si="248"/>
        <v>2026</v>
      </c>
      <c r="E3981" s="2" t="str">
        <f t="shared" si="249"/>
        <v>2026-8</v>
      </c>
      <c r="F3981" s="2" t="str">
        <f t="shared" si="250"/>
        <v>Week 8</v>
      </c>
      <c r="G3981" s="2" t="str">
        <f t="shared" si="251"/>
        <v>Week 8-2026</v>
      </c>
      <c r="O3981"/>
      <c r="Q3981"/>
    </row>
    <row r="3982" spans="1:17" hidden="1" x14ac:dyDescent="0.2">
      <c r="A3982" s="3">
        <v>46070</v>
      </c>
      <c r="B3982" s="2" t="s">
        <v>5</v>
      </c>
      <c r="C3982" s="2">
        <v>13</v>
      </c>
      <c r="D3982" s="2">
        <f t="shared" si="248"/>
        <v>2026</v>
      </c>
      <c r="E3982" s="2" t="str">
        <f t="shared" si="249"/>
        <v>2026-8</v>
      </c>
      <c r="F3982" s="2" t="str">
        <f t="shared" si="250"/>
        <v>Week 8</v>
      </c>
      <c r="G3982" s="2" t="str">
        <f t="shared" si="251"/>
        <v>Week 8-2026</v>
      </c>
      <c r="O3982"/>
      <c r="Q3982"/>
    </row>
    <row r="3983" spans="1:17" hidden="1" x14ac:dyDescent="0.2">
      <c r="A3983" s="3">
        <v>46070</v>
      </c>
      <c r="B3983" s="2" t="s">
        <v>4</v>
      </c>
      <c r="C3983" s="2">
        <v>8</v>
      </c>
      <c r="D3983" s="2">
        <f t="shared" si="248"/>
        <v>2026</v>
      </c>
      <c r="E3983" s="2" t="str">
        <f t="shared" si="249"/>
        <v>2026-8</v>
      </c>
      <c r="F3983" s="2" t="str">
        <f t="shared" si="250"/>
        <v>Week 8</v>
      </c>
      <c r="G3983" s="2" t="str">
        <f t="shared" si="251"/>
        <v>Week 8-2026</v>
      </c>
      <c r="O3983"/>
      <c r="Q3983"/>
    </row>
    <row r="3984" spans="1:17" hidden="1" x14ac:dyDescent="0.2">
      <c r="A3984" s="3">
        <v>46070</v>
      </c>
      <c r="B3984" s="2" t="s">
        <v>3</v>
      </c>
      <c r="C3984" s="2">
        <v>8</v>
      </c>
      <c r="D3984" s="2">
        <f t="shared" si="248"/>
        <v>2026</v>
      </c>
      <c r="E3984" s="2" t="str">
        <f t="shared" si="249"/>
        <v>2026-8</v>
      </c>
      <c r="F3984" s="2" t="str">
        <f t="shared" si="250"/>
        <v>Week 8</v>
      </c>
      <c r="G3984" s="2" t="str">
        <f t="shared" si="251"/>
        <v>Week 8-2026</v>
      </c>
      <c r="O3984"/>
      <c r="Q3984"/>
    </row>
    <row r="3985" spans="1:17" hidden="1" x14ac:dyDescent="0.2">
      <c r="A3985" s="3">
        <v>46070</v>
      </c>
      <c r="B3985" s="2" t="s">
        <v>3</v>
      </c>
      <c r="C3985" s="2">
        <v>6</v>
      </c>
      <c r="D3985" s="2">
        <f t="shared" si="248"/>
        <v>2026</v>
      </c>
      <c r="E3985" s="2" t="str">
        <f t="shared" si="249"/>
        <v>2026-8</v>
      </c>
      <c r="F3985" s="2" t="str">
        <f t="shared" si="250"/>
        <v>Week 8</v>
      </c>
      <c r="G3985" s="2" t="str">
        <f t="shared" si="251"/>
        <v>Week 8-2026</v>
      </c>
      <c r="O3985"/>
      <c r="Q3985"/>
    </row>
    <row r="3986" spans="1:17" hidden="1" x14ac:dyDescent="0.2">
      <c r="A3986" s="3">
        <v>46070</v>
      </c>
      <c r="B3986" s="2" t="s">
        <v>10</v>
      </c>
      <c r="C3986" s="2">
        <v>8</v>
      </c>
      <c r="D3986" s="2">
        <f t="shared" si="248"/>
        <v>2026</v>
      </c>
      <c r="E3986" s="2" t="str">
        <f t="shared" si="249"/>
        <v>2026-8</v>
      </c>
      <c r="F3986" s="2" t="str">
        <f t="shared" si="250"/>
        <v>Week 8</v>
      </c>
      <c r="G3986" s="2" t="str">
        <f t="shared" si="251"/>
        <v>Week 8-2026</v>
      </c>
      <c r="O3986"/>
      <c r="Q3986"/>
    </row>
    <row r="3987" spans="1:17" hidden="1" x14ac:dyDescent="0.2">
      <c r="A3987" s="3">
        <v>46070</v>
      </c>
      <c r="B3987" s="2" t="s">
        <v>30</v>
      </c>
      <c r="C3987" s="2">
        <v>11</v>
      </c>
      <c r="D3987" s="2">
        <f t="shared" si="248"/>
        <v>2026</v>
      </c>
      <c r="E3987" s="2" t="str">
        <f t="shared" si="249"/>
        <v>2026-8</v>
      </c>
      <c r="F3987" s="2" t="str">
        <f t="shared" si="250"/>
        <v>Week 8</v>
      </c>
      <c r="G3987" s="2" t="str">
        <f t="shared" si="251"/>
        <v>Week 8-2026</v>
      </c>
      <c r="O3987"/>
      <c r="Q3987"/>
    </row>
    <row r="3988" spans="1:17" hidden="1" x14ac:dyDescent="0.2">
      <c r="A3988" s="3">
        <v>46070</v>
      </c>
      <c r="B3988" s="2" t="s">
        <v>14</v>
      </c>
      <c r="C3988" s="2">
        <v>8</v>
      </c>
      <c r="D3988" s="2">
        <f t="shared" si="248"/>
        <v>2026</v>
      </c>
      <c r="E3988" s="2" t="str">
        <f t="shared" si="249"/>
        <v>2026-8</v>
      </c>
      <c r="F3988" s="2" t="str">
        <f t="shared" si="250"/>
        <v>Week 8</v>
      </c>
      <c r="G3988" s="2" t="str">
        <f t="shared" si="251"/>
        <v>Week 8-2026</v>
      </c>
      <c r="O3988"/>
      <c r="Q3988"/>
    </row>
    <row r="3989" spans="1:17" hidden="1" x14ac:dyDescent="0.2">
      <c r="A3989" s="3">
        <v>46070</v>
      </c>
      <c r="B3989" s="2" t="s">
        <v>36</v>
      </c>
      <c r="C3989" s="2">
        <v>6</v>
      </c>
      <c r="D3989" s="2">
        <f t="shared" si="248"/>
        <v>2026</v>
      </c>
      <c r="E3989" s="2" t="str">
        <f t="shared" si="249"/>
        <v>2026-8</v>
      </c>
      <c r="F3989" s="2" t="str">
        <f t="shared" si="250"/>
        <v>Week 8</v>
      </c>
      <c r="G3989" s="2" t="str">
        <f t="shared" si="251"/>
        <v>Week 8-2026</v>
      </c>
      <c r="O3989"/>
      <c r="Q3989"/>
    </row>
    <row r="3990" spans="1:17" hidden="1" x14ac:dyDescent="0.2">
      <c r="A3990" s="3">
        <v>46070</v>
      </c>
      <c r="B3990" s="2" t="s">
        <v>8</v>
      </c>
      <c r="C3990" s="2">
        <v>4</v>
      </c>
      <c r="D3990" s="2">
        <f t="shared" si="248"/>
        <v>2026</v>
      </c>
      <c r="E3990" s="2" t="str">
        <f t="shared" si="249"/>
        <v>2026-8</v>
      </c>
      <c r="F3990" s="2" t="str">
        <f t="shared" si="250"/>
        <v>Week 8</v>
      </c>
      <c r="G3990" s="2" t="str">
        <f t="shared" si="251"/>
        <v>Week 8-2026</v>
      </c>
      <c r="O3990"/>
      <c r="Q3990"/>
    </row>
    <row r="3991" spans="1:17" hidden="1" x14ac:dyDescent="0.2">
      <c r="A3991" s="3">
        <v>46070</v>
      </c>
      <c r="B3991" s="2" t="s">
        <v>28</v>
      </c>
      <c r="C3991" s="2">
        <v>4</v>
      </c>
      <c r="D3991" s="2">
        <f t="shared" si="248"/>
        <v>2026</v>
      </c>
      <c r="E3991" s="2" t="str">
        <f t="shared" si="249"/>
        <v>2026-8</v>
      </c>
      <c r="F3991" s="2" t="str">
        <f t="shared" si="250"/>
        <v>Week 8</v>
      </c>
      <c r="G3991" s="2" t="str">
        <f t="shared" si="251"/>
        <v>Week 8-2026</v>
      </c>
      <c r="O3991"/>
      <c r="Q3991"/>
    </row>
    <row r="3992" spans="1:17" hidden="1" x14ac:dyDescent="0.2">
      <c r="A3992" s="3">
        <v>46070</v>
      </c>
      <c r="B3992" s="2" t="s">
        <v>28</v>
      </c>
      <c r="C3992" s="2">
        <v>2</v>
      </c>
      <c r="D3992" s="2">
        <f t="shared" si="248"/>
        <v>2026</v>
      </c>
      <c r="E3992" s="2" t="str">
        <f t="shared" si="249"/>
        <v>2026-8</v>
      </c>
      <c r="F3992" s="2" t="str">
        <f t="shared" si="250"/>
        <v>Week 8</v>
      </c>
      <c r="G3992" s="2" t="str">
        <f t="shared" si="251"/>
        <v>Week 8-2026</v>
      </c>
      <c r="O3992"/>
      <c r="Q3992"/>
    </row>
    <row r="3993" spans="1:17" hidden="1" x14ac:dyDescent="0.2">
      <c r="A3993" s="3">
        <v>46070</v>
      </c>
      <c r="B3993" s="2" t="s">
        <v>30</v>
      </c>
      <c r="C3993" s="2">
        <v>2</v>
      </c>
      <c r="D3993" s="2">
        <f t="shared" si="248"/>
        <v>2026</v>
      </c>
      <c r="E3993" s="2" t="str">
        <f t="shared" si="249"/>
        <v>2026-8</v>
      </c>
      <c r="F3993" s="2" t="str">
        <f t="shared" si="250"/>
        <v>Week 8</v>
      </c>
      <c r="G3993" s="2" t="str">
        <f t="shared" si="251"/>
        <v>Week 8-2026</v>
      </c>
      <c r="O3993"/>
      <c r="Q3993"/>
    </row>
    <row r="3994" spans="1:17" hidden="1" x14ac:dyDescent="0.2">
      <c r="A3994" s="3">
        <v>46070</v>
      </c>
      <c r="B3994" s="2" t="s">
        <v>15</v>
      </c>
      <c r="C3994" s="2">
        <v>2</v>
      </c>
      <c r="D3994" s="2">
        <f t="shared" si="248"/>
        <v>2026</v>
      </c>
      <c r="E3994" s="2" t="str">
        <f t="shared" si="249"/>
        <v>2026-8</v>
      </c>
      <c r="F3994" s="2" t="str">
        <f t="shared" si="250"/>
        <v>Week 8</v>
      </c>
      <c r="G3994" s="2" t="str">
        <f t="shared" si="251"/>
        <v>Week 8-2026</v>
      </c>
      <c r="O3994"/>
      <c r="Q3994"/>
    </row>
    <row r="3995" spans="1:17" hidden="1" x14ac:dyDescent="0.2">
      <c r="A3995" s="3">
        <v>46071</v>
      </c>
      <c r="B3995" s="2" t="s">
        <v>9</v>
      </c>
      <c r="C3995" s="2">
        <v>8</v>
      </c>
      <c r="D3995" s="2">
        <f t="shared" si="248"/>
        <v>2026</v>
      </c>
      <c r="E3995" s="2" t="str">
        <f t="shared" si="249"/>
        <v>2026-8</v>
      </c>
      <c r="F3995" s="2" t="str">
        <f t="shared" si="250"/>
        <v>Week 8</v>
      </c>
      <c r="G3995" s="2" t="str">
        <f t="shared" si="251"/>
        <v>Week 8-2026</v>
      </c>
      <c r="O3995"/>
      <c r="Q3995"/>
    </row>
    <row r="3996" spans="1:17" hidden="1" x14ac:dyDescent="0.2">
      <c r="A3996" s="3">
        <v>46071</v>
      </c>
      <c r="B3996" s="2" t="s">
        <v>3</v>
      </c>
      <c r="C3996" s="2">
        <v>8</v>
      </c>
      <c r="D3996" s="2">
        <f t="shared" si="248"/>
        <v>2026</v>
      </c>
      <c r="E3996" s="2" t="str">
        <f t="shared" si="249"/>
        <v>2026-8</v>
      </c>
      <c r="F3996" s="2" t="str">
        <f t="shared" si="250"/>
        <v>Week 8</v>
      </c>
      <c r="G3996" s="2" t="str">
        <f t="shared" si="251"/>
        <v>Week 8-2026</v>
      </c>
      <c r="O3996"/>
      <c r="Q3996"/>
    </row>
    <row r="3997" spans="1:17" hidden="1" x14ac:dyDescent="0.2">
      <c r="A3997" s="3">
        <v>46071</v>
      </c>
      <c r="B3997" s="2" t="s">
        <v>5</v>
      </c>
      <c r="C3997" s="2">
        <v>8</v>
      </c>
      <c r="D3997" s="2">
        <f t="shared" si="248"/>
        <v>2026</v>
      </c>
      <c r="E3997" s="2" t="str">
        <f t="shared" si="249"/>
        <v>2026-8</v>
      </c>
      <c r="F3997" s="2" t="str">
        <f t="shared" si="250"/>
        <v>Week 8</v>
      </c>
      <c r="G3997" s="2" t="str">
        <f t="shared" si="251"/>
        <v>Week 8-2026</v>
      </c>
      <c r="O3997"/>
      <c r="Q3997"/>
    </row>
    <row r="3998" spans="1:17" hidden="1" x14ac:dyDescent="0.2">
      <c r="A3998" s="3">
        <v>46071</v>
      </c>
      <c r="B3998" s="2" t="s">
        <v>14</v>
      </c>
      <c r="C3998" s="2">
        <v>4</v>
      </c>
      <c r="D3998" s="2">
        <f t="shared" si="248"/>
        <v>2026</v>
      </c>
      <c r="E3998" s="2" t="str">
        <f t="shared" si="249"/>
        <v>2026-8</v>
      </c>
      <c r="F3998" s="2" t="str">
        <f t="shared" si="250"/>
        <v>Week 8</v>
      </c>
      <c r="G3998" s="2" t="str">
        <f t="shared" si="251"/>
        <v>Week 8-2026</v>
      </c>
      <c r="O3998"/>
      <c r="Q3998"/>
    </row>
    <row r="3999" spans="1:17" hidden="1" x14ac:dyDescent="0.2">
      <c r="A3999" s="3">
        <v>46071</v>
      </c>
      <c r="B3999" s="2" t="s">
        <v>5</v>
      </c>
      <c r="C3999" s="2">
        <v>2</v>
      </c>
      <c r="D3999" s="2">
        <f t="shared" si="248"/>
        <v>2026</v>
      </c>
      <c r="E3999" s="2" t="str">
        <f t="shared" si="249"/>
        <v>2026-8</v>
      </c>
      <c r="F3999" s="2" t="str">
        <f t="shared" si="250"/>
        <v>Week 8</v>
      </c>
      <c r="G3999" s="2" t="str">
        <f t="shared" si="251"/>
        <v>Week 8-2026</v>
      </c>
      <c r="O3999"/>
      <c r="Q3999"/>
    </row>
    <row r="4000" spans="1:17" hidden="1" x14ac:dyDescent="0.2">
      <c r="A4000" s="3">
        <v>46072</v>
      </c>
      <c r="B4000" s="2" t="s">
        <v>3</v>
      </c>
      <c r="C4000" s="2">
        <v>10</v>
      </c>
      <c r="D4000" s="2">
        <f t="shared" si="248"/>
        <v>2026</v>
      </c>
      <c r="E4000" s="2" t="str">
        <f t="shared" si="249"/>
        <v>2026-8</v>
      </c>
      <c r="F4000" s="2" t="str">
        <f t="shared" si="250"/>
        <v>Week 8</v>
      </c>
      <c r="G4000" s="2" t="str">
        <f t="shared" si="251"/>
        <v>Week 8-2026</v>
      </c>
      <c r="O4000"/>
      <c r="Q4000"/>
    </row>
    <row r="4001" spans="1:17" hidden="1" x14ac:dyDescent="0.2">
      <c r="A4001" s="3">
        <v>46072</v>
      </c>
      <c r="B4001" s="2" t="s">
        <v>3</v>
      </c>
      <c r="C4001" s="2">
        <v>6</v>
      </c>
      <c r="D4001" s="2">
        <f t="shared" si="248"/>
        <v>2026</v>
      </c>
      <c r="E4001" s="2" t="str">
        <f t="shared" si="249"/>
        <v>2026-8</v>
      </c>
      <c r="F4001" s="2" t="str">
        <f t="shared" si="250"/>
        <v>Week 8</v>
      </c>
      <c r="G4001" s="2" t="str">
        <f t="shared" si="251"/>
        <v>Week 8-2026</v>
      </c>
      <c r="O4001"/>
      <c r="Q4001"/>
    </row>
    <row r="4002" spans="1:17" hidden="1" x14ac:dyDescent="0.2">
      <c r="A4002" s="3">
        <v>46073</v>
      </c>
      <c r="B4002" s="2" t="s">
        <v>3</v>
      </c>
      <c r="C4002" s="2">
        <v>8</v>
      </c>
      <c r="D4002" s="2">
        <f t="shared" si="248"/>
        <v>2026</v>
      </c>
      <c r="E4002" s="2" t="str">
        <f t="shared" si="249"/>
        <v>2026-8</v>
      </c>
      <c r="F4002" s="2" t="str">
        <f t="shared" si="250"/>
        <v>Week 8</v>
      </c>
      <c r="G4002" s="2" t="str">
        <f t="shared" si="251"/>
        <v>Week 8-2026</v>
      </c>
      <c r="O4002"/>
      <c r="Q4002"/>
    </row>
    <row r="4003" spans="1:17" hidden="1" x14ac:dyDescent="0.2">
      <c r="A4003" s="3">
        <v>46073</v>
      </c>
      <c r="B4003" s="2" t="s">
        <v>5</v>
      </c>
      <c r="C4003" s="2">
        <v>8</v>
      </c>
      <c r="D4003" s="2">
        <f t="shared" si="248"/>
        <v>2026</v>
      </c>
      <c r="E4003" s="2" t="str">
        <f t="shared" si="249"/>
        <v>2026-8</v>
      </c>
      <c r="F4003" s="2" t="str">
        <f t="shared" si="250"/>
        <v>Week 8</v>
      </c>
      <c r="G4003" s="2" t="str">
        <f t="shared" si="251"/>
        <v>Week 8-2026</v>
      </c>
      <c r="O4003"/>
      <c r="Q4003"/>
    </row>
    <row r="4004" spans="1:17" hidden="1" x14ac:dyDescent="0.2">
      <c r="A4004" s="3">
        <v>46073</v>
      </c>
      <c r="B4004" s="2" t="s">
        <v>27</v>
      </c>
      <c r="C4004" s="2">
        <v>12</v>
      </c>
      <c r="D4004" s="2">
        <f t="shared" si="248"/>
        <v>2026</v>
      </c>
      <c r="E4004" s="2" t="str">
        <f t="shared" si="249"/>
        <v>2026-8</v>
      </c>
      <c r="F4004" s="2" t="str">
        <f t="shared" si="250"/>
        <v>Week 8</v>
      </c>
      <c r="G4004" s="2" t="str">
        <f t="shared" si="251"/>
        <v>Week 8-2026</v>
      </c>
      <c r="O4004"/>
      <c r="Q4004"/>
    </row>
    <row r="4005" spans="1:17" hidden="1" x14ac:dyDescent="0.2">
      <c r="A4005" s="3">
        <v>46073</v>
      </c>
      <c r="B4005" s="2" t="s">
        <v>5</v>
      </c>
      <c r="C4005" s="2">
        <v>6</v>
      </c>
      <c r="D4005" s="2">
        <f t="shared" si="248"/>
        <v>2026</v>
      </c>
      <c r="E4005" s="2" t="str">
        <f t="shared" si="249"/>
        <v>2026-8</v>
      </c>
      <c r="F4005" s="2" t="str">
        <f t="shared" si="250"/>
        <v>Week 8</v>
      </c>
      <c r="G4005" s="2" t="str">
        <f t="shared" si="251"/>
        <v>Week 8-2026</v>
      </c>
      <c r="O4005"/>
      <c r="Q4005"/>
    </row>
    <row r="4006" spans="1:17" hidden="1" x14ac:dyDescent="0.2">
      <c r="A4006" s="3">
        <v>46073</v>
      </c>
      <c r="B4006" s="2" t="s">
        <v>5</v>
      </c>
      <c r="C4006" s="2">
        <v>4</v>
      </c>
      <c r="D4006" s="2">
        <f t="shared" si="248"/>
        <v>2026</v>
      </c>
      <c r="E4006" s="2" t="str">
        <f t="shared" si="249"/>
        <v>2026-8</v>
      </c>
      <c r="F4006" s="2" t="str">
        <f t="shared" si="250"/>
        <v>Week 8</v>
      </c>
      <c r="G4006" s="2" t="str">
        <f t="shared" si="251"/>
        <v>Week 8-2026</v>
      </c>
      <c r="O4006"/>
      <c r="Q4006"/>
    </row>
    <row r="4007" spans="1:17" hidden="1" x14ac:dyDescent="0.2">
      <c r="A4007" s="3">
        <v>46073</v>
      </c>
      <c r="B4007" s="2" t="s">
        <v>14</v>
      </c>
      <c r="C4007" s="2">
        <v>6</v>
      </c>
      <c r="D4007" s="2">
        <f t="shared" si="248"/>
        <v>2026</v>
      </c>
      <c r="E4007" s="2" t="str">
        <f t="shared" si="249"/>
        <v>2026-8</v>
      </c>
      <c r="F4007" s="2" t="str">
        <f t="shared" si="250"/>
        <v>Week 8</v>
      </c>
      <c r="G4007" s="2" t="str">
        <f t="shared" si="251"/>
        <v>Week 8-2026</v>
      </c>
      <c r="O4007"/>
      <c r="Q4007"/>
    </row>
    <row r="4008" spans="1:17" hidden="1" x14ac:dyDescent="0.2">
      <c r="A4008" s="3">
        <v>46073</v>
      </c>
      <c r="B4008" s="2" t="s">
        <v>14</v>
      </c>
      <c r="C4008" s="2">
        <v>6</v>
      </c>
      <c r="D4008" s="2">
        <f t="shared" si="248"/>
        <v>2026</v>
      </c>
      <c r="E4008" s="2" t="str">
        <f t="shared" si="249"/>
        <v>2026-8</v>
      </c>
      <c r="F4008" s="2" t="str">
        <f t="shared" si="250"/>
        <v>Week 8</v>
      </c>
      <c r="G4008" s="2" t="str">
        <f t="shared" si="251"/>
        <v>Week 8-2026</v>
      </c>
      <c r="O4008"/>
      <c r="Q4008"/>
    </row>
    <row r="4009" spans="1:17" hidden="1" x14ac:dyDescent="0.2">
      <c r="A4009" s="3">
        <v>46073</v>
      </c>
      <c r="B4009" s="2" t="s">
        <v>14</v>
      </c>
      <c r="C4009" s="2">
        <v>6</v>
      </c>
      <c r="D4009" s="2">
        <f t="shared" si="248"/>
        <v>2026</v>
      </c>
      <c r="E4009" s="2" t="str">
        <f t="shared" si="249"/>
        <v>2026-8</v>
      </c>
      <c r="F4009" s="2" t="str">
        <f t="shared" si="250"/>
        <v>Week 8</v>
      </c>
      <c r="G4009" s="2" t="str">
        <f t="shared" si="251"/>
        <v>Week 8-2026</v>
      </c>
      <c r="O4009"/>
      <c r="Q4009"/>
    </row>
    <row r="4010" spans="1:17" hidden="1" x14ac:dyDescent="0.2">
      <c r="A4010" s="3">
        <v>46073</v>
      </c>
      <c r="B4010" s="2" t="s">
        <v>14</v>
      </c>
      <c r="C4010" s="2">
        <v>6</v>
      </c>
      <c r="D4010" s="2">
        <f t="shared" si="248"/>
        <v>2026</v>
      </c>
      <c r="E4010" s="2" t="str">
        <f t="shared" si="249"/>
        <v>2026-8</v>
      </c>
      <c r="F4010" s="2" t="str">
        <f t="shared" si="250"/>
        <v>Week 8</v>
      </c>
      <c r="G4010" s="2" t="str">
        <f t="shared" si="251"/>
        <v>Week 8-2026</v>
      </c>
      <c r="O4010"/>
      <c r="Q4010"/>
    </row>
    <row r="4011" spans="1:17" hidden="1" x14ac:dyDescent="0.2">
      <c r="A4011" s="3">
        <v>46073</v>
      </c>
      <c r="B4011" s="2" t="s">
        <v>5</v>
      </c>
      <c r="C4011" s="2">
        <v>4</v>
      </c>
      <c r="D4011" s="2">
        <f t="shared" si="248"/>
        <v>2026</v>
      </c>
      <c r="E4011" s="2" t="str">
        <f t="shared" si="249"/>
        <v>2026-8</v>
      </c>
      <c r="F4011" s="2" t="str">
        <f t="shared" si="250"/>
        <v>Week 8</v>
      </c>
      <c r="G4011" s="2" t="str">
        <f t="shared" si="251"/>
        <v>Week 8-2026</v>
      </c>
      <c r="O4011"/>
      <c r="Q4011"/>
    </row>
    <row r="4012" spans="1:17" hidden="1" x14ac:dyDescent="0.2">
      <c r="A4012" s="3">
        <v>46073</v>
      </c>
      <c r="B4012" s="2" t="s">
        <v>5</v>
      </c>
      <c r="C4012" s="2">
        <v>4</v>
      </c>
      <c r="D4012" s="2">
        <f t="shared" si="248"/>
        <v>2026</v>
      </c>
      <c r="E4012" s="2" t="str">
        <f t="shared" si="249"/>
        <v>2026-8</v>
      </c>
      <c r="F4012" s="2" t="str">
        <f t="shared" si="250"/>
        <v>Week 8</v>
      </c>
      <c r="G4012" s="2" t="str">
        <f t="shared" si="251"/>
        <v>Week 8-2026</v>
      </c>
      <c r="O4012"/>
      <c r="Q4012"/>
    </row>
    <row r="4013" spans="1:17" hidden="1" x14ac:dyDescent="0.2">
      <c r="A4013" s="3">
        <v>46073</v>
      </c>
      <c r="B4013" s="2" t="s">
        <v>5</v>
      </c>
      <c r="C4013" s="2">
        <v>4</v>
      </c>
      <c r="D4013" s="2">
        <f t="shared" si="248"/>
        <v>2026</v>
      </c>
      <c r="E4013" s="2" t="str">
        <f t="shared" si="249"/>
        <v>2026-8</v>
      </c>
      <c r="F4013" s="2" t="str">
        <f t="shared" si="250"/>
        <v>Week 8</v>
      </c>
      <c r="G4013" s="2" t="str">
        <f t="shared" si="251"/>
        <v>Week 8-2026</v>
      </c>
      <c r="O4013"/>
      <c r="Q4013"/>
    </row>
    <row r="4014" spans="1:17" hidden="1" x14ac:dyDescent="0.2">
      <c r="A4014" s="3">
        <v>46073</v>
      </c>
      <c r="B4014" s="2" t="s">
        <v>5</v>
      </c>
      <c r="C4014" s="2">
        <v>4</v>
      </c>
      <c r="D4014" s="2">
        <f t="shared" si="248"/>
        <v>2026</v>
      </c>
      <c r="E4014" s="2" t="str">
        <f t="shared" si="249"/>
        <v>2026-8</v>
      </c>
      <c r="F4014" s="2" t="str">
        <f t="shared" si="250"/>
        <v>Week 8</v>
      </c>
      <c r="G4014" s="2" t="str">
        <f t="shared" si="251"/>
        <v>Week 8-2026</v>
      </c>
      <c r="O4014"/>
      <c r="Q4014"/>
    </row>
    <row r="4015" spans="1:17" hidden="1" x14ac:dyDescent="0.2">
      <c r="A4015" s="3">
        <v>46073</v>
      </c>
      <c r="B4015" s="2" t="s">
        <v>14</v>
      </c>
      <c r="C4015" s="2">
        <v>4</v>
      </c>
      <c r="D4015" s="2">
        <f t="shared" si="248"/>
        <v>2026</v>
      </c>
      <c r="E4015" s="2" t="str">
        <f t="shared" si="249"/>
        <v>2026-8</v>
      </c>
      <c r="F4015" s="2" t="str">
        <f t="shared" si="250"/>
        <v>Week 8</v>
      </c>
      <c r="G4015" s="2" t="str">
        <f t="shared" si="251"/>
        <v>Week 8-2026</v>
      </c>
      <c r="O4015"/>
      <c r="Q4015"/>
    </row>
    <row r="4016" spans="1:17" hidden="1" x14ac:dyDescent="0.2">
      <c r="A4016" s="3">
        <v>46073</v>
      </c>
      <c r="B4016" s="2" t="s">
        <v>9</v>
      </c>
      <c r="C4016" s="2">
        <v>2</v>
      </c>
      <c r="D4016" s="2">
        <f t="shared" si="248"/>
        <v>2026</v>
      </c>
      <c r="E4016" s="2" t="str">
        <f t="shared" si="249"/>
        <v>2026-8</v>
      </c>
      <c r="F4016" s="2" t="str">
        <f t="shared" si="250"/>
        <v>Week 8</v>
      </c>
      <c r="G4016" s="2" t="str">
        <f t="shared" si="251"/>
        <v>Week 8-2026</v>
      </c>
      <c r="O4016"/>
      <c r="Q4016"/>
    </row>
    <row r="4017" spans="1:17" hidden="1" x14ac:dyDescent="0.2">
      <c r="A4017" s="3">
        <v>46073</v>
      </c>
      <c r="B4017" s="2" t="s">
        <v>3</v>
      </c>
      <c r="C4017" s="2">
        <v>2</v>
      </c>
      <c r="D4017" s="2">
        <f t="shared" si="248"/>
        <v>2026</v>
      </c>
      <c r="E4017" s="2" t="str">
        <f t="shared" si="249"/>
        <v>2026-8</v>
      </c>
      <c r="F4017" s="2" t="str">
        <f t="shared" si="250"/>
        <v>Week 8</v>
      </c>
      <c r="G4017" s="2" t="str">
        <f t="shared" si="251"/>
        <v>Week 8-2026</v>
      </c>
      <c r="O4017"/>
      <c r="Q4017"/>
    </row>
    <row r="4018" spans="1:17" hidden="1" x14ac:dyDescent="0.2">
      <c r="A4018" s="3">
        <v>46073</v>
      </c>
      <c r="B4018" s="2" t="s">
        <v>14</v>
      </c>
      <c r="C4018" s="2">
        <v>4</v>
      </c>
      <c r="D4018" s="2">
        <f t="shared" si="248"/>
        <v>2026</v>
      </c>
      <c r="E4018" s="2" t="str">
        <f t="shared" si="249"/>
        <v>2026-8</v>
      </c>
      <c r="F4018" s="2" t="str">
        <f t="shared" si="250"/>
        <v>Week 8</v>
      </c>
      <c r="G4018" s="2" t="str">
        <f t="shared" si="251"/>
        <v>Week 8-2026</v>
      </c>
      <c r="O4018"/>
      <c r="Q4018"/>
    </row>
    <row r="4019" spans="1:17" hidden="1" x14ac:dyDescent="0.2">
      <c r="A4019" s="3">
        <v>46073</v>
      </c>
      <c r="B4019" s="2" t="s">
        <v>9</v>
      </c>
      <c r="C4019" s="2">
        <v>2</v>
      </c>
      <c r="D4019" s="2">
        <f t="shared" si="248"/>
        <v>2026</v>
      </c>
      <c r="E4019" s="2" t="str">
        <f t="shared" si="249"/>
        <v>2026-8</v>
      </c>
      <c r="F4019" s="2" t="str">
        <f t="shared" si="250"/>
        <v>Week 8</v>
      </c>
      <c r="G4019" s="2" t="str">
        <f t="shared" si="251"/>
        <v>Week 8-2026</v>
      </c>
      <c r="O4019"/>
      <c r="Q4019"/>
    </row>
    <row r="4020" spans="1:17" hidden="1" x14ac:dyDescent="0.2">
      <c r="A4020" s="3">
        <v>46073</v>
      </c>
      <c r="B4020" s="2" t="s">
        <v>9</v>
      </c>
      <c r="C4020" s="2">
        <v>2</v>
      </c>
      <c r="D4020" s="2">
        <f t="shared" si="248"/>
        <v>2026</v>
      </c>
      <c r="E4020" s="2" t="str">
        <f t="shared" si="249"/>
        <v>2026-8</v>
      </c>
      <c r="F4020" s="2" t="str">
        <f t="shared" si="250"/>
        <v>Week 8</v>
      </c>
      <c r="G4020" s="2" t="str">
        <f t="shared" si="251"/>
        <v>Week 8-2026</v>
      </c>
      <c r="O4020"/>
      <c r="Q4020"/>
    </row>
    <row r="4021" spans="1:17" hidden="1" x14ac:dyDescent="0.2">
      <c r="A4021" s="3">
        <v>46073</v>
      </c>
      <c r="B4021" s="2" t="s">
        <v>3</v>
      </c>
      <c r="C4021" s="2">
        <v>2</v>
      </c>
      <c r="D4021" s="2">
        <f t="shared" si="248"/>
        <v>2026</v>
      </c>
      <c r="E4021" s="2" t="str">
        <f t="shared" si="249"/>
        <v>2026-8</v>
      </c>
      <c r="F4021" s="2" t="str">
        <f t="shared" si="250"/>
        <v>Week 8</v>
      </c>
      <c r="G4021" s="2" t="str">
        <f t="shared" si="251"/>
        <v>Week 8-2026</v>
      </c>
      <c r="O4021"/>
      <c r="Q4021"/>
    </row>
    <row r="4022" spans="1:17" hidden="1" x14ac:dyDescent="0.2">
      <c r="A4022" s="3">
        <v>46073</v>
      </c>
      <c r="B4022" s="2" t="s">
        <v>3</v>
      </c>
      <c r="C4022" s="2">
        <v>2</v>
      </c>
      <c r="D4022" s="2">
        <f t="shared" si="248"/>
        <v>2026</v>
      </c>
      <c r="E4022" s="2" t="str">
        <f t="shared" si="249"/>
        <v>2026-8</v>
      </c>
      <c r="F4022" s="2" t="str">
        <f t="shared" si="250"/>
        <v>Week 8</v>
      </c>
      <c r="G4022" s="2" t="str">
        <f t="shared" si="251"/>
        <v>Week 8-2026</v>
      </c>
      <c r="O4022"/>
      <c r="Q4022"/>
    </row>
    <row r="4023" spans="1:17" hidden="1" x14ac:dyDescent="0.2">
      <c r="A4023" s="3">
        <v>46073</v>
      </c>
      <c r="B4023" s="2" t="s">
        <v>5</v>
      </c>
      <c r="C4023" s="2">
        <v>2</v>
      </c>
      <c r="D4023" s="2">
        <f t="shared" si="248"/>
        <v>2026</v>
      </c>
      <c r="E4023" s="2" t="str">
        <f t="shared" si="249"/>
        <v>2026-8</v>
      </c>
      <c r="F4023" s="2" t="str">
        <f t="shared" si="250"/>
        <v>Week 8</v>
      </c>
      <c r="G4023" s="2" t="str">
        <f t="shared" si="251"/>
        <v>Week 8-2026</v>
      </c>
      <c r="O4023"/>
      <c r="Q4023"/>
    </row>
    <row r="4024" spans="1:17" x14ac:dyDescent="0.2">
      <c r="A4024" s="3">
        <v>46073</v>
      </c>
      <c r="B4024" s="2" t="s">
        <v>24</v>
      </c>
      <c r="C4024" s="2">
        <v>2</v>
      </c>
      <c r="D4024" s="2">
        <f t="shared" si="248"/>
        <v>2026</v>
      </c>
      <c r="E4024" s="2" t="str">
        <f t="shared" si="249"/>
        <v>2026-8</v>
      </c>
      <c r="F4024" s="2" t="str">
        <f t="shared" si="250"/>
        <v>Week 8</v>
      </c>
      <c r="G4024" s="2" t="str">
        <f t="shared" si="251"/>
        <v>Week 8-2026</v>
      </c>
      <c r="O4024"/>
      <c r="Q4024"/>
    </row>
    <row r="4025" spans="1:17" x14ac:dyDescent="0.2">
      <c r="A4025" s="3">
        <v>46073</v>
      </c>
      <c r="B4025" s="2" t="s">
        <v>24</v>
      </c>
      <c r="C4025" s="2">
        <v>2</v>
      </c>
      <c r="D4025" s="2">
        <f t="shared" si="248"/>
        <v>2026</v>
      </c>
      <c r="E4025" s="2" t="str">
        <f t="shared" si="249"/>
        <v>2026-8</v>
      </c>
      <c r="F4025" s="2" t="str">
        <f t="shared" si="250"/>
        <v>Week 8</v>
      </c>
      <c r="G4025" s="2" t="str">
        <f t="shared" si="251"/>
        <v>Week 8-2026</v>
      </c>
      <c r="O4025"/>
      <c r="Q4025"/>
    </row>
    <row r="4026" spans="1:17" hidden="1" x14ac:dyDescent="0.2">
      <c r="A4026" s="3">
        <v>46074</v>
      </c>
      <c r="B4026" s="2" t="s">
        <v>4</v>
      </c>
      <c r="C4026" s="2">
        <v>25</v>
      </c>
      <c r="D4026" s="2">
        <f t="shared" si="248"/>
        <v>2026</v>
      </c>
      <c r="E4026" s="2" t="str">
        <f t="shared" si="249"/>
        <v>2026-8</v>
      </c>
      <c r="F4026" s="2" t="str">
        <f t="shared" si="250"/>
        <v>Week 8</v>
      </c>
      <c r="G4026" s="2" t="str">
        <f t="shared" si="251"/>
        <v>Week 8-2026</v>
      </c>
      <c r="O4026"/>
      <c r="Q4026"/>
    </row>
    <row r="4027" spans="1:17" hidden="1" x14ac:dyDescent="0.2">
      <c r="A4027" s="3">
        <v>46074</v>
      </c>
      <c r="B4027" s="2" t="s">
        <v>6</v>
      </c>
      <c r="C4027" s="2">
        <v>12</v>
      </c>
      <c r="D4027" s="2">
        <f t="shared" si="248"/>
        <v>2026</v>
      </c>
      <c r="E4027" s="2" t="str">
        <f t="shared" si="249"/>
        <v>2026-8</v>
      </c>
      <c r="F4027" s="2" t="str">
        <f t="shared" si="250"/>
        <v>Week 8</v>
      </c>
      <c r="G4027" s="2" t="str">
        <f t="shared" si="251"/>
        <v>Week 8-2026</v>
      </c>
      <c r="O4027"/>
      <c r="Q4027"/>
    </row>
    <row r="4028" spans="1:17" hidden="1" x14ac:dyDescent="0.2">
      <c r="A4028" s="3">
        <v>46074</v>
      </c>
      <c r="B4028" s="2" t="s">
        <v>9</v>
      </c>
      <c r="C4028" s="2">
        <v>16</v>
      </c>
      <c r="D4028" s="2">
        <f t="shared" si="248"/>
        <v>2026</v>
      </c>
      <c r="E4028" s="2" t="str">
        <f t="shared" si="249"/>
        <v>2026-8</v>
      </c>
      <c r="F4028" s="2" t="str">
        <f t="shared" si="250"/>
        <v>Week 8</v>
      </c>
      <c r="G4028" s="2" t="str">
        <f t="shared" si="251"/>
        <v>Week 8-2026</v>
      </c>
      <c r="O4028"/>
      <c r="Q4028"/>
    </row>
    <row r="4029" spans="1:17" hidden="1" x14ac:dyDescent="0.2">
      <c r="A4029" s="3">
        <v>46074</v>
      </c>
      <c r="B4029" s="2" t="s">
        <v>5</v>
      </c>
      <c r="C4029" s="2">
        <v>18</v>
      </c>
      <c r="D4029" s="2">
        <f t="shared" si="248"/>
        <v>2026</v>
      </c>
      <c r="E4029" s="2" t="str">
        <f t="shared" si="249"/>
        <v>2026-8</v>
      </c>
      <c r="F4029" s="2" t="str">
        <f t="shared" si="250"/>
        <v>Week 8</v>
      </c>
      <c r="G4029" s="2" t="str">
        <f t="shared" si="251"/>
        <v>Week 8-2026</v>
      </c>
      <c r="O4029"/>
      <c r="Q4029"/>
    </row>
    <row r="4030" spans="1:17" hidden="1" x14ac:dyDescent="0.2">
      <c r="A4030" s="3">
        <v>46074</v>
      </c>
      <c r="B4030" s="2" t="s">
        <v>6</v>
      </c>
      <c r="C4030" s="2">
        <v>10</v>
      </c>
      <c r="D4030" s="2">
        <f t="shared" si="248"/>
        <v>2026</v>
      </c>
      <c r="E4030" s="2" t="str">
        <f t="shared" si="249"/>
        <v>2026-8</v>
      </c>
      <c r="F4030" s="2" t="str">
        <f t="shared" si="250"/>
        <v>Week 8</v>
      </c>
      <c r="G4030" s="2" t="str">
        <f t="shared" si="251"/>
        <v>Week 8-2026</v>
      </c>
      <c r="O4030"/>
      <c r="Q4030"/>
    </row>
    <row r="4031" spans="1:17" hidden="1" x14ac:dyDescent="0.2">
      <c r="A4031" s="3">
        <v>46074</v>
      </c>
      <c r="B4031" s="2" t="s">
        <v>7</v>
      </c>
      <c r="C4031" s="2">
        <v>10</v>
      </c>
      <c r="D4031" s="2">
        <f t="shared" si="248"/>
        <v>2026</v>
      </c>
      <c r="E4031" s="2" t="str">
        <f t="shared" si="249"/>
        <v>2026-8</v>
      </c>
      <c r="F4031" s="2" t="str">
        <f t="shared" si="250"/>
        <v>Week 8</v>
      </c>
      <c r="G4031" s="2" t="str">
        <f t="shared" si="251"/>
        <v>Week 8-2026</v>
      </c>
      <c r="O4031"/>
      <c r="Q4031"/>
    </row>
    <row r="4032" spans="1:17" hidden="1" x14ac:dyDescent="0.2">
      <c r="A4032" s="3">
        <v>46074</v>
      </c>
      <c r="B4032" s="2" t="s">
        <v>9</v>
      </c>
      <c r="C4032" s="2">
        <v>8</v>
      </c>
      <c r="D4032" s="2">
        <f t="shared" si="248"/>
        <v>2026</v>
      </c>
      <c r="E4032" s="2" t="str">
        <f t="shared" si="249"/>
        <v>2026-8</v>
      </c>
      <c r="F4032" s="2" t="str">
        <f t="shared" si="250"/>
        <v>Week 8</v>
      </c>
      <c r="G4032" s="2" t="str">
        <f t="shared" si="251"/>
        <v>Week 8-2026</v>
      </c>
      <c r="O4032"/>
      <c r="Q4032"/>
    </row>
    <row r="4033" spans="1:17" hidden="1" x14ac:dyDescent="0.2">
      <c r="A4033" s="3">
        <v>46074</v>
      </c>
      <c r="B4033" s="2" t="s">
        <v>10</v>
      </c>
      <c r="C4033" s="2">
        <v>10</v>
      </c>
      <c r="D4033" s="2">
        <f t="shared" si="248"/>
        <v>2026</v>
      </c>
      <c r="E4033" s="2" t="str">
        <f t="shared" si="249"/>
        <v>2026-8</v>
      </c>
      <c r="F4033" s="2" t="str">
        <f t="shared" si="250"/>
        <v>Week 8</v>
      </c>
      <c r="G4033" s="2" t="str">
        <f t="shared" si="251"/>
        <v>Week 8-2026</v>
      </c>
      <c r="O4033"/>
      <c r="Q4033"/>
    </row>
    <row r="4034" spans="1:17" hidden="1" x14ac:dyDescent="0.2">
      <c r="A4034" s="3">
        <v>46074</v>
      </c>
      <c r="B4034" s="2" t="s">
        <v>7</v>
      </c>
      <c r="C4034" s="2">
        <v>4</v>
      </c>
      <c r="D4034" s="2">
        <f t="shared" ref="D4034:D4097" si="252">YEAR(A4034)</f>
        <v>2026</v>
      </c>
      <c r="E4034" s="2" t="str">
        <f t="shared" ref="E4034:E4097" si="253">YEAR(A4034)&amp;"-"&amp;_xlfn.ISOWEEKNUM(A4034)</f>
        <v>2026-8</v>
      </c>
      <c r="F4034" s="2" t="str">
        <f t="shared" ref="F4034:F4097" si="254">_xlfn.CONCAT("Week "&amp;WEEKNUM(A4034))</f>
        <v>Week 8</v>
      </c>
      <c r="G4034" s="2" t="str">
        <f t="shared" ref="G4034:G4097" si="255">_xlfn.CONCAT(F4034,"-",D4034)</f>
        <v>Week 8-2026</v>
      </c>
      <c r="O4034"/>
      <c r="Q4034"/>
    </row>
    <row r="4035" spans="1:17" hidden="1" x14ac:dyDescent="0.2">
      <c r="A4035" s="3">
        <v>46074</v>
      </c>
      <c r="B4035" s="2" t="s">
        <v>4</v>
      </c>
      <c r="C4035" s="2">
        <v>4</v>
      </c>
      <c r="D4035" s="2">
        <f t="shared" si="252"/>
        <v>2026</v>
      </c>
      <c r="E4035" s="2" t="str">
        <f t="shared" si="253"/>
        <v>2026-8</v>
      </c>
      <c r="F4035" s="2" t="str">
        <f t="shared" si="254"/>
        <v>Week 8</v>
      </c>
      <c r="G4035" s="2" t="str">
        <f t="shared" si="255"/>
        <v>Week 8-2026</v>
      </c>
      <c r="O4035"/>
      <c r="Q4035"/>
    </row>
    <row r="4036" spans="1:17" hidden="1" x14ac:dyDescent="0.2">
      <c r="A4036" s="3">
        <v>46074</v>
      </c>
      <c r="B4036" s="2" t="s">
        <v>3</v>
      </c>
      <c r="C4036" s="2">
        <v>4</v>
      </c>
      <c r="D4036" s="2">
        <f t="shared" si="252"/>
        <v>2026</v>
      </c>
      <c r="E4036" s="2" t="str">
        <f t="shared" si="253"/>
        <v>2026-8</v>
      </c>
      <c r="F4036" s="2" t="str">
        <f t="shared" si="254"/>
        <v>Week 8</v>
      </c>
      <c r="G4036" s="2" t="str">
        <f t="shared" si="255"/>
        <v>Week 8-2026</v>
      </c>
      <c r="O4036"/>
      <c r="Q4036"/>
    </row>
    <row r="4037" spans="1:17" hidden="1" x14ac:dyDescent="0.2">
      <c r="A4037" s="3">
        <v>46074</v>
      </c>
      <c r="B4037" s="2" t="s">
        <v>12</v>
      </c>
      <c r="C4037" s="2">
        <v>2</v>
      </c>
      <c r="D4037" s="2">
        <f t="shared" si="252"/>
        <v>2026</v>
      </c>
      <c r="E4037" s="2" t="str">
        <f t="shared" si="253"/>
        <v>2026-8</v>
      </c>
      <c r="F4037" s="2" t="str">
        <f t="shared" si="254"/>
        <v>Week 8</v>
      </c>
      <c r="G4037" s="2" t="str">
        <f t="shared" si="255"/>
        <v>Week 8-2026</v>
      </c>
      <c r="O4037"/>
      <c r="Q4037"/>
    </row>
    <row r="4038" spans="1:17" hidden="1" x14ac:dyDescent="0.2">
      <c r="A4038" s="3">
        <v>46074</v>
      </c>
      <c r="B4038" s="2" t="s">
        <v>14</v>
      </c>
      <c r="C4038" s="2">
        <v>2</v>
      </c>
      <c r="D4038" s="2">
        <f t="shared" si="252"/>
        <v>2026</v>
      </c>
      <c r="E4038" s="2" t="str">
        <f t="shared" si="253"/>
        <v>2026-8</v>
      </c>
      <c r="F4038" s="2" t="str">
        <f t="shared" si="254"/>
        <v>Week 8</v>
      </c>
      <c r="G4038" s="2" t="str">
        <f t="shared" si="255"/>
        <v>Week 8-2026</v>
      </c>
      <c r="O4038"/>
      <c r="Q4038"/>
    </row>
    <row r="4039" spans="1:17" hidden="1" x14ac:dyDescent="0.2">
      <c r="A4039" s="3">
        <v>46076</v>
      </c>
      <c r="B4039" s="2" t="s">
        <v>37</v>
      </c>
      <c r="C4039" s="2">
        <v>7</v>
      </c>
      <c r="D4039" s="2">
        <f t="shared" si="252"/>
        <v>2026</v>
      </c>
      <c r="E4039" s="2" t="str">
        <f t="shared" si="253"/>
        <v>2026-9</v>
      </c>
      <c r="F4039" s="2" t="str">
        <f t="shared" si="254"/>
        <v>Week 9</v>
      </c>
      <c r="G4039" s="2" t="str">
        <f t="shared" si="255"/>
        <v>Week 9-2026</v>
      </c>
      <c r="O4039"/>
      <c r="Q4039"/>
    </row>
    <row r="4040" spans="1:17" hidden="1" x14ac:dyDescent="0.2">
      <c r="A4040" s="3">
        <v>46076</v>
      </c>
      <c r="B4040" s="2" t="s">
        <v>37</v>
      </c>
      <c r="C4040" s="2">
        <v>3</v>
      </c>
      <c r="D4040" s="2">
        <f t="shared" si="252"/>
        <v>2026</v>
      </c>
      <c r="E4040" s="2" t="str">
        <f t="shared" si="253"/>
        <v>2026-9</v>
      </c>
      <c r="F4040" s="2" t="str">
        <f t="shared" si="254"/>
        <v>Week 9</v>
      </c>
      <c r="G4040" s="2" t="str">
        <f t="shared" si="255"/>
        <v>Week 9-2026</v>
      </c>
      <c r="O4040"/>
      <c r="Q4040"/>
    </row>
    <row r="4041" spans="1:17" hidden="1" x14ac:dyDescent="0.2">
      <c r="A4041" s="3">
        <v>46077</v>
      </c>
      <c r="B4041" s="2" t="s">
        <v>10</v>
      </c>
      <c r="C4041" s="2">
        <v>9</v>
      </c>
      <c r="D4041" s="2">
        <f t="shared" si="252"/>
        <v>2026</v>
      </c>
      <c r="E4041" s="2" t="str">
        <f t="shared" si="253"/>
        <v>2026-9</v>
      </c>
      <c r="F4041" s="2" t="str">
        <f t="shared" si="254"/>
        <v>Week 9</v>
      </c>
      <c r="G4041" s="2" t="str">
        <f t="shared" si="255"/>
        <v>Week 9-2026</v>
      </c>
      <c r="O4041"/>
      <c r="Q4041"/>
    </row>
    <row r="4042" spans="1:17" hidden="1" x14ac:dyDescent="0.2">
      <c r="A4042" s="3">
        <v>46077</v>
      </c>
      <c r="B4042" s="2" t="s">
        <v>6</v>
      </c>
      <c r="C4042" s="2">
        <v>4</v>
      </c>
      <c r="D4042" s="2">
        <f t="shared" si="252"/>
        <v>2026</v>
      </c>
      <c r="E4042" s="2" t="str">
        <f t="shared" si="253"/>
        <v>2026-9</v>
      </c>
      <c r="F4042" s="2" t="str">
        <f t="shared" si="254"/>
        <v>Week 9</v>
      </c>
      <c r="G4042" s="2" t="str">
        <f t="shared" si="255"/>
        <v>Week 9-2026</v>
      </c>
      <c r="O4042"/>
      <c r="Q4042"/>
    </row>
    <row r="4043" spans="1:17" hidden="1" x14ac:dyDescent="0.2">
      <c r="A4043" s="3">
        <v>46077</v>
      </c>
      <c r="B4043" s="2" t="s">
        <v>14</v>
      </c>
      <c r="C4043" s="2">
        <v>8</v>
      </c>
      <c r="D4043" s="2">
        <f t="shared" si="252"/>
        <v>2026</v>
      </c>
      <c r="E4043" s="2" t="str">
        <f t="shared" si="253"/>
        <v>2026-9</v>
      </c>
      <c r="F4043" s="2" t="str">
        <f t="shared" si="254"/>
        <v>Week 9</v>
      </c>
      <c r="G4043" s="2" t="str">
        <f t="shared" si="255"/>
        <v>Week 9-2026</v>
      </c>
      <c r="O4043"/>
      <c r="Q4043"/>
    </row>
    <row r="4044" spans="1:17" hidden="1" x14ac:dyDescent="0.2">
      <c r="A4044" s="3">
        <v>46077</v>
      </c>
      <c r="B4044" s="2" t="s">
        <v>17</v>
      </c>
      <c r="C4044" s="2">
        <v>6</v>
      </c>
      <c r="D4044" s="2">
        <f t="shared" si="252"/>
        <v>2026</v>
      </c>
      <c r="E4044" s="2" t="str">
        <f t="shared" si="253"/>
        <v>2026-9</v>
      </c>
      <c r="F4044" s="2" t="str">
        <f t="shared" si="254"/>
        <v>Week 9</v>
      </c>
      <c r="G4044" s="2" t="str">
        <f t="shared" si="255"/>
        <v>Week 9-2026</v>
      </c>
      <c r="O4044"/>
      <c r="Q4044"/>
    </row>
    <row r="4045" spans="1:17" hidden="1" x14ac:dyDescent="0.2">
      <c r="A4045" s="3">
        <v>46077</v>
      </c>
      <c r="B4045" s="2" t="s">
        <v>15</v>
      </c>
      <c r="C4045" s="2">
        <v>12</v>
      </c>
      <c r="D4045" s="2">
        <f t="shared" si="252"/>
        <v>2026</v>
      </c>
      <c r="E4045" s="2" t="str">
        <f t="shared" si="253"/>
        <v>2026-9</v>
      </c>
      <c r="F4045" s="2" t="str">
        <f t="shared" si="254"/>
        <v>Week 9</v>
      </c>
      <c r="G4045" s="2" t="str">
        <f t="shared" si="255"/>
        <v>Week 9-2026</v>
      </c>
      <c r="O4045"/>
      <c r="Q4045"/>
    </row>
    <row r="4046" spans="1:17" hidden="1" x14ac:dyDescent="0.2">
      <c r="A4046" s="3">
        <v>46077</v>
      </c>
      <c r="B4046" s="2" t="s">
        <v>9</v>
      </c>
      <c r="C4046" s="2">
        <v>4</v>
      </c>
      <c r="D4046" s="2">
        <f t="shared" si="252"/>
        <v>2026</v>
      </c>
      <c r="E4046" s="2" t="str">
        <f t="shared" si="253"/>
        <v>2026-9</v>
      </c>
      <c r="F4046" s="2" t="str">
        <f t="shared" si="254"/>
        <v>Week 9</v>
      </c>
      <c r="G4046" s="2" t="str">
        <f t="shared" si="255"/>
        <v>Week 9-2026</v>
      </c>
      <c r="O4046"/>
      <c r="Q4046"/>
    </row>
    <row r="4047" spans="1:17" hidden="1" x14ac:dyDescent="0.2">
      <c r="A4047" s="3">
        <v>46077</v>
      </c>
      <c r="B4047" s="2" t="s">
        <v>10</v>
      </c>
      <c r="C4047" s="2">
        <v>5</v>
      </c>
      <c r="D4047" s="2">
        <f t="shared" si="252"/>
        <v>2026</v>
      </c>
      <c r="E4047" s="2" t="str">
        <f t="shared" si="253"/>
        <v>2026-9</v>
      </c>
      <c r="F4047" s="2" t="str">
        <f t="shared" si="254"/>
        <v>Week 9</v>
      </c>
      <c r="G4047" s="2" t="str">
        <f t="shared" si="255"/>
        <v>Week 9-2026</v>
      </c>
      <c r="O4047"/>
      <c r="Q4047"/>
    </row>
    <row r="4048" spans="1:17" x14ac:dyDescent="0.2">
      <c r="A4048" s="3">
        <v>46077</v>
      </c>
      <c r="B4048" s="2" t="s">
        <v>24</v>
      </c>
      <c r="C4048" s="2">
        <v>8</v>
      </c>
      <c r="D4048" s="2">
        <f t="shared" si="252"/>
        <v>2026</v>
      </c>
      <c r="E4048" s="2" t="str">
        <f t="shared" si="253"/>
        <v>2026-9</v>
      </c>
      <c r="F4048" s="2" t="str">
        <f t="shared" si="254"/>
        <v>Week 9</v>
      </c>
      <c r="G4048" s="2" t="str">
        <f t="shared" si="255"/>
        <v>Week 9-2026</v>
      </c>
      <c r="O4048"/>
      <c r="Q4048"/>
    </row>
    <row r="4049" spans="1:17" hidden="1" x14ac:dyDescent="0.2">
      <c r="A4049" s="3">
        <v>46078</v>
      </c>
      <c r="B4049" s="2" t="s">
        <v>14</v>
      </c>
      <c r="C4049" s="2">
        <v>20</v>
      </c>
      <c r="D4049" s="2">
        <f t="shared" si="252"/>
        <v>2026</v>
      </c>
      <c r="E4049" s="2" t="str">
        <f t="shared" si="253"/>
        <v>2026-9</v>
      </c>
      <c r="F4049" s="2" t="str">
        <f t="shared" si="254"/>
        <v>Week 9</v>
      </c>
      <c r="G4049" s="2" t="str">
        <f t="shared" si="255"/>
        <v>Week 9-2026</v>
      </c>
      <c r="O4049"/>
      <c r="Q4049"/>
    </row>
    <row r="4050" spans="1:17" hidden="1" x14ac:dyDescent="0.2">
      <c r="A4050" s="3">
        <v>46078</v>
      </c>
      <c r="B4050" s="2" t="s">
        <v>5</v>
      </c>
      <c r="C4050" s="2">
        <v>12</v>
      </c>
      <c r="D4050" s="2">
        <f t="shared" si="252"/>
        <v>2026</v>
      </c>
      <c r="E4050" s="2" t="str">
        <f t="shared" si="253"/>
        <v>2026-9</v>
      </c>
      <c r="F4050" s="2" t="str">
        <f t="shared" si="254"/>
        <v>Week 9</v>
      </c>
      <c r="G4050" s="2" t="str">
        <f t="shared" si="255"/>
        <v>Week 9-2026</v>
      </c>
      <c r="O4050"/>
      <c r="Q4050"/>
    </row>
    <row r="4051" spans="1:17" hidden="1" x14ac:dyDescent="0.2">
      <c r="A4051" s="3">
        <v>46078</v>
      </c>
      <c r="B4051" s="2" t="s">
        <v>5</v>
      </c>
      <c r="C4051" s="2">
        <v>12</v>
      </c>
      <c r="D4051" s="2">
        <f t="shared" si="252"/>
        <v>2026</v>
      </c>
      <c r="E4051" s="2" t="str">
        <f t="shared" si="253"/>
        <v>2026-9</v>
      </c>
      <c r="F4051" s="2" t="str">
        <f t="shared" si="254"/>
        <v>Week 9</v>
      </c>
      <c r="G4051" s="2" t="str">
        <f t="shared" si="255"/>
        <v>Week 9-2026</v>
      </c>
      <c r="O4051"/>
      <c r="Q4051"/>
    </row>
    <row r="4052" spans="1:17" hidden="1" x14ac:dyDescent="0.2">
      <c r="A4052" s="3">
        <v>46078</v>
      </c>
      <c r="B4052" s="2" t="s">
        <v>9</v>
      </c>
      <c r="C4052" s="2">
        <v>8</v>
      </c>
      <c r="D4052" s="2">
        <f t="shared" si="252"/>
        <v>2026</v>
      </c>
      <c r="E4052" s="2" t="str">
        <f t="shared" si="253"/>
        <v>2026-9</v>
      </c>
      <c r="F4052" s="2" t="str">
        <f t="shared" si="254"/>
        <v>Week 9</v>
      </c>
      <c r="G4052" s="2" t="str">
        <f t="shared" si="255"/>
        <v>Week 9-2026</v>
      </c>
      <c r="O4052"/>
      <c r="Q4052"/>
    </row>
    <row r="4053" spans="1:17" hidden="1" x14ac:dyDescent="0.2">
      <c r="A4053" s="3">
        <v>46078</v>
      </c>
      <c r="B4053" s="2" t="s">
        <v>14</v>
      </c>
      <c r="C4053" s="2">
        <v>12</v>
      </c>
      <c r="D4053" s="2">
        <f t="shared" si="252"/>
        <v>2026</v>
      </c>
      <c r="E4053" s="2" t="str">
        <f t="shared" si="253"/>
        <v>2026-9</v>
      </c>
      <c r="F4053" s="2" t="str">
        <f t="shared" si="254"/>
        <v>Week 9</v>
      </c>
      <c r="G4053" s="2" t="str">
        <f t="shared" si="255"/>
        <v>Week 9-2026</v>
      </c>
      <c r="O4053"/>
      <c r="Q4053"/>
    </row>
    <row r="4054" spans="1:17" hidden="1" x14ac:dyDescent="0.2">
      <c r="A4054" s="3">
        <v>46078</v>
      </c>
      <c r="B4054" s="2" t="s">
        <v>4</v>
      </c>
      <c r="C4054" s="2">
        <v>5</v>
      </c>
      <c r="D4054" s="2">
        <f t="shared" si="252"/>
        <v>2026</v>
      </c>
      <c r="E4054" s="2" t="str">
        <f t="shared" si="253"/>
        <v>2026-9</v>
      </c>
      <c r="F4054" s="2" t="str">
        <f t="shared" si="254"/>
        <v>Week 9</v>
      </c>
      <c r="G4054" s="2" t="str">
        <f t="shared" si="255"/>
        <v>Week 9-2026</v>
      </c>
      <c r="O4054"/>
      <c r="Q4054"/>
    </row>
    <row r="4055" spans="1:17" hidden="1" x14ac:dyDescent="0.2">
      <c r="A4055" s="3">
        <v>46078</v>
      </c>
      <c r="B4055" s="2" t="s">
        <v>5</v>
      </c>
      <c r="C4055" s="2">
        <v>6</v>
      </c>
      <c r="D4055" s="2">
        <f t="shared" si="252"/>
        <v>2026</v>
      </c>
      <c r="E4055" s="2" t="str">
        <f t="shared" si="253"/>
        <v>2026-9</v>
      </c>
      <c r="F4055" s="2" t="str">
        <f t="shared" si="254"/>
        <v>Week 9</v>
      </c>
      <c r="G4055" s="2" t="str">
        <f t="shared" si="255"/>
        <v>Week 9-2026</v>
      </c>
      <c r="O4055"/>
      <c r="Q4055"/>
    </row>
    <row r="4056" spans="1:17" hidden="1" x14ac:dyDescent="0.2">
      <c r="A4056" s="3">
        <v>46078</v>
      </c>
      <c r="B4056" s="2" t="s">
        <v>7</v>
      </c>
      <c r="C4056" s="2">
        <v>4</v>
      </c>
      <c r="D4056" s="2">
        <f t="shared" si="252"/>
        <v>2026</v>
      </c>
      <c r="E4056" s="2" t="str">
        <f t="shared" si="253"/>
        <v>2026-9</v>
      </c>
      <c r="F4056" s="2" t="str">
        <f t="shared" si="254"/>
        <v>Week 9</v>
      </c>
      <c r="G4056" s="2" t="str">
        <f t="shared" si="255"/>
        <v>Week 9-2026</v>
      </c>
      <c r="O4056"/>
      <c r="Q4056"/>
    </row>
    <row r="4057" spans="1:17" hidden="1" x14ac:dyDescent="0.2">
      <c r="A4057" s="3">
        <v>46078</v>
      </c>
      <c r="B4057" s="2" t="s">
        <v>5</v>
      </c>
      <c r="C4057" s="2">
        <v>4</v>
      </c>
      <c r="D4057" s="2">
        <f t="shared" si="252"/>
        <v>2026</v>
      </c>
      <c r="E4057" s="2" t="str">
        <f t="shared" si="253"/>
        <v>2026-9</v>
      </c>
      <c r="F4057" s="2" t="str">
        <f t="shared" si="254"/>
        <v>Week 9</v>
      </c>
      <c r="G4057" s="2" t="str">
        <f t="shared" si="255"/>
        <v>Week 9-2026</v>
      </c>
      <c r="O4057"/>
      <c r="Q4057"/>
    </row>
    <row r="4058" spans="1:17" hidden="1" x14ac:dyDescent="0.2">
      <c r="A4058" s="3">
        <v>46078</v>
      </c>
      <c r="B4058" s="2" t="s">
        <v>5</v>
      </c>
      <c r="C4058" s="2">
        <v>4</v>
      </c>
      <c r="D4058" s="2">
        <f t="shared" si="252"/>
        <v>2026</v>
      </c>
      <c r="E4058" s="2" t="str">
        <f t="shared" si="253"/>
        <v>2026-9</v>
      </c>
      <c r="F4058" s="2" t="str">
        <f t="shared" si="254"/>
        <v>Week 9</v>
      </c>
      <c r="G4058" s="2" t="str">
        <f t="shared" si="255"/>
        <v>Week 9-2026</v>
      </c>
      <c r="O4058"/>
      <c r="Q4058"/>
    </row>
    <row r="4059" spans="1:17" hidden="1" x14ac:dyDescent="0.2">
      <c r="A4059" s="3">
        <v>46078</v>
      </c>
      <c r="B4059" s="2" t="s">
        <v>4</v>
      </c>
      <c r="C4059" s="2">
        <v>3</v>
      </c>
      <c r="D4059" s="2">
        <f t="shared" si="252"/>
        <v>2026</v>
      </c>
      <c r="E4059" s="2" t="str">
        <f t="shared" si="253"/>
        <v>2026-9</v>
      </c>
      <c r="F4059" s="2" t="str">
        <f t="shared" si="254"/>
        <v>Week 9</v>
      </c>
      <c r="G4059" s="2" t="str">
        <f t="shared" si="255"/>
        <v>Week 9-2026</v>
      </c>
      <c r="O4059"/>
      <c r="Q4059"/>
    </row>
    <row r="4060" spans="1:17" hidden="1" x14ac:dyDescent="0.2">
      <c r="A4060" s="3">
        <v>46078</v>
      </c>
      <c r="B4060" s="2" t="s">
        <v>17</v>
      </c>
      <c r="C4060" s="2">
        <v>4</v>
      </c>
      <c r="D4060" s="2">
        <f t="shared" si="252"/>
        <v>2026</v>
      </c>
      <c r="E4060" s="2" t="str">
        <f t="shared" si="253"/>
        <v>2026-9</v>
      </c>
      <c r="F4060" s="2" t="str">
        <f t="shared" si="254"/>
        <v>Week 9</v>
      </c>
      <c r="G4060" s="2" t="str">
        <f t="shared" si="255"/>
        <v>Week 9-2026</v>
      </c>
      <c r="O4060"/>
      <c r="Q4060"/>
    </row>
    <row r="4061" spans="1:17" hidden="1" x14ac:dyDescent="0.2">
      <c r="A4061" s="3">
        <v>46078</v>
      </c>
      <c r="B4061" s="2" t="s">
        <v>30</v>
      </c>
      <c r="C4061" s="2">
        <v>6</v>
      </c>
      <c r="D4061" s="2">
        <f t="shared" si="252"/>
        <v>2026</v>
      </c>
      <c r="E4061" s="2" t="str">
        <f t="shared" si="253"/>
        <v>2026-9</v>
      </c>
      <c r="F4061" s="2" t="str">
        <f t="shared" si="254"/>
        <v>Week 9</v>
      </c>
      <c r="G4061" s="2" t="str">
        <f t="shared" si="255"/>
        <v>Week 9-2026</v>
      </c>
      <c r="O4061"/>
      <c r="Q4061"/>
    </row>
    <row r="4062" spans="1:17" hidden="1" x14ac:dyDescent="0.2">
      <c r="A4062" s="3">
        <v>46078</v>
      </c>
      <c r="B4062" s="2" t="s">
        <v>30</v>
      </c>
      <c r="C4062" s="2">
        <v>6</v>
      </c>
      <c r="D4062" s="2">
        <f t="shared" si="252"/>
        <v>2026</v>
      </c>
      <c r="E4062" s="2" t="str">
        <f t="shared" si="253"/>
        <v>2026-9</v>
      </c>
      <c r="F4062" s="2" t="str">
        <f t="shared" si="254"/>
        <v>Week 9</v>
      </c>
      <c r="G4062" s="2" t="str">
        <f t="shared" si="255"/>
        <v>Week 9-2026</v>
      </c>
      <c r="O4062"/>
      <c r="Q4062"/>
    </row>
    <row r="4063" spans="1:17" hidden="1" x14ac:dyDescent="0.2">
      <c r="A4063" s="3">
        <v>46078</v>
      </c>
      <c r="B4063" s="2" t="s">
        <v>5</v>
      </c>
      <c r="C4063" s="2">
        <v>4</v>
      </c>
      <c r="D4063" s="2">
        <f t="shared" si="252"/>
        <v>2026</v>
      </c>
      <c r="E4063" s="2" t="str">
        <f t="shared" si="253"/>
        <v>2026-9</v>
      </c>
      <c r="F4063" s="2" t="str">
        <f t="shared" si="254"/>
        <v>Week 9</v>
      </c>
      <c r="G4063" s="2" t="str">
        <f t="shared" si="255"/>
        <v>Week 9-2026</v>
      </c>
      <c r="O4063"/>
      <c r="Q4063"/>
    </row>
    <row r="4064" spans="1:17" hidden="1" x14ac:dyDescent="0.2">
      <c r="A4064" s="3">
        <v>46078</v>
      </c>
      <c r="B4064" s="2" t="s">
        <v>14</v>
      </c>
      <c r="C4064" s="2">
        <v>4</v>
      </c>
      <c r="D4064" s="2">
        <f t="shared" si="252"/>
        <v>2026</v>
      </c>
      <c r="E4064" s="2" t="str">
        <f t="shared" si="253"/>
        <v>2026-9</v>
      </c>
      <c r="F4064" s="2" t="str">
        <f t="shared" si="254"/>
        <v>Week 9</v>
      </c>
      <c r="G4064" s="2" t="str">
        <f t="shared" si="255"/>
        <v>Week 9-2026</v>
      </c>
      <c r="O4064"/>
      <c r="Q4064"/>
    </row>
    <row r="4065" spans="1:17" hidden="1" x14ac:dyDescent="0.2">
      <c r="A4065" s="3">
        <v>46078</v>
      </c>
      <c r="B4065" s="2" t="s">
        <v>8</v>
      </c>
      <c r="C4065" s="2">
        <v>4</v>
      </c>
      <c r="D4065" s="2">
        <f t="shared" si="252"/>
        <v>2026</v>
      </c>
      <c r="E4065" s="2" t="str">
        <f t="shared" si="253"/>
        <v>2026-9</v>
      </c>
      <c r="F4065" s="2" t="str">
        <f t="shared" si="254"/>
        <v>Week 9</v>
      </c>
      <c r="G4065" s="2" t="str">
        <f t="shared" si="255"/>
        <v>Week 9-2026</v>
      </c>
      <c r="O4065"/>
      <c r="Q4065"/>
    </row>
    <row r="4066" spans="1:17" hidden="1" x14ac:dyDescent="0.2">
      <c r="A4066" s="3">
        <v>46078</v>
      </c>
      <c r="B4066" s="2" t="s">
        <v>9</v>
      </c>
      <c r="C4066" s="2">
        <v>2</v>
      </c>
      <c r="D4066" s="2">
        <f t="shared" si="252"/>
        <v>2026</v>
      </c>
      <c r="E4066" s="2" t="str">
        <f t="shared" si="253"/>
        <v>2026-9</v>
      </c>
      <c r="F4066" s="2" t="str">
        <f t="shared" si="254"/>
        <v>Week 9</v>
      </c>
      <c r="G4066" s="2" t="str">
        <f t="shared" si="255"/>
        <v>Week 9-2026</v>
      </c>
      <c r="O4066"/>
      <c r="Q4066"/>
    </row>
    <row r="4067" spans="1:17" hidden="1" x14ac:dyDescent="0.2">
      <c r="A4067" s="3">
        <v>46078</v>
      </c>
      <c r="B4067" s="2" t="s">
        <v>9</v>
      </c>
      <c r="C4067" s="2">
        <v>2</v>
      </c>
      <c r="D4067" s="2">
        <f t="shared" si="252"/>
        <v>2026</v>
      </c>
      <c r="E4067" s="2" t="str">
        <f t="shared" si="253"/>
        <v>2026-9</v>
      </c>
      <c r="F4067" s="2" t="str">
        <f t="shared" si="254"/>
        <v>Week 9</v>
      </c>
      <c r="G4067" s="2" t="str">
        <f t="shared" si="255"/>
        <v>Week 9-2026</v>
      </c>
      <c r="O4067"/>
      <c r="Q4067"/>
    </row>
    <row r="4068" spans="1:17" hidden="1" x14ac:dyDescent="0.2">
      <c r="A4068" s="3">
        <v>46078</v>
      </c>
      <c r="B4068" s="2" t="s">
        <v>9</v>
      </c>
      <c r="C4068" s="2">
        <v>2</v>
      </c>
      <c r="D4068" s="2">
        <f t="shared" si="252"/>
        <v>2026</v>
      </c>
      <c r="E4068" s="2" t="str">
        <f t="shared" si="253"/>
        <v>2026-9</v>
      </c>
      <c r="F4068" s="2" t="str">
        <f t="shared" si="254"/>
        <v>Week 9</v>
      </c>
      <c r="G4068" s="2" t="str">
        <f t="shared" si="255"/>
        <v>Week 9-2026</v>
      </c>
      <c r="O4068"/>
      <c r="Q4068"/>
    </row>
    <row r="4069" spans="1:17" hidden="1" x14ac:dyDescent="0.2">
      <c r="A4069" s="3">
        <v>46078</v>
      </c>
      <c r="B4069" s="2" t="s">
        <v>3</v>
      </c>
      <c r="C4069" s="2">
        <v>2</v>
      </c>
      <c r="D4069" s="2">
        <f t="shared" si="252"/>
        <v>2026</v>
      </c>
      <c r="E4069" s="2" t="str">
        <f t="shared" si="253"/>
        <v>2026-9</v>
      </c>
      <c r="F4069" s="2" t="str">
        <f t="shared" si="254"/>
        <v>Week 9</v>
      </c>
      <c r="G4069" s="2" t="str">
        <f t="shared" si="255"/>
        <v>Week 9-2026</v>
      </c>
      <c r="O4069"/>
      <c r="Q4069"/>
    </row>
    <row r="4070" spans="1:17" hidden="1" x14ac:dyDescent="0.2">
      <c r="A4070" s="3">
        <v>46078</v>
      </c>
      <c r="B4070" s="2" t="s">
        <v>3</v>
      </c>
      <c r="C4070" s="2">
        <v>2</v>
      </c>
      <c r="D4070" s="2">
        <f t="shared" si="252"/>
        <v>2026</v>
      </c>
      <c r="E4070" s="2" t="str">
        <f t="shared" si="253"/>
        <v>2026-9</v>
      </c>
      <c r="F4070" s="2" t="str">
        <f t="shared" si="254"/>
        <v>Week 9</v>
      </c>
      <c r="G4070" s="2" t="str">
        <f t="shared" si="255"/>
        <v>Week 9-2026</v>
      </c>
      <c r="O4070"/>
      <c r="Q4070"/>
    </row>
    <row r="4071" spans="1:17" hidden="1" x14ac:dyDescent="0.2">
      <c r="A4071" s="3">
        <v>46078</v>
      </c>
      <c r="B4071" s="2" t="s">
        <v>14</v>
      </c>
      <c r="C4071" s="2">
        <v>4</v>
      </c>
      <c r="D4071" s="2">
        <f t="shared" si="252"/>
        <v>2026</v>
      </c>
      <c r="E4071" s="2" t="str">
        <f t="shared" si="253"/>
        <v>2026-9</v>
      </c>
      <c r="F4071" s="2" t="str">
        <f t="shared" si="254"/>
        <v>Week 9</v>
      </c>
      <c r="G4071" s="2" t="str">
        <f t="shared" si="255"/>
        <v>Week 9-2026</v>
      </c>
      <c r="O4071"/>
      <c r="Q4071"/>
    </row>
    <row r="4072" spans="1:17" hidden="1" x14ac:dyDescent="0.2">
      <c r="A4072" s="3">
        <v>46078</v>
      </c>
      <c r="B4072" s="2" t="s">
        <v>27</v>
      </c>
      <c r="C4072" s="2">
        <v>4</v>
      </c>
      <c r="D4072" s="2">
        <f t="shared" si="252"/>
        <v>2026</v>
      </c>
      <c r="E4072" s="2" t="str">
        <f t="shared" si="253"/>
        <v>2026-9</v>
      </c>
      <c r="F4072" s="2" t="str">
        <f t="shared" si="254"/>
        <v>Week 9</v>
      </c>
      <c r="G4072" s="2" t="str">
        <f t="shared" si="255"/>
        <v>Week 9-2026</v>
      </c>
      <c r="O4072"/>
      <c r="Q4072"/>
    </row>
    <row r="4073" spans="1:17" hidden="1" x14ac:dyDescent="0.2">
      <c r="A4073" s="3">
        <v>46078</v>
      </c>
      <c r="B4073" s="2" t="s">
        <v>3</v>
      </c>
      <c r="C4073" s="2">
        <v>2</v>
      </c>
      <c r="D4073" s="2">
        <f t="shared" si="252"/>
        <v>2026</v>
      </c>
      <c r="E4073" s="2" t="str">
        <f t="shared" si="253"/>
        <v>2026-9</v>
      </c>
      <c r="F4073" s="2" t="str">
        <f t="shared" si="254"/>
        <v>Week 9</v>
      </c>
      <c r="G4073" s="2" t="str">
        <f t="shared" si="255"/>
        <v>Week 9-2026</v>
      </c>
      <c r="O4073"/>
      <c r="Q4073"/>
    </row>
    <row r="4074" spans="1:17" hidden="1" x14ac:dyDescent="0.2">
      <c r="A4074" s="3">
        <v>46078</v>
      </c>
      <c r="B4074" s="2" t="s">
        <v>35</v>
      </c>
      <c r="C4074" s="2">
        <v>2</v>
      </c>
      <c r="D4074" s="2">
        <f t="shared" si="252"/>
        <v>2026</v>
      </c>
      <c r="E4074" s="2" t="str">
        <f t="shared" si="253"/>
        <v>2026-9</v>
      </c>
      <c r="F4074" s="2" t="str">
        <f t="shared" si="254"/>
        <v>Week 9</v>
      </c>
      <c r="G4074" s="2" t="str">
        <f t="shared" si="255"/>
        <v>Week 9-2026</v>
      </c>
      <c r="O4074"/>
      <c r="Q4074"/>
    </row>
    <row r="4075" spans="1:17" hidden="1" x14ac:dyDescent="0.2">
      <c r="A4075" s="3">
        <v>46078</v>
      </c>
      <c r="B4075" s="2" t="s">
        <v>14</v>
      </c>
      <c r="C4075" s="2">
        <v>2</v>
      </c>
      <c r="D4075" s="2">
        <f t="shared" si="252"/>
        <v>2026</v>
      </c>
      <c r="E4075" s="2" t="str">
        <f t="shared" si="253"/>
        <v>2026-9</v>
      </c>
      <c r="F4075" s="2" t="str">
        <f t="shared" si="254"/>
        <v>Week 9</v>
      </c>
      <c r="G4075" s="2" t="str">
        <f t="shared" si="255"/>
        <v>Week 9-2026</v>
      </c>
      <c r="O4075"/>
      <c r="Q4075"/>
    </row>
    <row r="4076" spans="1:17" hidden="1" x14ac:dyDescent="0.2">
      <c r="A4076" s="3">
        <v>46079</v>
      </c>
      <c r="B4076" s="2" t="s">
        <v>9</v>
      </c>
      <c r="C4076" s="2">
        <v>28</v>
      </c>
      <c r="D4076" s="2">
        <f t="shared" si="252"/>
        <v>2026</v>
      </c>
      <c r="E4076" s="2" t="str">
        <f t="shared" si="253"/>
        <v>2026-9</v>
      </c>
      <c r="F4076" s="2" t="str">
        <f t="shared" si="254"/>
        <v>Week 9</v>
      </c>
      <c r="G4076" s="2" t="str">
        <f t="shared" si="255"/>
        <v>Week 9-2026</v>
      </c>
      <c r="O4076"/>
      <c r="Q4076"/>
    </row>
    <row r="4077" spans="1:17" hidden="1" x14ac:dyDescent="0.2">
      <c r="A4077" s="3">
        <v>46079</v>
      </c>
      <c r="B4077" s="2" t="s">
        <v>7</v>
      </c>
      <c r="C4077" s="2">
        <v>16</v>
      </c>
      <c r="D4077" s="2">
        <f t="shared" si="252"/>
        <v>2026</v>
      </c>
      <c r="E4077" s="2" t="str">
        <f t="shared" si="253"/>
        <v>2026-9</v>
      </c>
      <c r="F4077" s="2" t="str">
        <f t="shared" si="254"/>
        <v>Week 9</v>
      </c>
      <c r="G4077" s="2" t="str">
        <f t="shared" si="255"/>
        <v>Week 9-2026</v>
      </c>
      <c r="O4077"/>
      <c r="Q4077"/>
    </row>
    <row r="4078" spans="1:17" hidden="1" x14ac:dyDescent="0.2">
      <c r="A4078" s="3">
        <v>46079</v>
      </c>
      <c r="B4078" s="2" t="s">
        <v>7</v>
      </c>
      <c r="C4078" s="2">
        <v>16</v>
      </c>
      <c r="D4078" s="2">
        <f t="shared" si="252"/>
        <v>2026</v>
      </c>
      <c r="E4078" s="2" t="str">
        <f t="shared" si="253"/>
        <v>2026-9</v>
      </c>
      <c r="F4078" s="2" t="str">
        <f t="shared" si="254"/>
        <v>Week 9</v>
      </c>
      <c r="G4078" s="2" t="str">
        <f t="shared" si="255"/>
        <v>Week 9-2026</v>
      </c>
      <c r="O4078"/>
      <c r="Q4078"/>
    </row>
    <row r="4079" spans="1:17" hidden="1" x14ac:dyDescent="0.2">
      <c r="A4079" s="3">
        <v>46079</v>
      </c>
      <c r="B4079" s="2" t="s">
        <v>6</v>
      </c>
      <c r="C4079" s="2">
        <v>7</v>
      </c>
      <c r="D4079" s="2">
        <f t="shared" si="252"/>
        <v>2026</v>
      </c>
      <c r="E4079" s="2" t="str">
        <f t="shared" si="253"/>
        <v>2026-9</v>
      </c>
      <c r="F4079" s="2" t="str">
        <f t="shared" si="254"/>
        <v>Week 9</v>
      </c>
      <c r="G4079" s="2" t="str">
        <f t="shared" si="255"/>
        <v>Week 9-2026</v>
      </c>
      <c r="O4079"/>
      <c r="Q4079"/>
    </row>
    <row r="4080" spans="1:17" hidden="1" x14ac:dyDescent="0.2">
      <c r="A4080" s="3">
        <v>46079</v>
      </c>
      <c r="B4080" s="2" t="s">
        <v>9</v>
      </c>
      <c r="C4080" s="2">
        <v>8</v>
      </c>
      <c r="D4080" s="2">
        <f t="shared" si="252"/>
        <v>2026</v>
      </c>
      <c r="E4080" s="2" t="str">
        <f t="shared" si="253"/>
        <v>2026-9</v>
      </c>
      <c r="F4080" s="2" t="str">
        <f t="shared" si="254"/>
        <v>Week 9</v>
      </c>
      <c r="G4080" s="2" t="str">
        <f t="shared" si="255"/>
        <v>Week 9-2026</v>
      </c>
      <c r="O4080"/>
      <c r="Q4080"/>
    </row>
    <row r="4081" spans="1:17" hidden="1" x14ac:dyDescent="0.2">
      <c r="A4081" s="3">
        <v>46079</v>
      </c>
      <c r="B4081" s="2" t="s">
        <v>7</v>
      </c>
      <c r="C4081" s="2">
        <v>14</v>
      </c>
      <c r="D4081" s="2">
        <f t="shared" si="252"/>
        <v>2026</v>
      </c>
      <c r="E4081" s="2" t="str">
        <f t="shared" si="253"/>
        <v>2026-9</v>
      </c>
      <c r="F4081" s="2" t="str">
        <f t="shared" si="254"/>
        <v>Week 9</v>
      </c>
      <c r="G4081" s="2" t="str">
        <f t="shared" si="255"/>
        <v>Week 9-2026</v>
      </c>
      <c r="O4081"/>
      <c r="Q4081"/>
    </row>
    <row r="4082" spans="1:17" hidden="1" x14ac:dyDescent="0.2">
      <c r="A4082" s="3">
        <v>46079</v>
      </c>
      <c r="B4082" s="2" t="s">
        <v>7</v>
      </c>
      <c r="C4082" s="2">
        <v>12</v>
      </c>
      <c r="D4082" s="2">
        <f t="shared" si="252"/>
        <v>2026</v>
      </c>
      <c r="E4082" s="2" t="str">
        <f t="shared" si="253"/>
        <v>2026-9</v>
      </c>
      <c r="F4082" s="2" t="str">
        <f t="shared" si="254"/>
        <v>Week 9</v>
      </c>
      <c r="G4082" s="2" t="str">
        <f t="shared" si="255"/>
        <v>Week 9-2026</v>
      </c>
      <c r="O4082"/>
      <c r="Q4082"/>
    </row>
    <row r="4083" spans="1:17" hidden="1" x14ac:dyDescent="0.2">
      <c r="A4083" s="3">
        <v>46079</v>
      </c>
      <c r="B4083" s="2" t="s">
        <v>6</v>
      </c>
      <c r="C4083" s="2">
        <v>9</v>
      </c>
      <c r="D4083" s="2">
        <f t="shared" si="252"/>
        <v>2026</v>
      </c>
      <c r="E4083" s="2" t="str">
        <f t="shared" si="253"/>
        <v>2026-9</v>
      </c>
      <c r="F4083" s="2" t="str">
        <f t="shared" si="254"/>
        <v>Week 9</v>
      </c>
      <c r="G4083" s="2" t="str">
        <f t="shared" si="255"/>
        <v>Week 9-2026</v>
      </c>
      <c r="O4083"/>
      <c r="Q4083"/>
    </row>
    <row r="4084" spans="1:17" hidden="1" x14ac:dyDescent="0.2">
      <c r="A4084" s="3">
        <v>46079</v>
      </c>
      <c r="B4084" s="2" t="s">
        <v>5</v>
      </c>
      <c r="C4084" s="2">
        <v>14</v>
      </c>
      <c r="D4084" s="2">
        <f t="shared" si="252"/>
        <v>2026</v>
      </c>
      <c r="E4084" s="2" t="str">
        <f t="shared" si="253"/>
        <v>2026-9</v>
      </c>
      <c r="F4084" s="2" t="str">
        <f t="shared" si="254"/>
        <v>Week 9</v>
      </c>
      <c r="G4084" s="2" t="str">
        <f t="shared" si="255"/>
        <v>Week 9-2026</v>
      </c>
      <c r="O4084"/>
      <c r="Q4084"/>
    </row>
    <row r="4085" spans="1:17" hidden="1" x14ac:dyDescent="0.2">
      <c r="A4085" s="3">
        <v>46079</v>
      </c>
      <c r="B4085" s="2" t="s">
        <v>4</v>
      </c>
      <c r="C4085" s="2">
        <v>10</v>
      </c>
      <c r="D4085" s="2">
        <f t="shared" si="252"/>
        <v>2026</v>
      </c>
      <c r="E4085" s="2" t="str">
        <f t="shared" si="253"/>
        <v>2026-9</v>
      </c>
      <c r="F4085" s="2" t="str">
        <f t="shared" si="254"/>
        <v>Week 9</v>
      </c>
      <c r="G4085" s="2" t="str">
        <f t="shared" si="255"/>
        <v>Week 9-2026</v>
      </c>
      <c r="O4085"/>
      <c r="Q4085"/>
    </row>
    <row r="4086" spans="1:17" hidden="1" x14ac:dyDescent="0.2">
      <c r="A4086" s="3">
        <v>46079</v>
      </c>
      <c r="B4086" s="2" t="s">
        <v>4</v>
      </c>
      <c r="C4086" s="2">
        <v>8</v>
      </c>
      <c r="D4086" s="2">
        <f t="shared" si="252"/>
        <v>2026</v>
      </c>
      <c r="E4086" s="2" t="str">
        <f t="shared" si="253"/>
        <v>2026-9</v>
      </c>
      <c r="F4086" s="2" t="str">
        <f t="shared" si="254"/>
        <v>Week 9</v>
      </c>
      <c r="G4086" s="2" t="str">
        <f t="shared" si="255"/>
        <v>Week 9-2026</v>
      </c>
      <c r="O4086"/>
      <c r="Q4086"/>
    </row>
    <row r="4087" spans="1:17" hidden="1" x14ac:dyDescent="0.2">
      <c r="A4087" s="3">
        <v>46079</v>
      </c>
      <c r="B4087" s="2" t="s">
        <v>4</v>
      </c>
      <c r="C4087" s="2">
        <v>8</v>
      </c>
      <c r="D4087" s="2">
        <f t="shared" si="252"/>
        <v>2026</v>
      </c>
      <c r="E4087" s="2" t="str">
        <f t="shared" si="253"/>
        <v>2026-9</v>
      </c>
      <c r="F4087" s="2" t="str">
        <f t="shared" si="254"/>
        <v>Week 9</v>
      </c>
      <c r="G4087" s="2" t="str">
        <f t="shared" si="255"/>
        <v>Week 9-2026</v>
      </c>
      <c r="O4087"/>
      <c r="Q4087"/>
    </row>
    <row r="4088" spans="1:17" hidden="1" x14ac:dyDescent="0.2">
      <c r="A4088" s="3">
        <v>46079</v>
      </c>
      <c r="B4088" s="2" t="s">
        <v>3</v>
      </c>
      <c r="C4088" s="2">
        <v>10</v>
      </c>
      <c r="D4088" s="2">
        <f t="shared" si="252"/>
        <v>2026</v>
      </c>
      <c r="E4088" s="2" t="str">
        <f t="shared" si="253"/>
        <v>2026-9</v>
      </c>
      <c r="F4088" s="2" t="str">
        <f t="shared" si="254"/>
        <v>Week 9</v>
      </c>
      <c r="G4088" s="2" t="str">
        <f t="shared" si="255"/>
        <v>Week 9-2026</v>
      </c>
      <c r="O4088"/>
      <c r="Q4088"/>
    </row>
    <row r="4089" spans="1:17" hidden="1" x14ac:dyDescent="0.2">
      <c r="A4089" s="3">
        <v>46079</v>
      </c>
      <c r="B4089" s="2" t="s">
        <v>3</v>
      </c>
      <c r="C4089" s="2">
        <v>10</v>
      </c>
      <c r="D4089" s="2">
        <f t="shared" si="252"/>
        <v>2026</v>
      </c>
      <c r="E4089" s="2" t="str">
        <f t="shared" si="253"/>
        <v>2026-9</v>
      </c>
      <c r="F4089" s="2" t="str">
        <f t="shared" si="254"/>
        <v>Week 9</v>
      </c>
      <c r="G4089" s="2" t="str">
        <f t="shared" si="255"/>
        <v>Week 9-2026</v>
      </c>
      <c r="O4089"/>
      <c r="Q4089"/>
    </row>
    <row r="4090" spans="1:17" hidden="1" x14ac:dyDescent="0.2">
      <c r="A4090" s="3">
        <v>46079</v>
      </c>
      <c r="B4090" s="2" t="s">
        <v>9</v>
      </c>
      <c r="C4090" s="2">
        <v>8</v>
      </c>
      <c r="D4090" s="2">
        <f t="shared" si="252"/>
        <v>2026</v>
      </c>
      <c r="E4090" s="2" t="str">
        <f t="shared" si="253"/>
        <v>2026-9</v>
      </c>
      <c r="F4090" s="2" t="str">
        <f t="shared" si="254"/>
        <v>Week 9</v>
      </c>
      <c r="G4090" s="2" t="str">
        <f t="shared" si="255"/>
        <v>Week 9-2026</v>
      </c>
      <c r="O4090"/>
      <c r="Q4090"/>
    </row>
    <row r="4091" spans="1:17" hidden="1" x14ac:dyDescent="0.2">
      <c r="A4091" s="3">
        <v>46079</v>
      </c>
      <c r="B4091" s="2" t="s">
        <v>14</v>
      </c>
      <c r="C4091" s="2">
        <v>15</v>
      </c>
      <c r="D4091" s="2">
        <f t="shared" si="252"/>
        <v>2026</v>
      </c>
      <c r="E4091" s="2" t="str">
        <f t="shared" si="253"/>
        <v>2026-9</v>
      </c>
      <c r="F4091" s="2" t="str">
        <f t="shared" si="254"/>
        <v>Week 9</v>
      </c>
      <c r="G4091" s="2" t="str">
        <f t="shared" si="255"/>
        <v>Week 9-2026</v>
      </c>
      <c r="O4091"/>
      <c r="Q4091"/>
    </row>
    <row r="4092" spans="1:17" hidden="1" x14ac:dyDescent="0.2">
      <c r="A4092" s="3">
        <v>46079</v>
      </c>
      <c r="B4092" s="2" t="s">
        <v>9</v>
      </c>
      <c r="C4092" s="2">
        <v>7</v>
      </c>
      <c r="D4092" s="2">
        <f t="shared" si="252"/>
        <v>2026</v>
      </c>
      <c r="E4092" s="2" t="str">
        <f t="shared" si="253"/>
        <v>2026-9</v>
      </c>
      <c r="F4092" s="2" t="str">
        <f t="shared" si="254"/>
        <v>Week 9</v>
      </c>
      <c r="G4092" s="2" t="str">
        <f t="shared" si="255"/>
        <v>Week 9-2026</v>
      </c>
      <c r="O4092"/>
      <c r="Q4092"/>
    </row>
    <row r="4093" spans="1:17" hidden="1" x14ac:dyDescent="0.2">
      <c r="A4093" s="3">
        <v>46079</v>
      </c>
      <c r="B4093" s="2" t="s">
        <v>18</v>
      </c>
      <c r="C4093" s="2">
        <v>4</v>
      </c>
      <c r="D4093" s="2">
        <f t="shared" si="252"/>
        <v>2026</v>
      </c>
      <c r="E4093" s="2" t="str">
        <f t="shared" si="253"/>
        <v>2026-9</v>
      </c>
      <c r="F4093" s="2" t="str">
        <f t="shared" si="254"/>
        <v>Week 9</v>
      </c>
      <c r="G4093" s="2" t="str">
        <f t="shared" si="255"/>
        <v>Week 9-2026</v>
      </c>
      <c r="O4093"/>
      <c r="Q4093"/>
    </row>
    <row r="4094" spans="1:17" hidden="1" x14ac:dyDescent="0.2">
      <c r="A4094" s="3">
        <v>46079</v>
      </c>
      <c r="B4094" s="2" t="s">
        <v>18</v>
      </c>
      <c r="C4094" s="2">
        <v>4</v>
      </c>
      <c r="D4094" s="2">
        <f t="shared" si="252"/>
        <v>2026</v>
      </c>
      <c r="E4094" s="2" t="str">
        <f t="shared" si="253"/>
        <v>2026-9</v>
      </c>
      <c r="F4094" s="2" t="str">
        <f t="shared" si="254"/>
        <v>Week 9</v>
      </c>
      <c r="G4094" s="2" t="str">
        <f t="shared" si="255"/>
        <v>Week 9-2026</v>
      </c>
      <c r="O4094"/>
      <c r="Q4094"/>
    </row>
    <row r="4095" spans="1:17" hidden="1" x14ac:dyDescent="0.2">
      <c r="A4095" s="3">
        <v>46079</v>
      </c>
      <c r="B4095" s="2" t="s">
        <v>5</v>
      </c>
      <c r="C4095" s="2">
        <v>7</v>
      </c>
      <c r="D4095" s="2">
        <f t="shared" si="252"/>
        <v>2026</v>
      </c>
      <c r="E4095" s="2" t="str">
        <f t="shared" si="253"/>
        <v>2026-9</v>
      </c>
      <c r="F4095" s="2" t="str">
        <f t="shared" si="254"/>
        <v>Week 9</v>
      </c>
      <c r="G4095" s="2" t="str">
        <f t="shared" si="255"/>
        <v>Week 9-2026</v>
      </c>
      <c r="O4095"/>
      <c r="Q4095"/>
    </row>
    <row r="4096" spans="1:17" hidden="1" x14ac:dyDescent="0.2">
      <c r="A4096" s="3">
        <v>46079</v>
      </c>
      <c r="B4096" s="2" t="s">
        <v>5</v>
      </c>
      <c r="C4096" s="2">
        <v>7</v>
      </c>
      <c r="D4096" s="2">
        <f t="shared" si="252"/>
        <v>2026</v>
      </c>
      <c r="E4096" s="2" t="str">
        <f t="shared" si="253"/>
        <v>2026-9</v>
      </c>
      <c r="F4096" s="2" t="str">
        <f t="shared" si="254"/>
        <v>Week 9</v>
      </c>
      <c r="G4096" s="2" t="str">
        <f t="shared" si="255"/>
        <v>Week 9-2026</v>
      </c>
      <c r="O4096"/>
      <c r="Q4096"/>
    </row>
    <row r="4097" spans="1:17" hidden="1" x14ac:dyDescent="0.2">
      <c r="A4097" s="3">
        <v>46079</v>
      </c>
      <c r="B4097" s="2" t="s">
        <v>5</v>
      </c>
      <c r="C4097" s="2">
        <v>6</v>
      </c>
      <c r="D4097" s="2">
        <f t="shared" si="252"/>
        <v>2026</v>
      </c>
      <c r="E4097" s="2" t="str">
        <f t="shared" si="253"/>
        <v>2026-9</v>
      </c>
      <c r="F4097" s="2" t="str">
        <f t="shared" si="254"/>
        <v>Week 9</v>
      </c>
      <c r="G4097" s="2" t="str">
        <f t="shared" si="255"/>
        <v>Week 9-2026</v>
      </c>
      <c r="O4097"/>
      <c r="Q4097"/>
    </row>
    <row r="4098" spans="1:17" hidden="1" x14ac:dyDescent="0.2">
      <c r="A4098" s="3">
        <v>46079</v>
      </c>
      <c r="B4098" s="2" t="s">
        <v>17</v>
      </c>
      <c r="C4098" s="2">
        <v>6</v>
      </c>
      <c r="D4098" s="2">
        <f t="shared" ref="D4098:D4161" si="256">YEAR(A4098)</f>
        <v>2026</v>
      </c>
      <c r="E4098" s="2" t="str">
        <f t="shared" ref="E4098:E4161" si="257">YEAR(A4098)&amp;"-"&amp;_xlfn.ISOWEEKNUM(A4098)</f>
        <v>2026-9</v>
      </c>
      <c r="F4098" s="2" t="str">
        <f t="shared" ref="F4098:F4161" si="258">_xlfn.CONCAT("Week "&amp;WEEKNUM(A4098))</f>
        <v>Week 9</v>
      </c>
      <c r="G4098" s="2" t="str">
        <f t="shared" ref="G4098:G4161" si="259">_xlfn.CONCAT(F4098,"-",D4098)</f>
        <v>Week 9-2026</v>
      </c>
      <c r="O4098"/>
      <c r="Q4098"/>
    </row>
    <row r="4099" spans="1:17" hidden="1" x14ac:dyDescent="0.2">
      <c r="A4099" s="3">
        <v>46079</v>
      </c>
      <c r="B4099" s="2" t="s">
        <v>17</v>
      </c>
      <c r="C4099" s="2">
        <v>6</v>
      </c>
      <c r="D4099" s="2">
        <f t="shared" si="256"/>
        <v>2026</v>
      </c>
      <c r="E4099" s="2" t="str">
        <f t="shared" si="257"/>
        <v>2026-9</v>
      </c>
      <c r="F4099" s="2" t="str">
        <f t="shared" si="258"/>
        <v>Week 9</v>
      </c>
      <c r="G4099" s="2" t="str">
        <f t="shared" si="259"/>
        <v>Week 9-2026</v>
      </c>
      <c r="O4099"/>
      <c r="Q4099"/>
    </row>
    <row r="4100" spans="1:17" hidden="1" x14ac:dyDescent="0.2">
      <c r="A4100" s="3">
        <v>46079</v>
      </c>
      <c r="B4100" s="2" t="s">
        <v>4</v>
      </c>
      <c r="C4100" s="2">
        <v>4</v>
      </c>
      <c r="D4100" s="2">
        <f t="shared" si="256"/>
        <v>2026</v>
      </c>
      <c r="E4100" s="2" t="str">
        <f t="shared" si="257"/>
        <v>2026-9</v>
      </c>
      <c r="F4100" s="2" t="str">
        <f t="shared" si="258"/>
        <v>Week 9</v>
      </c>
      <c r="G4100" s="2" t="str">
        <f t="shared" si="259"/>
        <v>Week 9-2026</v>
      </c>
      <c r="O4100"/>
      <c r="Q4100"/>
    </row>
    <row r="4101" spans="1:17" hidden="1" x14ac:dyDescent="0.2">
      <c r="A4101" s="3">
        <v>46079</v>
      </c>
      <c r="B4101" s="2" t="s">
        <v>9</v>
      </c>
      <c r="C4101" s="2">
        <v>4</v>
      </c>
      <c r="D4101" s="2">
        <f t="shared" si="256"/>
        <v>2026</v>
      </c>
      <c r="E4101" s="2" t="str">
        <f t="shared" si="257"/>
        <v>2026-9</v>
      </c>
      <c r="F4101" s="2" t="str">
        <f t="shared" si="258"/>
        <v>Week 9</v>
      </c>
      <c r="G4101" s="2" t="str">
        <f t="shared" si="259"/>
        <v>Week 9-2026</v>
      </c>
      <c r="O4101"/>
      <c r="Q4101"/>
    </row>
    <row r="4102" spans="1:17" hidden="1" x14ac:dyDescent="0.2">
      <c r="A4102" s="3">
        <v>46079</v>
      </c>
      <c r="B4102" s="2" t="s">
        <v>10</v>
      </c>
      <c r="C4102" s="2">
        <v>5</v>
      </c>
      <c r="D4102" s="2">
        <f t="shared" si="256"/>
        <v>2026</v>
      </c>
      <c r="E4102" s="2" t="str">
        <f t="shared" si="257"/>
        <v>2026-9</v>
      </c>
      <c r="F4102" s="2" t="str">
        <f t="shared" si="258"/>
        <v>Week 9</v>
      </c>
      <c r="G4102" s="2" t="str">
        <f t="shared" si="259"/>
        <v>Week 9-2026</v>
      </c>
      <c r="O4102"/>
      <c r="Q4102"/>
    </row>
    <row r="4103" spans="1:17" hidden="1" x14ac:dyDescent="0.2">
      <c r="A4103" s="3">
        <v>46079</v>
      </c>
      <c r="B4103" s="2" t="s">
        <v>3</v>
      </c>
      <c r="C4103" s="2">
        <v>4</v>
      </c>
      <c r="D4103" s="2">
        <f t="shared" si="256"/>
        <v>2026</v>
      </c>
      <c r="E4103" s="2" t="str">
        <f t="shared" si="257"/>
        <v>2026-9</v>
      </c>
      <c r="F4103" s="2" t="str">
        <f t="shared" si="258"/>
        <v>Week 9</v>
      </c>
      <c r="G4103" s="2" t="str">
        <f t="shared" si="259"/>
        <v>Week 9-2026</v>
      </c>
      <c r="O4103"/>
      <c r="Q4103"/>
    </row>
    <row r="4104" spans="1:17" hidden="1" x14ac:dyDescent="0.2">
      <c r="A4104" s="3">
        <v>46079</v>
      </c>
      <c r="B4104" s="2" t="s">
        <v>3</v>
      </c>
      <c r="C4104" s="2">
        <v>4</v>
      </c>
      <c r="D4104" s="2">
        <f t="shared" si="256"/>
        <v>2026</v>
      </c>
      <c r="E4104" s="2" t="str">
        <f t="shared" si="257"/>
        <v>2026-9</v>
      </c>
      <c r="F4104" s="2" t="str">
        <f t="shared" si="258"/>
        <v>Week 9</v>
      </c>
      <c r="G4104" s="2" t="str">
        <f t="shared" si="259"/>
        <v>Week 9-2026</v>
      </c>
      <c r="O4104"/>
      <c r="Q4104"/>
    </row>
    <row r="4105" spans="1:17" hidden="1" x14ac:dyDescent="0.2">
      <c r="A4105" s="3">
        <v>46079</v>
      </c>
      <c r="B4105" s="2" t="s">
        <v>5</v>
      </c>
      <c r="C4105" s="2">
        <v>4</v>
      </c>
      <c r="D4105" s="2">
        <f t="shared" si="256"/>
        <v>2026</v>
      </c>
      <c r="E4105" s="2" t="str">
        <f t="shared" si="257"/>
        <v>2026-9</v>
      </c>
      <c r="F4105" s="2" t="str">
        <f t="shared" si="258"/>
        <v>Week 9</v>
      </c>
      <c r="G4105" s="2" t="str">
        <f t="shared" si="259"/>
        <v>Week 9-2026</v>
      </c>
      <c r="O4105"/>
      <c r="Q4105"/>
    </row>
    <row r="4106" spans="1:17" hidden="1" x14ac:dyDescent="0.2">
      <c r="A4106" s="3">
        <v>46079</v>
      </c>
      <c r="B4106" s="2" t="s">
        <v>5</v>
      </c>
      <c r="C4106" s="2">
        <v>4</v>
      </c>
      <c r="D4106" s="2">
        <f t="shared" si="256"/>
        <v>2026</v>
      </c>
      <c r="E4106" s="2" t="str">
        <f t="shared" si="257"/>
        <v>2026-9</v>
      </c>
      <c r="F4106" s="2" t="str">
        <f t="shared" si="258"/>
        <v>Week 9</v>
      </c>
      <c r="G4106" s="2" t="str">
        <f t="shared" si="259"/>
        <v>Week 9-2026</v>
      </c>
      <c r="O4106"/>
      <c r="Q4106"/>
    </row>
    <row r="4107" spans="1:17" hidden="1" x14ac:dyDescent="0.2">
      <c r="A4107" s="3">
        <v>46079</v>
      </c>
      <c r="B4107" s="2" t="s">
        <v>18</v>
      </c>
      <c r="C4107" s="2">
        <v>2</v>
      </c>
      <c r="D4107" s="2">
        <f t="shared" si="256"/>
        <v>2026</v>
      </c>
      <c r="E4107" s="2" t="str">
        <f t="shared" si="257"/>
        <v>2026-9</v>
      </c>
      <c r="F4107" s="2" t="str">
        <f t="shared" si="258"/>
        <v>Week 9</v>
      </c>
      <c r="G4107" s="2" t="str">
        <f t="shared" si="259"/>
        <v>Week 9-2026</v>
      </c>
      <c r="O4107"/>
      <c r="Q4107"/>
    </row>
    <row r="4108" spans="1:17" hidden="1" x14ac:dyDescent="0.2">
      <c r="A4108" s="3">
        <v>46079</v>
      </c>
      <c r="B4108" s="2" t="s">
        <v>27</v>
      </c>
      <c r="C4108" s="2">
        <v>6</v>
      </c>
      <c r="D4108" s="2">
        <f t="shared" si="256"/>
        <v>2026</v>
      </c>
      <c r="E4108" s="2" t="str">
        <f t="shared" si="257"/>
        <v>2026-9</v>
      </c>
      <c r="F4108" s="2" t="str">
        <f t="shared" si="258"/>
        <v>Week 9</v>
      </c>
      <c r="G4108" s="2" t="str">
        <f t="shared" si="259"/>
        <v>Week 9-2026</v>
      </c>
      <c r="O4108"/>
      <c r="Q4108"/>
    </row>
    <row r="4109" spans="1:17" hidden="1" x14ac:dyDescent="0.2">
      <c r="A4109" s="3">
        <v>46079</v>
      </c>
      <c r="B4109" s="2" t="s">
        <v>6</v>
      </c>
      <c r="C4109" s="2">
        <v>2</v>
      </c>
      <c r="D4109" s="2">
        <f t="shared" si="256"/>
        <v>2026</v>
      </c>
      <c r="E4109" s="2" t="str">
        <f t="shared" si="257"/>
        <v>2026-9</v>
      </c>
      <c r="F4109" s="2" t="str">
        <f t="shared" si="258"/>
        <v>Week 9</v>
      </c>
      <c r="G4109" s="2" t="str">
        <f t="shared" si="259"/>
        <v>Week 9-2026</v>
      </c>
      <c r="O4109"/>
      <c r="Q4109"/>
    </row>
    <row r="4110" spans="1:17" hidden="1" x14ac:dyDescent="0.2">
      <c r="A4110" s="3">
        <v>46079</v>
      </c>
      <c r="B4110" s="2" t="s">
        <v>14</v>
      </c>
      <c r="C4110" s="2">
        <v>2</v>
      </c>
      <c r="D4110" s="2">
        <f t="shared" si="256"/>
        <v>2026</v>
      </c>
      <c r="E4110" s="2" t="str">
        <f t="shared" si="257"/>
        <v>2026-9</v>
      </c>
      <c r="F4110" s="2" t="str">
        <f t="shared" si="258"/>
        <v>Week 9</v>
      </c>
      <c r="G4110" s="2" t="str">
        <f t="shared" si="259"/>
        <v>Week 9-2026</v>
      </c>
      <c r="O4110"/>
      <c r="Q4110"/>
    </row>
    <row r="4111" spans="1:17" hidden="1" x14ac:dyDescent="0.2">
      <c r="A4111" s="3">
        <v>46079</v>
      </c>
      <c r="B4111" s="2" t="s">
        <v>14</v>
      </c>
      <c r="C4111" s="2">
        <v>2</v>
      </c>
      <c r="D4111" s="2">
        <f t="shared" si="256"/>
        <v>2026</v>
      </c>
      <c r="E4111" s="2" t="str">
        <f t="shared" si="257"/>
        <v>2026-9</v>
      </c>
      <c r="F4111" s="2" t="str">
        <f t="shared" si="258"/>
        <v>Week 9</v>
      </c>
      <c r="G4111" s="2" t="str">
        <f t="shared" si="259"/>
        <v>Week 9-2026</v>
      </c>
      <c r="O4111"/>
      <c r="Q4111"/>
    </row>
    <row r="4112" spans="1:17" hidden="1" x14ac:dyDescent="0.2">
      <c r="A4112" s="3">
        <v>46079</v>
      </c>
      <c r="B4112" s="2" t="s">
        <v>9</v>
      </c>
      <c r="C4112" s="2">
        <v>1</v>
      </c>
      <c r="D4112" s="2">
        <f t="shared" si="256"/>
        <v>2026</v>
      </c>
      <c r="E4112" s="2" t="str">
        <f t="shared" si="257"/>
        <v>2026-9</v>
      </c>
      <c r="F4112" s="2" t="str">
        <f t="shared" si="258"/>
        <v>Week 9</v>
      </c>
      <c r="G4112" s="2" t="str">
        <f t="shared" si="259"/>
        <v>Week 9-2026</v>
      </c>
      <c r="O4112"/>
      <c r="Q4112"/>
    </row>
    <row r="4113" spans="1:17" hidden="1" x14ac:dyDescent="0.2">
      <c r="A4113" s="3">
        <v>46079</v>
      </c>
      <c r="B4113" s="2" t="s">
        <v>9</v>
      </c>
      <c r="C4113" s="2">
        <v>1</v>
      </c>
      <c r="D4113" s="2">
        <f t="shared" si="256"/>
        <v>2026</v>
      </c>
      <c r="E4113" s="2" t="str">
        <f t="shared" si="257"/>
        <v>2026-9</v>
      </c>
      <c r="F4113" s="2" t="str">
        <f t="shared" si="258"/>
        <v>Week 9</v>
      </c>
      <c r="G4113" s="2" t="str">
        <f t="shared" si="259"/>
        <v>Week 9-2026</v>
      </c>
      <c r="O4113"/>
      <c r="Q4113"/>
    </row>
    <row r="4114" spans="1:17" hidden="1" x14ac:dyDescent="0.2">
      <c r="A4114" s="3">
        <v>46079</v>
      </c>
      <c r="B4114" s="2" t="s">
        <v>9</v>
      </c>
      <c r="C4114" s="2">
        <v>1</v>
      </c>
      <c r="D4114" s="2">
        <f t="shared" si="256"/>
        <v>2026</v>
      </c>
      <c r="E4114" s="2" t="str">
        <f t="shared" si="257"/>
        <v>2026-9</v>
      </c>
      <c r="F4114" s="2" t="str">
        <f t="shared" si="258"/>
        <v>Week 9</v>
      </c>
      <c r="G4114" s="2" t="str">
        <f t="shared" si="259"/>
        <v>Week 9-2026</v>
      </c>
      <c r="O4114"/>
      <c r="Q4114"/>
    </row>
    <row r="4115" spans="1:17" hidden="1" x14ac:dyDescent="0.2">
      <c r="A4115" s="3">
        <v>46079</v>
      </c>
      <c r="B4115" s="2" t="s">
        <v>5</v>
      </c>
      <c r="C4115" s="2">
        <v>1</v>
      </c>
      <c r="D4115" s="2">
        <f t="shared" si="256"/>
        <v>2026</v>
      </c>
      <c r="E4115" s="2" t="str">
        <f t="shared" si="257"/>
        <v>2026-9</v>
      </c>
      <c r="F4115" s="2" t="str">
        <f t="shared" si="258"/>
        <v>Week 9</v>
      </c>
      <c r="G4115" s="2" t="str">
        <f t="shared" si="259"/>
        <v>Week 9-2026</v>
      </c>
      <c r="O4115"/>
      <c r="Q4115"/>
    </row>
    <row r="4116" spans="1:17" hidden="1" x14ac:dyDescent="0.2">
      <c r="A4116" s="3">
        <v>46079</v>
      </c>
      <c r="B4116" s="2" t="s">
        <v>30</v>
      </c>
      <c r="C4116" s="2">
        <v>2</v>
      </c>
      <c r="D4116" s="2">
        <f t="shared" si="256"/>
        <v>2026</v>
      </c>
      <c r="E4116" s="2" t="str">
        <f t="shared" si="257"/>
        <v>2026-9</v>
      </c>
      <c r="F4116" s="2" t="str">
        <f t="shared" si="258"/>
        <v>Week 9</v>
      </c>
      <c r="G4116" s="2" t="str">
        <f t="shared" si="259"/>
        <v>Week 9-2026</v>
      </c>
      <c r="O4116"/>
      <c r="Q4116"/>
    </row>
    <row r="4117" spans="1:17" hidden="1" x14ac:dyDescent="0.2">
      <c r="A4117" s="3">
        <v>46079</v>
      </c>
      <c r="B4117" s="2" t="s">
        <v>10</v>
      </c>
      <c r="C4117" s="2">
        <v>1</v>
      </c>
      <c r="D4117" s="2">
        <f t="shared" si="256"/>
        <v>2026</v>
      </c>
      <c r="E4117" s="2" t="str">
        <f t="shared" si="257"/>
        <v>2026-9</v>
      </c>
      <c r="F4117" s="2" t="str">
        <f t="shared" si="258"/>
        <v>Week 9</v>
      </c>
      <c r="G4117" s="2" t="str">
        <f t="shared" si="259"/>
        <v>Week 9-2026</v>
      </c>
      <c r="O4117"/>
      <c r="Q4117"/>
    </row>
    <row r="4118" spans="1:17" hidden="1" x14ac:dyDescent="0.2">
      <c r="A4118" s="3">
        <v>46079</v>
      </c>
      <c r="B4118" s="2" t="s">
        <v>10</v>
      </c>
      <c r="C4118" s="2">
        <v>1</v>
      </c>
      <c r="D4118" s="2">
        <f t="shared" si="256"/>
        <v>2026</v>
      </c>
      <c r="E4118" s="2" t="str">
        <f t="shared" si="257"/>
        <v>2026-9</v>
      </c>
      <c r="F4118" s="2" t="str">
        <f t="shared" si="258"/>
        <v>Week 9</v>
      </c>
      <c r="G4118" s="2" t="str">
        <f t="shared" si="259"/>
        <v>Week 9-2026</v>
      </c>
      <c r="O4118"/>
      <c r="Q4118"/>
    </row>
    <row r="4119" spans="1:17" hidden="1" x14ac:dyDescent="0.2">
      <c r="A4119" s="3">
        <v>46079</v>
      </c>
      <c r="B4119" s="2" t="s">
        <v>10</v>
      </c>
      <c r="C4119" s="2">
        <v>1</v>
      </c>
      <c r="D4119" s="2">
        <f t="shared" si="256"/>
        <v>2026</v>
      </c>
      <c r="E4119" s="2" t="str">
        <f t="shared" si="257"/>
        <v>2026-9</v>
      </c>
      <c r="F4119" s="2" t="str">
        <f t="shared" si="258"/>
        <v>Week 9</v>
      </c>
      <c r="G4119" s="2" t="str">
        <f t="shared" si="259"/>
        <v>Week 9-2026</v>
      </c>
      <c r="O4119"/>
      <c r="Q4119"/>
    </row>
    <row r="4120" spans="1:17" hidden="1" x14ac:dyDescent="0.2">
      <c r="A4120" s="3">
        <v>46079</v>
      </c>
      <c r="B4120" s="2" t="s">
        <v>14</v>
      </c>
      <c r="C4120" s="2">
        <v>1</v>
      </c>
      <c r="D4120" s="2">
        <f t="shared" si="256"/>
        <v>2026</v>
      </c>
      <c r="E4120" s="2" t="str">
        <f t="shared" si="257"/>
        <v>2026-9</v>
      </c>
      <c r="F4120" s="2" t="str">
        <f t="shared" si="258"/>
        <v>Week 9</v>
      </c>
      <c r="G4120" s="2" t="str">
        <f t="shared" si="259"/>
        <v>Week 9-2026</v>
      </c>
      <c r="O4120"/>
      <c r="Q4120"/>
    </row>
    <row r="4121" spans="1:17" hidden="1" x14ac:dyDescent="0.2">
      <c r="A4121" s="3">
        <v>46079</v>
      </c>
      <c r="B4121" s="2" t="s">
        <v>14</v>
      </c>
      <c r="C4121" s="2">
        <v>1</v>
      </c>
      <c r="D4121" s="2">
        <f t="shared" si="256"/>
        <v>2026</v>
      </c>
      <c r="E4121" s="2" t="str">
        <f t="shared" si="257"/>
        <v>2026-9</v>
      </c>
      <c r="F4121" s="2" t="str">
        <f t="shared" si="258"/>
        <v>Week 9</v>
      </c>
      <c r="G4121" s="2" t="str">
        <f t="shared" si="259"/>
        <v>Week 9-2026</v>
      </c>
      <c r="O4121"/>
      <c r="Q4121"/>
    </row>
    <row r="4122" spans="1:17" hidden="1" x14ac:dyDescent="0.2">
      <c r="A4122" s="3">
        <v>46079</v>
      </c>
      <c r="B4122" s="2" t="s">
        <v>8</v>
      </c>
      <c r="C4122" s="2">
        <v>1</v>
      </c>
      <c r="D4122" s="2">
        <f t="shared" si="256"/>
        <v>2026</v>
      </c>
      <c r="E4122" s="2" t="str">
        <f t="shared" si="257"/>
        <v>2026-9</v>
      </c>
      <c r="F4122" s="2" t="str">
        <f t="shared" si="258"/>
        <v>Week 9</v>
      </c>
      <c r="G4122" s="2" t="str">
        <f t="shared" si="259"/>
        <v>Week 9-2026</v>
      </c>
      <c r="O4122"/>
      <c r="Q4122"/>
    </row>
    <row r="4123" spans="1:17" hidden="1" x14ac:dyDescent="0.2">
      <c r="A4123" s="3">
        <v>46079</v>
      </c>
      <c r="B4123" s="2" t="s">
        <v>8</v>
      </c>
      <c r="C4123" s="2">
        <v>1</v>
      </c>
      <c r="D4123" s="2">
        <f t="shared" si="256"/>
        <v>2026</v>
      </c>
      <c r="E4123" s="2" t="str">
        <f t="shared" si="257"/>
        <v>2026-9</v>
      </c>
      <c r="F4123" s="2" t="str">
        <f t="shared" si="258"/>
        <v>Week 9</v>
      </c>
      <c r="G4123" s="2" t="str">
        <f t="shared" si="259"/>
        <v>Week 9-2026</v>
      </c>
      <c r="O4123"/>
      <c r="Q4123"/>
    </row>
    <row r="4124" spans="1:17" hidden="1" x14ac:dyDescent="0.2">
      <c r="A4124" s="3">
        <v>46079</v>
      </c>
      <c r="B4124" s="2" t="s">
        <v>3</v>
      </c>
      <c r="C4124" s="2">
        <v>3</v>
      </c>
      <c r="D4124" s="2">
        <f t="shared" si="256"/>
        <v>2026</v>
      </c>
      <c r="E4124" s="2" t="str">
        <f t="shared" si="257"/>
        <v>2026-9</v>
      </c>
      <c r="F4124" s="2" t="str">
        <f t="shared" si="258"/>
        <v>Week 9</v>
      </c>
      <c r="G4124" s="2" t="str">
        <f t="shared" si="259"/>
        <v>Week 9-2026</v>
      </c>
      <c r="O4124"/>
      <c r="Q4124"/>
    </row>
    <row r="4125" spans="1:17" hidden="1" x14ac:dyDescent="0.2">
      <c r="A4125" s="3">
        <v>46079</v>
      </c>
      <c r="B4125" s="2" t="s">
        <v>3</v>
      </c>
      <c r="C4125" s="2">
        <v>1</v>
      </c>
      <c r="D4125" s="2">
        <f t="shared" si="256"/>
        <v>2026</v>
      </c>
      <c r="E4125" s="2" t="str">
        <f t="shared" si="257"/>
        <v>2026-9</v>
      </c>
      <c r="F4125" s="2" t="str">
        <f t="shared" si="258"/>
        <v>Week 9</v>
      </c>
      <c r="G4125" s="2" t="str">
        <f t="shared" si="259"/>
        <v>Week 9-2026</v>
      </c>
      <c r="O4125"/>
      <c r="Q4125"/>
    </row>
    <row r="4126" spans="1:17" hidden="1" x14ac:dyDescent="0.2">
      <c r="A4126" s="3">
        <v>46080</v>
      </c>
      <c r="B4126" s="2" t="s">
        <v>5</v>
      </c>
      <c r="C4126" s="2">
        <v>4</v>
      </c>
      <c r="D4126" s="2">
        <f t="shared" si="256"/>
        <v>2026</v>
      </c>
      <c r="E4126" s="2" t="str">
        <f t="shared" si="257"/>
        <v>2026-9</v>
      </c>
      <c r="F4126" s="2" t="str">
        <f t="shared" si="258"/>
        <v>Week 9</v>
      </c>
      <c r="G4126" s="2" t="str">
        <f t="shared" si="259"/>
        <v>Week 9-2026</v>
      </c>
      <c r="O4126"/>
      <c r="Q4126"/>
    </row>
    <row r="4127" spans="1:17" hidden="1" x14ac:dyDescent="0.2">
      <c r="A4127" s="3">
        <v>46080</v>
      </c>
      <c r="B4127" s="2" t="s">
        <v>9</v>
      </c>
      <c r="C4127" s="2">
        <v>2</v>
      </c>
      <c r="D4127" s="2">
        <f t="shared" si="256"/>
        <v>2026</v>
      </c>
      <c r="E4127" s="2" t="str">
        <f t="shared" si="257"/>
        <v>2026-9</v>
      </c>
      <c r="F4127" s="2" t="str">
        <f t="shared" si="258"/>
        <v>Week 9</v>
      </c>
      <c r="G4127" s="2" t="str">
        <f t="shared" si="259"/>
        <v>Week 9-2026</v>
      </c>
      <c r="O4127"/>
      <c r="Q4127"/>
    </row>
    <row r="4128" spans="1:17" hidden="1" x14ac:dyDescent="0.2">
      <c r="A4128" s="3">
        <v>46081</v>
      </c>
      <c r="B4128" s="2" t="s">
        <v>9</v>
      </c>
      <c r="C4128" s="2">
        <v>16</v>
      </c>
      <c r="D4128" s="2">
        <f t="shared" si="256"/>
        <v>2026</v>
      </c>
      <c r="E4128" s="2" t="str">
        <f t="shared" si="257"/>
        <v>2026-9</v>
      </c>
      <c r="F4128" s="2" t="str">
        <f t="shared" si="258"/>
        <v>Week 9</v>
      </c>
      <c r="G4128" s="2" t="str">
        <f t="shared" si="259"/>
        <v>Week 9-2026</v>
      </c>
      <c r="O4128"/>
      <c r="Q4128"/>
    </row>
    <row r="4129" spans="1:17" hidden="1" x14ac:dyDescent="0.2">
      <c r="A4129" s="3">
        <v>46081</v>
      </c>
      <c r="B4129" s="2" t="s">
        <v>9</v>
      </c>
      <c r="C4129" s="2">
        <v>14</v>
      </c>
      <c r="D4129" s="2">
        <f t="shared" si="256"/>
        <v>2026</v>
      </c>
      <c r="E4129" s="2" t="str">
        <f t="shared" si="257"/>
        <v>2026-9</v>
      </c>
      <c r="F4129" s="2" t="str">
        <f t="shared" si="258"/>
        <v>Week 9</v>
      </c>
      <c r="G4129" s="2" t="str">
        <f t="shared" si="259"/>
        <v>Week 9-2026</v>
      </c>
      <c r="O4129"/>
      <c r="Q4129"/>
    </row>
    <row r="4130" spans="1:17" hidden="1" x14ac:dyDescent="0.2">
      <c r="A4130" s="3">
        <v>46081</v>
      </c>
      <c r="B4130" s="2" t="s">
        <v>5</v>
      </c>
      <c r="C4130" s="2">
        <v>12</v>
      </c>
      <c r="D4130" s="2">
        <f t="shared" si="256"/>
        <v>2026</v>
      </c>
      <c r="E4130" s="2" t="str">
        <f t="shared" si="257"/>
        <v>2026-9</v>
      </c>
      <c r="F4130" s="2" t="str">
        <f t="shared" si="258"/>
        <v>Week 9</v>
      </c>
      <c r="G4130" s="2" t="str">
        <f t="shared" si="259"/>
        <v>Week 9-2026</v>
      </c>
      <c r="O4130"/>
      <c r="Q4130"/>
    </row>
    <row r="4131" spans="1:17" hidden="1" x14ac:dyDescent="0.2">
      <c r="A4131" s="3">
        <v>46081</v>
      </c>
      <c r="B4131" s="2" t="s">
        <v>7</v>
      </c>
      <c r="C4131" s="2">
        <v>8</v>
      </c>
      <c r="D4131" s="2">
        <f t="shared" si="256"/>
        <v>2026</v>
      </c>
      <c r="E4131" s="2" t="str">
        <f t="shared" si="257"/>
        <v>2026-9</v>
      </c>
      <c r="F4131" s="2" t="str">
        <f t="shared" si="258"/>
        <v>Week 9</v>
      </c>
      <c r="G4131" s="2" t="str">
        <f t="shared" si="259"/>
        <v>Week 9-2026</v>
      </c>
      <c r="O4131"/>
      <c r="Q4131"/>
    </row>
    <row r="4132" spans="1:17" hidden="1" x14ac:dyDescent="0.2">
      <c r="A4132" s="3">
        <v>46081</v>
      </c>
      <c r="B4132" s="2" t="s">
        <v>3</v>
      </c>
      <c r="C4132" s="2">
        <v>8</v>
      </c>
      <c r="D4132" s="2">
        <f t="shared" si="256"/>
        <v>2026</v>
      </c>
      <c r="E4132" s="2" t="str">
        <f t="shared" si="257"/>
        <v>2026-9</v>
      </c>
      <c r="F4132" s="2" t="str">
        <f t="shared" si="258"/>
        <v>Week 9</v>
      </c>
      <c r="G4132" s="2" t="str">
        <f t="shared" si="259"/>
        <v>Week 9-2026</v>
      </c>
      <c r="O4132"/>
      <c r="Q4132"/>
    </row>
    <row r="4133" spans="1:17" hidden="1" x14ac:dyDescent="0.2">
      <c r="A4133" s="3">
        <v>46081</v>
      </c>
      <c r="B4133" s="2" t="s">
        <v>9</v>
      </c>
      <c r="C4133" s="2">
        <v>4</v>
      </c>
      <c r="D4133" s="2">
        <f t="shared" si="256"/>
        <v>2026</v>
      </c>
      <c r="E4133" s="2" t="str">
        <f t="shared" si="257"/>
        <v>2026-9</v>
      </c>
      <c r="F4133" s="2" t="str">
        <f t="shared" si="258"/>
        <v>Week 9</v>
      </c>
      <c r="G4133" s="2" t="str">
        <f t="shared" si="259"/>
        <v>Week 9-2026</v>
      </c>
      <c r="O4133"/>
      <c r="Q4133"/>
    </row>
    <row r="4134" spans="1:17" hidden="1" x14ac:dyDescent="0.2">
      <c r="A4134" s="3">
        <v>46081</v>
      </c>
      <c r="B4134" s="2" t="s">
        <v>27</v>
      </c>
      <c r="C4134" s="2">
        <v>8</v>
      </c>
      <c r="D4134" s="2">
        <f t="shared" si="256"/>
        <v>2026</v>
      </c>
      <c r="E4134" s="2" t="str">
        <f t="shared" si="257"/>
        <v>2026-9</v>
      </c>
      <c r="F4134" s="2" t="str">
        <f t="shared" si="258"/>
        <v>Week 9</v>
      </c>
      <c r="G4134" s="2" t="str">
        <f t="shared" si="259"/>
        <v>Week 9-2026</v>
      </c>
      <c r="O4134"/>
      <c r="Q4134"/>
    </row>
    <row r="4135" spans="1:17" hidden="1" x14ac:dyDescent="0.2">
      <c r="A4135" s="3">
        <v>46081</v>
      </c>
      <c r="B4135" s="2" t="s">
        <v>5</v>
      </c>
      <c r="C4135" s="2">
        <v>4</v>
      </c>
      <c r="D4135" s="2">
        <f t="shared" si="256"/>
        <v>2026</v>
      </c>
      <c r="E4135" s="2" t="str">
        <f t="shared" si="257"/>
        <v>2026-9</v>
      </c>
      <c r="F4135" s="2" t="str">
        <f t="shared" si="258"/>
        <v>Week 9</v>
      </c>
      <c r="G4135" s="2" t="str">
        <f t="shared" si="259"/>
        <v>Week 9-2026</v>
      </c>
      <c r="O4135"/>
      <c r="Q4135"/>
    </row>
    <row r="4136" spans="1:17" hidden="1" x14ac:dyDescent="0.2">
      <c r="A4136" s="3">
        <v>46081</v>
      </c>
      <c r="B4136" s="2" t="s">
        <v>10</v>
      </c>
      <c r="C4136" s="2">
        <v>4</v>
      </c>
      <c r="D4136" s="2">
        <f t="shared" si="256"/>
        <v>2026</v>
      </c>
      <c r="E4136" s="2" t="str">
        <f t="shared" si="257"/>
        <v>2026-9</v>
      </c>
      <c r="F4136" s="2" t="str">
        <f t="shared" si="258"/>
        <v>Week 9</v>
      </c>
      <c r="G4136" s="2" t="str">
        <f t="shared" si="259"/>
        <v>Week 9-2026</v>
      </c>
      <c r="O4136"/>
      <c r="Q4136"/>
    </row>
    <row r="4137" spans="1:17" hidden="1" x14ac:dyDescent="0.2">
      <c r="A4137" s="3">
        <v>46081</v>
      </c>
      <c r="B4137" s="2" t="s">
        <v>4</v>
      </c>
      <c r="C4137" s="2">
        <v>2</v>
      </c>
      <c r="D4137" s="2">
        <f t="shared" si="256"/>
        <v>2026</v>
      </c>
      <c r="E4137" s="2" t="str">
        <f t="shared" si="257"/>
        <v>2026-9</v>
      </c>
      <c r="F4137" s="2" t="str">
        <f t="shared" si="258"/>
        <v>Week 9</v>
      </c>
      <c r="G4137" s="2" t="str">
        <f t="shared" si="259"/>
        <v>Week 9-2026</v>
      </c>
      <c r="O4137"/>
      <c r="Q4137"/>
    </row>
    <row r="4138" spans="1:17" hidden="1" x14ac:dyDescent="0.2">
      <c r="A4138" s="3">
        <v>46083</v>
      </c>
      <c r="B4138" s="2" t="s">
        <v>17</v>
      </c>
      <c r="C4138" s="2">
        <v>10</v>
      </c>
      <c r="D4138" s="2">
        <f t="shared" si="256"/>
        <v>2026</v>
      </c>
      <c r="E4138" s="2" t="str">
        <f t="shared" si="257"/>
        <v>2026-10</v>
      </c>
      <c r="F4138" s="2" t="str">
        <f t="shared" si="258"/>
        <v>Week 10</v>
      </c>
      <c r="G4138" s="2" t="str">
        <f t="shared" si="259"/>
        <v>Week 10-2026</v>
      </c>
      <c r="O4138"/>
      <c r="Q4138"/>
    </row>
    <row r="4139" spans="1:17" hidden="1" x14ac:dyDescent="0.2">
      <c r="A4139" s="3">
        <v>46083</v>
      </c>
      <c r="B4139" s="2" t="s">
        <v>34</v>
      </c>
      <c r="C4139" s="2">
        <v>4</v>
      </c>
      <c r="D4139" s="2">
        <f t="shared" si="256"/>
        <v>2026</v>
      </c>
      <c r="E4139" s="2" t="str">
        <f t="shared" si="257"/>
        <v>2026-10</v>
      </c>
      <c r="F4139" s="2" t="str">
        <f t="shared" si="258"/>
        <v>Week 10</v>
      </c>
      <c r="G4139" s="2" t="str">
        <f t="shared" si="259"/>
        <v>Week 10-2026</v>
      </c>
      <c r="O4139"/>
      <c r="Q4139"/>
    </row>
    <row r="4140" spans="1:17" hidden="1" x14ac:dyDescent="0.2">
      <c r="A4140" s="3">
        <v>46083</v>
      </c>
      <c r="B4140" s="2" t="s">
        <v>8</v>
      </c>
      <c r="C4140" s="2">
        <v>4</v>
      </c>
      <c r="D4140" s="2">
        <f t="shared" si="256"/>
        <v>2026</v>
      </c>
      <c r="E4140" s="2" t="str">
        <f t="shared" si="257"/>
        <v>2026-10</v>
      </c>
      <c r="F4140" s="2" t="str">
        <f t="shared" si="258"/>
        <v>Week 10</v>
      </c>
      <c r="G4140" s="2" t="str">
        <f t="shared" si="259"/>
        <v>Week 10-2026</v>
      </c>
      <c r="O4140"/>
      <c r="Q4140"/>
    </row>
    <row r="4141" spans="1:17" hidden="1" x14ac:dyDescent="0.2">
      <c r="A4141" s="3">
        <v>46083</v>
      </c>
      <c r="B4141" s="2" t="s">
        <v>13</v>
      </c>
      <c r="C4141" s="2">
        <v>2</v>
      </c>
      <c r="D4141" s="2">
        <f t="shared" si="256"/>
        <v>2026</v>
      </c>
      <c r="E4141" s="2" t="str">
        <f t="shared" si="257"/>
        <v>2026-10</v>
      </c>
      <c r="F4141" s="2" t="str">
        <f t="shared" si="258"/>
        <v>Week 10</v>
      </c>
      <c r="G4141" s="2" t="str">
        <f t="shared" si="259"/>
        <v>Week 10-2026</v>
      </c>
      <c r="O4141"/>
      <c r="Q4141"/>
    </row>
    <row r="4142" spans="1:17" hidden="1" x14ac:dyDescent="0.2">
      <c r="A4142" s="3">
        <v>46083</v>
      </c>
      <c r="B4142" s="2" t="s">
        <v>17</v>
      </c>
      <c r="C4142" s="2">
        <v>2</v>
      </c>
      <c r="D4142" s="2">
        <f t="shared" si="256"/>
        <v>2026</v>
      </c>
      <c r="E4142" s="2" t="str">
        <f t="shared" si="257"/>
        <v>2026-10</v>
      </c>
      <c r="F4142" s="2" t="str">
        <f t="shared" si="258"/>
        <v>Week 10</v>
      </c>
      <c r="G4142" s="2" t="str">
        <f t="shared" si="259"/>
        <v>Week 10-2026</v>
      </c>
      <c r="O4142"/>
      <c r="Q4142"/>
    </row>
    <row r="4143" spans="1:17" hidden="1" x14ac:dyDescent="0.2">
      <c r="A4143" s="3">
        <v>46083</v>
      </c>
      <c r="B4143" s="2" t="s">
        <v>46</v>
      </c>
      <c r="C4143" s="2">
        <v>2</v>
      </c>
      <c r="D4143" s="2">
        <f t="shared" si="256"/>
        <v>2026</v>
      </c>
      <c r="E4143" s="2" t="str">
        <f t="shared" si="257"/>
        <v>2026-10</v>
      </c>
      <c r="F4143" s="2" t="str">
        <f t="shared" si="258"/>
        <v>Week 10</v>
      </c>
      <c r="G4143" s="2" t="str">
        <f t="shared" si="259"/>
        <v>Week 10-2026</v>
      </c>
      <c r="O4143"/>
      <c r="Q4143"/>
    </row>
    <row r="4144" spans="1:17" hidden="1" x14ac:dyDescent="0.2">
      <c r="A4144" s="3">
        <v>46083</v>
      </c>
      <c r="B4144" s="2" t="s">
        <v>14</v>
      </c>
      <c r="C4144" s="2">
        <v>1</v>
      </c>
      <c r="D4144" s="2">
        <f t="shared" si="256"/>
        <v>2026</v>
      </c>
      <c r="E4144" s="2" t="str">
        <f t="shared" si="257"/>
        <v>2026-10</v>
      </c>
      <c r="F4144" s="2" t="str">
        <f t="shared" si="258"/>
        <v>Week 10</v>
      </c>
      <c r="G4144" s="2" t="str">
        <f t="shared" si="259"/>
        <v>Week 10-2026</v>
      </c>
      <c r="O4144"/>
      <c r="Q4144"/>
    </row>
    <row r="4145" spans="1:17" hidden="1" x14ac:dyDescent="0.2">
      <c r="A4145" s="3">
        <v>46084</v>
      </c>
      <c r="B4145" s="2" t="s">
        <v>5</v>
      </c>
      <c r="C4145" s="2">
        <v>14</v>
      </c>
      <c r="D4145" s="2">
        <f t="shared" si="256"/>
        <v>2026</v>
      </c>
      <c r="E4145" s="2" t="str">
        <f t="shared" si="257"/>
        <v>2026-10</v>
      </c>
      <c r="F4145" s="2" t="str">
        <f t="shared" si="258"/>
        <v>Week 10</v>
      </c>
      <c r="G4145" s="2" t="str">
        <f t="shared" si="259"/>
        <v>Week 10-2026</v>
      </c>
      <c r="O4145"/>
      <c r="Q4145"/>
    </row>
    <row r="4146" spans="1:17" hidden="1" x14ac:dyDescent="0.2">
      <c r="A4146" s="3">
        <v>46084</v>
      </c>
      <c r="B4146" s="2" t="s">
        <v>5</v>
      </c>
      <c r="C4146" s="2">
        <v>13</v>
      </c>
      <c r="D4146" s="2">
        <f t="shared" si="256"/>
        <v>2026</v>
      </c>
      <c r="E4146" s="2" t="str">
        <f t="shared" si="257"/>
        <v>2026-10</v>
      </c>
      <c r="F4146" s="2" t="str">
        <f t="shared" si="258"/>
        <v>Week 10</v>
      </c>
      <c r="G4146" s="2" t="str">
        <f t="shared" si="259"/>
        <v>Week 10-2026</v>
      </c>
      <c r="O4146"/>
      <c r="Q4146"/>
    </row>
    <row r="4147" spans="1:17" hidden="1" x14ac:dyDescent="0.2">
      <c r="A4147" s="3">
        <v>46084</v>
      </c>
      <c r="B4147" s="2" t="s">
        <v>5</v>
      </c>
      <c r="C4147" s="2">
        <v>11</v>
      </c>
      <c r="D4147" s="2">
        <f t="shared" si="256"/>
        <v>2026</v>
      </c>
      <c r="E4147" s="2" t="str">
        <f t="shared" si="257"/>
        <v>2026-10</v>
      </c>
      <c r="F4147" s="2" t="str">
        <f t="shared" si="258"/>
        <v>Week 10</v>
      </c>
      <c r="G4147" s="2" t="str">
        <f t="shared" si="259"/>
        <v>Week 10-2026</v>
      </c>
      <c r="O4147"/>
      <c r="Q4147"/>
    </row>
    <row r="4148" spans="1:17" hidden="1" x14ac:dyDescent="0.2">
      <c r="A4148" s="3">
        <v>46084</v>
      </c>
      <c r="B4148" s="2" t="s">
        <v>5</v>
      </c>
      <c r="C4148" s="2">
        <v>7</v>
      </c>
      <c r="D4148" s="2">
        <f t="shared" si="256"/>
        <v>2026</v>
      </c>
      <c r="E4148" s="2" t="str">
        <f t="shared" si="257"/>
        <v>2026-10</v>
      </c>
      <c r="F4148" s="2" t="str">
        <f t="shared" si="258"/>
        <v>Week 10</v>
      </c>
      <c r="G4148" s="2" t="str">
        <f t="shared" si="259"/>
        <v>Week 10-2026</v>
      </c>
      <c r="O4148"/>
      <c r="Q4148"/>
    </row>
    <row r="4149" spans="1:17" hidden="1" x14ac:dyDescent="0.2">
      <c r="A4149" s="3">
        <v>46084</v>
      </c>
      <c r="B4149" s="2" t="s">
        <v>5</v>
      </c>
      <c r="C4149" s="2">
        <v>5</v>
      </c>
      <c r="D4149" s="2">
        <f t="shared" si="256"/>
        <v>2026</v>
      </c>
      <c r="E4149" s="2" t="str">
        <f t="shared" si="257"/>
        <v>2026-10</v>
      </c>
      <c r="F4149" s="2" t="str">
        <f t="shared" si="258"/>
        <v>Week 10</v>
      </c>
      <c r="G4149" s="2" t="str">
        <f t="shared" si="259"/>
        <v>Week 10-2026</v>
      </c>
      <c r="O4149"/>
      <c r="Q4149"/>
    </row>
    <row r="4150" spans="1:17" hidden="1" x14ac:dyDescent="0.2">
      <c r="A4150" s="3">
        <v>46084</v>
      </c>
      <c r="B4150" s="2" t="s">
        <v>30</v>
      </c>
      <c r="C4150" s="2">
        <v>4</v>
      </c>
      <c r="D4150" s="2">
        <f t="shared" si="256"/>
        <v>2026</v>
      </c>
      <c r="E4150" s="2" t="str">
        <f t="shared" si="257"/>
        <v>2026-10</v>
      </c>
      <c r="F4150" s="2" t="str">
        <f t="shared" si="258"/>
        <v>Week 10</v>
      </c>
      <c r="G4150" s="2" t="str">
        <f t="shared" si="259"/>
        <v>Week 10-2026</v>
      </c>
      <c r="O4150"/>
      <c r="Q4150"/>
    </row>
    <row r="4151" spans="1:17" hidden="1" x14ac:dyDescent="0.2">
      <c r="A4151" s="3">
        <v>46084</v>
      </c>
      <c r="B4151" s="2" t="s">
        <v>3</v>
      </c>
      <c r="C4151" s="2">
        <v>2</v>
      </c>
      <c r="D4151" s="2">
        <f t="shared" si="256"/>
        <v>2026</v>
      </c>
      <c r="E4151" s="2" t="str">
        <f t="shared" si="257"/>
        <v>2026-10</v>
      </c>
      <c r="F4151" s="2" t="str">
        <f t="shared" si="258"/>
        <v>Week 10</v>
      </c>
      <c r="G4151" s="2" t="str">
        <f t="shared" si="259"/>
        <v>Week 10-2026</v>
      </c>
      <c r="O4151"/>
      <c r="Q4151"/>
    </row>
    <row r="4152" spans="1:17" hidden="1" x14ac:dyDescent="0.2">
      <c r="A4152" s="3">
        <v>46084</v>
      </c>
      <c r="B4152" s="2" t="s">
        <v>5</v>
      </c>
      <c r="C4152" s="2">
        <v>2</v>
      </c>
      <c r="D4152" s="2">
        <f t="shared" si="256"/>
        <v>2026</v>
      </c>
      <c r="E4152" s="2" t="str">
        <f t="shared" si="257"/>
        <v>2026-10</v>
      </c>
      <c r="F4152" s="2" t="str">
        <f t="shared" si="258"/>
        <v>Week 10</v>
      </c>
      <c r="G4152" s="2" t="str">
        <f t="shared" si="259"/>
        <v>Week 10-2026</v>
      </c>
      <c r="O4152"/>
      <c r="Q4152"/>
    </row>
    <row r="4153" spans="1:17" hidden="1" x14ac:dyDescent="0.2">
      <c r="A4153" s="3">
        <v>46084</v>
      </c>
      <c r="B4153" s="2" t="s">
        <v>14</v>
      </c>
      <c r="C4153" s="2">
        <v>2</v>
      </c>
      <c r="D4153" s="2">
        <f t="shared" si="256"/>
        <v>2026</v>
      </c>
      <c r="E4153" s="2" t="str">
        <f t="shared" si="257"/>
        <v>2026-10</v>
      </c>
      <c r="F4153" s="2" t="str">
        <f t="shared" si="258"/>
        <v>Week 10</v>
      </c>
      <c r="G4153" s="2" t="str">
        <f t="shared" si="259"/>
        <v>Week 10-2026</v>
      </c>
      <c r="O4153"/>
      <c r="Q4153"/>
    </row>
    <row r="4154" spans="1:17" hidden="1" x14ac:dyDescent="0.2">
      <c r="A4154" s="3">
        <v>46084</v>
      </c>
      <c r="B4154" s="2" t="s">
        <v>15</v>
      </c>
      <c r="C4154" s="2">
        <v>2</v>
      </c>
      <c r="D4154" s="2">
        <f t="shared" si="256"/>
        <v>2026</v>
      </c>
      <c r="E4154" s="2" t="str">
        <f t="shared" si="257"/>
        <v>2026-10</v>
      </c>
      <c r="F4154" s="2" t="str">
        <f t="shared" si="258"/>
        <v>Week 10</v>
      </c>
      <c r="G4154" s="2" t="str">
        <f t="shared" si="259"/>
        <v>Week 10-2026</v>
      </c>
      <c r="O4154"/>
      <c r="Q4154"/>
    </row>
    <row r="4155" spans="1:17" hidden="1" x14ac:dyDescent="0.2">
      <c r="A4155" s="3">
        <v>46085</v>
      </c>
      <c r="B4155" s="2" t="s">
        <v>4</v>
      </c>
      <c r="C4155" s="2">
        <v>24</v>
      </c>
      <c r="D4155" s="2">
        <f t="shared" si="256"/>
        <v>2026</v>
      </c>
      <c r="E4155" s="2" t="str">
        <f t="shared" si="257"/>
        <v>2026-10</v>
      </c>
      <c r="F4155" s="2" t="str">
        <f t="shared" si="258"/>
        <v>Week 10</v>
      </c>
      <c r="G4155" s="2" t="str">
        <f t="shared" si="259"/>
        <v>Week 10-2026</v>
      </c>
      <c r="O4155"/>
      <c r="Q4155"/>
    </row>
    <row r="4156" spans="1:17" hidden="1" x14ac:dyDescent="0.2">
      <c r="A4156" s="3">
        <v>46085</v>
      </c>
      <c r="B4156" s="2" t="s">
        <v>5</v>
      </c>
      <c r="C4156" s="2">
        <v>22</v>
      </c>
      <c r="D4156" s="2">
        <f t="shared" si="256"/>
        <v>2026</v>
      </c>
      <c r="E4156" s="2" t="str">
        <f t="shared" si="257"/>
        <v>2026-10</v>
      </c>
      <c r="F4156" s="2" t="str">
        <f t="shared" si="258"/>
        <v>Week 10</v>
      </c>
      <c r="G4156" s="2" t="str">
        <f t="shared" si="259"/>
        <v>Week 10-2026</v>
      </c>
      <c r="O4156"/>
      <c r="Q4156"/>
    </row>
    <row r="4157" spans="1:17" hidden="1" x14ac:dyDescent="0.2">
      <c r="A4157" s="3">
        <v>46085</v>
      </c>
      <c r="B4157" s="2" t="s">
        <v>7</v>
      </c>
      <c r="C4157" s="2">
        <v>10</v>
      </c>
      <c r="D4157" s="2">
        <f t="shared" si="256"/>
        <v>2026</v>
      </c>
      <c r="E4157" s="2" t="str">
        <f t="shared" si="257"/>
        <v>2026-10</v>
      </c>
      <c r="F4157" s="2" t="str">
        <f t="shared" si="258"/>
        <v>Week 10</v>
      </c>
      <c r="G4157" s="2" t="str">
        <f t="shared" si="259"/>
        <v>Week 10-2026</v>
      </c>
      <c r="O4157"/>
      <c r="Q4157"/>
    </row>
    <row r="4158" spans="1:17" hidden="1" x14ac:dyDescent="0.2">
      <c r="A4158" s="3">
        <v>46085</v>
      </c>
      <c r="B4158" s="2" t="s">
        <v>3</v>
      </c>
      <c r="C4158" s="2">
        <v>12</v>
      </c>
      <c r="D4158" s="2">
        <f t="shared" si="256"/>
        <v>2026</v>
      </c>
      <c r="E4158" s="2" t="str">
        <f t="shared" si="257"/>
        <v>2026-10</v>
      </c>
      <c r="F4158" s="2" t="str">
        <f t="shared" si="258"/>
        <v>Week 10</v>
      </c>
      <c r="G4158" s="2" t="str">
        <f t="shared" si="259"/>
        <v>Week 10-2026</v>
      </c>
      <c r="O4158"/>
      <c r="Q4158"/>
    </row>
    <row r="4159" spans="1:17" hidden="1" x14ac:dyDescent="0.2">
      <c r="A4159" s="3">
        <v>46085</v>
      </c>
      <c r="B4159" s="2" t="s">
        <v>4</v>
      </c>
      <c r="C4159" s="2">
        <v>10</v>
      </c>
      <c r="D4159" s="2">
        <f t="shared" si="256"/>
        <v>2026</v>
      </c>
      <c r="E4159" s="2" t="str">
        <f t="shared" si="257"/>
        <v>2026-10</v>
      </c>
      <c r="F4159" s="2" t="str">
        <f t="shared" si="258"/>
        <v>Week 10</v>
      </c>
      <c r="G4159" s="2" t="str">
        <f t="shared" si="259"/>
        <v>Week 10-2026</v>
      </c>
      <c r="O4159"/>
      <c r="Q4159"/>
    </row>
    <row r="4160" spans="1:17" hidden="1" x14ac:dyDescent="0.2">
      <c r="A4160" s="3">
        <v>46085</v>
      </c>
      <c r="B4160" s="2" t="s">
        <v>14</v>
      </c>
      <c r="C4160" s="2">
        <v>12</v>
      </c>
      <c r="D4160" s="2">
        <f t="shared" si="256"/>
        <v>2026</v>
      </c>
      <c r="E4160" s="2" t="str">
        <f t="shared" si="257"/>
        <v>2026-10</v>
      </c>
      <c r="F4160" s="2" t="str">
        <f t="shared" si="258"/>
        <v>Week 10</v>
      </c>
      <c r="G4160" s="2" t="str">
        <f t="shared" si="259"/>
        <v>Week 10-2026</v>
      </c>
      <c r="O4160"/>
      <c r="Q4160"/>
    </row>
    <row r="4161" spans="1:17" hidden="1" x14ac:dyDescent="0.2">
      <c r="A4161" s="3">
        <v>46085</v>
      </c>
      <c r="B4161" s="2" t="s">
        <v>5</v>
      </c>
      <c r="C4161" s="2">
        <v>8</v>
      </c>
      <c r="D4161" s="2">
        <f t="shared" si="256"/>
        <v>2026</v>
      </c>
      <c r="E4161" s="2" t="str">
        <f t="shared" si="257"/>
        <v>2026-10</v>
      </c>
      <c r="F4161" s="2" t="str">
        <f t="shared" si="258"/>
        <v>Week 10</v>
      </c>
      <c r="G4161" s="2" t="str">
        <f t="shared" si="259"/>
        <v>Week 10-2026</v>
      </c>
      <c r="O4161"/>
      <c r="Q4161"/>
    </row>
    <row r="4162" spans="1:17" hidden="1" x14ac:dyDescent="0.2">
      <c r="A4162" s="3">
        <v>46085</v>
      </c>
      <c r="B4162" s="2" t="s">
        <v>5</v>
      </c>
      <c r="C4162" s="2">
        <v>8</v>
      </c>
      <c r="D4162" s="2">
        <f t="shared" ref="D4162:D4225" si="260">YEAR(A4162)</f>
        <v>2026</v>
      </c>
      <c r="E4162" s="2" t="str">
        <f t="shared" ref="E4162:E4225" si="261">YEAR(A4162)&amp;"-"&amp;_xlfn.ISOWEEKNUM(A4162)</f>
        <v>2026-10</v>
      </c>
      <c r="F4162" s="2" t="str">
        <f t="shared" ref="F4162:F4225" si="262">_xlfn.CONCAT("Week "&amp;WEEKNUM(A4162))</f>
        <v>Week 10</v>
      </c>
      <c r="G4162" s="2" t="str">
        <f t="shared" ref="G4162:G4225" si="263">_xlfn.CONCAT(F4162,"-",D4162)</f>
        <v>Week 10-2026</v>
      </c>
      <c r="O4162"/>
      <c r="Q4162"/>
    </row>
    <row r="4163" spans="1:17" hidden="1" x14ac:dyDescent="0.2">
      <c r="A4163" s="3">
        <v>46085</v>
      </c>
      <c r="B4163" s="2" t="s">
        <v>17</v>
      </c>
      <c r="C4163" s="2">
        <v>7</v>
      </c>
      <c r="D4163" s="2">
        <f t="shared" si="260"/>
        <v>2026</v>
      </c>
      <c r="E4163" s="2" t="str">
        <f t="shared" si="261"/>
        <v>2026-10</v>
      </c>
      <c r="F4163" s="2" t="str">
        <f t="shared" si="262"/>
        <v>Week 10</v>
      </c>
      <c r="G4163" s="2" t="str">
        <f t="shared" si="263"/>
        <v>Week 10-2026</v>
      </c>
      <c r="O4163"/>
      <c r="Q4163"/>
    </row>
    <row r="4164" spans="1:17" hidden="1" x14ac:dyDescent="0.2">
      <c r="A4164" s="3">
        <v>46085</v>
      </c>
      <c r="B4164" s="2" t="s">
        <v>30</v>
      </c>
      <c r="C4164" s="2">
        <v>12</v>
      </c>
      <c r="D4164" s="2">
        <f t="shared" si="260"/>
        <v>2026</v>
      </c>
      <c r="E4164" s="2" t="str">
        <f t="shared" si="261"/>
        <v>2026-10</v>
      </c>
      <c r="F4164" s="2" t="str">
        <f t="shared" si="262"/>
        <v>Week 10</v>
      </c>
      <c r="G4164" s="2" t="str">
        <f t="shared" si="263"/>
        <v>Week 10-2026</v>
      </c>
      <c r="O4164"/>
      <c r="Q4164"/>
    </row>
    <row r="4165" spans="1:17" hidden="1" x14ac:dyDescent="0.2">
      <c r="A4165" s="3">
        <v>46085</v>
      </c>
      <c r="B4165" s="2" t="s">
        <v>4</v>
      </c>
      <c r="C4165" s="2">
        <v>4</v>
      </c>
      <c r="D4165" s="2">
        <f t="shared" si="260"/>
        <v>2026</v>
      </c>
      <c r="E4165" s="2" t="str">
        <f t="shared" si="261"/>
        <v>2026-10</v>
      </c>
      <c r="F4165" s="2" t="str">
        <f t="shared" si="262"/>
        <v>Week 10</v>
      </c>
      <c r="G4165" s="2" t="str">
        <f t="shared" si="263"/>
        <v>Week 10-2026</v>
      </c>
      <c r="O4165"/>
      <c r="Q4165"/>
    </row>
    <row r="4166" spans="1:17" hidden="1" x14ac:dyDescent="0.2">
      <c r="A4166" s="3">
        <v>46085</v>
      </c>
      <c r="B4166" s="2" t="s">
        <v>9</v>
      </c>
      <c r="C4166" s="2">
        <v>4</v>
      </c>
      <c r="D4166" s="2">
        <f t="shared" si="260"/>
        <v>2026</v>
      </c>
      <c r="E4166" s="2" t="str">
        <f t="shared" si="261"/>
        <v>2026-10</v>
      </c>
      <c r="F4166" s="2" t="str">
        <f t="shared" si="262"/>
        <v>Week 10</v>
      </c>
      <c r="G4166" s="2" t="str">
        <f t="shared" si="263"/>
        <v>Week 10-2026</v>
      </c>
      <c r="O4166"/>
      <c r="Q4166"/>
    </row>
    <row r="4167" spans="1:17" hidden="1" x14ac:dyDescent="0.2">
      <c r="A4167" s="3">
        <v>46085</v>
      </c>
      <c r="B4167" s="2" t="s">
        <v>5</v>
      </c>
      <c r="C4167" s="2">
        <v>5</v>
      </c>
      <c r="D4167" s="2">
        <f t="shared" si="260"/>
        <v>2026</v>
      </c>
      <c r="E4167" s="2" t="str">
        <f t="shared" si="261"/>
        <v>2026-10</v>
      </c>
      <c r="F4167" s="2" t="str">
        <f t="shared" si="262"/>
        <v>Week 10</v>
      </c>
      <c r="G4167" s="2" t="str">
        <f t="shared" si="263"/>
        <v>Week 10-2026</v>
      </c>
      <c r="O4167"/>
      <c r="Q4167"/>
    </row>
    <row r="4168" spans="1:17" hidden="1" x14ac:dyDescent="0.2">
      <c r="A4168" s="3">
        <v>46085</v>
      </c>
      <c r="B4168" s="2" t="s">
        <v>30</v>
      </c>
      <c r="C4168" s="2">
        <v>8</v>
      </c>
      <c r="D4168" s="2">
        <f t="shared" si="260"/>
        <v>2026</v>
      </c>
      <c r="E4168" s="2" t="str">
        <f t="shared" si="261"/>
        <v>2026-10</v>
      </c>
      <c r="F4168" s="2" t="str">
        <f t="shared" si="262"/>
        <v>Week 10</v>
      </c>
      <c r="G4168" s="2" t="str">
        <f t="shared" si="263"/>
        <v>Week 10-2026</v>
      </c>
      <c r="O4168"/>
      <c r="Q4168"/>
    </row>
    <row r="4169" spans="1:17" hidden="1" x14ac:dyDescent="0.2">
      <c r="A4169" s="3">
        <v>46085</v>
      </c>
      <c r="B4169" s="2" t="s">
        <v>14</v>
      </c>
      <c r="C4169" s="2">
        <v>6</v>
      </c>
      <c r="D4169" s="2">
        <f t="shared" si="260"/>
        <v>2026</v>
      </c>
      <c r="E4169" s="2" t="str">
        <f t="shared" si="261"/>
        <v>2026-10</v>
      </c>
      <c r="F4169" s="2" t="str">
        <f t="shared" si="262"/>
        <v>Week 10</v>
      </c>
      <c r="G4169" s="2" t="str">
        <f t="shared" si="263"/>
        <v>Week 10-2026</v>
      </c>
      <c r="O4169"/>
      <c r="Q4169"/>
    </row>
    <row r="4170" spans="1:17" hidden="1" x14ac:dyDescent="0.2">
      <c r="A4170" s="3">
        <v>46085</v>
      </c>
      <c r="B4170" s="2" t="s">
        <v>30</v>
      </c>
      <c r="C4170" s="2">
        <v>6</v>
      </c>
      <c r="D4170" s="2">
        <f t="shared" si="260"/>
        <v>2026</v>
      </c>
      <c r="E4170" s="2" t="str">
        <f t="shared" si="261"/>
        <v>2026-10</v>
      </c>
      <c r="F4170" s="2" t="str">
        <f t="shared" si="262"/>
        <v>Week 10</v>
      </c>
      <c r="G4170" s="2" t="str">
        <f t="shared" si="263"/>
        <v>Week 10-2026</v>
      </c>
      <c r="O4170"/>
      <c r="Q4170"/>
    </row>
    <row r="4171" spans="1:17" hidden="1" x14ac:dyDescent="0.2">
      <c r="A4171" s="3">
        <v>46085</v>
      </c>
      <c r="B4171" s="2" t="s">
        <v>5</v>
      </c>
      <c r="C4171" s="2">
        <v>4</v>
      </c>
      <c r="D4171" s="2">
        <f t="shared" si="260"/>
        <v>2026</v>
      </c>
      <c r="E4171" s="2" t="str">
        <f t="shared" si="261"/>
        <v>2026-10</v>
      </c>
      <c r="F4171" s="2" t="str">
        <f t="shared" si="262"/>
        <v>Week 10</v>
      </c>
      <c r="G4171" s="2" t="str">
        <f t="shared" si="263"/>
        <v>Week 10-2026</v>
      </c>
      <c r="O4171"/>
      <c r="Q4171"/>
    </row>
    <row r="4172" spans="1:17" hidden="1" x14ac:dyDescent="0.2">
      <c r="A4172" s="3">
        <v>46085</v>
      </c>
      <c r="B4172" s="2" t="s">
        <v>5</v>
      </c>
      <c r="C4172" s="2">
        <v>4</v>
      </c>
      <c r="D4172" s="2">
        <f t="shared" si="260"/>
        <v>2026</v>
      </c>
      <c r="E4172" s="2" t="str">
        <f t="shared" si="261"/>
        <v>2026-10</v>
      </c>
      <c r="F4172" s="2" t="str">
        <f t="shared" si="262"/>
        <v>Week 10</v>
      </c>
      <c r="G4172" s="2" t="str">
        <f t="shared" si="263"/>
        <v>Week 10-2026</v>
      </c>
      <c r="O4172"/>
      <c r="Q4172"/>
    </row>
    <row r="4173" spans="1:17" hidden="1" x14ac:dyDescent="0.2">
      <c r="A4173" s="3">
        <v>46085</v>
      </c>
      <c r="B4173" s="2" t="s">
        <v>5</v>
      </c>
      <c r="C4173" s="2">
        <v>4</v>
      </c>
      <c r="D4173" s="2">
        <f t="shared" si="260"/>
        <v>2026</v>
      </c>
      <c r="E4173" s="2" t="str">
        <f t="shared" si="261"/>
        <v>2026-10</v>
      </c>
      <c r="F4173" s="2" t="str">
        <f t="shared" si="262"/>
        <v>Week 10</v>
      </c>
      <c r="G4173" s="2" t="str">
        <f t="shared" si="263"/>
        <v>Week 10-2026</v>
      </c>
      <c r="O4173"/>
      <c r="Q4173"/>
    </row>
    <row r="4174" spans="1:17" hidden="1" x14ac:dyDescent="0.2">
      <c r="A4174" s="3">
        <v>46085</v>
      </c>
      <c r="B4174" s="2" t="s">
        <v>5</v>
      </c>
      <c r="C4174" s="2">
        <v>4</v>
      </c>
      <c r="D4174" s="2">
        <f t="shared" si="260"/>
        <v>2026</v>
      </c>
      <c r="E4174" s="2" t="str">
        <f t="shared" si="261"/>
        <v>2026-10</v>
      </c>
      <c r="F4174" s="2" t="str">
        <f t="shared" si="262"/>
        <v>Week 10</v>
      </c>
      <c r="G4174" s="2" t="str">
        <f t="shared" si="263"/>
        <v>Week 10-2026</v>
      </c>
      <c r="O4174"/>
      <c r="Q4174"/>
    </row>
    <row r="4175" spans="1:17" hidden="1" x14ac:dyDescent="0.2">
      <c r="A4175" s="3">
        <v>46085</v>
      </c>
      <c r="B4175" s="2" t="s">
        <v>27</v>
      </c>
      <c r="C4175" s="2">
        <v>6</v>
      </c>
      <c r="D4175" s="2">
        <f t="shared" si="260"/>
        <v>2026</v>
      </c>
      <c r="E4175" s="2" t="str">
        <f t="shared" si="261"/>
        <v>2026-10</v>
      </c>
      <c r="F4175" s="2" t="str">
        <f t="shared" si="262"/>
        <v>Week 10</v>
      </c>
      <c r="G4175" s="2" t="str">
        <f t="shared" si="263"/>
        <v>Week 10-2026</v>
      </c>
      <c r="O4175"/>
      <c r="Q4175"/>
    </row>
    <row r="4176" spans="1:17" hidden="1" x14ac:dyDescent="0.2">
      <c r="A4176" s="3">
        <v>46085</v>
      </c>
      <c r="B4176" s="2" t="s">
        <v>19</v>
      </c>
      <c r="C4176" s="2">
        <v>2</v>
      </c>
      <c r="D4176" s="2">
        <f t="shared" si="260"/>
        <v>2026</v>
      </c>
      <c r="E4176" s="2" t="str">
        <f t="shared" si="261"/>
        <v>2026-10</v>
      </c>
      <c r="F4176" s="2" t="str">
        <f t="shared" si="262"/>
        <v>Week 10</v>
      </c>
      <c r="G4176" s="2" t="str">
        <f t="shared" si="263"/>
        <v>Week 10-2026</v>
      </c>
      <c r="O4176"/>
      <c r="Q4176"/>
    </row>
    <row r="4177" spans="1:17" hidden="1" x14ac:dyDescent="0.2">
      <c r="A4177" s="3">
        <v>46085</v>
      </c>
      <c r="B4177" s="2" t="s">
        <v>7</v>
      </c>
      <c r="C4177" s="2">
        <v>2</v>
      </c>
      <c r="D4177" s="2">
        <f t="shared" si="260"/>
        <v>2026</v>
      </c>
      <c r="E4177" s="2" t="str">
        <f t="shared" si="261"/>
        <v>2026-10</v>
      </c>
      <c r="F4177" s="2" t="str">
        <f t="shared" si="262"/>
        <v>Week 10</v>
      </c>
      <c r="G4177" s="2" t="str">
        <f t="shared" si="263"/>
        <v>Week 10-2026</v>
      </c>
      <c r="O4177"/>
      <c r="Q4177"/>
    </row>
    <row r="4178" spans="1:17" hidden="1" x14ac:dyDescent="0.2">
      <c r="A4178" s="3">
        <v>46085</v>
      </c>
      <c r="B4178" s="2" t="s">
        <v>19</v>
      </c>
      <c r="C4178" s="2">
        <v>2</v>
      </c>
      <c r="D4178" s="2">
        <f t="shared" si="260"/>
        <v>2026</v>
      </c>
      <c r="E4178" s="2" t="str">
        <f t="shared" si="261"/>
        <v>2026-10</v>
      </c>
      <c r="F4178" s="2" t="str">
        <f t="shared" si="262"/>
        <v>Week 10</v>
      </c>
      <c r="G4178" s="2" t="str">
        <f t="shared" si="263"/>
        <v>Week 10-2026</v>
      </c>
      <c r="O4178"/>
      <c r="Q4178"/>
    </row>
    <row r="4179" spans="1:17" hidden="1" x14ac:dyDescent="0.2">
      <c r="A4179" s="3">
        <v>46085</v>
      </c>
      <c r="B4179" s="2" t="s">
        <v>5</v>
      </c>
      <c r="C4179" s="2">
        <v>3</v>
      </c>
      <c r="D4179" s="2">
        <f t="shared" si="260"/>
        <v>2026</v>
      </c>
      <c r="E4179" s="2" t="str">
        <f t="shared" si="261"/>
        <v>2026-10</v>
      </c>
      <c r="F4179" s="2" t="str">
        <f t="shared" si="262"/>
        <v>Week 10</v>
      </c>
      <c r="G4179" s="2" t="str">
        <f t="shared" si="263"/>
        <v>Week 10-2026</v>
      </c>
      <c r="O4179"/>
      <c r="Q4179"/>
    </row>
    <row r="4180" spans="1:17" hidden="1" x14ac:dyDescent="0.2">
      <c r="A4180" s="3">
        <v>46085</v>
      </c>
      <c r="B4180" s="2" t="s">
        <v>5</v>
      </c>
      <c r="C4180" s="2">
        <v>3</v>
      </c>
      <c r="D4180" s="2">
        <f t="shared" si="260"/>
        <v>2026</v>
      </c>
      <c r="E4180" s="2" t="str">
        <f t="shared" si="261"/>
        <v>2026-10</v>
      </c>
      <c r="F4180" s="2" t="str">
        <f t="shared" si="262"/>
        <v>Week 10</v>
      </c>
      <c r="G4180" s="2" t="str">
        <f t="shared" si="263"/>
        <v>Week 10-2026</v>
      </c>
      <c r="O4180"/>
      <c r="Q4180"/>
    </row>
    <row r="4181" spans="1:17" hidden="1" x14ac:dyDescent="0.2">
      <c r="A4181" s="3">
        <v>46085</v>
      </c>
      <c r="B4181" s="2" t="s">
        <v>9</v>
      </c>
      <c r="C4181" s="2">
        <v>2</v>
      </c>
      <c r="D4181" s="2">
        <f t="shared" si="260"/>
        <v>2026</v>
      </c>
      <c r="E4181" s="2" t="str">
        <f t="shared" si="261"/>
        <v>2026-10</v>
      </c>
      <c r="F4181" s="2" t="str">
        <f t="shared" si="262"/>
        <v>Week 10</v>
      </c>
      <c r="G4181" s="2" t="str">
        <f t="shared" si="263"/>
        <v>Week 10-2026</v>
      </c>
      <c r="O4181"/>
      <c r="Q4181"/>
    </row>
    <row r="4182" spans="1:17" hidden="1" x14ac:dyDescent="0.2">
      <c r="A4182" s="3">
        <v>46085</v>
      </c>
      <c r="B4182" s="2" t="s">
        <v>9</v>
      </c>
      <c r="C4182" s="2">
        <v>2</v>
      </c>
      <c r="D4182" s="2">
        <f t="shared" si="260"/>
        <v>2026</v>
      </c>
      <c r="E4182" s="2" t="str">
        <f t="shared" si="261"/>
        <v>2026-10</v>
      </c>
      <c r="F4182" s="2" t="str">
        <f t="shared" si="262"/>
        <v>Week 10</v>
      </c>
      <c r="G4182" s="2" t="str">
        <f t="shared" si="263"/>
        <v>Week 10-2026</v>
      </c>
      <c r="O4182"/>
      <c r="Q4182"/>
    </row>
    <row r="4183" spans="1:17" hidden="1" x14ac:dyDescent="0.2">
      <c r="A4183" s="3">
        <v>46085</v>
      </c>
      <c r="B4183" s="2" t="s">
        <v>9</v>
      </c>
      <c r="C4183" s="2">
        <v>2</v>
      </c>
      <c r="D4183" s="2">
        <f t="shared" si="260"/>
        <v>2026</v>
      </c>
      <c r="E4183" s="2" t="str">
        <f t="shared" si="261"/>
        <v>2026-10</v>
      </c>
      <c r="F4183" s="2" t="str">
        <f t="shared" si="262"/>
        <v>Week 10</v>
      </c>
      <c r="G4183" s="2" t="str">
        <f t="shared" si="263"/>
        <v>Week 10-2026</v>
      </c>
      <c r="O4183"/>
      <c r="Q4183"/>
    </row>
    <row r="4184" spans="1:17" hidden="1" x14ac:dyDescent="0.2">
      <c r="A4184" s="3">
        <v>46085</v>
      </c>
      <c r="B4184" s="2" t="s">
        <v>5</v>
      </c>
      <c r="C4184" s="2">
        <v>2</v>
      </c>
      <c r="D4184" s="2">
        <f t="shared" si="260"/>
        <v>2026</v>
      </c>
      <c r="E4184" s="2" t="str">
        <f t="shared" si="261"/>
        <v>2026-10</v>
      </c>
      <c r="F4184" s="2" t="str">
        <f t="shared" si="262"/>
        <v>Week 10</v>
      </c>
      <c r="G4184" s="2" t="str">
        <f t="shared" si="263"/>
        <v>Week 10-2026</v>
      </c>
      <c r="O4184"/>
      <c r="Q4184"/>
    </row>
    <row r="4185" spans="1:17" hidden="1" x14ac:dyDescent="0.2">
      <c r="A4185" s="3">
        <v>46085</v>
      </c>
      <c r="B4185" s="2" t="s">
        <v>3</v>
      </c>
      <c r="C4185" s="2">
        <v>2</v>
      </c>
      <c r="D4185" s="2">
        <f t="shared" si="260"/>
        <v>2026</v>
      </c>
      <c r="E4185" s="2" t="str">
        <f t="shared" si="261"/>
        <v>2026-10</v>
      </c>
      <c r="F4185" s="2" t="str">
        <f t="shared" si="262"/>
        <v>Week 10</v>
      </c>
      <c r="G4185" s="2" t="str">
        <f t="shared" si="263"/>
        <v>Week 10-2026</v>
      </c>
      <c r="O4185"/>
      <c r="Q4185"/>
    </row>
    <row r="4186" spans="1:17" hidden="1" x14ac:dyDescent="0.2">
      <c r="A4186" s="3">
        <v>46085</v>
      </c>
      <c r="B4186" s="2" t="s">
        <v>3</v>
      </c>
      <c r="C4186" s="2">
        <v>2</v>
      </c>
      <c r="D4186" s="2">
        <f t="shared" si="260"/>
        <v>2026</v>
      </c>
      <c r="E4186" s="2" t="str">
        <f t="shared" si="261"/>
        <v>2026-10</v>
      </c>
      <c r="F4186" s="2" t="str">
        <f t="shared" si="262"/>
        <v>Week 10</v>
      </c>
      <c r="G4186" s="2" t="str">
        <f t="shared" si="263"/>
        <v>Week 10-2026</v>
      </c>
      <c r="O4186"/>
      <c r="Q4186"/>
    </row>
    <row r="4187" spans="1:17" hidden="1" x14ac:dyDescent="0.2">
      <c r="A4187" s="3">
        <v>46085</v>
      </c>
      <c r="B4187" s="2" t="s">
        <v>5</v>
      </c>
      <c r="C4187" s="2">
        <v>2</v>
      </c>
      <c r="D4187" s="2">
        <f t="shared" si="260"/>
        <v>2026</v>
      </c>
      <c r="E4187" s="2" t="str">
        <f t="shared" si="261"/>
        <v>2026-10</v>
      </c>
      <c r="F4187" s="2" t="str">
        <f t="shared" si="262"/>
        <v>Week 10</v>
      </c>
      <c r="G4187" s="2" t="str">
        <f t="shared" si="263"/>
        <v>Week 10-2026</v>
      </c>
      <c r="O4187"/>
      <c r="Q4187"/>
    </row>
    <row r="4188" spans="1:17" hidden="1" x14ac:dyDescent="0.2">
      <c r="A4188" s="3">
        <v>46085</v>
      </c>
      <c r="B4188" s="2" t="s">
        <v>5</v>
      </c>
      <c r="C4188" s="2">
        <v>2</v>
      </c>
      <c r="D4188" s="2">
        <f t="shared" si="260"/>
        <v>2026</v>
      </c>
      <c r="E4188" s="2" t="str">
        <f t="shared" si="261"/>
        <v>2026-10</v>
      </c>
      <c r="F4188" s="2" t="str">
        <f t="shared" si="262"/>
        <v>Week 10</v>
      </c>
      <c r="G4188" s="2" t="str">
        <f t="shared" si="263"/>
        <v>Week 10-2026</v>
      </c>
      <c r="O4188"/>
      <c r="Q4188"/>
    </row>
    <row r="4189" spans="1:17" hidden="1" x14ac:dyDescent="0.2">
      <c r="A4189" s="3">
        <v>46085</v>
      </c>
      <c r="B4189" s="2" t="s">
        <v>10</v>
      </c>
      <c r="C4189" s="2">
        <v>2</v>
      </c>
      <c r="D4189" s="2">
        <f t="shared" si="260"/>
        <v>2026</v>
      </c>
      <c r="E4189" s="2" t="str">
        <f t="shared" si="261"/>
        <v>2026-10</v>
      </c>
      <c r="F4189" s="2" t="str">
        <f t="shared" si="262"/>
        <v>Week 10</v>
      </c>
      <c r="G4189" s="2" t="str">
        <f t="shared" si="263"/>
        <v>Week 10-2026</v>
      </c>
      <c r="O4189"/>
      <c r="Q4189"/>
    </row>
    <row r="4190" spans="1:17" hidden="1" x14ac:dyDescent="0.2">
      <c r="A4190" s="3">
        <v>46085</v>
      </c>
      <c r="B4190" s="2" t="s">
        <v>5</v>
      </c>
      <c r="C4190" s="2">
        <v>1</v>
      </c>
      <c r="D4190" s="2">
        <f t="shared" si="260"/>
        <v>2026</v>
      </c>
      <c r="E4190" s="2" t="str">
        <f t="shared" si="261"/>
        <v>2026-10</v>
      </c>
      <c r="F4190" s="2" t="str">
        <f t="shared" si="262"/>
        <v>Week 10</v>
      </c>
      <c r="G4190" s="2" t="str">
        <f t="shared" si="263"/>
        <v>Week 10-2026</v>
      </c>
      <c r="O4190"/>
      <c r="Q4190"/>
    </row>
    <row r="4191" spans="1:17" hidden="1" x14ac:dyDescent="0.2">
      <c r="A4191" s="3">
        <v>46088</v>
      </c>
      <c r="B4191" s="2" t="s">
        <v>9</v>
      </c>
      <c r="C4191" s="2">
        <v>16</v>
      </c>
      <c r="D4191" s="2">
        <f t="shared" si="260"/>
        <v>2026</v>
      </c>
      <c r="E4191" s="2" t="str">
        <f t="shared" si="261"/>
        <v>2026-10</v>
      </c>
      <c r="F4191" s="2" t="str">
        <f t="shared" si="262"/>
        <v>Week 10</v>
      </c>
      <c r="G4191" s="2" t="str">
        <f t="shared" si="263"/>
        <v>Week 10-2026</v>
      </c>
      <c r="O4191"/>
      <c r="Q4191"/>
    </row>
    <row r="4192" spans="1:17" hidden="1" x14ac:dyDescent="0.2">
      <c r="A4192" s="3">
        <v>46088</v>
      </c>
      <c r="B4192" s="2" t="s">
        <v>7</v>
      </c>
      <c r="C4192" s="2">
        <v>8</v>
      </c>
      <c r="D4192" s="2">
        <f t="shared" si="260"/>
        <v>2026</v>
      </c>
      <c r="E4192" s="2" t="str">
        <f t="shared" si="261"/>
        <v>2026-10</v>
      </c>
      <c r="F4192" s="2" t="str">
        <f t="shared" si="262"/>
        <v>Week 10</v>
      </c>
      <c r="G4192" s="2" t="str">
        <f t="shared" si="263"/>
        <v>Week 10-2026</v>
      </c>
      <c r="O4192"/>
      <c r="Q4192"/>
    </row>
    <row r="4193" spans="1:17" hidden="1" x14ac:dyDescent="0.2">
      <c r="A4193" s="3">
        <v>46088</v>
      </c>
      <c r="B4193" s="2" t="s">
        <v>12</v>
      </c>
      <c r="C4193" s="2">
        <v>4</v>
      </c>
      <c r="D4193" s="2">
        <f t="shared" si="260"/>
        <v>2026</v>
      </c>
      <c r="E4193" s="2" t="str">
        <f t="shared" si="261"/>
        <v>2026-10</v>
      </c>
      <c r="F4193" s="2" t="str">
        <f t="shared" si="262"/>
        <v>Week 10</v>
      </c>
      <c r="G4193" s="2" t="str">
        <f t="shared" si="263"/>
        <v>Week 10-2026</v>
      </c>
      <c r="O4193"/>
      <c r="Q4193"/>
    </row>
    <row r="4194" spans="1:17" hidden="1" x14ac:dyDescent="0.2">
      <c r="A4194" s="3">
        <v>46088</v>
      </c>
      <c r="B4194" s="2" t="s">
        <v>30</v>
      </c>
      <c r="C4194" s="2">
        <v>10</v>
      </c>
      <c r="D4194" s="2">
        <f t="shared" si="260"/>
        <v>2026</v>
      </c>
      <c r="E4194" s="2" t="str">
        <f t="shared" si="261"/>
        <v>2026-10</v>
      </c>
      <c r="F4194" s="2" t="str">
        <f t="shared" si="262"/>
        <v>Week 10</v>
      </c>
      <c r="G4194" s="2" t="str">
        <f t="shared" si="263"/>
        <v>Week 10-2026</v>
      </c>
      <c r="O4194"/>
      <c r="Q4194"/>
    </row>
    <row r="4195" spans="1:17" hidden="1" x14ac:dyDescent="0.2">
      <c r="A4195" s="3">
        <v>46088</v>
      </c>
      <c r="B4195" s="2" t="s">
        <v>18</v>
      </c>
      <c r="C4195" s="2">
        <v>2</v>
      </c>
      <c r="D4195" s="2">
        <f t="shared" si="260"/>
        <v>2026</v>
      </c>
      <c r="E4195" s="2" t="str">
        <f t="shared" si="261"/>
        <v>2026-10</v>
      </c>
      <c r="F4195" s="2" t="str">
        <f t="shared" si="262"/>
        <v>Week 10</v>
      </c>
      <c r="G4195" s="2" t="str">
        <f t="shared" si="263"/>
        <v>Week 10-2026</v>
      </c>
      <c r="O4195"/>
      <c r="Q4195"/>
    </row>
    <row r="4196" spans="1:17" hidden="1" x14ac:dyDescent="0.2">
      <c r="A4196" s="3">
        <v>46088</v>
      </c>
      <c r="B4196" s="2" t="s">
        <v>10</v>
      </c>
      <c r="C4196" s="2">
        <v>4</v>
      </c>
      <c r="D4196" s="2">
        <f t="shared" si="260"/>
        <v>2026</v>
      </c>
      <c r="E4196" s="2" t="str">
        <f t="shared" si="261"/>
        <v>2026-10</v>
      </c>
      <c r="F4196" s="2" t="str">
        <f t="shared" si="262"/>
        <v>Week 10</v>
      </c>
      <c r="G4196" s="2" t="str">
        <f t="shared" si="263"/>
        <v>Week 10-2026</v>
      </c>
      <c r="O4196"/>
      <c r="Q4196"/>
    </row>
    <row r="4197" spans="1:17" hidden="1" x14ac:dyDescent="0.2">
      <c r="A4197" s="3">
        <v>46088</v>
      </c>
      <c r="B4197" s="2" t="s">
        <v>5</v>
      </c>
      <c r="C4197" s="2">
        <v>4</v>
      </c>
      <c r="D4197" s="2">
        <f t="shared" si="260"/>
        <v>2026</v>
      </c>
      <c r="E4197" s="2" t="str">
        <f t="shared" si="261"/>
        <v>2026-10</v>
      </c>
      <c r="F4197" s="2" t="str">
        <f t="shared" si="262"/>
        <v>Week 10</v>
      </c>
      <c r="G4197" s="2" t="str">
        <f t="shared" si="263"/>
        <v>Week 10-2026</v>
      </c>
      <c r="O4197"/>
      <c r="Q4197"/>
    </row>
    <row r="4198" spans="1:17" hidden="1" x14ac:dyDescent="0.2">
      <c r="A4198" s="3">
        <v>46088</v>
      </c>
      <c r="B4198" s="2" t="s">
        <v>9</v>
      </c>
      <c r="C4198" s="2">
        <v>2</v>
      </c>
      <c r="D4198" s="2">
        <f t="shared" si="260"/>
        <v>2026</v>
      </c>
      <c r="E4198" s="2" t="str">
        <f t="shared" si="261"/>
        <v>2026-10</v>
      </c>
      <c r="F4198" s="2" t="str">
        <f t="shared" si="262"/>
        <v>Week 10</v>
      </c>
      <c r="G4198" s="2" t="str">
        <f t="shared" si="263"/>
        <v>Week 10-2026</v>
      </c>
      <c r="O4198"/>
      <c r="Q4198"/>
    </row>
    <row r="4199" spans="1:17" hidden="1" x14ac:dyDescent="0.2">
      <c r="A4199" s="3">
        <v>46088</v>
      </c>
      <c r="B4199" s="2" t="s">
        <v>27</v>
      </c>
      <c r="C4199" s="2">
        <v>3</v>
      </c>
      <c r="D4199" s="2">
        <f t="shared" si="260"/>
        <v>2026</v>
      </c>
      <c r="E4199" s="2" t="str">
        <f t="shared" si="261"/>
        <v>2026-10</v>
      </c>
      <c r="F4199" s="2" t="str">
        <f t="shared" si="262"/>
        <v>Week 10</v>
      </c>
      <c r="G4199" s="2" t="str">
        <f t="shared" si="263"/>
        <v>Week 10-2026</v>
      </c>
      <c r="O4199"/>
      <c r="Q4199"/>
    </row>
    <row r="4200" spans="1:17" hidden="1" x14ac:dyDescent="0.2">
      <c r="A4200" s="3">
        <v>46088</v>
      </c>
      <c r="B4200" s="2" t="s">
        <v>14</v>
      </c>
      <c r="C4200" s="2">
        <v>2</v>
      </c>
      <c r="D4200" s="2">
        <f t="shared" si="260"/>
        <v>2026</v>
      </c>
      <c r="E4200" s="2" t="str">
        <f t="shared" si="261"/>
        <v>2026-10</v>
      </c>
      <c r="F4200" s="2" t="str">
        <f t="shared" si="262"/>
        <v>Week 10</v>
      </c>
      <c r="G4200" s="2" t="str">
        <f t="shared" si="263"/>
        <v>Week 10-2026</v>
      </c>
      <c r="O4200"/>
      <c r="Q4200"/>
    </row>
    <row r="4201" spans="1:17" hidden="1" x14ac:dyDescent="0.2">
      <c r="A4201" s="3">
        <v>46091</v>
      </c>
      <c r="B4201" s="2" t="s">
        <v>9</v>
      </c>
      <c r="C4201" s="2">
        <v>6</v>
      </c>
      <c r="D4201" s="2">
        <f t="shared" si="260"/>
        <v>2026</v>
      </c>
      <c r="E4201" s="2" t="str">
        <f t="shared" si="261"/>
        <v>2026-11</v>
      </c>
      <c r="F4201" s="2" t="str">
        <f t="shared" si="262"/>
        <v>Week 11</v>
      </c>
      <c r="G4201" s="2" t="str">
        <f t="shared" si="263"/>
        <v>Week 11-2026</v>
      </c>
      <c r="O4201"/>
      <c r="Q4201"/>
    </row>
    <row r="4202" spans="1:17" hidden="1" x14ac:dyDescent="0.2">
      <c r="A4202" s="3">
        <v>46092</v>
      </c>
      <c r="B4202" s="2" t="s">
        <v>4</v>
      </c>
      <c r="C4202" s="2">
        <v>21</v>
      </c>
      <c r="D4202" s="2">
        <f t="shared" si="260"/>
        <v>2026</v>
      </c>
      <c r="E4202" s="2" t="str">
        <f t="shared" si="261"/>
        <v>2026-11</v>
      </c>
      <c r="F4202" s="2" t="str">
        <f t="shared" si="262"/>
        <v>Week 11</v>
      </c>
      <c r="G4202" s="2" t="str">
        <f t="shared" si="263"/>
        <v>Week 11-2026</v>
      </c>
      <c r="O4202"/>
      <c r="Q4202"/>
    </row>
    <row r="4203" spans="1:17" hidden="1" x14ac:dyDescent="0.2">
      <c r="A4203" s="3">
        <v>46092</v>
      </c>
      <c r="B4203" s="2" t="s">
        <v>3</v>
      </c>
      <c r="C4203" s="2">
        <v>22</v>
      </c>
      <c r="D4203" s="2">
        <f t="shared" si="260"/>
        <v>2026</v>
      </c>
      <c r="E4203" s="2" t="str">
        <f t="shared" si="261"/>
        <v>2026-11</v>
      </c>
      <c r="F4203" s="2" t="str">
        <f t="shared" si="262"/>
        <v>Week 11</v>
      </c>
      <c r="G4203" s="2" t="str">
        <f t="shared" si="263"/>
        <v>Week 11-2026</v>
      </c>
      <c r="O4203"/>
      <c r="Q4203"/>
    </row>
    <row r="4204" spans="1:17" hidden="1" x14ac:dyDescent="0.2">
      <c r="A4204" s="3">
        <v>46092</v>
      </c>
      <c r="B4204" s="2" t="s">
        <v>5</v>
      </c>
      <c r="C4204" s="2">
        <v>24</v>
      </c>
      <c r="D4204" s="2">
        <f t="shared" si="260"/>
        <v>2026</v>
      </c>
      <c r="E4204" s="2" t="str">
        <f t="shared" si="261"/>
        <v>2026-11</v>
      </c>
      <c r="F4204" s="2" t="str">
        <f t="shared" si="262"/>
        <v>Week 11</v>
      </c>
      <c r="G4204" s="2" t="str">
        <f t="shared" si="263"/>
        <v>Week 11-2026</v>
      </c>
      <c r="O4204"/>
      <c r="Q4204"/>
    </row>
    <row r="4205" spans="1:17" hidden="1" x14ac:dyDescent="0.2">
      <c r="A4205" s="3">
        <v>46092</v>
      </c>
      <c r="B4205" s="2" t="s">
        <v>4</v>
      </c>
      <c r="C4205" s="2">
        <v>11</v>
      </c>
      <c r="D4205" s="2">
        <f t="shared" si="260"/>
        <v>2026</v>
      </c>
      <c r="E4205" s="2" t="str">
        <f t="shared" si="261"/>
        <v>2026-11</v>
      </c>
      <c r="F4205" s="2" t="str">
        <f t="shared" si="262"/>
        <v>Week 11</v>
      </c>
      <c r="G4205" s="2" t="str">
        <f t="shared" si="263"/>
        <v>Week 11-2026</v>
      </c>
      <c r="O4205"/>
      <c r="Q4205"/>
    </row>
    <row r="4206" spans="1:17" hidden="1" x14ac:dyDescent="0.2">
      <c r="A4206" s="3">
        <v>46092</v>
      </c>
      <c r="B4206" s="2" t="s">
        <v>14</v>
      </c>
      <c r="C4206" s="2">
        <v>21</v>
      </c>
      <c r="D4206" s="2">
        <f t="shared" si="260"/>
        <v>2026</v>
      </c>
      <c r="E4206" s="2" t="str">
        <f t="shared" si="261"/>
        <v>2026-11</v>
      </c>
      <c r="F4206" s="2" t="str">
        <f t="shared" si="262"/>
        <v>Week 11</v>
      </c>
      <c r="G4206" s="2" t="str">
        <f t="shared" si="263"/>
        <v>Week 11-2026</v>
      </c>
      <c r="O4206"/>
      <c r="Q4206"/>
    </row>
    <row r="4207" spans="1:17" hidden="1" x14ac:dyDescent="0.2">
      <c r="A4207" s="3">
        <v>46092</v>
      </c>
      <c r="B4207" s="2" t="s">
        <v>9</v>
      </c>
      <c r="C4207" s="2">
        <v>11</v>
      </c>
      <c r="D4207" s="2">
        <f t="shared" si="260"/>
        <v>2026</v>
      </c>
      <c r="E4207" s="2" t="str">
        <f t="shared" si="261"/>
        <v>2026-11</v>
      </c>
      <c r="F4207" s="2" t="str">
        <f t="shared" si="262"/>
        <v>Week 11</v>
      </c>
      <c r="G4207" s="2" t="str">
        <f t="shared" si="263"/>
        <v>Week 11-2026</v>
      </c>
      <c r="O4207"/>
      <c r="Q4207"/>
    </row>
    <row r="4208" spans="1:17" hidden="1" x14ac:dyDescent="0.2">
      <c r="A4208" s="3">
        <v>46092</v>
      </c>
      <c r="B4208" s="2" t="s">
        <v>9</v>
      </c>
      <c r="C4208" s="2">
        <v>10</v>
      </c>
      <c r="D4208" s="2">
        <f t="shared" si="260"/>
        <v>2026</v>
      </c>
      <c r="E4208" s="2" t="str">
        <f t="shared" si="261"/>
        <v>2026-11</v>
      </c>
      <c r="F4208" s="2" t="str">
        <f t="shared" si="262"/>
        <v>Week 11</v>
      </c>
      <c r="G4208" s="2" t="str">
        <f t="shared" si="263"/>
        <v>Week 11-2026</v>
      </c>
      <c r="O4208"/>
      <c r="Q4208"/>
    </row>
    <row r="4209" spans="1:17" hidden="1" x14ac:dyDescent="0.2">
      <c r="A4209" s="3">
        <v>46092</v>
      </c>
      <c r="B4209" s="2" t="s">
        <v>7</v>
      </c>
      <c r="C4209" s="2">
        <v>8</v>
      </c>
      <c r="D4209" s="2">
        <f t="shared" si="260"/>
        <v>2026</v>
      </c>
      <c r="E4209" s="2" t="str">
        <f t="shared" si="261"/>
        <v>2026-11</v>
      </c>
      <c r="F4209" s="2" t="str">
        <f t="shared" si="262"/>
        <v>Week 11</v>
      </c>
      <c r="G4209" s="2" t="str">
        <f t="shared" si="263"/>
        <v>Week 11-2026</v>
      </c>
      <c r="O4209"/>
      <c r="Q4209"/>
    </row>
    <row r="4210" spans="1:17" hidden="1" x14ac:dyDescent="0.2">
      <c r="A4210" s="3">
        <v>46092</v>
      </c>
      <c r="B4210" s="2" t="s">
        <v>3</v>
      </c>
      <c r="C4210" s="2">
        <v>10</v>
      </c>
      <c r="D4210" s="2">
        <f t="shared" si="260"/>
        <v>2026</v>
      </c>
      <c r="E4210" s="2" t="str">
        <f t="shared" si="261"/>
        <v>2026-11</v>
      </c>
      <c r="F4210" s="2" t="str">
        <f t="shared" si="262"/>
        <v>Week 11</v>
      </c>
      <c r="G4210" s="2" t="str">
        <f t="shared" si="263"/>
        <v>Week 11-2026</v>
      </c>
      <c r="O4210"/>
      <c r="Q4210"/>
    </row>
    <row r="4211" spans="1:17" hidden="1" x14ac:dyDescent="0.2">
      <c r="A4211" s="3">
        <v>46092</v>
      </c>
      <c r="B4211" s="2" t="s">
        <v>14</v>
      </c>
      <c r="C4211" s="2">
        <v>11</v>
      </c>
      <c r="D4211" s="2">
        <f t="shared" si="260"/>
        <v>2026</v>
      </c>
      <c r="E4211" s="2" t="str">
        <f t="shared" si="261"/>
        <v>2026-11</v>
      </c>
      <c r="F4211" s="2" t="str">
        <f t="shared" si="262"/>
        <v>Week 11</v>
      </c>
      <c r="G4211" s="2" t="str">
        <f t="shared" si="263"/>
        <v>Week 11-2026</v>
      </c>
      <c r="O4211"/>
      <c r="Q4211"/>
    </row>
    <row r="4212" spans="1:17" hidden="1" x14ac:dyDescent="0.2">
      <c r="A4212" s="3">
        <v>46092</v>
      </c>
      <c r="B4212" s="2" t="s">
        <v>9</v>
      </c>
      <c r="C4212" s="2">
        <v>6</v>
      </c>
      <c r="D4212" s="2">
        <f t="shared" si="260"/>
        <v>2026</v>
      </c>
      <c r="E4212" s="2" t="str">
        <f t="shared" si="261"/>
        <v>2026-11</v>
      </c>
      <c r="F4212" s="2" t="str">
        <f t="shared" si="262"/>
        <v>Week 11</v>
      </c>
      <c r="G4212" s="2" t="str">
        <f t="shared" si="263"/>
        <v>Week 11-2026</v>
      </c>
      <c r="O4212"/>
      <c r="Q4212"/>
    </row>
    <row r="4213" spans="1:17" hidden="1" x14ac:dyDescent="0.2">
      <c r="A4213" s="3">
        <v>46092</v>
      </c>
      <c r="B4213" s="2" t="s">
        <v>29</v>
      </c>
      <c r="C4213" s="2">
        <v>6</v>
      </c>
      <c r="D4213" s="2">
        <f t="shared" si="260"/>
        <v>2026</v>
      </c>
      <c r="E4213" s="2" t="str">
        <f t="shared" si="261"/>
        <v>2026-11</v>
      </c>
      <c r="F4213" s="2" t="str">
        <f t="shared" si="262"/>
        <v>Week 11</v>
      </c>
      <c r="G4213" s="2" t="str">
        <f t="shared" si="263"/>
        <v>Week 11-2026</v>
      </c>
      <c r="O4213"/>
      <c r="Q4213"/>
    </row>
    <row r="4214" spans="1:17" hidden="1" x14ac:dyDescent="0.2">
      <c r="A4214" s="3">
        <v>46092</v>
      </c>
      <c r="B4214" s="2" t="s">
        <v>5</v>
      </c>
      <c r="C4214" s="2">
        <v>6</v>
      </c>
      <c r="D4214" s="2">
        <f t="shared" si="260"/>
        <v>2026</v>
      </c>
      <c r="E4214" s="2" t="str">
        <f t="shared" si="261"/>
        <v>2026-11</v>
      </c>
      <c r="F4214" s="2" t="str">
        <f t="shared" si="262"/>
        <v>Week 11</v>
      </c>
      <c r="G4214" s="2" t="str">
        <f t="shared" si="263"/>
        <v>Week 11-2026</v>
      </c>
      <c r="O4214"/>
      <c r="Q4214"/>
    </row>
    <row r="4215" spans="1:17" hidden="1" x14ac:dyDescent="0.2">
      <c r="A4215" s="3">
        <v>46092</v>
      </c>
      <c r="B4215" s="2" t="s">
        <v>9</v>
      </c>
      <c r="C4215" s="2">
        <v>4</v>
      </c>
      <c r="D4215" s="2">
        <f t="shared" si="260"/>
        <v>2026</v>
      </c>
      <c r="E4215" s="2" t="str">
        <f t="shared" si="261"/>
        <v>2026-11</v>
      </c>
      <c r="F4215" s="2" t="str">
        <f t="shared" si="262"/>
        <v>Week 11</v>
      </c>
      <c r="G4215" s="2" t="str">
        <f t="shared" si="263"/>
        <v>Week 11-2026</v>
      </c>
      <c r="O4215"/>
      <c r="Q4215"/>
    </row>
    <row r="4216" spans="1:17" hidden="1" x14ac:dyDescent="0.2">
      <c r="A4216" s="3">
        <v>46092</v>
      </c>
      <c r="B4216" s="2" t="s">
        <v>9</v>
      </c>
      <c r="C4216" s="2">
        <v>4</v>
      </c>
      <c r="D4216" s="2">
        <f t="shared" si="260"/>
        <v>2026</v>
      </c>
      <c r="E4216" s="2" t="str">
        <f t="shared" si="261"/>
        <v>2026-11</v>
      </c>
      <c r="F4216" s="2" t="str">
        <f t="shared" si="262"/>
        <v>Week 11</v>
      </c>
      <c r="G4216" s="2" t="str">
        <f t="shared" si="263"/>
        <v>Week 11-2026</v>
      </c>
      <c r="O4216"/>
      <c r="Q4216"/>
    </row>
    <row r="4217" spans="1:17" hidden="1" x14ac:dyDescent="0.2">
      <c r="A4217" s="3">
        <v>46092</v>
      </c>
      <c r="B4217" s="2" t="s">
        <v>9</v>
      </c>
      <c r="C4217" s="2">
        <v>4</v>
      </c>
      <c r="D4217" s="2">
        <f t="shared" si="260"/>
        <v>2026</v>
      </c>
      <c r="E4217" s="2" t="str">
        <f t="shared" si="261"/>
        <v>2026-11</v>
      </c>
      <c r="F4217" s="2" t="str">
        <f t="shared" si="262"/>
        <v>Week 11</v>
      </c>
      <c r="G4217" s="2" t="str">
        <f t="shared" si="263"/>
        <v>Week 11-2026</v>
      </c>
      <c r="O4217"/>
      <c r="Q4217"/>
    </row>
    <row r="4218" spans="1:17" hidden="1" x14ac:dyDescent="0.2">
      <c r="A4218" s="3">
        <v>46092</v>
      </c>
      <c r="B4218" s="2" t="s">
        <v>28</v>
      </c>
      <c r="C4218" s="2">
        <v>8</v>
      </c>
      <c r="D4218" s="2">
        <f t="shared" si="260"/>
        <v>2026</v>
      </c>
      <c r="E4218" s="2" t="str">
        <f t="shared" si="261"/>
        <v>2026-11</v>
      </c>
      <c r="F4218" s="2" t="str">
        <f t="shared" si="262"/>
        <v>Week 11</v>
      </c>
      <c r="G4218" s="2" t="str">
        <f t="shared" si="263"/>
        <v>Week 11-2026</v>
      </c>
      <c r="O4218"/>
      <c r="Q4218"/>
    </row>
    <row r="4219" spans="1:17" hidden="1" x14ac:dyDescent="0.2">
      <c r="A4219" s="3">
        <v>46092</v>
      </c>
      <c r="B4219" s="2" t="s">
        <v>5</v>
      </c>
      <c r="C4219" s="2">
        <v>4</v>
      </c>
      <c r="D4219" s="2">
        <f t="shared" si="260"/>
        <v>2026</v>
      </c>
      <c r="E4219" s="2" t="str">
        <f t="shared" si="261"/>
        <v>2026-11</v>
      </c>
      <c r="F4219" s="2" t="str">
        <f t="shared" si="262"/>
        <v>Week 11</v>
      </c>
      <c r="G4219" s="2" t="str">
        <f t="shared" si="263"/>
        <v>Week 11-2026</v>
      </c>
      <c r="O4219"/>
      <c r="Q4219"/>
    </row>
    <row r="4220" spans="1:17" hidden="1" x14ac:dyDescent="0.2">
      <c r="A4220" s="3">
        <v>46092</v>
      </c>
      <c r="B4220" s="2" t="s">
        <v>17</v>
      </c>
      <c r="C4220" s="2">
        <v>2</v>
      </c>
      <c r="D4220" s="2">
        <f t="shared" si="260"/>
        <v>2026</v>
      </c>
      <c r="E4220" s="2" t="str">
        <f t="shared" si="261"/>
        <v>2026-11</v>
      </c>
      <c r="F4220" s="2" t="str">
        <f t="shared" si="262"/>
        <v>Week 11</v>
      </c>
      <c r="G4220" s="2" t="str">
        <f t="shared" si="263"/>
        <v>Week 11-2026</v>
      </c>
      <c r="O4220"/>
      <c r="Q4220"/>
    </row>
    <row r="4221" spans="1:17" hidden="1" x14ac:dyDescent="0.2">
      <c r="A4221" s="3">
        <v>46092</v>
      </c>
      <c r="B4221" s="2" t="s">
        <v>9</v>
      </c>
      <c r="C4221" s="2">
        <v>1</v>
      </c>
      <c r="D4221" s="2">
        <f t="shared" si="260"/>
        <v>2026</v>
      </c>
      <c r="E4221" s="2" t="str">
        <f t="shared" si="261"/>
        <v>2026-11</v>
      </c>
      <c r="F4221" s="2" t="str">
        <f t="shared" si="262"/>
        <v>Week 11</v>
      </c>
      <c r="G4221" s="2" t="str">
        <f t="shared" si="263"/>
        <v>Week 11-2026</v>
      </c>
      <c r="O4221"/>
      <c r="Q4221"/>
    </row>
    <row r="4222" spans="1:17" hidden="1" x14ac:dyDescent="0.2">
      <c r="A4222" s="3">
        <v>46092</v>
      </c>
      <c r="B4222" s="2" t="s">
        <v>28</v>
      </c>
      <c r="C4222" s="2">
        <v>2</v>
      </c>
      <c r="D4222" s="2">
        <f t="shared" si="260"/>
        <v>2026</v>
      </c>
      <c r="E4222" s="2" t="str">
        <f t="shared" si="261"/>
        <v>2026-11</v>
      </c>
      <c r="F4222" s="2" t="str">
        <f t="shared" si="262"/>
        <v>Week 11</v>
      </c>
      <c r="G4222" s="2" t="str">
        <f t="shared" si="263"/>
        <v>Week 11-2026</v>
      </c>
      <c r="O4222"/>
      <c r="Q4222"/>
    </row>
    <row r="4223" spans="1:17" hidden="1" x14ac:dyDescent="0.2">
      <c r="A4223" s="3">
        <v>46093</v>
      </c>
      <c r="B4223" s="2" t="s">
        <v>9</v>
      </c>
      <c r="C4223" s="2">
        <v>24</v>
      </c>
      <c r="D4223" s="2">
        <f t="shared" si="260"/>
        <v>2026</v>
      </c>
      <c r="E4223" s="2" t="str">
        <f t="shared" si="261"/>
        <v>2026-11</v>
      </c>
      <c r="F4223" s="2" t="str">
        <f t="shared" si="262"/>
        <v>Week 11</v>
      </c>
      <c r="G4223" s="2" t="str">
        <f t="shared" si="263"/>
        <v>Week 11-2026</v>
      </c>
      <c r="O4223"/>
      <c r="Q4223"/>
    </row>
    <row r="4224" spans="1:17" hidden="1" x14ac:dyDescent="0.2">
      <c r="A4224" s="3">
        <v>46093</v>
      </c>
      <c r="B4224" s="2" t="s">
        <v>3</v>
      </c>
      <c r="C4224" s="2">
        <v>18</v>
      </c>
      <c r="D4224" s="2">
        <f t="shared" si="260"/>
        <v>2026</v>
      </c>
      <c r="E4224" s="2" t="str">
        <f t="shared" si="261"/>
        <v>2026-11</v>
      </c>
      <c r="F4224" s="2" t="str">
        <f t="shared" si="262"/>
        <v>Week 11</v>
      </c>
      <c r="G4224" s="2" t="str">
        <f t="shared" si="263"/>
        <v>Week 11-2026</v>
      </c>
      <c r="O4224"/>
      <c r="Q4224"/>
    </row>
    <row r="4225" spans="1:17" hidden="1" x14ac:dyDescent="0.2">
      <c r="A4225" s="3">
        <v>46093</v>
      </c>
      <c r="B4225" s="2" t="s">
        <v>5</v>
      </c>
      <c r="C4225" s="2">
        <v>12</v>
      </c>
      <c r="D4225" s="2">
        <f t="shared" si="260"/>
        <v>2026</v>
      </c>
      <c r="E4225" s="2" t="str">
        <f t="shared" si="261"/>
        <v>2026-11</v>
      </c>
      <c r="F4225" s="2" t="str">
        <f t="shared" si="262"/>
        <v>Week 11</v>
      </c>
      <c r="G4225" s="2" t="str">
        <f t="shared" si="263"/>
        <v>Week 11-2026</v>
      </c>
      <c r="O4225"/>
      <c r="Q4225"/>
    </row>
    <row r="4226" spans="1:17" hidden="1" x14ac:dyDescent="0.2">
      <c r="A4226" s="3">
        <v>46093</v>
      </c>
      <c r="B4226" s="2" t="s">
        <v>7</v>
      </c>
      <c r="C4226" s="2">
        <v>6</v>
      </c>
      <c r="D4226" s="2">
        <f t="shared" ref="D4226:D4289" si="264">YEAR(A4226)</f>
        <v>2026</v>
      </c>
      <c r="E4226" s="2" t="str">
        <f t="shared" ref="E4226:E4289" si="265">YEAR(A4226)&amp;"-"&amp;_xlfn.ISOWEEKNUM(A4226)</f>
        <v>2026-11</v>
      </c>
      <c r="F4226" s="2" t="str">
        <f t="shared" ref="F4226:F4289" si="266">_xlfn.CONCAT("Week "&amp;WEEKNUM(A4226))</f>
        <v>Week 11</v>
      </c>
      <c r="G4226" s="2" t="str">
        <f t="shared" ref="G4226:G4289" si="267">_xlfn.CONCAT(F4226,"-",D4226)</f>
        <v>Week 11-2026</v>
      </c>
      <c r="O4226"/>
      <c r="Q4226"/>
    </row>
    <row r="4227" spans="1:17" hidden="1" x14ac:dyDescent="0.2">
      <c r="A4227" s="3">
        <v>46093</v>
      </c>
      <c r="B4227" s="2" t="s">
        <v>4</v>
      </c>
      <c r="C4227" s="2">
        <v>4</v>
      </c>
      <c r="D4227" s="2">
        <f t="shared" si="264"/>
        <v>2026</v>
      </c>
      <c r="E4227" s="2" t="str">
        <f t="shared" si="265"/>
        <v>2026-11</v>
      </c>
      <c r="F4227" s="2" t="str">
        <f t="shared" si="266"/>
        <v>Week 11</v>
      </c>
      <c r="G4227" s="2" t="str">
        <f t="shared" si="267"/>
        <v>Week 11-2026</v>
      </c>
      <c r="O4227"/>
      <c r="Q4227"/>
    </row>
    <row r="4228" spans="1:17" hidden="1" x14ac:dyDescent="0.2">
      <c r="A4228" s="3">
        <v>46093</v>
      </c>
      <c r="B4228" s="2" t="s">
        <v>3</v>
      </c>
      <c r="C4228" s="2">
        <v>4</v>
      </c>
      <c r="D4228" s="2">
        <f t="shared" si="264"/>
        <v>2026</v>
      </c>
      <c r="E4228" s="2" t="str">
        <f t="shared" si="265"/>
        <v>2026-11</v>
      </c>
      <c r="F4228" s="2" t="str">
        <f t="shared" si="266"/>
        <v>Week 11</v>
      </c>
      <c r="G4228" s="2" t="str">
        <f t="shared" si="267"/>
        <v>Week 11-2026</v>
      </c>
      <c r="O4228"/>
      <c r="Q4228"/>
    </row>
    <row r="4229" spans="1:17" hidden="1" x14ac:dyDescent="0.2">
      <c r="A4229" s="3">
        <v>46093</v>
      </c>
      <c r="B4229" s="2" t="s">
        <v>5</v>
      </c>
      <c r="C4229" s="2">
        <v>4</v>
      </c>
      <c r="D4229" s="2">
        <f t="shared" si="264"/>
        <v>2026</v>
      </c>
      <c r="E4229" s="2" t="str">
        <f t="shared" si="265"/>
        <v>2026-11</v>
      </c>
      <c r="F4229" s="2" t="str">
        <f t="shared" si="266"/>
        <v>Week 11</v>
      </c>
      <c r="G4229" s="2" t="str">
        <f t="shared" si="267"/>
        <v>Week 11-2026</v>
      </c>
      <c r="O4229"/>
      <c r="Q4229"/>
    </row>
    <row r="4230" spans="1:17" hidden="1" x14ac:dyDescent="0.2">
      <c r="A4230" s="3">
        <v>46093</v>
      </c>
      <c r="B4230" s="2" t="s">
        <v>19</v>
      </c>
      <c r="C4230" s="2">
        <v>2</v>
      </c>
      <c r="D4230" s="2">
        <f t="shared" si="264"/>
        <v>2026</v>
      </c>
      <c r="E4230" s="2" t="str">
        <f t="shared" si="265"/>
        <v>2026-11</v>
      </c>
      <c r="F4230" s="2" t="str">
        <f t="shared" si="266"/>
        <v>Week 11</v>
      </c>
      <c r="G4230" s="2" t="str">
        <f t="shared" si="267"/>
        <v>Week 11-2026</v>
      </c>
      <c r="O4230"/>
      <c r="Q4230"/>
    </row>
    <row r="4231" spans="1:17" hidden="1" x14ac:dyDescent="0.2">
      <c r="A4231" s="3">
        <v>46093</v>
      </c>
      <c r="B4231" s="2" t="s">
        <v>10</v>
      </c>
      <c r="C4231" s="2">
        <v>4</v>
      </c>
      <c r="D4231" s="2">
        <f t="shared" si="264"/>
        <v>2026</v>
      </c>
      <c r="E4231" s="2" t="str">
        <f t="shared" si="265"/>
        <v>2026-11</v>
      </c>
      <c r="F4231" s="2" t="str">
        <f t="shared" si="266"/>
        <v>Week 11</v>
      </c>
      <c r="G4231" s="2" t="str">
        <f t="shared" si="267"/>
        <v>Week 11-2026</v>
      </c>
      <c r="O4231"/>
      <c r="Q4231"/>
    </row>
    <row r="4232" spans="1:17" hidden="1" x14ac:dyDescent="0.2">
      <c r="A4232" s="3">
        <v>46093</v>
      </c>
      <c r="B4232" s="2" t="s">
        <v>7</v>
      </c>
      <c r="C4232" s="2">
        <v>2</v>
      </c>
      <c r="D4232" s="2">
        <f t="shared" si="264"/>
        <v>2026</v>
      </c>
      <c r="E4232" s="2" t="str">
        <f t="shared" si="265"/>
        <v>2026-11</v>
      </c>
      <c r="F4232" s="2" t="str">
        <f t="shared" si="266"/>
        <v>Week 11</v>
      </c>
      <c r="G4232" s="2" t="str">
        <f t="shared" si="267"/>
        <v>Week 11-2026</v>
      </c>
      <c r="O4232"/>
      <c r="Q4232"/>
    </row>
    <row r="4233" spans="1:17" hidden="1" x14ac:dyDescent="0.2">
      <c r="A4233" s="3">
        <v>46093</v>
      </c>
      <c r="B4233" s="2" t="s">
        <v>9</v>
      </c>
      <c r="C4233" s="2">
        <v>2</v>
      </c>
      <c r="D4233" s="2">
        <f t="shared" si="264"/>
        <v>2026</v>
      </c>
      <c r="E4233" s="2" t="str">
        <f t="shared" si="265"/>
        <v>2026-11</v>
      </c>
      <c r="F4233" s="2" t="str">
        <f t="shared" si="266"/>
        <v>Week 11</v>
      </c>
      <c r="G4233" s="2" t="str">
        <f t="shared" si="267"/>
        <v>Week 11-2026</v>
      </c>
      <c r="O4233"/>
      <c r="Q4233"/>
    </row>
    <row r="4234" spans="1:17" hidden="1" x14ac:dyDescent="0.2">
      <c r="A4234" s="3">
        <v>46094</v>
      </c>
      <c r="B4234" s="2" t="s">
        <v>19</v>
      </c>
      <c r="C4234" s="2">
        <v>8</v>
      </c>
      <c r="D4234" s="2">
        <f t="shared" si="264"/>
        <v>2026</v>
      </c>
      <c r="E4234" s="2" t="str">
        <f t="shared" si="265"/>
        <v>2026-11</v>
      </c>
      <c r="F4234" s="2" t="str">
        <f t="shared" si="266"/>
        <v>Week 11</v>
      </c>
      <c r="G4234" s="2" t="str">
        <f t="shared" si="267"/>
        <v>Week 11-2026</v>
      </c>
      <c r="O4234"/>
      <c r="Q4234"/>
    </row>
    <row r="4235" spans="1:17" hidden="1" x14ac:dyDescent="0.2">
      <c r="A4235" s="3">
        <v>46094</v>
      </c>
      <c r="B4235" s="2" t="s">
        <v>19</v>
      </c>
      <c r="C4235" s="2">
        <v>8</v>
      </c>
      <c r="D4235" s="2">
        <f t="shared" si="264"/>
        <v>2026</v>
      </c>
      <c r="E4235" s="2" t="str">
        <f t="shared" si="265"/>
        <v>2026-11</v>
      </c>
      <c r="F4235" s="2" t="str">
        <f t="shared" si="266"/>
        <v>Week 11</v>
      </c>
      <c r="G4235" s="2" t="str">
        <f t="shared" si="267"/>
        <v>Week 11-2026</v>
      </c>
      <c r="O4235"/>
      <c r="Q4235"/>
    </row>
    <row r="4236" spans="1:17" hidden="1" x14ac:dyDescent="0.2">
      <c r="A4236" s="3">
        <v>46094</v>
      </c>
      <c r="B4236" s="2" t="s">
        <v>4</v>
      </c>
      <c r="C4236" s="2">
        <v>8</v>
      </c>
      <c r="D4236" s="2">
        <f t="shared" si="264"/>
        <v>2026</v>
      </c>
      <c r="E4236" s="2" t="str">
        <f t="shared" si="265"/>
        <v>2026-11</v>
      </c>
      <c r="F4236" s="2" t="str">
        <f t="shared" si="266"/>
        <v>Week 11</v>
      </c>
      <c r="G4236" s="2" t="str">
        <f t="shared" si="267"/>
        <v>Week 11-2026</v>
      </c>
      <c r="O4236"/>
      <c r="Q4236"/>
    </row>
    <row r="4237" spans="1:17" hidden="1" x14ac:dyDescent="0.2">
      <c r="A4237" s="3">
        <v>46094</v>
      </c>
      <c r="B4237" s="2" t="s">
        <v>17</v>
      </c>
      <c r="C4237" s="2">
        <v>8</v>
      </c>
      <c r="D4237" s="2">
        <f t="shared" si="264"/>
        <v>2026</v>
      </c>
      <c r="E4237" s="2" t="str">
        <f t="shared" si="265"/>
        <v>2026-11</v>
      </c>
      <c r="F4237" s="2" t="str">
        <f t="shared" si="266"/>
        <v>Week 11</v>
      </c>
      <c r="G4237" s="2" t="str">
        <f t="shared" si="267"/>
        <v>Week 11-2026</v>
      </c>
      <c r="O4237"/>
      <c r="Q4237"/>
    </row>
    <row r="4238" spans="1:17" hidden="1" x14ac:dyDescent="0.2">
      <c r="A4238" s="3">
        <v>46094</v>
      </c>
      <c r="B4238" s="2" t="s">
        <v>17</v>
      </c>
      <c r="C4238" s="2">
        <v>8</v>
      </c>
      <c r="D4238" s="2">
        <f t="shared" si="264"/>
        <v>2026</v>
      </c>
      <c r="E4238" s="2" t="str">
        <f t="shared" si="265"/>
        <v>2026-11</v>
      </c>
      <c r="F4238" s="2" t="str">
        <f t="shared" si="266"/>
        <v>Week 11</v>
      </c>
      <c r="G4238" s="2" t="str">
        <f t="shared" si="267"/>
        <v>Week 11-2026</v>
      </c>
      <c r="O4238"/>
      <c r="Q4238"/>
    </row>
    <row r="4239" spans="1:17" hidden="1" x14ac:dyDescent="0.2">
      <c r="A4239" s="3">
        <v>46094</v>
      </c>
      <c r="B4239" s="2" t="s">
        <v>6</v>
      </c>
      <c r="C4239" s="2">
        <v>4</v>
      </c>
      <c r="D4239" s="2">
        <f t="shared" si="264"/>
        <v>2026</v>
      </c>
      <c r="E4239" s="2" t="str">
        <f t="shared" si="265"/>
        <v>2026-11</v>
      </c>
      <c r="F4239" s="2" t="str">
        <f t="shared" si="266"/>
        <v>Week 11</v>
      </c>
      <c r="G4239" s="2" t="str">
        <f t="shared" si="267"/>
        <v>Week 11-2026</v>
      </c>
      <c r="O4239"/>
      <c r="Q4239"/>
    </row>
    <row r="4240" spans="1:17" hidden="1" x14ac:dyDescent="0.2">
      <c r="A4240" s="3">
        <v>46094</v>
      </c>
      <c r="B4240" s="2" t="s">
        <v>6</v>
      </c>
      <c r="C4240" s="2">
        <v>4</v>
      </c>
      <c r="D4240" s="2">
        <f t="shared" si="264"/>
        <v>2026</v>
      </c>
      <c r="E4240" s="2" t="str">
        <f t="shared" si="265"/>
        <v>2026-11</v>
      </c>
      <c r="F4240" s="2" t="str">
        <f t="shared" si="266"/>
        <v>Week 11</v>
      </c>
      <c r="G4240" s="2" t="str">
        <f t="shared" si="267"/>
        <v>Week 11-2026</v>
      </c>
      <c r="O4240"/>
      <c r="Q4240"/>
    </row>
    <row r="4241" spans="1:17" hidden="1" x14ac:dyDescent="0.2">
      <c r="A4241" s="3">
        <v>46094</v>
      </c>
      <c r="B4241" s="2" t="s">
        <v>8</v>
      </c>
      <c r="C4241" s="2">
        <v>8</v>
      </c>
      <c r="D4241" s="2">
        <f t="shared" si="264"/>
        <v>2026</v>
      </c>
      <c r="E4241" s="2" t="str">
        <f t="shared" si="265"/>
        <v>2026-11</v>
      </c>
      <c r="F4241" s="2" t="str">
        <f t="shared" si="266"/>
        <v>Week 11</v>
      </c>
      <c r="G4241" s="2" t="str">
        <f t="shared" si="267"/>
        <v>Week 11-2026</v>
      </c>
      <c r="O4241"/>
      <c r="Q4241"/>
    </row>
    <row r="4242" spans="1:17" hidden="1" x14ac:dyDescent="0.2">
      <c r="A4242" s="3">
        <v>46094</v>
      </c>
      <c r="B4242" s="2" t="s">
        <v>9</v>
      </c>
      <c r="C4242" s="2">
        <v>4</v>
      </c>
      <c r="D4242" s="2">
        <f t="shared" si="264"/>
        <v>2026</v>
      </c>
      <c r="E4242" s="2" t="str">
        <f t="shared" si="265"/>
        <v>2026-11</v>
      </c>
      <c r="F4242" s="2" t="str">
        <f t="shared" si="266"/>
        <v>Week 11</v>
      </c>
      <c r="G4242" s="2" t="str">
        <f t="shared" si="267"/>
        <v>Week 11-2026</v>
      </c>
      <c r="O4242"/>
      <c r="Q4242"/>
    </row>
    <row r="4243" spans="1:17" hidden="1" x14ac:dyDescent="0.2">
      <c r="A4243" s="3">
        <v>46094</v>
      </c>
      <c r="B4243" s="2" t="s">
        <v>9</v>
      </c>
      <c r="C4243" s="2">
        <v>4</v>
      </c>
      <c r="D4243" s="2">
        <f t="shared" si="264"/>
        <v>2026</v>
      </c>
      <c r="E4243" s="2" t="str">
        <f t="shared" si="265"/>
        <v>2026-11</v>
      </c>
      <c r="F4243" s="2" t="str">
        <f t="shared" si="266"/>
        <v>Week 11</v>
      </c>
      <c r="G4243" s="2" t="str">
        <f t="shared" si="267"/>
        <v>Week 11-2026</v>
      </c>
      <c r="O4243"/>
      <c r="Q4243"/>
    </row>
    <row r="4244" spans="1:17" hidden="1" x14ac:dyDescent="0.2">
      <c r="A4244" s="3">
        <v>46094</v>
      </c>
      <c r="B4244" s="2" t="s">
        <v>10</v>
      </c>
      <c r="C4244" s="2">
        <v>6</v>
      </c>
      <c r="D4244" s="2">
        <f t="shared" si="264"/>
        <v>2026</v>
      </c>
      <c r="E4244" s="2" t="str">
        <f t="shared" si="265"/>
        <v>2026-11</v>
      </c>
      <c r="F4244" s="2" t="str">
        <f t="shared" si="266"/>
        <v>Week 11</v>
      </c>
      <c r="G4244" s="2" t="str">
        <f t="shared" si="267"/>
        <v>Week 11-2026</v>
      </c>
      <c r="O4244"/>
      <c r="Q4244"/>
    </row>
    <row r="4245" spans="1:17" hidden="1" x14ac:dyDescent="0.2">
      <c r="A4245" s="3">
        <v>46094</v>
      </c>
      <c r="B4245" s="2" t="s">
        <v>10</v>
      </c>
      <c r="C4245" s="2">
        <v>6</v>
      </c>
      <c r="D4245" s="2">
        <f t="shared" si="264"/>
        <v>2026</v>
      </c>
      <c r="E4245" s="2" t="str">
        <f t="shared" si="265"/>
        <v>2026-11</v>
      </c>
      <c r="F4245" s="2" t="str">
        <f t="shared" si="266"/>
        <v>Week 11</v>
      </c>
      <c r="G4245" s="2" t="str">
        <f t="shared" si="267"/>
        <v>Week 11-2026</v>
      </c>
      <c r="O4245"/>
      <c r="Q4245"/>
    </row>
    <row r="4246" spans="1:17" hidden="1" x14ac:dyDescent="0.2">
      <c r="A4246" s="3">
        <v>46094</v>
      </c>
      <c r="B4246" s="2" t="s">
        <v>10</v>
      </c>
      <c r="C4246" s="2">
        <v>6</v>
      </c>
      <c r="D4246" s="2">
        <f t="shared" si="264"/>
        <v>2026</v>
      </c>
      <c r="E4246" s="2" t="str">
        <f t="shared" si="265"/>
        <v>2026-11</v>
      </c>
      <c r="F4246" s="2" t="str">
        <f t="shared" si="266"/>
        <v>Week 11</v>
      </c>
      <c r="G4246" s="2" t="str">
        <f t="shared" si="267"/>
        <v>Week 11-2026</v>
      </c>
      <c r="O4246"/>
      <c r="Q4246"/>
    </row>
    <row r="4247" spans="1:17" hidden="1" x14ac:dyDescent="0.2">
      <c r="A4247" s="3">
        <v>46094</v>
      </c>
      <c r="B4247" s="2" t="s">
        <v>3</v>
      </c>
      <c r="C4247" s="2">
        <v>4</v>
      </c>
      <c r="D4247" s="2">
        <f t="shared" si="264"/>
        <v>2026</v>
      </c>
      <c r="E4247" s="2" t="str">
        <f t="shared" si="265"/>
        <v>2026-11</v>
      </c>
      <c r="F4247" s="2" t="str">
        <f t="shared" si="266"/>
        <v>Week 11</v>
      </c>
      <c r="G4247" s="2" t="str">
        <f t="shared" si="267"/>
        <v>Week 11-2026</v>
      </c>
      <c r="O4247"/>
      <c r="Q4247"/>
    </row>
    <row r="4248" spans="1:17" hidden="1" x14ac:dyDescent="0.2">
      <c r="A4248" s="3">
        <v>46094</v>
      </c>
      <c r="B4248" s="2" t="s">
        <v>3</v>
      </c>
      <c r="C4248" s="2">
        <v>4</v>
      </c>
      <c r="D4248" s="2">
        <f t="shared" si="264"/>
        <v>2026</v>
      </c>
      <c r="E4248" s="2" t="str">
        <f t="shared" si="265"/>
        <v>2026-11</v>
      </c>
      <c r="F4248" s="2" t="str">
        <f t="shared" si="266"/>
        <v>Week 11</v>
      </c>
      <c r="G4248" s="2" t="str">
        <f t="shared" si="267"/>
        <v>Week 11-2026</v>
      </c>
      <c r="O4248"/>
      <c r="Q4248"/>
    </row>
    <row r="4249" spans="1:17" hidden="1" x14ac:dyDescent="0.2">
      <c r="A4249" s="3">
        <v>46094</v>
      </c>
      <c r="B4249" s="2" t="s">
        <v>3</v>
      </c>
      <c r="C4249" s="2">
        <v>4</v>
      </c>
      <c r="D4249" s="2">
        <f t="shared" si="264"/>
        <v>2026</v>
      </c>
      <c r="E4249" s="2" t="str">
        <f t="shared" si="265"/>
        <v>2026-11</v>
      </c>
      <c r="F4249" s="2" t="str">
        <f t="shared" si="266"/>
        <v>Week 11</v>
      </c>
      <c r="G4249" s="2" t="str">
        <f t="shared" si="267"/>
        <v>Week 11-2026</v>
      </c>
      <c r="O4249"/>
      <c r="Q4249"/>
    </row>
    <row r="4250" spans="1:17" hidden="1" x14ac:dyDescent="0.2">
      <c r="A4250" s="3">
        <v>46094</v>
      </c>
      <c r="B4250" s="2" t="s">
        <v>13</v>
      </c>
      <c r="C4250" s="2">
        <v>4</v>
      </c>
      <c r="D4250" s="2">
        <f t="shared" si="264"/>
        <v>2026</v>
      </c>
      <c r="E4250" s="2" t="str">
        <f t="shared" si="265"/>
        <v>2026-11</v>
      </c>
      <c r="F4250" s="2" t="str">
        <f t="shared" si="266"/>
        <v>Week 11</v>
      </c>
      <c r="G4250" s="2" t="str">
        <f t="shared" si="267"/>
        <v>Week 11-2026</v>
      </c>
      <c r="O4250"/>
      <c r="Q4250"/>
    </row>
    <row r="4251" spans="1:17" hidden="1" x14ac:dyDescent="0.2">
      <c r="A4251" s="3">
        <v>46094</v>
      </c>
      <c r="B4251" s="2" t="s">
        <v>13</v>
      </c>
      <c r="C4251" s="2">
        <v>4</v>
      </c>
      <c r="D4251" s="2">
        <f t="shared" si="264"/>
        <v>2026</v>
      </c>
      <c r="E4251" s="2" t="str">
        <f t="shared" si="265"/>
        <v>2026-11</v>
      </c>
      <c r="F4251" s="2" t="str">
        <f t="shared" si="266"/>
        <v>Week 11</v>
      </c>
      <c r="G4251" s="2" t="str">
        <f t="shared" si="267"/>
        <v>Week 11-2026</v>
      </c>
      <c r="O4251"/>
      <c r="Q4251"/>
    </row>
    <row r="4252" spans="1:17" hidden="1" x14ac:dyDescent="0.2">
      <c r="A4252" s="3">
        <v>46094</v>
      </c>
      <c r="B4252" s="2" t="s">
        <v>8</v>
      </c>
      <c r="C4252" s="2">
        <v>6</v>
      </c>
      <c r="D4252" s="2">
        <f t="shared" si="264"/>
        <v>2026</v>
      </c>
      <c r="E4252" s="2" t="str">
        <f t="shared" si="265"/>
        <v>2026-11</v>
      </c>
      <c r="F4252" s="2" t="str">
        <f t="shared" si="266"/>
        <v>Week 11</v>
      </c>
      <c r="G4252" s="2" t="str">
        <f t="shared" si="267"/>
        <v>Week 11-2026</v>
      </c>
      <c r="O4252"/>
      <c r="Q4252"/>
    </row>
    <row r="4253" spans="1:17" hidden="1" x14ac:dyDescent="0.2">
      <c r="A4253" s="3">
        <v>46094</v>
      </c>
      <c r="B4253" s="2" t="s">
        <v>15</v>
      </c>
      <c r="C4253" s="2">
        <v>8</v>
      </c>
      <c r="D4253" s="2">
        <f t="shared" si="264"/>
        <v>2026</v>
      </c>
      <c r="E4253" s="2" t="str">
        <f t="shared" si="265"/>
        <v>2026-11</v>
      </c>
      <c r="F4253" s="2" t="str">
        <f t="shared" si="266"/>
        <v>Week 11</v>
      </c>
      <c r="G4253" s="2" t="str">
        <f t="shared" si="267"/>
        <v>Week 11-2026</v>
      </c>
      <c r="O4253"/>
      <c r="Q4253"/>
    </row>
    <row r="4254" spans="1:17" hidden="1" x14ac:dyDescent="0.2">
      <c r="A4254" s="3">
        <v>46094</v>
      </c>
      <c r="B4254" s="2" t="s">
        <v>10</v>
      </c>
      <c r="C4254" s="2">
        <v>4</v>
      </c>
      <c r="D4254" s="2">
        <f t="shared" si="264"/>
        <v>2026</v>
      </c>
      <c r="E4254" s="2" t="str">
        <f t="shared" si="265"/>
        <v>2026-11</v>
      </c>
      <c r="F4254" s="2" t="str">
        <f t="shared" si="266"/>
        <v>Week 11</v>
      </c>
      <c r="G4254" s="2" t="str">
        <f t="shared" si="267"/>
        <v>Week 11-2026</v>
      </c>
      <c r="O4254"/>
      <c r="Q4254"/>
    </row>
    <row r="4255" spans="1:17" hidden="1" x14ac:dyDescent="0.2">
      <c r="A4255" s="3">
        <v>46094</v>
      </c>
      <c r="B4255" s="2" t="s">
        <v>6</v>
      </c>
      <c r="C4255" s="2">
        <v>2</v>
      </c>
      <c r="D4255" s="2">
        <f t="shared" si="264"/>
        <v>2026</v>
      </c>
      <c r="E4255" s="2" t="str">
        <f t="shared" si="265"/>
        <v>2026-11</v>
      </c>
      <c r="F4255" s="2" t="str">
        <f t="shared" si="266"/>
        <v>Week 11</v>
      </c>
      <c r="G4255" s="2" t="str">
        <f t="shared" si="267"/>
        <v>Week 11-2026</v>
      </c>
      <c r="O4255"/>
      <c r="Q4255"/>
    </row>
    <row r="4256" spans="1:17" hidden="1" x14ac:dyDescent="0.2">
      <c r="A4256" s="3">
        <v>46094</v>
      </c>
      <c r="B4256" s="2" t="s">
        <v>6</v>
      </c>
      <c r="C4256" s="2">
        <v>2</v>
      </c>
      <c r="D4256" s="2">
        <f t="shared" si="264"/>
        <v>2026</v>
      </c>
      <c r="E4256" s="2" t="str">
        <f t="shared" si="265"/>
        <v>2026-11</v>
      </c>
      <c r="F4256" s="2" t="str">
        <f t="shared" si="266"/>
        <v>Week 11</v>
      </c>
      <c r="G4256" s="2" t="str">
        <f t="shared" si="267"/>
        <v>Week 11-2026</v>
      </c>
      <c r="O4256"/>
      <c r="Q4256"/>
    </row>
    <row r="4257" spans="1:17" hidden="1" x14ac:dyDescent="0.2">
      <c r="A4257" s="3">
        <v>46094</v>
      </c>
      <c r="B4257" s="2" t="s">
        <v>14</v>
      </c>
      <c r="C4257" s="2">
        <v>4</v>
      </c>
      <c r="D4257" s="2">
        <f t="shared" si="264"/>
        <v>2026</v>
      </c>
      <c r="E4257" s="2" t="str">
        <f t="shared" si="265"/>
        <v>2026-11</v>
      </c>
      <c r="F4257" s="2" t="str">
        <f t="shared" si="266"/>
        <v>Week 11</v>
      </c>
      <c r="G4257" s="2" t="str">
        <f t="shared" si="267"/>
        <v>Week 11-2026</v>
      </c>
      <c r="O4257"/>
      <c r="Q4257"/>
    </row>
    <row r="4258" spans="1:17" hidden="1" x14ac:dyDescent="0.2">
      <c r="A4258" s="3">
        <v>46094</v>
      </c>
      <c r="B4258" s="2" t="s">
        <v>27</v>
      </c>
      <c r="C4258" s="2">
        <v>4</v>
      </c>
      <c r="D4258" s="2">
        <f t="shared" si="264"/>
        <v>2026</v>
      </c>
      <c r="E4258" s="2" t="str">
        <f t="shared" si="265"/>
        <v>2026-11</v>
      </c>
      <c r="F4258" s="2" t="str">
        <f t="shared" si="266"/>
        <v>Week 11</v>
      </c>
      <c r="G4258" s="2" t="str">
        <f t="shared" si="267"/>
        <v>Week 11-2026</v>
      </c>
      <c r="O4258"/>
      <c r="Q4258"/>
    </row>
    <row r="4259" spans="1:17" hidden="1" x14ac:dyDescent="0.2">
      <c r="A4259" s="3">
        <v>46094</v>
      </c>
      <c r="B4259" s="2" t="s">
        <v>5</v>
      </c>
      <c r="C4259" s="2">
        <v>2</v>
      </c>
      <c r="D4259" s="2">
        <f t="shared" si="264"/>
        <v>2026</v>
      </c>
      <c r="E4259" s="2" t="str">
        <f t="shared" si="265"/>
        <v>2026-11</v>
      </c>
      <c r="F4259" s="2" t="str">
        <f t="shared" si="266"/>
        <v>Week 11</v>
      </c>
      <c r="G4259" s="2" t="str">
        <f t="shared" si="267"/>
        <v>Week 11-2026</v>
      </c>
      <c r="O4259"/>
      <c r="Q4259"/>
    </row>
    <row r="4260" spans="1:17" hidden="1" x14ac:dyDescent="0.2">
      <c r="A4260" s="3">
        <v>46094</v>
      </c>
      <c r="B4260" s="2" t="s">
        <v>15</v>
      </c>
      <c r="C4260" s="2">
        <v>4</v>
      </c>
      <c r="D4260" s="2">
        <f t="shared" si="264"/>
        <v>2026</v>
      </c>
      <c r="E4260" s="2" t="str">
        <f t="shared" si="265"/>
        <v>2026-11</v>
      </c>
      <c r="F4260" s="2" t="str">
        <f t="shared" si="266"/>
        <v>Week 11</v>
      </c>
      <c r="G4260" s="2" t="str">
        <f t="shared" si="267"/>
        <v>Week 11-2026</v>
      </c>
      <c r="O4260"/>
      <c r="Q4260"/>
    </row>
    <row r="4261" spans="1:17" hidden="1" x14ac:dyDescent="0.2">
      <c r="A4261" s="3">
        <v>46094</v>
      </c>
      <c r="B4261" s="2" t="s">
        <v>15</v>
      </c>
      <c r="C4261" s="2">
        <v>4</v>
      </c>
      <c r="D4261" s="2">
        <f t="shared" si="264"/>
        <v>2026</v>
      </c>
      <c r="E4261" s="2" t="str">
        <f t="shared" si="265"/>
        <v>2026-11</v>
      </c>
      <c r="F4261" s="2" t="str">
        <f t="shared" si="266"/>
        <v>Week 11</v>
      </c>
      <c r="G4261" s="2" t="str">
        <f t="shared" si="267"/>
        <v>Week 11-2026</v>
      </c>
      <c r="O4261"/>
      <c r="Q4261"/>
    </row>
    <row r="4262" spans="1:17" hidden="1" x14ac:dyDescent="0.2">
      <c r="A4262" s="3">
        <v>46094</v>
      </c>
      <c r="B4262" s="2" t="s">
        <v>38</v>
      </c>
      <c r="C4262" s="2">
        <v>2</v>
      </c>
      <c r="D4262" s="2">
        <f t="shared" si="264"/>
        <v>2026</v>
      </c>
      <c r="E4262" s="2" t="str">
        <f t="shared" si="265"/>
        <v>2026-11</v>
      </c>
      <c r="F4262" s="2" t="str">
        <f t="shared" si="266"/>
        <v>Week 11</v>
      </c>
      <c r="G4262" s="2" t="str">
        <f t="shared" si="267"/>
        <v>Week 11-2026</v>
      </c>
      <c r="O4262"/>
      <c r="Q4262"/>
    </row>
    <row r="4263" spans="1:17" hidden="1" x14ac:dyDescent="0.2">
      <c r="A4263" s="3">
        <v>46094</v>
      </c>
      <c r="B4263" s="2" t="s">
        <v>8</v>
      </c>
      <c r="C4263" s="2">
        <v>2</v>
      </c>
      <c r="D4263" s="2">
        <f t="shared" si="264"/>
        <v>2026</v>
      </c>
      <c r="E4263" s="2" t="str">
        <f t="shared" si="265"/>
        <v>2026-11</v>
      </c>
      <c r="F4263" s="2" t="str">
        <f t="shared" si="266"/>
        <v>Week 11</v>
      </c>
      <c r="G4263" s="2" t="str">
        <f t="shared" si="267"/>
        <v>Week 11-2026</v>
      </c>
      <c r="O4263"/>
      <c r="Q4263"/>
    </row>
    <row r="4264" spans="1:17" hidden="1" x14ac:dyDescent="0.2">
      <c r="A4264" s="3">
        <v>46094</v>
      </c>
      <c r="B4264" s="2" t="s">
        <v>30</v>
      </c>
      <c r="C4264" s="2">
        <v>2</v>
      </c>
      <c r="D4264" s="2">
        <f t="shared" si="264"/>
        <v>2026</v>
      </c>
      <c r="E4264" s="2" t="str">
        <f t="shared" si="265"/>
        <v>2026-11</v>
      </c>
      <c r="F4264" s="2" t="str">
        <f t="shared" si="266"/>
        <v>Week 11</v>
      </c>
      <c r="G4264" s="2" t="str">
        <f t="shared" si="267"/>
        <v>Week 11-2026</v>
      </c>
      <c r="O4264"/>
      <c r="Q4264"/>
    </row>
    <row r="4265" spans="1:17" hidden="1" x14ac:dyDescent="0.2">
      <c r="A4265" s="3">
        <v>46094</v>
      </c>
      <c r="B4265" s="2" t="s">
        <v>27</v>
      </c>
      <c r="C4265" s="2">
        <v>2</v>
      </c>
      <c r="D4265" s="2">
        <f t="shared" si="264"/>
        <v>2026</v>
      </c>
      <c r="E4265" s="2" t="str">
        <f t="shared" si="265"/>
        <v>2026-11</v>
      </c>
      <c r="F4265" s="2" t="str">
        <f t="shared" si="266"/>
        <v>Week 11</v>
      </c>
      <c r="G4265" s="2" t="str">
        <f t="shared" si="267"/>
        <v>Week 11-2026</v>
      </c>
      <c r="O4265"/>
      <c r="Q4265"/>
    </row>
    <row r="4266" spans="1:17" hidden="1" x14ac:dyDescent="0.2">
      <c r="A4266" s="3">
        <v>46094</v>
      </c>
      <c r="B4266" s="2" t="s">
        <v>27</v>
      </c>
      <c r="C4266" s="2">
        <v>2</v>
      </c>
      <c r="D4266" s="2">
        <f t="shared" si="264"/>
        <v>2026</v>
      </c>
      <c r="E4266" s="2" t="str">
        <f t="shared" si="265"/>
        <v>2026-11</v>
      </c>
      <c r="F4266" s="2" t="str">
        <f t="shared" si="266"/>
        <v>Week 11</v>
      </c>
      <c r="G4266" s="2" t="str">
        <f t="shared" si="267"/>
        <v>Week 11-2026</v>
      </c>
      <c r="O4266"/>
      <c r="Q4266"/>
    </row>
    <row r="4267" spans="1:17" hidden="1" x14ac:dyDescent="0.2">
      <c r="A4267" s="3">
        <v>46094</v>
      </c>
      <c r="B4267" s="2" t="s">
        <v>27</v>
      </c>
      <c r="C4267" s="2">
        <v>2</v>
      </c>
      <c r="D4267" s="2">
        <f t="shared" si="264"/>
        <v>2026</v>
      </c>
      <c r="E4267" s="2" t="str">
        <f t="shared" si="265"/>
        <v>2026-11</v>
      </c>
      <c r="F4267" s="2" t="str">
        <f t="shared" si="266"/>
        <v>Week 11</v>
      </c>
      <c r="G4267" s="2" t="str">
        <f t="shared" si="267"/>
        <v>Week 11-2026</v>
      </c>
      <c r="O4267"/>
      <c r="Q4267"/>
    </row>
    <row r="4268" spans="1:17" hidden="1" x14ac:dyDescent="0.2">
      <c r="A4268" s="3">
        <v>46094</v>
      </c>
      <c r="B4268" s="2" t="s">
        <v>36</v>
      </c>
      <c r="C4268" s="2">
        <v>2</v>
      </c>
      <c r="D4268" s="2">
        <f t="shared" si="264"/>
        <v>2026</v>
      </c>
      <c r="E4268" s="2" t="str">
        <f t="shared" si="265"/>
        <v>2026-11</v>
      </c>
      <c r="F4268" s="2" t="str">
        <f t="shared" si="266"/>
        <v>Week 11</v>
      </c>
      <c r="G4268" s="2" t="str">
        <f t="shared" si="267"/>
        <v>Week 11-2026</v>
      </c>
      <c r="O4268"/>
      <c r="Q4268"/>
    </row>
    <row r="4269" spans="1:17" hidden="1" x14ac:dyDescent="0.2">
      <c r="A4269" s="3">
        <v>46095</v>
      </c>
      <c r="B4269" s="2" t="s">
        <v>7</v>
      </c>
      <c r="C4269" s="2">
        <v>16</v>
      </c>
      <c r="D4269" s="2">
        <f t="shared" si="264"/>
        <v>2026</v>
      </c>
      <c r="E4269" s="2" t="str">
        <f t="shared" si="265"/>
        <v>2026-11</v>
      </c>
      <c r="F4269" s="2" t="str">
        <f t="shared" si="266"/>
        <v>Week 11</v>
      </c>
      <c r="G4269" s="2" t="str">
        <f t="shared" si="267"/>
        <v>Week 11-2026</v>
      </c>
      <c r="O4269"/>
      <c r="Q4269"/>
    </row>
    <row r="4270" spans="1:17" hidden="1" x14ac:dyDescent="0.2">
      <c r="A4270" s="3">
        <v>46095</v>
      </c>
      <c r="B4270" s="2" t="s">
        <v>7</v>
      </c>
      <c r="C4270" s="2">
        <v>16</v>
      </c>
      <c r="D4270" s="2">
        <f t="shared" si="264"/>
        <v>2026</v>
      </c>
      <c r="E4270" s="2" t="str">
        <f t="shared" si="265"/>
        <v>2026-11</v>
      </c>
      <c r="F4270" s="2" t="str">
        <f t="shared" si="266"/>
        <v>Week 11</v>
      </c>
      <c r="G4270" s="2" t="str">
        <f t="shared" si="267"/>
        <v>Week 11-2026</v>
      </c>
      <c r="O4270"/>
      <c r="Q4270"/>
    </row>
    <row r="4271" spans="1:17" hidden="1" x14ac:dyDescent="0.2">
      <c r="A4271" s="3">
        <v>46095</v>
      </c>
      <c r="B4271" s="2" t="s">
        <v>9</v>
      </c>
      <c r="C4271" s="2">
        <v>8</v>
      </c>
      <c r="D4271" s="2">
        <f t="shared" si="264"/>
        <v>2026</v>
      </c>
      <c r="E4271" s="2" t="str">
        <f t="shared" si="265"/>
        <v>2026-11</v>
      </c>
      <c r="F4271" s="2" t="str">
        <f t="shared" si="266"/>
        <v>Week 11</v>
      </c>
      <c r="G4271" s="2" t="str">
        <f t="shared" si="267"/>
        <v>Week 11-2026</v>
      </c>
      <c r="O4271"/>
      <c r="Q4271"/>
    </row>
    <row r="4272" spans="1:17" hidden="1" x14ac:dyDescent="0.2">
      <c r="A4272" s="3">
        <v>46095</v>
      </c>
      <c r="B4272" s="2" t="s">
        <v>7</v>
      </c>
      <c r="C4272" s="2">
        <v>12</v>
      </c>
      <c r="D4272" s="2">
        <f t="shared" si="264"/>
        <v>2026</v>
      </c>
      <c r="E4272" s="2" t="str">
        <f t="shared" si="265"/>
        <v>2026-11</v>
      </c>
      <c r="F4272" s="2" t="str">
        <f t="shared" si="266"/>
        <v>Week 11</v>
      </c>
      <c r="G4272" s="2" t="str">
        <f t="shared" si="267"/>
        <v>Week 11-2026</v>
      </c>
      <c r="O4272"/>
      <c r="Q4272"/>
    </row>
    <row r="4273" spans="1:17" hidden="1" x14ac:dyDescent="0.2">
      <c r="A4273" s="3">
        <v>46095</v>
      </c>
      <c r="B4273" s="2" t="s">
        <v>6</v>
      </c>
      <c r="C4273" s="2">
        <v>9</v>
      </c>
      <c r="D4273" s="2">
        <f t="shared" si="264"/>
        <v>2026</v>
      </c>
      <c r="E4273" s="2" t="str">
        <f t="shared" si="265"/>
        <v>2026-11</v>
      </c>
      <c r="F4273" s="2" t="str">
        <f t="shared" si="266"/>
        <v>Week 11</v>
      </c>
      <c r="G4273" s="2" t="str">
        <f t="shared" si="267"/>
        <v>Week 11-2026</v>
      </c>
      <c r="O4273"/>
      <c r="Q4273"/>
    </row>
    <row r="4274" spans="1:17" hidden="1" x14ac:dyDescent="0.2">
      <c r="A4274" s="3">
        <v>46095</v>
      </c>
      <c r="B4274" s="2" t="s">
        <v>5</v>
      </c>
      <c r="C4274" s="2">
        <v>12</v>
      </c>
      <c r="D4274" s="2">
        <f t="shared" si="264"/>
        <v>2026</v>
      </c>
      <c r="E4274" s="2" t="str">
        <f t="shared" si="265"/>
        <v>2026-11</v>
      </c>
      <c r="F4274" s="2" t="str">
        <f t="shared" si="266"/>
        <v>Week 11</v>
      </c>
      <c r="G4274" s="2" t="str">
        <f t="shared" si="267"/>
        <v>Week 11-2026</v>
      </c>
      <c r="O4274"/>
      <c r="Q4274"/>
    </row>
    <row r="4275" spans="1:17" hidden="1" x14ac:dyDescent="0.2">
      <c r="A4275" s="3">
        <v>46095</v>
      </c>
      <c r="B4275" s="2" t="s">
        <v>7</v>
      </c>
      <c r="C4275" s="2">
        <v>8</v>
      </c>
      <c r="D4275" s="2">
        <f t="shared" si="264"/>
        <v>2026</v>
      </c>
      <c r="E4275" s="2" t="str">
        <f t="shared" si="265"/>
        <v>2026-11</v>
      </c>
      <c r="F4275" s="2" t="str">
        <f t="shared" si="266"/>
        <v>Week 11</v>
      </c>
      <c r="G4275" s="2" t="str">
        <f t="shared" si="267"/>
        <v>Week 11-2026</v>
      </c>
      <c r="O4275"/>
      <c r="Q4275"/>
    </row>
    <row r="4276" spans="1:17" hidden="1" x14ac:dyDescent="0.2">
      <c r="A4276" s="3">
        <v>46095</v>
      </c>
      <c r="B4276" s="2" t="s">
        <v>9</v>
      </c>
      <c r="C4276" s="2">
        <v>8</v>
      </c>
      <c r="D4276" s="2">
        <f t="shared" si="264"/>
        <v>2026</v>
      </c>
      <c r="E4276" s="2" t="str">
        <f t="shared" si="265"/>
        <v>2026-11</v>
      </c>
      <c r="F4276" s="2" t="str">
        <f t="shared" si="266"/>
        <v>Week 11</v>
      </c>
      <c r="G4276" s="2" t="str">
        <f t="shared" si="267"/>
        <v>Week 11-2026</v>
      </c>
      <c r="O4276"/>
      <c r="Q4276"/>
    </row>
    <row r="4277" spans="1:17" hidden="1" x14ac:dyDescent="0.2">
      <c r="A4277" s="3">
        <v>46095</v>
      </c>
      <c r="B4277" s="2" t="s">
        <v>18</v>
      </c>
      <c r="C4277" s="2">
        <v>4</v>
      </c>
      <c r="D4277" s="2">
        <f t="shared" si="264"/>
        <v>2026</v>
      </c>
      <c r="E4277" s="2" t="str">
        <f t="shared" si="265"/>
        <v>2026-11</v>
      </c>
      <c r="F4277" s="2" t="str">
        <f t="shared" si="266"/>
        <v>Week 11</v>
      </c>
      <c r="G4277" s="2" t="str">
        <f t="shared" si="267"/>
        <v>Week 11-2026</v>
      </c>
      <c r="O4277"/>
      <c r="Q4277"/>
    </row>
    <row r="4278" spans="1:17" hidden="1" x14ac:dyDescent="0.2">
      <c r="A4278" s="3">
        <v>46095</v>
      </c>
      <c r="B4278" s="2" t="s">
        <v>18</v>
      </c>
      <c r="C4278" s="2">
        <v>4</v>
      </c>
      <c r="D4278" s="2">
        <f t="shared" si="264"/>
        <v>2026</v>
      </c>
      <c r="E4278" s="2" t="str">
        <f t="shared" si="265"/>
        <v>2026-11</v>
      </c>
      <c r="F4278" s="2" t="str">
        <f t="shared" si="266"/>
        <v>Week 11</v>
      </c>
      <c r="G4278" s="2" t="str">
        <f t="shared" si="267"/>
        <v>Week 11-2026</v>
      </c>
      <c r="O4278"/>
      <c r="Q4278"/>
    </row>
    <row r="4279" spans="1:17" hidden="1" x14ac:dyDescent="0.2">
      <c r="A4279" s="3">
        <v>46095</v>
      </c>
      <c r="B4279" s="2" t="s">
        <v>5</v>
      </c>
      <c r="C4279" s="2">
        <v>6</v>
      </c>
      <c r="D4279" s="2">
        <f t="shared" si="264"/>
        <v>2026</v>
      </c>
      <c r="E4279" s="2" t="str">
        <f t="shared" si="265"/>
        <v>2026-11</v>
      </c>
      <c r="F4279" s="2" t="str">
        <f t="shared" si="266"/>
        <v>Week 11</v>
      </c>
      <c r="G4279" s="2" t="str">
        <f t="shared" si="267"/>
        <v>Week 11-2026</v>
      </c>
      <c r="O4279"/>
      <c r="Q4279"/>
    </row>
    <row r="4280" spans="1:17" hidden="1" x14ac:dyDescent="0.2">
      <c r="A4280" s="3">
        <v>46095</v>
      </c>
      <c r="B4280" s="2" t="s">
        <v>14</v>
      </c>
      <c r="C4280" s="2">
        <v>8</v>
      </c>
      <c r="D4280" s="2">
        <f t="shared" si="264"/>
        <v>2026</v>
      </c>
      <c r="E4280" s="2" t="str">
        <f t="shared" si="265"/>
        <v>2026-11</v>
      </c>
      <c r="F4280" s="2" t="str">
        <f t="shared" si="266"/>
        <v>Week 11</v>
      </c>
      <c r="G4280" s="2" t="str">
        <f t="shared" si="267"/>
        <v>Week 11-2026</v>
      </c>
      <c r="O4280"/>
      <c r="Q4280"/>
    </row>
    <row r="4281" spans="1:17" hidden="1" x14ac:dyDescent="0.2">
      <c r="A4281" s="3">
        <v>46095</v>
      </c>
      <c r="B4281" s="2" t="s">
        <v>14</v>
      </c>
      <c r="C4281" s="2">
        <v>8</v>
      </c>
      <c r="D4281" s="2">
        <f t="shared" si="264"/>
        <v>2026</v>
      </c>
      <c r="E4281" s="2" t="str">
        <f t="shared" si="265"/>
        <v>2026-11</v>
      </c>
      <c r="F4281" s="2" t="str">
        <f t="shared" si="266"/>
        <v>Week 11</v>
      </c>
      <c r="G4281" s="2" t="str">
        <f t="shared" si="267"/>
        <v>Week 11-2026</v>
      </c>
      <c r="O4281"/>
      <c r="Q4281"/>
    </row>
    <row r="4282" spans="1:17" hidden="1" x14ac:dyDescent="0.2">
      <c r="A4282" s="3">
        <v>46095</v>
      </c>
      <c r="B4282" s="2" t="s">
        <v>14</v>
      </c>
      <c r="C4282" s="2">
        <v>8</v>
      </c>
      <c r="D4282" s="2">
        <f t="shared" si="264"/>
        <v>2026</v>
      </c>
      <c r="E4282" s="2" t="str">
        <f t="shared" si="265"/>
        <v>2026-11</v>
      </c>
      <c r="F4282" s="2" t="str">
        <f t="shared" si="266"/>
        <v>Week 11</v>
      </c>
      <c r="G4282" s="2" t="str">
        <f t="shared" si="267"/>
        <v>Week 11-2026</v>
      </c>
      <c r="O4282"/>
      <c r="Q4282"/>
    </row>
    <row r="4283" spans="1:17" hidden="1" x14ac:dyDescent="0.2">
      <c r="A4283" s="3">
        <v>46095</v>
      </c>
      <c r="B4283" s="2" t="s">
        <v>9</v>
      </c>
      <c r="C4283" s="2">
        <v>4</v>
      </c>
      <c r="D4283" s="2">
        <f t="shared" si="264"/>
        <v>2026</v>
      </c>
      <c r="E4283" s="2" t="str">
        <f t="shared" si="265"/>
        <v>2026-11</v>
      </c>
      <c r="F4283" s="2" t="str">
        <f t="shared" si="266"/>
        <v>Week 11</v>
      </c>
      <c r="G4283" s="2" t="str">
        <f t="shared" si="267"/>
        <v>Week 11-2026</v>
      </c>
      <c r="O4283"/>
      <c r="Q4283"/>
    </row>
    <row r="4284" spans="1:17" hidden="1" x14ac:dyDescent="0.2">
      <c r="A4284" s="3">
        <v>46095</v>
      </c>
      <c r="B4284" s="2" t="s">
        <v>5</v>
      </c>
      <c r="C4284" s="2">
        <v>4</v>
      </c>
      <c r="D4284" s="2">
        <f t="shared" si="264"/>
        <v>2026</v>
      </c>
      <c r="E4284" s="2" t="str">
        <f t="shared" si="265"/>
        <v>2026-11</v>
      </c>
      <c r="F4284" s="2" t="str">
        <f t="shared" si="266"/>
        <v>Week 11</v>
      </c>
      <c r="G4284" s="2" t="str">
        <f t="shared" si="267"/>
        <v>Week 11-2026</v>
      </c>
      <c r="O4284"/>
      <c r="Q4284"/>
    </row>
    <row r="4285" spans="1:17" hidden="1" x14ac:dyDescent="0.2">
      <c r="A4285" s="3">
        <v>46095</v>
      </c>
      <c r="B4285" s="2" t="s">
        <v>5</v>
      </c>
      <c r="C4285" s="2">
        <v>4</v>
      </c>
      <c r="D4285" s="2">
        <f t="shared" si="264"/>
        <v>2026</v>
      </c>
      <c r="E4285" s="2" t="str">
        <f t="shared" si="265"/>
        <v>2026-11</v>
      </c>
      <c r="F4285" s="2" t="str">
        <f t="shared" si="266"/>
        <v>Week 11</v>
      </c>
      <c r="G4285" s="2" t="str">
        <f t="shared" si="267"/>
        <v>Week 11-2026</v>
      </c>
      <c r="O4285"/>
      <c r="Q4285"/>
    </row>
    <row r="4286" spans="1:17" hidden="1" x14ac:dyDescent="0.2">
      <c r="A4286" s="3">
        <v>46095</v>
      </c>
      <c r="B4286" s="2" t="s">
        <v>5</v>
      </c>
      <c r="C4286" s="2">
        <v>4</v>
      </c>
      <c r="D4286" s="2">
        <f t="shared" si="264"/>
        <v>2026</v>
      </c>
      <c r="E4286" s="2" t="str">
        <f t="shared" si="265"/>
        <v>2026-11</v>
      </c>
      <c r="F4286" s="2" t="str">
        <f t="shared" si="266"/>
        <v>Week 11</v>
      </c>
      <c r="G4286" s="2" t="str">
        <f t="shared" si="267"/>
        <v>Week 11-2026</v>
      </c>
      <c r="O4286"/>
      <c r="Q4286"/>
    </row>
    <row r="4287" spans="1:17" hidden="1" x14ac:dyDescent="0.2">
      <c r="A4287" s="3">
        <v>46095</v>
      </c>
      <c r="B4287" s="2" t="s">
        <v>5</v>
      </c>
      <c r="C4287" s="2">
        <v>4</v>
      </c>
      <c r="D4287" s="2">
        <f t="shared" si="264"/>
        <v>2026</v>
      </c>
      <c r="E4287" s="2" t="str">
        <f t="shared" si="265"/>
        <v>2026-11</v>
      </c>
      <c r="F4287" s="2" t="str">
        <f t="shared" si="266"/>
        <v>Week 11</v>
      </c>
      <c r="G4287" s="2" t="str">
        <f t="shared" si="267"/>
        <v>Week 11-2026</v>
      </c>
      <c r="O4287"/>
      <c r="Q4287"/>
    </row>
    <row r="4288" spans="1:17" hidden="1" x14ac:dyDescent="0.2">
      <c r="A4288" s="3">
        <v>46095</v>
      </c>
      <c r="B4288" s="2" t="s">
        <v>18</v>
      </c>
      <c r="C4288" s="2">
        <v>2</v>
      </c>
      <c r="D4288" s="2">
        <f t="shared" si="264"/>
        <v>2026</v>
      </c>
      <c r="E4288" s="2" t="str">
        <f t="shared" si="265"/>
        <v>2026-11</v>
      </c>
      <c r="F4288" s="2" t="str">
        <f t="shared" si="266"/>
        <v>Week 11</v>
      </c>
      <c r="G4288" s="2" t="str">
        <f t="shared" si="267"/>
        <v>Week 11-2026</v>
      </c>
      <c r="O4288"/>
      <c r="Q4288"/>
    </row>
    <row r="4289" spans="1:17" hidden="1" x14ac:dyDescent="0.2">
      <c r="A4289" s="3">
        <v>46095</v>
      </c>
      <c r="B4289" s="2" t="s">
        <v>18</v>
      </c>
      <c r="C4289" s="2">
        <v>2</v>
      </c>
      <c r="D4289" s="2">
        <f t="shared" si="264"/>
        <v>2026</v>
      </c>
      <c r="E4289" s="2" t="str">
        <f t="shared" si="265"/>
        <v>2026-11</v>
      </c>
      <c r="F4289" s="2" t="str">
        <f t="shared" si="266"/>
        <v>Week 11</v>
      </c>
      <c r="G4289" s="2" t="str">
        <f t="shared" si="267"/>
        <v>Week 11-2026</v>
      </c>
      <c r="O4289"/>
      <c r="Q4289"/>
    </row>
    <row r="4290" spans="1:17" hidden="1" x14ac:dyDescent="0.2">
      <c r="A4290" s="3">
        <v>46095</v>
      </c>
      <c r="B4290" s="2" t="s">
        <v>19</v>
      </c>
      <c r="C4290" s="2">
        <v>2</v>
      </c>
      <c r="D4290" s="2">
        <f t="shared" ref="D4290:D4353" si="268">YEAR(A4290)</f>
        <v>2026</v>
      </c>
      <c r="E4290" s="2" t="str">
        <f t="shared" ref="E4290:E4353" si="269">YEAR(A4290)&amp;"-"&amp;_xlfn.ISOWEEKNUM(A4290)</f>
        <v>2026-11</v>
      </c>
      <c r="F4290" s="2" t="str">
        <f t="shared" ref="F4290:F4353" si="270">_xlfn.CONCAT("Week "&amp;WEEKNUM(A4290))</f>
        <v>Week 11</v>
      </c>
      <c r="G4290" s="2" t="str">
        <f t="shared" ref="G4290:G4353" si="271">_xlfn.CONCAT(F4290,"-",D4290)</f>
        <v>Week 11-2026</v>
      </c>
      <c r="O4290"/>
      <c r="Q4290"/>
    </row>
    <row r="4291" spans="1:17" hidden="1" x14ac:dyDescent="0.2">
      <c r="A4291" s="3">
        <v>46095</v>
      </c>
      <c r="B4291" s="2" t="s">
        <v>19</v>
      </c>
      <c r="C4291" s="2">
        <v>2</v>
      </c>
      <c r="D4291" s="2">
        <f t="shared" si="268"/>
        <v>2026</v>
      </c>
      <c r="E4291" s="2" t="str">
        <f t="shared" si="269"/>
        <v>2026-11</v>
      </c>
      <c r="F4291" s="2" t="str">
        <f t="shared" si="270"/>
        <v>Week 11</v>
      </c>
      <c r="G4291" s="2" t="str">
        <f t="shared" si="271"/>
        <v>Week 11-2026</v>
      </c>
      <c r="O4291"/>
      <c r="Q4291"/>
    </row>
    <row r="4292" spans="1:17" hidden="1" x14ac:dyDescent="0.2">
      <c r="A4292" s="3">
        <v>46095</v>
      </c>
      <c r="B4292" s="2" t="s">
        <v>3</v>
      </c>
      <c r="C4292" s="2">
        <v>3</v>
      </c>
      <c r="D4292" s="2">
        <f t="shared" si="268"/>
        <v>2026</v>
      </c>
      <c r="E4292" s="2" t="str">
        <f t="shared" si="269"/>
        <v>2026-11</v>
      </c>
      <c r="F4292" s="2" t="str">
        <f t="shared" si="270"/>
        <v>Week 11</v>
      </c>
      <c r="G4292" s="2" t="str">
        <f t="shared" si="271"/>
        <v>Week 11-2026</v>
      </c>
      <c r="O4292"/>
      <c r="Q4292"/>
    </row>
    <row r="4293" spans="1:17" hidden="1" x14ac:dyDescent="0.2">
      <c r="A4293" s="3">
        <v>46095</v>
      </c>
      <c r="B4293" s="2" t="s">
        <v>27</v>
      </c>
      <c r="C4293" s="2">
        <v>6</v>
      </c>
      <c r="D4293" s="2">
        <f t="shared" si="268"/>
        <v>2026</v>
      </c>
      <c r="E4293" s="2" t="str">
        <f t="shared" si="269"/>
        <v>2026-11</v>
      </c>
      <c r="F4293" s="2" t="str">
        <f t="shared" si="270"/>
        <v>Week 11</v>
      </c>
      <c r="G4293" s="2" t="str">
        <f t="shared" si="271"/>
        <v>Week 11-2026</v>
      </c>
      <c r="O4293"/>
      <c r="Q4293"/>
    </row>
    <row r="4294" spans="1:17" hidden="1" x14ac:dyDescent="0.2">
      <c r="A4294" s="3">
        <v>46095</v>
      </c>
      <c r="B4294" s="2" t="s">
        <v>14</v>
      </c>
      <c r="C4294" s="2">
        <v>4</v>
      </c>
      <c r="D4294" s="2">
        <f t="shared" si="268"/>
        <v>2026</v>
      </c>
      <c r="E4294" s="2" t="str">
        <f t="shared" si="269"/>
        <v>2026-11</v>
      </c>
      <c r="F4294" s="2" t="str">
        <f t="shared" si="270"/>
        <v>Week 11</v>
      </c>
      <c r="G4294" s="2" t="str">
        <f t="shared" si="271"/>
        <v>Week 11-2026</v>
      </c>
      <c r="O4294"/>
      <c r="Q4294"/>
    </row>
    <row r="4295" spans="1:17" hidden="1" x14ac:dyDescent="0.2">
      <c r="A4295" s="3">
        <v>46095</v>
      </c>
      <c r="B4295" s="2" t="s">
        <v>9</v>
      </c>
      <c r="C4295" s="2">
        <v>2</v>
      </c>
      <c r="D4295" s="2">
        <f t="shared" si="268"/>
        <v>2026</v>
      </c>
      <c r="E4295" s="2" t="str">
        <f t="shared" si="269"/>
        <v>2026-11</v>
      </c>
      <c r="F4295" s="2" t="str">
        <f t="shared" si="270"/>
        <v>Week 11</v>
      </c>
      <c r="G4295" s="2" t="str">
        <f t="shared" si="271"/>
        <v>Week 11-2026</v>
      </c>
      <c r="O4295"/>
      <c r="Q4295"/>
    </row>
    <row r="4296" spans="1:17" hidden="1" x14ac:dyDescent="0.2">
      <c r="A4296" s="3">
        <v>46095</v>
      </c>
      <c r="B4296" s="2" t="s">
        <v>9</v>
      </c>
      <c r="C4296" s="2">
        <v>2</v>
      </c>
      <c r="D4296" s="2">
        <f t="shared" si="268"/>
        <v>2026</v>
      </c>
      <c r="E4296" s="2" t="str">
        <f t="shared" si="269"/>
        <v>2026-11</v>
      </c>
      <c r="F4296" s="2" t="str">
        <f t="shared" si="270"/>
        <v>Week 11</v>
      </c>
      <c r="G4296" s="2" t="str">
        <f t="shared" si="271"/>
        <v>Week 11-2026</v>
      </c>
      <c r="O4296"/>
      <c r="Q4296"/>
    </row>
    <row r="4297" spans="1:17" hidden="1" x14ac:dyDescent="0.2">
      <c r="A4297" s="3">
        <v>46095</v>
      </c>
      <c r="B4297" s="2" t="s">
        <v>9</v>
      </c>
      <c r="C4297" s="2">
        <v>2</v>
      </c>
      <c r="D4297" s="2">
        <f t="shared" si="268"/>
        <v>2026</v>
      </c>
      <c r="E4297" s="2" t="str">
        <f t="shared" si="269"/>
        <v>2026-11</v>
      </c>
      <c r="F4297" s="2" t="str">
        <f t="shared" si="270"/>
        <v>Week 11</v>
      </c>
      <c r="G4297" s="2" t="str">
        <f t="shared" si="271"/>
        <v>Week 11-2026</v>
      </c>
      <c r="O4297"/>
      <c r="Q4297"/>
    </row>
    <row r="4298" spans="1:17" hidden="1" x14ac:dyDescent="0.2">
      <c r="A4298" s="3">
        <v>46095</v>
      </c>
      <c r="B4298" s="2" t="s">
        <v>9</v>
      </c>
      <c r="C4298" s="2">
        <v>2</v>
      </c>
      <c r="D4298" s="2">
        <f t="shared" si="268"/>
        <v>2026</v>
      </c>
      <c r="E4298" s="2" t="str">
        <f t="shared" si="269"/>
        <v>2026-11</v>
      </c>
      <c r="F4298" s="2" t="str">
        <f t="shared" si="270"/>
        <v>Week 11</v>
      </c>
      <c r="G4298" s="2" t="str">
        <f t="shared" si="271"/>
        <v>Week 11-2026</v>
      </c>
      <c r="O4298"/>
      <c r="Q4298"/>
    </row>
    <row r="4299" spans="1:17" hidden="1" x14ac:dyDescent="0.2">
      <c r="A4299" s="3">
        <v>46095</v>
      </c>
      <c r="B4299" s="2" t="s">
        <v>8</v>
      </c>
      <c r="C4299" s="2">
        <v>4</v>
      </c>
      <c r="D4299" s="2">
        <f t="shared" si="268"/>
        <v>2026</v>
      </c>
      <c r="E4299" s="2" t="str">
        <f t="shared" si="269"/>
        <v>2026-11</v>
      </c>
      <c r="F4299" s="2" t="str">
        <f t="shared" si="270"/>
        <v>Week 11</v>
      </c>
      <c r="G4299" s="2" t="str">
        <f t="shared" si="271"/>
        <v>Week 11-2026</v>
      </c>
      <c r="O4299"/>
      <c r="Q4299"/>
    </row>
    <row r="4300" spans="1:17" hidden="1" x14ac:dyDescent="0.2">
      <c r="A4300" s="3">
        <v>46095</v>
      </c>
      <c r="B4300" s="2" t="s">
        <v>14</v>
      </c>
      <c r="C4300" s="2">
        <v>3</v>
      </c>
      <c r="D4300" s="2">
        <f t="shared" si="268"/>
        <v>2026</v>
      </c>
      <c r="E4300" s="2" t="str">
        <f t="shared" si="269"/>
        <v>2026-11</v>
      </c>
      <c r="F4300" s="2" t="str">
        <f t="shared" si="270"/>
        <v>Week 11</v>
      </c>
      <c r="G4300" s="2" t="str">
        <f t="shared" si="271"/>
        <v>Week 11-2026</v>
      </c>
      <c r="O4300"/>
      <c r="Q4300"/>
    </row>
    <row r="4301" spans="1:17" hidden="1" x14ac:dyDescent="0.2">
      <c r="A4301" s="3">
        <v>46095</v>
      </c>
      <c r="B4301" s="2" t="s">
        <v>30</v>
      </c>
      <c r="C4301" s="2">
        <v>4</v>
      </c>
      <c r="D4301" s="2">
        <f t="shared" si="268"/>
        <v>2026</v>
      </c>
      <c r="E4301" s="2" t="str">
        <f t="shared" si="269"/>
        <v>2026-11</v>
      </c>
      <c r="F4301" s="2" t="str">
        <f t="shared" si="270"/>
        <v>Week 11</v>
      </c>
      <c r="G4301" s="2" t="str">
        <f t="shared" si="271"/>
        <v>Week 11-2026</v>
      </c>
      <c r="O4301"/>
      <c r="Q4301"/>
    </row>
    <row r="4302" spans="1:17" hidden="1" x14ac:dyDescent="0.2">
      <c r="A4302" s="3">
        <v>46095</v>
      </c>
      <c r="B4302" s="2" t="s">
        <v>29</v>
      </c>
      <c r="C4302" s="2">
        <v>2</v>
      </c>
      <c r="D4302" s="2">
        <f t="shared" si="268"/>
        <v>2026</v>
      </c>
      <c r="E4302" s="2" t="str">
        <f t="shared" si="269"/>
        <v>2026-11</v>
      </c>
      <c r="F4302" s="2" t="str">
        <f t="shared" si="270"/>
        <v>Week 11</v>
      </c>
      <c r="G4302" s="2" t="str">
        <f t="shared" si="271"/>
        <v>Week 11-2026</v>
      </c>
      <c r="O4302"/>
      <c r="Q4302"/>
    </row>
    <row r="4303" spans="1:17" hidden="1" x14ac:dyDescent="0.2">
      <c r="A4303" s="3">
        <v>46095</v>
      </c>
      <c r="B4303" s="2" t="s">
        <v>36</v>
      </c>
      <c r="C4303" s="2">
        <v>4</v>
      </c>
      <c r="D4303" s="2">
        <f t="shared" si="268"/>
        <v>2026</v>
      </c>
      <c r="E4303" s="2" t="str">
        <f t="shared" si="269"/>
        <v>2026-11</v>
      </c>
      <c r="F4303" s="2" t="str">
        <f t="shared" si="270"/>
        <v>Week 11</v>
      </c>
      <c r="G4303" s="2" t="str">
        <f t="shared" si="271"/>
        <v>Week 11-2026</v>
      </c>
      <c r="O4303"/>
      <c r="Q4303"/>
    </row>
    <row r="4304" spans="1:17" hidden="1" x14ac:dyDescent="0.2">
      <c r="A4304" s="3">
        <v>46095</v>
      </c>
      <c r="B4304" s="2" t="s">
        <v>15</v>
      </c>
      <c r="C4304" s="2">
        <v>2</v>
      </c>
      <c r="D4304" s="2">
        <f t="shared" si="268"/>
        <v>2026</v>
      </c>
      <c r="E4304" s="2" t="str">
        <f t="shared" si="269"/>
        <v>2026-11</v>
      </c>
      <c r="F4304" s="2" t="str">
        <f t="shared" si="270"/>
        <v>Week 11</v>
      </c>
      <c r="G4304" s="2" t="str">
        <f t="shared" si="271"/>
        <v>Week 11-2026</v>
      </c>
      <c r="O4304"/>
      <c r="Q4304"/>
    </row>
    <row r="4305" spans="1:17" hidden="1" x14ac:dyDescent="0.2">
      <c r="A4305" s="3">
        <v>46097</v>
      </c>
      <c r="B4305" s="2" t="s">
        <v>14</v>
      </c>
      <c r="C4305" s="2">
        <v>12</v>
      </c>
      <c r="D4305" s="2">
        <f t="shared" si="268"/>
        <v>2026</v>
      </c>
      <c r="E4305" s="2" t="str">
        <f t="shared" si="269"/>
        <v>2026-12</v>
      </c>
      <c r="F4305" s="2" t="str">
        <f t="shared" si="270"/>
        <v>Week 12</v>
      </c>
      <c r="G4305" s="2" t="str">
        <f t="shared" si="271"/>
        <v>Week 12-2026</v>
      </c>
      <c r="O4305"/>
      <c r="Q4305"/>
    </row>
    <row r="4306" spans="1:17" hidden="1" x14ac:dyDescent="0.2">
      <c r="A4306" s="3">
        <v>46097</v>
      </c>
      <c r="B4306" s="2" t="s">
        <v>5</v>
      </c>
      <c r="C4306" s="2">
        <v>6</v>
      </c>
      <c r="D4306" s="2">
        <f t="shared" si="268"/>
        <v>2026</v>
      </c>
      <c r="E4306" s="2" t="str">
        <f t="shared" si="269"/>
        <v>2026-12</v>
      </c>
      <c r="F4306" s="2" t="str">
        <f t="shared" si="270"/>
        <v>Week 12</v>
      </c>
      <c r="G4306" s="2" t="str">
        <f t="shared" si="271"/>
        <v>Week 12-2026</v>
      </c>
      <c r="O4306"/>
      <c r="Q4306"/>
    </row>
    <row r="4307" spans="1:17" hidden="1" x14ac:dyDescent="0.2">
      <c r="A4307" s="3">
        <v>46097</v>
      </c>
      <c r="B4307" s="2" t="s">
        <v>8</v>
      </c>
      <c r="C4307" s="2">
        <v>3</v>
      </c>
      <c r="D4307" s="2">
        <f t="shared" si="268"/>
        <v>2026</v>
      </c>
      <c r="E4307" s="2" t="str">
        <f t="shared" si="269"/>
        <v>2026-12</v>
      </c>
      <c r="F4307" s="2" t="str">
        <f t="shared" si="270"/>
        <v>Week 12</v>
      </c>
      <c r="G4307" s="2" t="str">
        <f t="shared" si="271"/>
        <v>Week 12-2026</v>
      </c>
      <c r="O4307"/>
      <c r="Q4307"/>
    </row>
    <row r="4308" spans="1:17" x14ac:dyDescent="0.2">
      <c r="A4308" s="3">
        <v>46097</v>
      </c>
      <c r="B4308" s="2" t="s">
        <v>24</v>
      </c>
      <c r="C4308" s="2">
        <v>4</v>
      </c>
      <c r="D4308" s="2">
        <f t="shared" si="268"/>
        <v>2026</v>
      </c>
      <c r="E4308" s="2" t="str">
        <f t="shared" si="269"/>
        <v>2026-12</v>
      </c>
      <c r="F4308" s="2" t="str">
        <f t="shared" si="270"/>
        <v>Week 12</v>
      </c>
      <c r="G4308" s="2" t="str">
        <f t="shared" si="271"/>
        <v>Week 12-2026</v>
      </c>
      <c r="O4308"/>
      <c r="Q4308"/>
    </row>
    <row r="4309" spans="1:17" hidden="1" x14ac:dyDescent="0.2">
      <c r="A4309" s="3">
        <v>46097</v>
      </c>
      <c r="B4309" s="2" t="s">
        <v>27</v>
      </c>
      <c r="C4309" s="2">
        <v>3</v>
      </c>
      <c r="D4309" s="2">
        <f t="shared" si="268"/>
        <v>2026</v>
      </c>
      <c r="E4309" s="2" t="str">
        <f t="shared" si="269"/>
        <v>2026-12</v>
      </c>
      <c r="F4309" s="2" t="str">
        <f t="shared" si="270"/>
        <v>Week 12</v>
      </c>
      <c r="G4309" s="2" t="str">
        <f t="shared" si="271"/>
        <v>Week 12-2026</v>
      </c>
      <c r="O4309"/>
      <c r="Q4309"/>
    </row>
    <row r="4310" spans="1:17" hidden="1" x14ac:dyDescent="0.2">
      <c r="A4310" s="3">
        <v>46097</v>
      </c>
      <c r="B4310" s="2" t="s">
        <v>15</v>
      </c>
      <c r="C4310" s="2">
        <v>3</v>
      </c>
      <c r="D4310" s="2">
        <f t="shared" si="268"/>
        <v>2026</v>
      </c>
      <c r="E4310" s="2" t="str">
        <f t="shared" si="269"/>
        <v>2026-12</v>
      </c>
      <c r="F4310" s="2" t="str">
        <f t="shared" si="270"/>
        <v>Week 12</v>
      </c>
      <c r="G4310" s="2" t="str">
        <f t="shared" si="271"/>
        <v>Week 12-2026</v>
      </c>
      <c r="O4310"/>
      <c r="Q4310"/>
    </row>
    <row r="4311" spans="1:17" hidden="1" x14ac:dyDescent="0.2">
      <c r="A4311" s="3">
        <v>46097</v>
      </c>
      <c r="B4311" s="2" t="s">
        <v>46</v>
      </c>
      <c r="C4311" s="2">
        <v>2</v>
      </c>
      <c r="D4311" s="2">
        <f t="shared" si="268"/>
        <v>2026</v>
      </c>
      <c r="E4311" s="2" t="str">
        <f t="shared" si="269"/>
        <v>2026-12</v>
      </c>
      <c r="F4311" s="2" t="str">
        <f t="shared" si="270"/>
        <v>Week 12</v>
      </c>
      <c r="G4311" s="2" t="str">
        <f t="shared" si="271"/>
        <v>Week 12-2026</v>
      </c>
      <c r="O4311"/>
      <c r="Q4311"/>
    </row>
    <row r="4312" spans="1:17" hidden="1" x14ac:dyDescent="0.2">
      <c r="A4312" s="3">
        <v>46097</v>
      </c>
      <c r="B4312" s="2" t="s">
        <v>30</v>
      </c>
      <c r="C4312" s="2">
        <v>2</v>
      </c>
      <c r="D4312" s="2">
        <f t="shared" si="268"/>
        <v>2026</v>
      </c>
      <c r="E4312" s="2" t="str">
        <f t="shared" si="269"/>
        <v>2026-12</v>
      </c>
      <c r="F4312" s="2" t="str">
        <f t="shared" si="270"/>
        <v>Week 12</v>
      </c>
      <c r="G4312" s="2" t="str">
        <f t="shared" si="271"/>
        <v>Week 12-2026</v>
      </c>
      <c r="O4312"/>
      <c r="Q4312"/>
    </row>
    <row r="4313" spans="1:17" hidden="1" x14ac:dyDescent="0.2">
      <c r="A4313" s="3">
        <v>46097</v>
      </c>
      <c r="B4313" s="2" t="s">
        <v>27</v>
      </c>
      <c r="C4313" s="2">
        <v>2</v>
      </c>
      <c r="D4313" s="2">
        <f t="shared" si="268"/>
        <v>2026</v>
      </c>
      <c r="E4313" s="2" t="str">
        <f t="shared" si="269"/>
        <v>2026-12</v>
      </c>
      <c r="F4313" s="2" t="str">
        <f t="shared" si="270"/>
        <v>Week 12</v>
      </c>
      <c r="G4313" s="2" t="str">
        <f t="shared" si="271"/>
        <v>Week 12-2026</v>
      </c>
      <c r="O4313"/>
      <c r="Q4313"/>
    </row>
    <row r="4314" spans="1:17" hidden="1" x14ac:dyDescent="0.2">
      <c r="A4314" s="3">
        <v>46097</v>
      </c>
      <c r="B4314" s="2" t="s">
        <v>42</v>
      </c>
      <c r="C4314" s="2">
        <v>2</v>
      </c>
      <c r="D4314" s="2">
        <f t="shared" si="268"/>
        <v>2026</v>
      </c>
      <c r="E4314" s="2" t="str">
        <f t="shared" si="269"/>
        <v>2026-12</v>
      </c>
      <c r="F4314" s="2" t="str">
        <f t="shared" si="270"/>
        <v>Week 12</v>
      </c>
      <c r="G4314" s="2" t="str">
        <f t="shared" si="271"/>
        <v>Week 12-2026</v>
      </c>
      <c r="O4314"/>
      <c r="Q4314"/>
    </row>
    <row r="4315" spans="1:17" hidden="1" x14ac:dyDescent="0.2">
      <c r="A4315" s="3">
        <v>46097</v>
      </c>
      <c r="B4315" s="2" t="s">
        <v>36</v>
      </c>
      <c r="C4315" s="2">
        <v>2</v>
      </c>
      <c r="D4315" s="2">
        <f t="shared" si="268"/>
        <v>2026</v>
      </c>
      <c r="E4315" s="2" t="str">
        <f t="shared" si="269"/>
        <v>2026-12</v>
      </c>
      <c r="F4315" s="2" t="str">
        <f t="shared" si="270"/>
        <v>Week 12</v>
      </c>
      <c r="G4315" s="2" t="str">
        <f t="shared" si="271"/>
        <v>Week 12-2026</v>
      </c>
      <c r="O4315"/>
      <c r="Q4315"/>
    </row>
    <row r="4316" spans="1:17" hidden="1" x14ac:dyDescent="0.2">
      <c r="A4316" s="3">
        <v>46097</v>
      </c>
      <c r="B4316" s="2" t="s">
        <v>28</v>
      </c>
      <c r="C4316" s="2">
        <v>1</v>
      </c>
      <c r="D4316" s="2">
        <f t="shared" si="268"/>
        <v>2026</v>
      </c>
      <c r="E4316" s="2" t="str">
        <f t="shared" si="269"/>
        <v>2026-12</v>
      </c>
      <c r="F4316" s="2" t="str">
        <f t="shared" si="270"/>
        <v>Week 12</v>
      </c>
      <c r="G4316" s="2" t="str">
        <f t="shared" si="271"/>
        <v>Week 12-2026</v>
      </c>
      <c r="O4316"/>
      <c r="Q4316"/>
    </row>
    <row r="4317" spans="1:17" hidden="1" x14ac:dyDescent="0.2">
      <c r="A4317" s="3">
        <v>46097</v>
      </c>
      <c r="B4317" s="2" t="s">
        <v>30</v>
      </c>
      <c r="C4317" s="2">
        <v>1</v>
      </c>
      <c r="D4317" s="2">
        <f t="shared" si="268"/>
        <v>2026</v>
      </c>
      <c r="E4317" s="2" t="str">
        <f t="shared" si="269"/>
        <v>2026-12</v>
      </c>
      <c r="F4317" s="2" t="str">
        <f t="shared" si="270"/>
        <v>Week 12</v>
      </c>
      <c r="G4317" s="2" t="str">
        <f t="shared" si="271"/>
        <v>Week 12-2026</v>
      </c>
      <c r="O4317"/>
      <c r="Q4317"/>
    </row>
    <row r="4318" spans="1:17" hidden="1" x14ac:dyDescent="0.2">
      <c r="A4318" s="3">
        <v>46097</v>
      </c>
      <c r="B4318" s="2" t="s">
        <v>27</v>
      </c>
      <c r="C4318" s="2">
        <v>1</v>
      </c>
      <c r="D4318" s="2">
        <f t="shared" si="268"/>
        <v>2026</v>
      </c>
      <c r="E4318" s="2" t="str">
        <f t="shared" si="269"/>
        <v>2026-12</v>
      </c>
      <c r="F4318" s="2" t="str">
        <f t="shared" si="270"/>
        <v>Week 12</v>
      </c>
      <c r="G4318" s="2" t="str">
        <f t="shared" si="271"/>
        <v>Week 12-2026</v>
      </c>
      <c r="O4318"/>
      <c r="Q4318"/>
    </row>
    <row r="4319" spans="1:17" hidden="1" x14ac:dyDescent="0.2">
      <c r="A4319" s="3">
        <v>46097</v>
      </c>
      <c r="B4319" s="2" t="s">
        <v>15</v>
      </c>
      <c r="C4319" s="2">
        <v>1</v>
      </c>
      <c r="D4319" s="2">
        <f t="shared" si="268"/>
        <v>2026</v>
      </c>
      <c r="E4319" s="2" t="str">
        <f t="shared" si="269"/>
        <v>2026-12</v>
      </c>
      <c r="F4319" s="2" t="str">
        <f t="shared" si="270"/>
        <v>Week 12</v>
      </c>
      <c r="G4319" s="2" t="str">
        <f t="shared" si="271"/>
        <v>Week 12-2026</v>
      </c>
      <c r="O4319"/>
      <c r="Q4319"/>
    </row>
    <row r="4320" spans="1:17" hidden="1" x14ac:dyDescent="0.2">
      <c r="A4320" s="3">
        <v>46098</v>
      </c>
      <c r="B4320" s="2" t="s">
        <v>19</v>
      </c>
      <c r="C4320" s="2">
        <v>15</v>
      </c>
      <c r="D4320" s="2">
        <f t="shared" si="268"/>
        <v>2026</v>
      </c>
      <c r="E4320" s="2" t="str">
        <f t="shared" si="269"/>
        <v>2026-12</v>
      </c>
      <c r="F4320" s="2" t="str">
        <f t="shared" si="270"/>
        <v>Week 12</v>
      </c>
      <c r="G4320" s="2" t="str">
        <f t="shared" si="271"/>
        <v>Week 12-2026</v>
      </c>
      <c r="O4320"/>
      <c r="Q4320"/>
    </row>
    <row r="4321" spans="1:17" hidden="1" x14ac:dyDescent="0.2">
      <c r="A4321" s="3">
        <v>46098</v>
      </c>
      <c r="B4321" s="2" t="s">
        <v>9</v>
      </c>
      <c r="C4321" s="2">
        <v>10</v>
      </c>
      <c r="D4321" s="2">
        <f t="shared" si="268"/>
        <v>2026</v>
      </c>
      <c r="E4321" s="2" t="str">
        <f t="shared" si="269"/>
        <v>2026-12</v>
      </c>
      <c r="F4321" s="2" t="str">
        <f t="shared" si="270"/>
        <v>Week 12</v>
      </c>
      <c r="G4321" s="2" t="str">
        <f t="shared" si="271"/>
        <v>Week 12-2026</v>
      </c>
      <c r="O4321"/>
      <c r="Q4321"/>
    </row>
    <row r="4322" spans="1:17" hidden="1" x14ac:dyDescent="0.2">
      <c r="A4322" s="3">
        <v>46098</v>
      </c>
      <c r="B4322" s="2" t="s">
        <v>3</v>
      </c>
      <c r="C4322" s="2">
        <v>8</v>
      </c>
      <c r="D4322" s="2">
        <f t="shared" si="268"/>
        <v>2026</v>
      </c>
      <c r="E4322" s="2" t="str">
        <f t="shared" si="269"/>
        <v>2026-12</v>
      </c>
      <c r="F4322" s="2" t="str">
        <f t="shared" si="270"/>
        <v>Week 12</v>
      </c>
      <c r="G4322" s="2" t="str">
        <f t="shared" si="271"/>
        <v>Week 12-2026</v>
      </c>
      <c r="O4322"/>
      <c r="Q4322"/>
    </row>
    <row r="4323" spans="1:17" hidden="1" x14ac:dyDescent="0.2">
      <c r="A4323" s="3">
        <v>46098</v>
      </c>
      <c r="B4323" s="2" t="s">
        <v>29</v>
      </c>
      <c r="C4323" s="2">
        <v>8</v>
      </c>
      <c r="D4323" s="2">
        <f t="shared" si="268"/>
        <v>2026</v>
      </c>
      <c r="E4323" s="2" t="str">
        <f t="shared" si="269"/>
        <v>2026-12</v>
      </c>
      <c r="F4323" s="2" t="str">
        <f t="shared" si="270"/>
        <v>Week 12</v>
      </c>
      <c r="G4323" s="2" t="str">
        <f t="shared" si="271"/>
        <v>Week 12-2026</v>
      </c>
      <c r="O4323"/>
      <c r="Q4323"/>
    </row>
    <row r="4324" spans="1:17" hidden="1" x14ac:dyDescent="0.2">
      <c r="A4324" s="3">
        <v>46098</v>
      </c>
      <c r="B4324" s="2" t="s">
        <v>31</v>
      </c>
      <c r="C4324" s="2">
        <v>8</v>
      </c>
      <c r="D4324" s="2">
        <f t="shared" si="268"/>
        <v>2026</v>
      </c>
      <c r="E4324" s="2" t="str">
        <f t="shared" si="269"/>
        <v>2026-12</v>
      </c>
      <c r="F4324" s="2" t="str">
        <f t="shared" si="270"/>
        <v>Week 12</v>
      </c>
      <c r="G4324" s="2" t="str">
        <f t="shared" si="271"/>
        <v>Week 12-2026</v>
      </c>
      <c r="O4324"/>
      <c r="Q4324"/>
    </row>
    <row r="4325" spans="1:17" hidden="1" x14ac:dyDescent="0.2">
      <c r="A4325" s="3">
        <v>46098</v>
      </c>
      <c r="B4325" s="2" t="s">
        <v>7</v>
      </c>
      <c r="C4325" s="2">
        <v>4</v>
      </c>
      <c r="D4325" s="2">
        <f t="shared" si="268"/>
        <v>2026</v>
      </c>
      <c r="E4325" s="2" t="str">
        <f t="shared" si="269"/>
        <v>2026-12</v>
      </c>
      <c r="F4325" s="2" t="str">
        <f t="shared" si="270"/>
        <v>Week 12</v>
      </c>
      <c r="G4325" s="2" t="str">
        <f t="shared" si="271"/>
        <v>Week 12-2026</v>
      </c>
      <c r="O4325"/>
      <c r="Q4325"/>
    </row>
    <row r="4326" spans="1:17" hidden="1" x14ac:dyDescent="0.2">
      <c r="A4326" s="3">
        <v>46098</v>
      </c>
      <c r="B4326" s="2" t="s">
        <v>4</v>
      </c>
      <c r="C4326" s="2">
        <v>3</v>
      </c>
      <c r="D4326" s="2">
        <f t="shared" si="268"/>
        <v>2026</v>
      </c>
      <c r="E4326" s="2" t="str">
        <f t="shared" si="269"/>
        <v>2026-12</v>
      </c>
      <c r="F4326" s="2" t="str">
        <f t="shared" si="270"/>
        <v>Week 12</v>
      </c>
      <c r="G4326" s="2" t="str">
        <f t="shared" si="271"/>
        <v>Week 12-2026</v>
      </c>
      <c r="O4326"/>
      <c r="Q4326"/>
    </row>
    <row r="4327" spans="1:17" hidden="1" x14ac:dyDescent="0.2">
      <c r="A4327" s="3">
        <v>46098</v>
      </c>
      <c r="B4327" s="2" t="s">
        <v>13</v>
      </c>
      <c r="C4327" s="2">
        <v>4</v>
      </c>
      <c r="D4327" s="2">
        <f t="shared" si="268"/>
        <v>2026</v>
      </c>
      <c r="E4327" s="2" t="str">
        <f t="shared" si="269"/>
        <v>2026-12</v>
      </c>
      <c r="F4327" s="2" t="str">
        <f t="shared" si="270"/>
        <v>Week 12</v>
      </c>
      <c r="G4327" s="2" t="str">
        <f t="shared" si="271"/>
        <v>Week 12-2026</v>
      </c>
      <c r="O4327"/>
      <c r="Q4327"/>
    </row>
    <row r="4328" spans="1:17" hidden="1" x14ac:dyDescent="0.2">
      <c r="A4328" s="3">
        <v>46098</v>
      </c>
      <c r="B4328" s="2" t="s">
        <v>5</v>
      </c>
      <c r="C4328" s="2">
        <v>4</v>
      </c>
      <c r="D4328" s="2">
        <f t="shared" si="268"/>
        <v>2026</v>
      </c>
      <c r="E4328" s="2" t="str">
        <f t="shared" si="269"/>
        <v>2026-12</v>
      </c>
      <c r="F4328" s="2" t="str">
        <f t="shared" si="270"/>
        <v>Week 12</v>
      </c>
      <c r="G4328" s="2" t="str">
        <f t="shared" si="271"/>
        <v>Week 12-2026</v>
      </c>
      <c r="O4328"/>
      <c r="Q4328"/>
    </row>
    <row r="4329" spans="1:17" hidden="1" x14ac:dyDescent="0.2">
      <c r="A4329" s="3">
        <v>46098</v>
      </c>
      <c r="B4329" s="2" t="s">
        <v>10</v>
      </c>
      <c r="C4329" s="2">
        <v>4</v>
      </c>
      <c r="D4329" s="2">
        <f t="shared" si="268"/>
        <v>2026</v>
      </c>
      <c r="E4329" s="2" t="str">
        <f t="shared" si="269"/>
        <v>2026-12</v>
      </c>
      <c r="F4329" s="2" t="str">
        <f t="shared" si="270"/>
        <v>Week 12</v>
      </c>
      <c r="G4329" s="2" t="str">
        <f t="shared" si="271"/>
        <v>Week 12-2026</v>
      </c>
      <c r="O4329"/>
      <c r="Q4329"/>
    </row>
    <row r="4330" spans="1:17" hidden="1" x14ac:dyDescent="0.2">
      <c r="A4330" s="3">
        <v>46098</v>
      </c>
      <c r="B4330" s="2" t="s">
        <v>7</v>
      </c>
      <c r="C4330" s="2">
        <v>2</v>
      </c>
      <c r="D4330" s="2">
        <f t="shared" si="268"/>
        <v>2026</v>
      </c>
      <c r="E4330" s="2" t="str">
        <f t="shared" si="269"/>
        <v>2026-12</v>
      </c>
      <c r="F4330" s="2" t="str">
        <f t="shared" si="270"/>
        <v>Week 12</v>
      </c>
      <c r="G4330" s="2" t="str">
        <f t="shared" si="271"/>
        <v>Week 12-2026</v>
      </c>
      <c r="O4330"/>
      <c r="Q4330"/>
    </row>
    <row r="4331" spans="1:17" hidden="1" x14ac:dyDescent="0.2">
      <c r="A4331" s="3">
        <v>46098</v>
      </c>
      <c r="B4331" s="2" t="s">
        <v>4</v>
      </c>
      <c r="C4331" s="2">
        <v>1</v>
      </c>
      <c r="D4331" s="2">
        <f t="shared" si="268"/>
        <v>2026</v>
      </c>
      <c r="E4331" s="2" t="str">
        <f t="shared" si="269"/>
        <v>2026-12</v>
      </c>
      <c r="F4331" s="2" t="str">
        <f t="shared" si="270"/>
        <v>Week 12</v>
      </c>
      <c r="G4331" s="2" t="str">
        <f t="shared" si="271"/>
        <v>Week 12-2026</v>
      </c>
      <c r="O4331"/>
      <c r="Q4331"/>
    </row>
    <row r="4332" spans="1:17" hidden="1" x14ac:dyDescent="0.2">
      <c r="A4332" s="3">
        <v>46099</v>
      </c>
      <c r="B4332" s="2" t="s">
        <v>9</v>
      </c>
      <c r="C4332" s="2">
        <v>29</v>
      </c>
      <c r="D4332" s="2">
        <f t="shared" si="268"/>
        <v>2026</v>
      </c>
      <c r="E4332" s="2" t="str">
        <f t="shared" si="269"/>
        <v>2026-12</v>
      </c>
      <c r="F4332" s="2" t="str">
        <f t="shared" si="270"/>
        <v>Week 12</v>
      </c>
      <c r="G4332" s="2" t="str">
        <f t="shared" si="271"/>
        <v>Week 12-2026</v>
      </c>
      <c r="O4332"/>
      <c r="Q4332"/>
    </row>
    <row r="4333" spans="1:17" hidden="1" x14ac:dyDescent="0.2">
      <c r="A4333" s="3">
        <v>46099</v>
      </c>
      <c r="B4333" s="2" t="s">
        <v>7</v>
      </c>
      <c r="C4333" s="2">
        <v>20</v>
      </c>
      <c r="D4333" s="2">
        <f t="shared" si="268"/>
        <v>2026</v>
      </c>
      <c r="E4333" s="2" t="str">
        <f t="shared" si="269"/>
        <v>2026-12</v>
      </c>
      <c r="F4333" s="2" t="str">
        <f t="shared" si="270"/>
        <v>Week 12</v>
      </c>
      <c r="G4333" s="2" t="str">
        <f t="shared" si="271"/>
        <v>Week 12-2026</v>
      </c>
      <c r="O4333"/>
      <c r="Q4333"/>
    </row>
    <row r="4334" spans="1:17" hidden="1" x14ac:dyDescent="0.2">
      <c r="A4334" s="3">
        <v>46099</v>
      </c>
      <c r="B4334" s="2" t="s">
        <v>9</v>
      </c>
      <c r="C4334" s="2">
        <v>15</v>
      </c>
      <c r="D4334" s="2">
        <f t="shared" si="268"/>
        <v>2026</v>
      </c>
      <c r="E4334" s="2" t="str">
        <f t="shared" si="269"/>
        <v>2026-12</v>
      </c>
      <c r="F4334" s="2" t="str">
        <f t="shared" si="270"/>
        <v>Week 12</v>
      </c>
      <c r="G4334" s="2" t="str">
        <f t="shared" si="271"/>
        <v>Week 12-2026</v>
      </c>
      <c r="O4334"/>
      <c r="Q4334"/>
    </row>
    <row r="4335" spans="1:17" hidden="1" x14ac:dyDescent="0.2">
      <c r="A4335" s="3">
        <v>46099</v>
      </c>
      <c r="B4335" s="2" t="s">
        <v>3</v>
      </c>
      <c r="C4335" s="2">
        <v>16</v>
      </c>
      <c r="D4335" s="2">
        <f t="shared" si="268"/>
        <v>2026</v>
      </c>
      <c r="E4335" s="2" t="str">
        <f t="shared" si="269"/>
        <v>2026-12</v>
      </c>
      <c r="F4335" s="2" t="str">
        <f t="shared" si="270"/>
        <v>Week 12</v>
      </c>
      <c r="G4335" s="2" t="str">
        <f t="shared" si="271"/>
        <v>Week 12-2026</v>
      </c>
      <c r="O4335"/>
      <c r="Q4335"/>
    </row>
    <row r="4336" spans="1:17" hidden="1" x14ac:dyDescent="0.2">
      <c r="A4336" s="3">
        <v>46099</v>
      </c>
      <c r="B4336" s="2" t="s">
        <v>19</v>
      </c>
      <c r="C4336" s="2">
        <v>10</v>
      </c>
      <c r="D4336" s="2">
        <f t="shared" si="268"/>
        <v>2026</v>
      </c>
      <c r="E4336" s="2" t="str">
        <f t="shared" si="269"/>
        <v>2026-12</v>
      </c>
      <c r="F4336" s="2" t="str">
        <f t="shared" si="270"/>
        <v>Week 12</v>
      </c>
      <c r="G4336" s="2" t="str">
        <f t="shared" si="271"/>
        <v>Week 12-2026</v>
      </c>
      <c r="O4336"/>
      <c r="Q4336"/>
    </row>
    <row r="4337" spans="1:17" hidden="1" x14ac:dyDescent="0.2">
      <c r="A4337" s="3">
        <v>46099</v>
      </c>
      <c r="B4337" s="2" t="s">
        <v>4</v>
      </c>
      <c r="C4337" s="2">
        <v>4</v>
      </c>
      <c r="D4337" s="2">
        <f t="shared" si="268"/>
        <v>2026</v>
      </c>
      <c r="E4337" s="2" t="str">
        <f t="shared" si="269"/>
        <v>2026-12</v>
      </c>
      <c r="F4337" s="2" t="str">
        <f t="shared" si="270"/>
        <v>Week 12</v>
      </c>
      <c r="G4337" s="2" t="str">
        <f t="shared" si="271"/>
        <v>Week 12-2026</v>
      </c>
      <c r="O4337"/>
      <c r="Q4337"/>
    </row>
    <row r="4338" spans="1:17" x14ac:dyDescent="0.2">
      <c r="A4338" s="3">
        <v>46099</v>
      </c>
      <c r="B4338" s="2" t="s">
        <v>24</v>
      </c>
      <c r="C4338" s="2">
        <v>3</v>
      </c>
      <c r="D4338" s="2">
        <f t="shared" si="268"/>
        <v>2026</v>
      </c>
      <c r="E4338" s="2" t="str">
        <f t="shared" si="269"/>
        <v>2026-12</v>
      </c>
      <c r="F4338" s="2" t="str">
        <f t="shared" si="270"/>
        <v>Week 12</v>
      </c>
      <c r="G4338" s="2" t="str">
        <f t="shared" si="271"/>
        <v>Week 12-2026</v>
      </c>
      <c r="O4338"/>
      <c r="Q4338"/>
    </row>
    <row r="4339" spans="1:17" hidden="1" x14ac:dyDescent="0.2">
      <c r="A4339" s="3">
        <v>46099</v>
      </c>
      <c r="B4339" s="2" t="s">
        <v>15</v>
      </c>
      <c r="C4339" s="2">
        <v>1</v>
      </c>
      <c r="D4339" s="2">
        <f t="shared" si="268"/>
        <v>2026</v>
      </c>
      <c r="E4339" s="2" t="str">
        <f t="shared" si="269"/>
        <v>2026-12</v>
      </c>
      <c r="F4339" s="2" t="str">
        <f t="shared" si="270"/>
        <v>Week 12</v>
      </c>
      <c r="G4339" s="2" t="str">
        <f t="shared" si="271"/>
        <v>Week 12-2026</v>
      </c>
      <c r="O4339"/>
      <c r="Q4339"/>
    </row>
    <row r="4340" spans="1:17" hidden="1" x14ac:dyDescent="0.2">
      <c r="A4340" s="3">
        <v>46101</v>
      </c>
      <c r="B4340" s="2" t="s">
        <v>12</v>
      </c>
      <c r="C4340" s="2">
        <v>16</v>
      </c>
      <c r="D4340" s="2">
        <f t="shared" si="268"/>
        <v>2026</v>
      </c>
      <c r="E4340" s="2" t="str">
        <f t="shared" si="269"/>
        <v>2026-12</v>
      </c>
      <c r="F4340" s="2" t="str">
        <f t="shared" si="270"/>
        <v>Week 12</v>
      </c>
      <c r="G4340" s="2" t="str">
        <f t="shared" si="271"/>
        <v>Week 12-2026</v>
      </c>
      <c r="O4340"/>
      <c r="Q4340"/>
    </row>
    <row r="4341" spans="1:17" hidden="1" x14ac:dyDescent="0.2">
      <c r="A4341" s="3">
        <v>46101</v>
      </c>
      <c r="B4341" s="2" t="s">
        <v>12</v>
      </c>
      <c r="C4341" s="2">
        <v>14</v>
      </c>
      <c r="D4341" s="2">
        <f t="shared" si="268"/>
        <v>2026</v>
      </c>
      <c r="E4341" s="2" t="str">
        <f t="shared" si="269"/>
        <v>2026-12</v>
      </c>
      <c r="F4341" s="2" t="str">
        <f t="shared" si="270"/>
        <v>Week 12</v>
      </c>
      <c r="G4341" s="2" t="str">
        <f t="shared" si="271"/>
        <v>Week 12-2026</v>
      </c>
      <c r="O4341"/>
      <c r="Q4341"/>
    </row>
    <row r="4342" spans="1:17" hidden="1" x14ac:dyDescent="0.2">
      <c r="A4342" s="3">
        <v>46101</v>
      </c>
      <c r="B4342" s="2" t="s">
        <v>9</v>
      </c>
      <c r="C4342" s="2">
        <v>20</v>
      </c>
      <c r="D4342" s="2">
        <f t="shared" si="268"/>
        <v>2026</v>
      </c>
      <c r="E4342" s="2" t="str">
        <f t="shared" si="269"/>
        <v>2026-12</v>
      </c>
      <c r="F4342" s="2" t="str">
        <f t="shared" si="270"/>
        <v>Week 12</v>
      </c>
      <c r="G4342" s="2" t="str">
        <f t="shared" si="271"/>
        <v>Week 12-2026</v>
      </c>
      <c r="O4342"/>
      <c r="Q4342"/>
    </row>
    <row r="4343" spans="1:17" hidden="1" x14ac:dyDescent="0.2">
      <c r="A4343" s="3">
        <v>46101</v>
      </c>
      <c r="B4343" s="2" t="s">
        <v>9</v>
      </c>
      <c r="C4343" s="2">
        <v>16</v>
      </c>
      <c r="D4343" s="2">
        <f t="shared" si="268"/>
        <v>2026</v>
      </c>
      <c r="E4343" s="2" t="str">
        <f t="shared" si="269"/>
        <v>2026-12</v>
      </c>
      <c r="F4343" s="2" t="str">
        <f t="shared" si="270"/>
        <v>Week 12</v>
      </c>
      <c r="G4343" s="2" t="str">
        <f t="shared" si="271"/>
        <v>Week 12-2026</v>
      </c>
      <c r="O4343"/>
      <c r="Q4343"/>
    </row>
    <row r="4344" spans="1:17" hidden="1" x14ac:dyDescent="0.2">
      <c r="A4344" s="3">
        <v>46101</v>
      </c>
      <c r="B4344" s="2" t="s">
        <v>19</v>
      </c>
      <c r="C4344" s="2">
        <v>11</v>
      </c>
      <c r="D4344" s="2">
        <f t="shared" si="268"/>
        <v>2026</v>
      </c>
      <c r="E4344" s="2" t="str">
        <f t="shared" si="269"/>
        <v>2026-12</v>
      </c>
      <c r="F4344" s="2" t="str">
        <f t="shared" si="270"/>
        <v>Week 12</v>
      </c>
      <c r="G4344" s="2" t="str">
        <f t="shared" si="271"/>
        <v>Week 12-2026</v>
      </c>
      <c r="O4344"/>
      <c r="Q4344"/>
    </row>
    <row r="4345" spans="1:17" hidden="1" x14ac:dyDescent="0.2">
      <c r="A4345" s="3">
        <v>46101</v>
      </c>
      <c r="B4345" s="2" t="s">
        <v>3</v>
      </c>
      <c r="C4345" s="2">
        <v>16</v>
      </c>
      <c r="D4345" s="2">
        <f t="shared" si="268"/>
        <v>2026</v>
      </c>
      <c r="E4345" s="2" t="str">
        <f t="shared" si="269"/>
        <v>2026-12</v>
      </c>
      <c r="F4345" s="2" t="str">
        <f t="shared" si="270"/>
        <v>Week 12</v>
      </c>
      <c r="G4345" s="2" t="str">
        <f t="shared" si="271"/>
        <v>Week 12-2026</v>
      </c>
      <c r="O4345"/>
      <c r="Q4345"/>
    </row>
    <row r="4346" spans="1:17" hidden="1" x14ac:dyDescent="0.2">
      <c r="A4346" s="3">
        <v>46101</v>
      </c>
      <c r="B4346" s="2" t="s">
        <v>5</v>
      </c>
      <c r="C4346" s="2">
        <v>16</v>
      </c>
      <c r="D4346" s="2">
        <f t="shared" si="268"/>
        <v>2026</v>
      </c>
      <c r="E4346" s="2" t="str">
        <f t="shared" si="269"/>
        <v>2026-12</v>
      </c>
      <c r="F4346" s="2" t="str">
        <f t="shared" si="270"/>
        <v>Week 12</v>
      </c>
      <c r="G4346" s="2" t="str">
        <f t="shared" si="271"/>
        <v>Week 12-2026</v>
      </c>
      <c r="O4346"/>
      <c r="Q4346"/>
    </row>
    <row r="4347" spans="1:17" hidden="1" x14ac:dyDescent="0.2">
      <c r="A4347" s="3">
        <v>46101</v>
      </c>
      <c r="B4347" s="2" t="s">
        <v>3</v>
      </c>
      <c r="C4347" s="2">
        <v>12</v>
      </c>
      <c r="D4347" s="2">
        <f t="shared" si="268"/>
        <v>2026</v>
      </c>
      <c r="E4347" s="2" t="str">
        <f t="shared" si="269"/>
        <v>2026-12</v>
      </c>
      <c r="F4347" s="2" t="str">
        <f t="shared" si="270"/>
        <v>Week 12</v>
      </c>
      <c r="G4347" s="2" t="str">
        <f t="shared" si="271"/>
        <v>Week 12-2026</v>
      </c>
      <c r="O4347"/>
      <c r="Q4347"/>
    </row>
    <row r="4348" spans="1:17" hidden="1" x14ac:dyDescent="0.2">
      <c r="A4348" s="3">
        <v>46101</v>
      </c>
      <c r="B4348" s="2" t="s">
        <v>28</v>
      </c>
      <c r="C4348" s="2">
        <v>16</v>
      </c>
      <c r="D4348" s="2">
        <f t="shared" si="268"/>
        <v>2026</v>
      </c>
      <c r="E4348" s="2" t="str">
        <f t="shared" si="269"/>
        <v>2026-12</v>
      </c>
      <c r="F4348" s="2" t="str">
        <f t="shared" si="270"/>
        <v>Week 12</v>
      </c>
      <c r="G4348" s="2" t="str">
        <f t="shared" si="271"/>
        <v>Week 12-2026</v>
      </c>
      <c r="O4348"/>
      <c r="Q4348"/>
    </row>
    <row r="4349" spans="1:17" hidden="1" x14ac:dyDescent="0.2">
      <c r="A4349" s="3">
        <v>46101</v>
      </c>
      <c r="B4349" s="2" t="s">
        <v>5</v>
      </c>
      <c r="C4349" s="2">
        <v>12</v>
      </c>
      <c r="D4349" s="2">
        <f t="shared" si="268"/>
        <v>2026</v>
      </c>
      <c r="E4349" s="2" t="str">
        <f t="shared" si="269"/>
        <v>2026-12</v>
      </c>
      <c r="F4349" s="2" t="str">
        <f t="shared" si="270"/>
        <v>Week 12</v>
      </c>
      <c r="G4349" s="2" t="str">
        <f t="shared" si="271"/>
        <v>Week 12-2026</v>
      </c>
      <c r="O4349"/>
      <c r="Q4349"/>
    </row>
    <row r="4350" spans="1:17" hidden="1" x14ac:dyDescent="0.2">
      <c r="A4350" s="3">
        <v>46101</v>
      </c>
      <c r="B4350" s="2" t="s">
        <v>19</v>
      </c>
      <c r="C4350" s="2">
        <v>8</v>
      </c>
      <c r="D4350" s="2">
        <f t="shared" si="268"/>
        <v>2026</v>
      </c>
      <c r="E4350" s="2" t="str">
        <f t="shared" si="269"/>
        <v>2026-12</v>
      </c>
      <c r="F4350" s="2" t="str">
        <f t="shared" si="270"/>
        <v>Week 12</v>
      </c>
      <c r="G4350" s="2" t="str">
        <f t="shared" si="271"/>
        <v>Week 12-2026</v>
      </c>
      <c r="O4350"/>
      <c r="Q4350"/>
    </row>
    <row r="4351" spans="1:17" hidden="1" x14ac:dyDescent="0.2">
      <c r="A4351" s="3">
        <v>46101</v>
      </c>
      <c r="B4351" s="2" t="s">
        <v>15</v>
      </c>
      <c r="C4351" s="2">
        <v>25</v>
      </c>
      <c r="D4351" s="2">
        <f t="shared" si="268"/>
        <v>2026</v>
      </c>
      <c r="E4351" s="2" t="str">
        <f t="shared" si="269"/>
        <v>2026-12</v>
      </c>
      <c r="F4351" s="2" t="str">
        <f t="shared" si="270"/>
        <v>Week 12</v>
      </c>
      <c r="G4351" s="2" t="str">
        <f t="shared" si="271"/>
        <v>Week 12-2026</v>
      </c>
      <c r="O4351"/>
      <c r="Q4351"/>
    </row>
    <row r="4352" spans="1:17" hidden="1" x14ac:dyDescent="0.2">
      <c r="A4352" s="3">
        <v>46101</v>
      </c>
      <c r="B4352" s="2" t="s">
        <v>7</v>
      </c>
      <c r="C4352" s="2">
        <v>4</v>
      </c>
      <c r="D4352" s="2">
        <f t="shared" si="268"/>
        <v>2026</v>
      </c>
      <c r="E4352" s="2" t="str">
        <f t="shared" si="269"/>
        <v>2026-12</v>
      </c>
      <c r="F4352" s="2" t="str">
        <f t="shared" si="270"/>
        <v>Week 12</v>
      </c>
      <c r="G4352" s="2" t="str">
        <f t="shared" si="271"/>
        <v>Week 12-2026</v>
      </c>
      <c r="O4352"/>
      <c r="Q4352"/>
    </row>
    <row r="4353" spans="1:17" hidden="1" x14ac:dyDescent="0.2">
      <c r="A4353" s="3">
        <v>46101</v>
      </c>
      <c r="B4353" s="2" t="s">
        <v>12</v>
      </c>
      <c r="C4353" s="2">
        <v>4</v>
      </c>
      <c r="D4353" s="2">
        <f t="shared" si="268"/>
        <v>2026</v>
      </c>
      <c r="E4353" s="2" t="str">
        <f t="shared" si="269"/>
        <v>2026-12</v>
      </c>
      <c r="F4353" s="2" t="str">
        <f t="shared" si="270"/>
        <v>Week 12</v>
      </c>
      <c r="G4353" s="2" t="str">
        <f t="shared" si="271"/>
        <v>Week 12-2026</v>
      </c>
      <c r="O4353"/>
      <c r="Q4353"/>
    </row>
    <row r="4354" spans="1:17" hidden="1" x14ac:dyDescent="0.2">
      <c r="A4354" s="3">
        <v>46101</v>
      </c>
      <c r="B4354" s="2" t="s">
        <v>12</v>
      </c>
      <c r="C4354" s="2">
        <v>4</v>
      </c>
      <c r="D4354" s="2">
        <f t="shared" ref="D4354:D4417" si="272">YEAR(A4354)</f>
        <v>2026</v>
      </c>
      <c r="E4354" s="2" t="str">
        <f t="shared" ref="E4354:E4417" si="273">YEAR(A4354)&amp;"-"&amp;_xlfn.ISOWEEKNUM(A4354)</f>
        <v>2026-12</v>
      </c>
      <c r="F4354" s="2" t="str">
        <f t="shared" ref="F4354:F4417" si="274">_xlfn.CONCAT("Week "&amp;WEEKNUM(A4354))</f>
        <v>Week 12</v>
      </c>
      <c r="G4354" s="2" t="str">
        <f t="shared" ref="G4354:G4417" si="275">_xlfn.CONCAT(F4354,"-",D4354)</f>
        <v>Week 12-2026</v>
      </c>
      <c r="O4354"/>
      <c r="Q4354"/>
    </row>
    <row r="4355" spans="1:17" hidden="1" x14ac:dyDescent="0.2">
      <c r="A4355" s="3">
        <v>46101</v>
      </c>
      <c r="B4355" s="2" t="s">
        <v>39</v>
      </c>
      <c r="C4355" s="2">
        <v>6</v>
      </c>
      <c r="D4355" s="2">
        <f t="shared" si="272"/>
        <v>2026</v>
      </c>
      <c r="E4355" s="2" t="str">
        <f t="shared" si="273"/>
        <v>2026-12</v>
      </c>
      <c r="F4355" s="2" t="str">
        <f t="shared" si="274"/>
        <v>Week 12</v>
      </c>
      <c r="G4355" s="2" t="str">
        <f t="shared" si="275"/>
        <v>Week 12-2026</v>
      </c>
      <c r="O4355"/>
      <c r="Q4355"/>
    </row>
    <row r="4356" spans="1:17" x14ac:dyDescent="0.2">
      <c r="A4356" s="3">
        <v>46101</v>
      </c>
      <c r="B4356" s="2" t="s">
        <v>24</v>
      </c>
      <c r="C4356" s="2">
        <v>10</v>
      </c>
      <c r="D4356" s="2">
        <f t="shared" si="272"/>
        <v>2026</v>
      </c>
      <c r="E4356" s="2" t="str">
        <f t="shared" si="273"/>
        <v>2026-12</v>
      </c>
      <c r="F4356" s="2" t="str">
        <f t="shared" si="274"/>
        <v>Week 12</v>
      </c>
      <c r="G4356" s="2" t="str">
        <f t="shared" si="275"/>
        <v>Week 12-2026</v>
      </c>
      <c r="O4356"/>
      <c r="Q4356"/>
    </row>
    <row r="4357" spans="1:17" hidden="1" x14ac:dyDescent="0.2">
      <c r="A4357" s="3">
        <v>46101</v>
      </c>
      <c r="B4357" s="2" t="s">
        <v>36</v>
      </c>
      <c r="C4357" s="2">
        <v>9</v>
      </c>
      <c r="D4357" s="2">
        <f t="shared" si="272"/>
        <v>2026</v>
      </c>
      <c r="E4357" s="2" t="str">
        <f t="shared" si="273"/>
        <v>2026-12</v>
      </c>
      <c r="F4357" s="2" t="str">
        <f t="shared" si="274"/>
        <v>Week 12</v>
      </c>
      <c r="G4357" s="2" t="str">
        <f t="shared" si="275"/>
        <v>Week 12-2026</v>
      </c>
      <c r="O4357"/>
      <c r="Q4357"/>
    </row>
    <row r="4358" spans="1:17" hidden="1" x14ac:dyDescent="0.2">
      <c r="A4358" s="3">
        <v>46101</v>
      </c>
      <c r="B4358" s="2" t="s">
        <v>14</v>
      </c>
      <c r="C4358" s="2">
        <v>3</v>
      </c>
      <c r="D4358" s="2">
        <f t="shared" si="272"/>
        <v>2026</v>
      </c>
      <c r="E4358" s="2" t="str">
        <f t="shared" si="273"/>
        <v>2026-12</v>
      </c>
      <c r="F4358" s="2" t="str">
        <f t="shared" si="274"/>
        <v>Week 12</v>
      </c>
      <c r="G4358" s="2" t="str">
        <f t="shared" si="275"/>
        <v>Week 12-2026</v>
      </c>
      <c r="O4358"/>
      <c r="Q4358"/>
    </row>
    <row r="4359" spans="1:17" hidden="1" x14ac:dyDescent="0.2">
      <c r="A4359" s="3">
        <v>46101</v>
      </c>
      <c r="B4359" s="2" t="s">
        <v>8</v>
      </c>
      <c r="C4359" s="2">
        <v>4</v>
      </c>
      <c r="D4359" s="2">
        <f t="shared" si="272"/>
        <v>2026</v>
      </c>
      <c r="E4359" s="2" t="str">
        <f t="shared" si="273"/>
        <v>2026-12</v>
      </c>
      <c r="F4359" s="2" t="str">
        <f t="shared" si="274"/>
        <v>Week 12</v>
      </c>
      <c r="G4359" s="2" t="str">
        <f t="shared" si="275"/>
        <v>Week 12-2026</v>
      </c>
      <c r="O4359"/>
      <c r="Q4359"/>
    </row>
    <row r="4360" spans="1:17" hidden="1" x14ac:dyDescent="0.2">
      <c r="A4360" s="3">
        <v>46101</v>
      </c>
      <c r="B4360" s="2" t="s">
        <v>19</v>
      </c>
      <c r="C4360" s="2">
        <v>1</v>
      </c>
      <c r="D4360" s="2">
        <f t="shared" si="272"/>
        <v>2026</v>
      </c>
      <c r="E4360" s="2" t="str">
        <f t="shared" si="273"/>
        <v>2026-12</v>
      </c>
      <c r="F4360" s="2" t="str">
        <f t="shared" si="274"/>
        <v>Week 12</v>
      </c>
      <c r="G4360" s="2" t="str">
        <f t="shared" si="275"/>
        <v>Week 12-2026</v>
      </c>
      <c r="O4360"/>
      <c r="Q4360"/>
    </row>
    <row r="4361" spans="1:17" hidden="1" x14ac:dyDescent="0.2">
      <c r="A4361" s="3">
        <v>46101</v>
      </c>
      <c r="B4361" s="2" t="s">
        <v>27</v>
      </c>
      <c r="C4361" s="2">
        <v>3</v>
      </c>
      <c r="D4361" s="2">
        <f t="shared" si="272"/>
        <v>2026</v>
      </c>
      <c r="E4361" s="2" t="str">
        <f t="shared" si="273"/>
        <v>2026-12</v>
      </c>
      <c r="F4361" s="2" t="str">
        <f t="shared" si="274"/>
        <v>Week 12</v>
      </c>
      <c r="G4361" s="2" t="str">
        <f t="shared" si="275"/>
        <v>Week 12-2026</v>
      </c>
      <c r="O4361"/>
      <c r="Q4361"/>
    </row>
    <row r="4362" spans="1:17" hidden="1" x14ac:dyDescent="0.2">
      <c r="A4362" s="3">
        <v>46101</v>
      </c>
      <c r="B4362" s="2" t="s">
        <v>8</v>
      </c>
      <c r="C4362" s="2">
        <v>2</v>
      </c>
      <c r="D4362" s="2">
        <f t="shared" si="272"/>
        <v>2026</v>
      </c>
      <c r="E4362" s="2" t="str">
        <f t="shared" si="273"/>
        <v>2026-12</v>
      </c>
      <c r="F4362" s="2" t="str">
        <f t="shared" si="274"/>
        <v>Week 12</v>
      </c>
      <c r="G4362" s="2" t="str">
        <f t="shared" si="275"/>
        <v>Week 12-2026</v>
      </c>
      <c r="O4362"/>
      <c r="Q4362"/>
    </row>
    <row r="4363" spans="1:17" hidden="1" x14ac:dyDescent="0.2">
      <c r="A4363" s="3">
        <v>46101</v>
      </c>
      <c r="B4363" s="2" t="s">
        <v>14</v>
      </c>
      <c r="C4363" s="2">
        <v>2</v>
      </c>
      <c r="D4363" s="2">
        <f t="shared" si="272"/>
        <v>2026</v>
      </c>
      <c r="E4363" s="2" t="str">
        <f t="shared" si="273"/>
        <v>2026-12</v>
      </c>
      <c r="F4363" s="2" t="str">
        <f t="shared" si="274"/>
        <v>Week 12</v>
      </c>
      <c r="G4363" s="2" t="str">
        <f t="shared" si="275"/>
        <v>Week 12-2026</v>
      </c>
      <c r="O4363"/>
      <c r="Q4363"/>
    </row>
    <row r="4364" spans="1:17" hidden="1" x14ac:dyDescent="0.2">
      <c r="A4364" s="3">
        <v>46101</v>
      </c>
      <c r="B4364" s="2" t="s">
        <v>8</v>
      </c>
      <c r="C4364" s="2">
        <v>1</v>
      </c>
      <c r="D4364" s="2">
        <f t="shared" si="272"/>
        <v>2026</v>
      </c>
      <c r="E4364" s="2" t="str">
        <f t="shared" si="273"/>
        <v>2026-12</v>
      </c>
      <c r="F4364" s="2" t="str">
        <f t="shared" si="274"/>
        <v>Week 12</v>
      </c>
      <c r="G4364" s="2" t="str">
        <f t="shared" si="275"/>
        <v>Week 12-2026</v>
      </c>
      <c r="O4364"/>
      <c r="Q4364"/>
    </row>
    <row r="4365" spans="1:17" hidden="1" x14ac:dyDescent="0.2">
      <c r="A4365" s="3">
        <v>46101</v>
      </c>
      <c r="B4365" s="2" t="s">
        <v>42</v>
      </c>
      <c r="C4365" s="2">
        <v>1</v>
      </c>
      <c r="D4365" s="2">
        <f t="shared" si="272"/>
        <v>2026</v>
      </c>
      <c r="E4365" s="2" t="str">
        <f t="shared" si="273"/>
        <v>2026-12</v>
      </c>
      <c r="F4365" s="2" t="str">
        <f t="shared" si="274"/>
        <v>Week 12</v>
      </c>
      <c r="G4365" s="2" t="str">
        <f t="shared" si="275"/>
        <v>Week 12-2026</v>
      </c>
      <c r="O4365"/>
      <c r="Q4365"/>
    </row>
    <row r="4366" spans="1:17" hidden="1" x14ac:dyDescent="0.2">
      <c r="A4366" s="3">
        <v>46102</v>
      </c>
      <c r="B4366" s="2" t="s">
        <v>3</v>
      </c>
      <c r="C4366" s="2">
        <v>22</v>
      </c>
      <c r="D4366" s="2">
        <f t="shared" si="272"/>
        <v>2026</v>
      </c>
      <c r="E4366" s="2" t="str">
        <f t="shared" si="273"/>
        <v>2026-12</v>
      </c>
      <c r="F4366" s="2" t="str">
        <f t="shared" si="274"/>
        <v>Week 12</v>
      </c>
      <c r="G4366" s="2" t="str">
        <f t="shared" si="275"/>
        <v>Week 12-2026</v>
      </c>
      <c r="O4366"/>
      <c r="Q4366"/>
    </row>
    <row r="4367" spans="1:17" hidden="1" x14ac:dyDescent="0.2">
      <c r="A4367" s="3">
        <v>46102</v>
      </c>
      <c r="B4367" s="2" t="s">
        <v>5</v>
      </c>
      <c r="C4367" s="2">
        <v>23</v>
      </c>
      <c r="D4367" s="2">
        <f t="shared" si="272"/>
        <v>2026</v>
      </c>
      <c r="E4367" s="2" t="str">
        <f t="shared" si="273"/>
        <v>2026-12</v>
      </c>
      <c r="F4367" s="2" t="str">
        <f t="shared" si="274"/>
        <v>Week 12</v>
      </c>
      <c r="G4367" s="2" t="str">
        <f t="shared" si="275"/>
        <v>Week 12-2026</v>
      </c>
      <c r="O4367"/>
      <c r="Q4367"/>
    </row>
    <row r="4368" spans="1:17" hidden="1" x14ac:dyDescent="0.2">
      <c r="A4368" s="3">
        <v>46102</v>
      </c>
      <c r="B4368" s="2" t="s">
        <v>4</v>
      </c>
      <c r="C4368" s="2">
        <v>8</v>
      </c>
      <c r="D4368" s="2">
        <f t="shared" si="272"/>
        <v>2026</v>
      </c>
      <c r="E4368" s="2" t="str">
        <f t="shared" si="273"/>
        <v>2026-12</v>
      </c>
      <c r="F4368" s="2" t="str">
        <f t="shared" si="274"/>
        <v>Week 12</v>
      </c>
      <c r="G4368" s="2" t="str">
        <f t="shared" si="275"/>
        <v>Week 12-2026</v>
      </c>
      <c r="O4368"/>
      <c r="Q4368"/>
    </row>
    <row r="4369" spans="1:17" hidden="1" x14ac:dyDescent="0.2">
      <c r="A4369" s="3">
        <v>46102</v>
      </c>
      <c r="B4369" s="2" t="s">
        <v>9</v>
      </c>
      <c r="C4369" s="2">
        <v>8</v>
      </c>
      <c r="D4369" s="2">
        <f t="shared" si="272"/>
        <v>2026</v>
      </c>
      <c r="E4369" s="2" t="str">
        <f t="shared" si="273"/>
        <v>2026-12</v>
      </c>
      <c r="F4369" s="2" t="str">
        <f t="shared" si="274"/>
        <v>Week 12</v>
      </c>
      <c r="G4369" s="2" t="str">
        <f t="shared" si="275"/>
        <v>Week 12-2026</v>
      </c>
      <c r="O4369"/>
      <c r="Q4369"/>
    </row>
    <row r="4370" spans="1:17" hidden="1" x14ac:dyDescent="0.2">
      <c r="A4370" s="3">
        <v>46102</v>
      </c>
      <c r="B4370" s="2" t="s">
        <v>17</v>
      </c>
      <c r="C4370" s="2">
        <v>4</v>
      </c>
      <c r="D4370" s="2">
        <f t="shared" si="272"/>
        <v>2026</v>
      </c>
      <c r="E4370" s="2" t="str">
        <f t="shared" si="273"/>
        <v>2026-12</v>
      </c>
      <c r="F4370" s="2" t="str">
        <f t="shared" si="274"/>
        <v>Week 12</v>
      </c>
      <c r="G4370" s="2" t="str">
        <f t="shared" si="275"/>
        <v>Week 12-2026</v>
      </c>
      <c r="O4370"/>
      <c r="Q4370"/>
    </row>
    <row r="4371" spans="1:17" hidden="1" x14ac:dyDescent="0.2">
      <c r="A4371" s="3">
        <v>46102</v>
      </c>
      <c r="B4371" s="2" t="s">
        <v>14</v>
      </c>
      <c r="C4371" s="2">
        <v>5</v>
      </c>
      <c r="D4371" s="2">
        <f t="shared" si="272"/>
        <v>2026</v>
      </c>
      <c r="E4371" s="2" t="str">
        <f t="shared" si="273"/>
        <v>2026-12</v>
      </c>
      <c r="F4371" s="2" t="str">
        <f t="shared" si="274"/>
        <v>Week 12</v>
      </c>
      <c r="G4371" s="2" t="str">
        <f t="shared" si="275"/>
        <v>Week 12-2026</v>
      </c>
      <c r="O4371"/>
      <c r="Q4371"/>
    </row>
    <row r="4372" spans="1:17" hidden="1" x14ac:dyDescent="0.2">
      <c r="A4372" s="3">
        <v>46102</v>
      </c>
      <c r="B4372" s="2" t="s">
        <v>10</v>
      </c>
      <c r="C4372" s="2">
        <v>4</v>
      </c>
      <c r="D4372" s="2">
        <f t="shared" si="272"/>
        <v>2026</v>
      </c>
      <c r="E4372" s="2" t="str">
        <f t="shared" si="273"/>
        <v>2026-12</v>
      </c>
      <c r="F4372" s="2" t="str">
        <f t="shared" si="274"/>
        <v>Week 12</v>
      </c>
      <c r="G4372" s="2" t="str">
        <f t="shared" si="275"/>
        <v>Week 12-2026</v>
      </c>
      <c r="O4372"/>
      <c r="Q4372"/>
    </row>
    <row r="4373" spans="1:17" hidden="1" x14ac:dyDescent="0.2">
      <c r="A4373" s="3">
        <v>46102</v>
      </c>
      <c r="B4373" s="2" t="s">
        <v>19</v>
      </c>
      <c r="C4373" s="2">
        <v>2</v>
      </c>
      <c r="D4373" s="2">
        <f t="shared" si="272"/>
        <v>2026</v>
      </c>
      <c r="E4373" s="2" t="str">
        <f t="shared" si="273"/>
        <v>2026-12</v>
      </c>
      <c r="F4373" s="2" t="str">
        <f t="shared" si="274"/>
        <v>Week 12</v>
      </c>
      <c r="G4373" s="2" t="str">
        <f t="shared" si="275"/>
        <v>Week 12-2026</v>
      </c>
      <c r="O4373"/>
      <c r="Q4373"/>
    </row>
    <row r="4374" spans="1:17" hidden="1" x14ac:dyDescent="0.2">
      <c r="A4374" s="3">
        <v>46102</v>
      </c>
      <c r="B4374" s="2" t="s">
        <v>7</v>
      </c>
      <c r="C4374" s="2">
        <v>2</v>
      </c>
      <c r="D4374" s="2">
        <f t="shared" si="272"/>
        <v>2026</v>
      </c>
      <c r="E4374" s="2" t="str">
        <f t="shared" si="273"/>
        <v>2026-12</v>
      </c>
      <c r="F4374" s="2" t="str">
        <f t="shared" si="274"/>
        <v>Week 12</v>
      </c>
      <c r="G4374" s="2" t="str">
        <f t="shared" si="275"/>
        <v>Week 12-2026</v>
      </c>
      <c r="O4374"/>
      <c r="Q4374"/>
    </row>
    <row r="4375" spans="1:17" hidden="1" x14ac:dyDescent="0.2">
      <c r="A4375" s="3">
        <v>46102</v>
      </c>
      <c r="B4375" s="2" t="s">
        <v>30</v>
      </c>
      <c r="C4375" s="2">
        <v>2</v>
      </c>
      <c r="D4375" s="2">
        <f t="shared" si="272"/>
        <v>2026</v>
      </c>
      <c r="E4375" s="2" t="str">
        <f t="shared" si="273"/>
        <v>2026-12</v>
      </c>
      <c r="F4375" s="2" t="str">
        <f t="shared" si="274"/>
        <v>Week 12</v>
      </c>
      <c r="G4375" s="2" t="str">
        <f t="shared" si="275"/>
        <v>Week 12-2026</v>
      </c>
      <c r="O4375"/>
      <c r="Q4375"/>
    </row>
    <row r="4376" spans="1:17" hidden="1" x14ac:dyDescent="0.2">
      <c r="A4376" s="3">
        <v>46104</v>
      </c>
      <c r="B4376" s="2" t="s">
        <v>22</v>
      </c>
      <c r="C4376" s="2">
        <v>16</v>
      </c>
      <c r="D4376" s="2">
        <f t="shared" si="272"/>
        <v>2026</v>
      </c>
      <c r="E4376" s="2" t="str">
        <f t="shared" si="273"/>
        <v>2026-13</v>
      </c>
      <c r="F4376" s="2" t="str">
        <f t="shared" si="274"/>
        <v>Week 13</v>
      </c>
      <c r="G4376" s="2" t="str">
        <f t="shared" si="275"/>
        <v>Week 13-2026</v>
      </c>
      <c r="O4376"/>
      <c r="Q4376"/>
    </row>
    <row r="4377" spans="1:17" hidden="1" x14ac:dyDescent="0.2">
      <c r="A4377" s="3">
        <v>46104</v>
      </c>
      <c r="B4377" s="2" t="s">
        <v>5</v>
      </c>
      <c r="C4377" s="2">
        <v>23</v>
      </c>
      <c r="D4377" s="2">
        <f t="shared" si="272"/>
        <v>2026</v>
      </c>
      <c r="E4377" s="2" t="str">
        <f t="shared" si="273"/>
        <v>2026-13</v>
      </c>
      <c r="F4377" s="2" t="str">
        <f t="shared" si="274"/>
        <v>Week 13</v>
      </c>
      <c r="G4377" s="2" t="str">
        <f t="shared" si="275"/>
        <v>Week 13-2026</v>
      </c>
      <c r="O4377"/>
      <c r="Q4377"/>
    </row>
    <row r="4378" spans="1:17" hidden="1" x14ac:dyDescent="0.2">
      <c r="A4378" s="3">
        <v>46104</v>
      </c>
      <c r="B4378" s="2" t="s">
        <v>5</v>
      </c>
      <c r="C4378" s="2">
        <v>16</v>
      </c>
      <c r="D4378" s="2">
        <f t="shared" si="272"/>
        <v>2026</v>
      </c>
      <c r="E4378" s="2" t="str">
        <f t="shared" si="273"/>
        <v>2026-13</v>
      </c>
      <c r="F4378" s="2" t="str">
        <f t="shared" si="274"/>
        <v>Week 13</v>
      </c>
      <c r="G4378" s="2" t="str">
        <f t="shared" si="275"/>
        <v>Week 13-2026</v>
      </c>
      <c r="O4378"/>
      <c r="Q4378"/>
    </row>
    <row r="4379" spans="1:17" hidden="1" x14ac:dyDescent="0.2">
      <c r="A4379" s="3">
        <v>46104</v>
      </c>
      <c r="B4379" s="2" t="s">
        <v>9</v>
      </c>
      <c r="C4379" s="2">
        <v>12</v>
      </c>
      <c r="D4379" s="2">
        <f t="shared" si="272"/>
        <v>2026</v>
      </c>
      <c r="E4379" s="2" t="str">
        <f t="shared" si="273"/>
        <v>2026-13</v>
      </c>
      <c r="F4379" s="2" t="str">
        <f t="shared" si="274"/>
        <v>Week 13</v>
      </c>
      <c r="G4379" s="2" t="str">
        <f t="shared" si="275"/>
        <v>Week 13-2026</v>
      </c>
      <c r="O4379"/>
      <c r="Q4379"/>
    </row>
    <row r="4380" spans="1:17" hidden="1" x14ac:dyDescent="0.2">
      <c r="A4380" s="3">
        <v>46104</v>
      </c>
      <c r="B4380" s="2" t="s">
        <v>5</v>
      </c>
      <c r="C4380" s="2">
        <v>12</v>
      </c>
      <c r="D4380" s="2">
        <f t="shared" si="272"/>
        <v>2026</v>
      </c>
      <c r="E4380" s="2" t="str">
        <f t="shared" si="273"/>
        <v>2026-13</v>
      </c>
      <c r="F4380" s="2" t="str">
        <f t="shared" si="274"/>
        <v>Week 13</v>
      </c>
      <c r="G4380" s="2" t="str">
        <f t="shared" si="275"/>
        <v>Week 13-2026</v>
      </c>
      <c r="O4380"/>
      <c r="Q4380"/>
    </row>
    <row r="4381" spans="1:17" hidden="1" x14ac:dyDescent="0.2">
      <c r="A4381" s="3">
        <v>46104</v>
      </c>
      <c r="B4381" s="2" t="s">
        <v>9</v>
      </c>
      <c r="C4381" s="2">
        <v>10</v>
      </c>
      <c r="D4381" s="2">
        <f t="shared" si="272"/>
        <v>2026</v>
      </c>
      <c r="E4381" s="2" t="str">
        <f t="shared" si="273"/>
        <v>2026-13</v>
      </c>
      <c r="F4381" s="2" t="str">
        <f t="shared" si="274"/>
        <v>Week 13</v>
      </c>
      <c r="G4381" s="2" t="str">
        <f t="shared" si="275"/>
        <v>Week 13-2026</v>
      </c>
      <c r="O4381"/>
      <c r="Q4381"/>
    </row>
    <row r="4382" spans="1:17" hidden="1" x14ac:dyDescent="0.2">
      <c r="A4382" s="3">
        <v>46104</v>
      </c>
      <c r="B4382" s="2" t="s">
        <v>3</v>
      </c>
      <c r="C4382" s="2">
        <v>8</v>
      </c>
      <c r="D4382" s="2">
        <f t="shared" si="272"/>
        <v>2026</v>
      </c>
      <c r="E4382" s="2" t="str">
        <f t="shared" si="273"/>
        <v>2026-13</v>
      </c>
      <c r="F4382" s="2" t="str">
        <f t="shared" si="274"/>
        <v>Week 13</v>
      </c>
      <c r="G4382" s="2" t="str">
        <f t="shared" si="275"/>
        <v>Week 13-2026</v>
      </c>
      <c r="O4382"/>
      <c r="Q4382"/>
    </row>
    <row r="4383" spans="1:17" hidden="1" x14ac:dyDescent="0.2">
      <c r="A4383" s="3">
        <v>46104</v>
      </c>
      <c r="B4383" s="2" t="s">
        <v>3</v>
      </c>
      <c r="C4383" s="2">
        <v>8</v>
      </c>
      <c r="D4383" s="2">
        <f t="shared" si="272"/>
        <v>2026</v>
      </c>
      <c r="E4383" s="2" t="str">
        <f t="shared" si="273"/>
        <v>2026-13</v>
      </c>
      <c r="F4383" s="2" t="str">
        <f t="shared" si="274"/>
        <v>Week 13</v>
      </c>
      <c r="G4383" s="2" t="str">
        <f t="shared" si="275"/>
        <v>Week 13-2026</v>
      </c>
      <c r="O4383"/>
      <c r="Q4383"/>
    </row>
    <row r="4384" spans="1:17" hidden="1" x14ac:dyDescent="0.2">
      <c r="A4384" s="3">
        <v>46104</v>
      </c>
      <c r="B4384" s="2" t="s">
        <v>5</v>
      </c>
      <c r="C4384" s="2">
        <v>10</v>
      </c>
      <c r="D4384" s="2">
        <f t="shared" si="272"/>
        <v>2026</v>
      </c>
      <c r="E4384" s="2" t="str">
        <f t="shared" si="273"/>
        <v>2026-13</v>
      </c>
      <c r="F4384" s="2" t="str">
        <f t="shared" si="274"/>
        <v>Week 13</v>
      </c>
      <c r="G4384" s="2" t="str">
        <f t="shared" si="275"/>
        <v>Week 13-2026</v>
      </c>
      <c r="O4384"/>
      <c r="Q4384"/>
    </row>
    <row r="4385" spans="1:17" hidden="1" x14ac:dyDescent="0.2">
      <c r="A4385" s="3">
        <v>46104</v>
      </c>
      <c r="B4385" s="2" t="s">
        <v>19</v>
      </c>
      <c r="C4385" s="2">
        <v>4</v>
      </c>
      <c r="D4385" s="2">
        <f t="shared" si="272"/>
        <v>2026</v>
      </c>
      <c r="E4385" s="2" t="str">
        <f t="shared" si="273"/>
        <v>2026-13</v>
      </c>
      <c r="F4385" s="2" t="str">
        <f t="shared" si="274"/>
        <v>Week 13</v>
      </c>
      <c r="G4385" s="2" t="str">
        <f t="shared" si="275"/>
        <v>Week 13-2026</v>
      </c>
      <c r="O4385"/>
      <c r="Q4385"/>
    </row>
    <row r="4386" spans="1:17" hidden="1" x14ac:dyDescent="0.2">
      <c r="A4386" s="3">
        <v>46104</v>
      </c>
      <c r="B4386" s="2" t="s">
        <v>43</v>
      </c>
      <c r="C4386" s="2">
        <v>6</v>
      </c>
      <c r="D4386" s="2">
        <f t="shared" si="272"/>
        <v>2026</v>
      </c>
      <c r="E4386" s="2" t="str">
        <f t="shared" si="273"/>
        <v>2026-13</v>
      </c>
      <c r="F4386" s="2" t="str">
        <f t="shared" si="274"/>
        <v>Week 13</v>
      </c>
      <c r="G4386" s="2" t="str">
        <f t="shared" si="275"/>
        <v>Week 13-2026</v>
      </c>
      <c r="O4386"/>
      <c r="Q4386"/>
    </row>
    <row r="4387" spans="1:17" hidden="1" x14ac:dyDescent="0.2">
      <c r="A4387" s="3">
        <v>46104</v>
      </c>
      <c r="B4387" s="2" t="s">
        <v>14</v>
      </c>
      <c r="C4387" s="2">
        <v>8</v>
      </c>
      <c r="D4387" s="2">
        <f t="shared" si="272"/>
        <v>2026</v>
      </c>
      <c r="E4387" s="2" t="str">
        <f t="shared" si="273"/>
        <v>2026-13</v>
      </c>
      <c r="F4387" s="2" t="str">
        <f t="shared" si="274"/>
        <v>Week 13</v>
      </c>
      <c r="G4387" s="2" t="str">
        <f t="shared" si="275"/>
        <v>Week 13-2026</v>
      </c>
      <c r="O4387"/>
      <c r="Q4387"/>
    </row>
    <row r="4388" spans="1:17" x14ac:dyDescent="0.2">
      <c r="A4388" s="3">
        <v>46104</v>
      </c>
      <c r="B4388" s="2" t="s">
        <v>24</v>
      </c>
      <c r="C4388" s="2">
        <v>16</v>
      </c>
      <c r="D4388" s="2">
        <f t="shared" si="272"/>
        <v>2026</v>
      </c>
      <c r="E4388" s="2" t="str">
        <f t="shared" si="273"/>
        <v>2026-13</v>
      </c>
      <c r="F4388" s="2" t="str">
        <f t="shared" si="274"/>
        <v>Week 13</v>
      </c>
      <c r="G4388" s="2" t="str">
        <f t="shared" si="275"/>
        <v>Week 13-2026</v>
      </c>
      <c r="O4388"/>
      <c r="Q4388"/>
    </row>
    <row r="4389" spans="1:17" hidden="1" x14ac:dyDescent="0.2">
      <c r="A4389" s="3">
        <v>46104</v>
      </c>
      <c r="B4389" s="2" t="s">
        <v>14</v>
      </c>
      <c r="C4389" s="2">
        <v>6</v>
      </c>
      <c r="D4389" s="2">
        <f t="shared" si="272"/>
        <v>2026</v>
      </c>
      <c r="E4389" s="2" t="str">
        <f t="shared" si="273"/>
        <v>2026-13</v>
      </c>
      <c r="F4389" s="2" t="str">
        <f t="shared" si="274"/>
        <v>Week 13</v>
      </c>
      <c r="G4389" s="2" t="str">
        <f t="shared" si="275"/>
        <v>Week 13-2026</v>
      </c>
      <c r="O4389"/>
      <c r="Q4389"/>
    </row>
    <row r="4390" spans="1:17" hidden="1" x14ac:dyDescent="0.2">
      <c r="A4390" s="3">
        <v>46104</v>
      </c>
      <c r="B4390" s="2" t="s">
        <v>5</v>
      </c>
      <c r="C4390" s="2">
        <v>4</v>
      </c>
      <c r="D4390" s="2">
        <f t="shared" si="272"/>
        <v>2026</v>
      </c>
      <c r="E4390" s="2" t="str">
        <f t="shared" si="273"/>
        <v>2026-13</v>
      </c>
      <c r="F4390" s="2" t="str">
        <f t="shared" si="274"/>
        <v>Week 13</v>
      </c>
      <c r="G4390" s="2" t="str">
        <f t="shared" si="275"/>
        <v>Week 13-2026</v>
      </c>
      <c r="O4390"/>
      <c r="Q4390"/>
    </row>
    <row r="4391" spans="1:17" hidden="1" x14ac:dyDescent="0.2">
      <c r="A4391" s="3">
        <v>46104</v>
      </c>
      <c r="B4391" s="2" t="s">
        <v>5</v>
      </c>
      <c r="C4391" s="2">
        <v>4</v>
      </c>
      <c r="D4391" s="2">
        <f t="shared" si="272"/>
        <v>2026</v>
      </c>
      <c r="E4391" s="2" t="str">
        <f t="shared" si="273"/>
        <v>2026-13</v>
      </c>
      <c r="F4391" s="2" t="str">
        <f t="shared" si="274"/>
        <v>Week 13</v>
      </c>
      <c r="G4391" s="2" t="str">
        <f t="shared" si="275"/>
        <v>Week 13-2026</v>
      </c>
      <c r="O4391"/>
      <c r="Q4391"/>
    </row>
    <row r="4392" spans="1:17" hidden="1" x14ac:dyDescent="0.2">
      <c r="A4392" s="3">
        <v>46104</v>
      </c>
      <c r="B4392" s="2" t="s">
        <v>5</v>
      </c>
      <c r="C4392" s="2">
        <v>4</v>
      </c>
      <c r="D4392" s="2">
        <f t="shared" si="272"/>
        <v>2026</v>
      </c>
      <c r="E4392" s="2" t="str">
        <f t="shared" si="273"/>
        <v>2026-13</v>
      </c>
      <c r="F4392" s="2" t="str">
        <f t="shared" si="274"/>
        <v>Week 13</v>
      </c>
      <c r="G4392" s="2" t="str">
        <f t="shared" si="275"/>
        <v>Week 13-2026</v>
      </c>
      <c r="O4392"/>
      <c r="Q4392"/>
    </row>
    <row r="4393" spans="1:17" hidden="1" x14ac:dyDescent="0.2">
      <c r="A4393" s="3">
        <v>46104</v>
      </c>
      <c r="B4393" s="2" t="s">
        <v>5</v>
      </c>
      <c r="C4393" s="2">
        <v>4</v>
      </c>
      <c r="D4393" s="2">
        <f t="shared" si="272"/>
        <v>2026</v>
      </c>
      <c r="E4393" s="2" t="str">
        <f t="shared" si="273"/>
        <v>2026-13</v>
      </c>
      <c r="F4393" s="2" t="str">
        <f t="shared" si="274"/>
        <v>Week 13</v>
      </c>
      <c r="G4393" s="2" t="str">
        <f t="shared" si="275"/>
        <v>Week 13-2026</v>
      </c>
      <c r="O4393"/>
      <c r="Q4393"/>
    </row>
    <row r="4394" spans="1:17" hidden="1" x14ac:dyDescent="0.2">
      <c r="A4394" s="3">
        <v>46104</v>
      </c>
      <c r="B4394" s="2" t="s">
        <v>5</v>
      </c>
      <c r="C4394" s="2">
        <v>4</v>
      </c>
      <c r="D4394" s="2">
        <f t="shared" si="272"/>
        <v>2026</v>
      </c>
      <c r="E4394" s="2" t="str">
        <f t="shared" si="273"/>
        <v>2026-13</v>
      </c>
      <c r="F4394" s="2" t="str">
        <f t="shared" si="274"/>
        <v>Week 13</v>
      </c>
      <c r="G4394" s="2" t="str">
        <f t="shared" si="275"/>
        <v>Week 13-2026</v>
      </c>
      <c r="O4394"/>
      <c r="Q4394"/>
    </row>
    <row r="4395" spans="1:17" hidden="1" x14ac:dyDescent="0.2">
      <c r="A4395" s="3">
        <v>46104</v>
      </c>
      <c r="B4395" s="2" t="s">
        <v>5</v>
      </c>
      <c r="C4395" s="2">
        <v>4</v>
      </c>
      <c r="D4395" s="2">
        <f t="shared" si="272"/>
        <v>2026</v>
      </c>
      <c r="E4395" s="2" t="str">
        <f t="shared" si="273"/>
        <v>2026-13</v>
      </c>
      <c r="F4395" s="2" t="str">
        <f t="shared" si="274"/>
        <v>Week 13</v>
      </c>
      <c r="G4395" s="2" t="str">
        <f t="shared" si="275"/>
        <v>Week 13-2026</v>
      </c>
      <c r="O4395"/>
      <c r="Q4395"/>
    </row>
    <row r="4396" spans="1:17" hidden="1" x14ac:dyDescent="0.2">
      <c r="A4396" s="3">
        <v>46104</v>
      </c>
      <c r="B4396" s="2" t="s">
        <v>9</v>
      </c>
      <c r="C4396" s="2">
        <v>4</v>
      </c>
      <c r="D4396" s="2">
        <f t="shared" si="272"/>
        <v>2026</v>
      </c>
      <c r="E4396" s="2" t="str">
        <f t="shared" si="273"/>
        <v>2026-13</v>
      </c>
      <c r="F4396" s="2" t="str">
        <f t="shared" si="274"/>
        <v>Week 13</v>
      </c>
      <c r="G4396" s="2" t="str">
        <f t="shared" si="275"/>
        <v>Week 13-2026</v>
      </c>
      <c r="O4396"/>
      <c r="Q4396"/>
    </row>
    <row r="4397" spans="1:17" hidden="1" x14ac:dyDescent="0.2">
      <c r="A4397" s="3">
        <v>46104</v>
      </c>
      <c r="B4397" s="2" t="s">
        <v>3</v>
      </c>
      <c r="C4397" s="2">
        <v>4</v>
      </c>
      <c r="D4397" s="2">
        <f t="shared" si="272"/>
        <v>2026</v>
      </c>
      <c r="E4397" s="2" t="str">
        <f t="shared" si="273"/>
        <v>2026-13</v>
      </c>
      <c r="F4397" s="2" t="str">
        <f t="shared" si="274"/>
        <v>Week 13</v>
      </c>
      <c r="G4397" s="2" t="str">
        <f t="shared" si="275"/>
        <v>Week 13-2026</v>
      </c>
      <c r="O4397"/>
      <c r="Q4397"/>
    </row>
    <row r="4398" spans="1:17" hidden="1" x14ac:dyDescent="0.2">
      <c r="A4398" s="3">
        <v>46104</v>
      </c>
      <c r="B4398" s="2" t="s">
        <v>29</v>
      </c>
      <c r="C4398" s="2">
        <v>4</v>
      </c>
      <c r="D4398" s="2">
        <f t="shared" si="272"/>
        <v>2026</v>
      </c>
      <c r="E4398" s="2" t="str">
        <f t="shared" si="273"/>
        <v>2026-13</v>
      </c>
      <c r="F4398" s="2" t="str">
        <f t="shared" si="274"/>
        <v>Week 13</v>
      </c>
      <c r="G4398" s="2" t="str">
        <f t="shared" si="275"/>
        <v>Week 13-2026</v>
      </c>
      <c r="O4398"/>
      <c r="Q4398"/>
    </row>
    <row r="4399" spans="1:17" hidden="1" x14ac:dyDescent="0.2">
      <c r="A4399" s="3">
        <v>46104</v>
      </c>
      <c r="B4399" s="2" t="s">
        <v>27</v>
      </c>
      <c r="C4399" s="2">
        <v>8</v>
      </c>
      <c r="D4399" s="2">
        <f t="shared" si="272"/>
        <v>2026</v>
      </c>
      <c r="E4399" s="2" t="str">
        <f t="shared" si="273"/>
        <v>2026-13</v>
      </c>
      <c r="F4399" s="2" t="str">
        <f t="shared" si="274"/>
        <v>Week 13</v>
      </c>
      <c r="G4399" s="2" t="str">
        <f t="shared" si="275"/>
        <v>Week 13-2026</v>
      </c>
      <c r="O4399"/>
      <c r="Q4399"/>
    </row>
    <row r="4400" spans="1:17" hidden="1" x14ac:dyDescent="0.2">
      <c r="A4400" s="3">
        <v>46104</v>
      </c>
      <c r="B4400" s="2" t="s">
        <v>19</v>
      </c>
      <c r="C4400" s="2">
        <v>2</v>
      </c>
      <c r="D4400" s="2">
        <f t="shared" si="272"/>
        <v>2026</v>
      </c>
      <c r="E4400" s="2" t="str">
        <f t="shared" si="273"/>
        <v>2026-13</v>
      </c>
      <c r="F4400" s="2" t="str">
        <f t="shared" si="274"/>
        <v>Week 13</v>
      </c>
      <c r="G4400" s="2" t="str">
        <f t="shared" si="275"/>
        <v>Week 13-2026</v>
      </c>
      <c r="O4400"/>
      <c r="Q4400"/>
    </row>
    <row r="4401" spans="1:17" hidden="1" x14ac:dyDescent="0.2">
      <c r="A4401" s="3">
        <v>46104</v>
      </c>
      <c r="B4401" s="2" t="s">
        <v>19</v>
      </c>
      <c r="C4401" s="2">
        <v>2</v>
      </c>
      <c r="D4401" s="2">
        <f t="shared" si="272"/>
        <v>2026</v>
      </c>
      <c r="E4401" s="2" t="str">
        <f t="shared" si="273"/>
        <v>2026-13</v>
      </c>
      <c r="F4401" s="2" t="str">
        <f t="shared" si="274"/>
        <v>Week 13</v>
      </c>
      <c r="G4401" s="2" t="str">
        <f t="shared" si="275"/>
        <v>Week 13-2026</v>
      </c>
      <c r="O4401"/>
      <c r="Q4401"/>
    </row>
    <row r="4402" spans="1:17" hidden="1" x14ac:dyDescent="0.2">
      <c r="A4402" s="3">
        <v>46104</v>
      </c>
      <c r="B4402" s="2" t="s">
        <v>5</v>
      </c>
      <c r="C4402" s="2">
        <v>4</v>
      </c>
      <c r="D4402" s="2">
        <f t="shared" si="272"/>
        <v>2026</v>
      </c>
      <c r="E4402" s="2" t="str">
        <f t="shared" si="273"/>
        <v>2026-13</v>
      </c>
      <c r="F4402" s="2" t="str">
        <f t="shared" si="274"/>
        <v>Week 13</v>
      </c>
      <c r="G4402" s="2" t="str">
        <f t="shared" si="275"/>
        <v>Week 13-2026</v>
      </c>
      <c r="O4402"/>
      <c r="Q4402"/>
    </row>
    <row r="4403" spans="1:17" hidden="1" x14ac:dyDescent="0.2">
      <c r="A4403" s="3">
        <v>46104</v>
      </c>
      <c r="B4403" s="2" t="s">
        <v>14</v>
      </c>
      <c r="C4403" s="2">
        <v>4</v>
      </c>
      <c r="D4403" s="2">
        <f t="shared" si="272"/>
        <v>2026</v>
      </c>
      <c r="E4403" s="2" t="str">
        <f t="shared" si="273"/>
        <v>2026-13</v>
      </c>
      <c r="F4403" s="2" t="str">
        <f t="shared" si="274"/>
        <v>Week 13</v>
      </c>
      <c r="G4403" s="2" t="str">
        <f t="shared" si="275"/>
        <v>Week 13-2026</v>
      </c>
      <c r="O4403"/>
      <c r="Q4403"/>
    </row>
    <row r="4404" spans="1:17" hidden="1" x14ac:dyDescent="0.2">
      <c r="A4404" s="3">
        <v>46104</v>
      </c>
      <c r="B4404" s="2" t="s">
        <v>9</v>
      </c>
      <c r="C4404" s="2">
        <v>2</v>
      </c>
      <c r="D4404" s="2">
        <f t="shared" si="272"/>
        <v>2026</v>
      </c>
      <c r="E4404" s="2" t="str">
        <f t="shared" si="273"/>
        <v>2026-13</v>
      </c>
      <c r="F4404" s="2" t="str">
        <f t="shared" si="274"/>
        <v>Week 13</v>
      </c>
      <c r="G4404" s="2" t="str">
        <f t="shared" si="275"/>
        <v>Week 13-2026</v>
      </c>
      <c r="O4404"/>
      <c r="Q4404"/>
    </row>
    <row r="4405" spans="1:17" hidden="1" x14ac:dyDescent="0.2">
      <c r="A4405" s="3">
        <v>46104</v>
      </c>
      <c r="B4405" s="2" t="s">
        <v>9</v>
      </c>
      <c r="C4405" s="2">
        <v>2</v>
      </c>
      <c r="D4405" s="2">
        <f t="shared" si="272"/>
        <v>2026</v>
      </c>
      <c r="E4405" s="2" t="str">
        <f t="shared" si="273"/>
        <v>2026-13</v>
      </c>
      <c r="F4405" s="2" t="str">
        <f t="shared" si="274"/>
        <v>Week 13</v>
      </c>
      <c r="G4405" s="2" t="str">
        <f t="shared" si="275"/>
        <v>Week 13-2026</v>
      </c>
      <c r="O4405"/>
      <c r="Q4405"/>
    </row>
    <row r="4406" spans="1:17" hidden="1" x14ac:dyDescent="0.2">
      <c r="A4406" s="3">
        <v>46104</v>
      </c>
      <c r="B4406" s="2" t="s">
        <v>9</v>
      </c>
      <c r="C4406" s="2">
        <v>2</v>
      </c>
      <c r="D4406" s="2">
        <f t="shared" si="272"/>
        <v>2026</v>
      </c>
      <c r="E4406" s="2" t="str">
        <f t="shared" si="273"/>
        <v>2026-13</v>
      </c>
      <c r="F4406" s="2" t="str">
        <f t="shared" si="274"/>
        <v>Week 13</v>
      </c>
      <c r="G4406" s="2" t="str">
        <f t="shared" si="275"/>
        <v>Week 13-2026</v>
      </c>
      <c r="O4406"/>
      <c r="Q4406"/>
    </row>
    <row r="4407" spans="1:17" hidden="1" x14ac:dyDescent="0.2">
      <c r="A4407" s="3">
        <v>46104</v>
      </c>
      <c r="B4407" s="2" t="s">
        <v>9</v>
      </c>
      <c r="C4407" s="2">
        <v>2</v>
      </c>
      <c r="D4407" s="2">
        <f t="shared" si="272"/>
        <v>2026</v>
      </c>
      <c r="E4407" s="2" t="str">
        <f t="shared" si="273"/>
        <v>2026-13</v>
      </c>
      <c r="F4407" s="2" t="str">
        <f t="shared" si="274"/>
        <v>Week 13</v>
      </c>
      <c r="G4407" s="2" t="str">
        <f t="shared" si="275"/>
        <v>Week 13-2026</v>
      </c>
      <c r="O4407"/>
      <c r="Q4407"/>
    </row>
    <row r="4408" spans="1:17" hidden="1" x14ac:dyDescent="0.2">
      <c r="A4408" s="3">
        <v>46104</v>
      </c>
      <c r="B4408" s="2" t="s">
        <v>9</v>
      </c>
      <c r="C4408" s="2">
        <v>2</v>
      </c>
      <c r="D4408" s="2">
        <f t="shared" si="272"/>
        <v>2026</v>
      </c>
      <c r="E4408" s="2" t="str">
        <f t="shared" si="273"/>
        <v>2026-13</v>
      </c>
      <c r="F4408" s="2" t="str">
        <f t="shared" si="274"/>
        <v>Week 13</v>
      </c>
      <c r="G4408" s="2" t="str">
        <f t="shared" si="275"/>
        <v>Week 13-2026</v>
      </c>
      <c r="O4408"/>
      <c r="Q4408"/>
    </row>
    <row r="4409" spans="1:17" hidden="1" x14ac:dyDescent="0.2">
      <c r="A4409" s="3">
        <v>46104</v>
      </c>
      <c r="B4409" s="2" t="s">
        <v>49</v>
      </c>
      <c r="C4409" s="2">
        <v>2</v>
      </c>
      <c r="D4409" s="2">
        <f t="shared" si="272"/>
        <v>2026</v>
      </c>
      <c r="E4409" s="2" t="str">
        <f t="shared" si="273"/>
        <v>2026-13</v>
      </c>
      <c r="F4409" s="2" t="str">
        <f t="shared" si="274"/>
        <v>Week 13</v>
      </c>
      <c r="G4409" s="2" t="str">
        <f t="shared" si="275"/>
        <v>Week 13-2026</v>
      </c>
      <c r="O4409"/>
      <c r="Q4409"/>
    </row>
    <row r="4410" spans="1:17" hidden="1" x14ac:dyDescent="0.2">
      <c r="A4410" s="3">
        <v>46104</v>
      </c>
      <c r="B4410" s="2" t="s">
        <v>30</v>
      </c>
      <c r="C4410" s="2">
        <v>4</v>
      </c>
      <c r="D4410" s="2">
        <f t="shared" si="272"/>
        <v>2026</v>
      </c>
      <c r="E4410" s="2" t="str">
        <f t="shared" si="273"/>
        <v>2026-13</v>
      </c>
      <c r="F4410" s="2" t="str">
        <f t="shared" si="274"/>
        <v>Week 13</v>
      </c>
      <c r="G4410" s="2" t="str">
        <f t="shared" si="275"/>
        <v>Week 13-2026</v>
      </c>
      <c r="O4410"/>
      <c r="Q4410"/>
    </row>
    <row r="4411" spans="1:17" hidden="1" x14ac:dyDescent="0.2">
      <c r="A4411" s="3">
        <v>46104</v>
      </c>
      <c r="B4411" s="2" t="s">
        <v>30</v>
      </c>
      <c r="C4411" s="2">
        <v>4</v>
      </c>
      <c r="D4411" s="2">
        <f t="shared" si="272"/>
        <v>2026</v>
      </c>
      <c r="E4411" s="2" t="str">
        <f t="shared" si="273"/>
        <v>2026-13</v>
      </c>
      <c r="F4411" s="2" t="str">
        <f t="shared" si="274"/>
        <v>Week 13</v>
      </c>
      <c r="G4411" s="2" t="str">
        <f t="shared" si="275"/>
        <v>Week 13-2026</v>
      </c>
      <c r="O4411"/>
      <c r="Q4411"/>
    </row>
    <row r="4412" spans="1:17" hidden="1" x14ac:dyDescent="0.2">
      <c r="A4412" s="3">
        <v>46104</v>
      </c>
      <c r="B4412" s="2" t="s">
        <v>30</v>
      </c>
      <c r="C4412" s="2">
        <v>4</v>
      </c>
      <c r="D4412" s="2">
        <f t="shared" si="272"/>
        <v>2026</v>
      </c>
      <c r="E4412" s="2" t="str">
        <f t="shared" si="273"/>
        <v>2026-13</v>
      </c>
      <c r="F4412" s="2" t="str">
        <f t="shared" si="274"/>
        <v>Week 13</v>
      </c>
      <c r="G4412" s="2" t="str">
        <f t="shared" si="275"/>
        <v>Week 13-2026</v>
      </c>
      <c r="O4412"/>
      <c r="Q4412"/>
    </row>
    <row r="4413" spans="1:17" hidden="1" x14ac:dyDescent="0.2">
      <c r="A4413" s="3">
        <v>46104</v>
      </c>
      <c r="B4413" s="2" t="s">
        <v>13</v>
      </c>
      <c r="C4413" s="2">
        <v>2</v>
      </c>
      <c r="D4413" s="2">
        <f t="shared" si="272"/>
        <v>2026</v>
      </c>
      <c r="E4413" s="2" t="str">
        <f t="shared" si="273"/>
        <v>2026-13</v>
      </c>
      <c r="F4413" s="2" t="str">
        <f t="shared" si="274"/>
        <v>Week 13</v>
      </c>
      <c r="G4413" s="2" t="str">
        <f t="shared" si="275"/>
        <v>Week 13-2026</v>
      </c>
      <c r="O4413"/>
      <c r="Q4413"/>
    </row>
    <row r="4414" spans="1:17" hidden="1" x14ac:dyDescent="0.2">
      <c r="A4414" s="3">
        <v>46104</v>
      </c>
      <c r="B4414" s="2" t="s">
        <v>29</v>
      </c>
      <c r="C4414" s="2">
        <v>2</v>
      </c>
      <c r="D4414" s="2">
        <f t="shared" si="272"/>
        <v>2026</v>
      </c>
      <c r="E4414" s="2" t="str">
        <f t="shared" si="273"/>
        <v>2026-13</v>
      </c>
      <c r="F4414" s="2" t="str">
        <f t="shared" si="274"/>
        <v>Week 13</v>
      </c>
      <c r="G4414" s="2" t="str">
        <f t="shared" si="275"/>
        <v>Week 13-2026</v>
      </c>
      <c r="O4414"/>
      <c r="Q4414"/>
    </row>
    <row r="4415" spans="1:17" hidden="1" x14ac:dyDescent="0.2">
      <c r="A4415" s="3">
        <v>46104</v>
      </c>
      <c r="B4415" s="2" t="s">
        <v>42</v>
      </c>
      <c r="C4415" s="2">
        <v>4</v>
      </c>
      <c r="D4415" s="2">
        <f t="shared" si="272"/>
        <v>2026</v>
      </c>
      <c r="E4415" s="2" t="str">
        <f t="shared" si="273"/>
        <v>2026-13</v>
      </c>
      <c r="F4415" s="2" t="str">
        <f t="shared" si="274"/>
        <v>Week 13</v>
      </c>
      <c r="G4415" s="2" t="str">
        <f t="shared" si="275"/>
        <v>Week 13-2026</v>
      </c>
      <c r="O4415"/>
      <c r="Q4415"/>
    </row>
    <row r="4416" spans="1:17" hidden="1" x14ac:dyDescent="0.2">
      <c r="A4416" s="3">
        <v>46104</v>
      </c>
      <c r="B4416" s="2" t="s">
        <v>34</v>
      </c>
      <c r="C4416" s="2">
        <v>2</v>
      </c>
      <c r="D4416" s="2">
        <f t="shared" si="272"/>
        <v>2026</v>
      </c>
      <c r="E4416" s="2" t="str">
        <f t="shared" si="273"/>
        <v>2026-13</v>
      </c>
      <c r="F4416" s="2" t="str">
        <f t="shared" si="274"/>
        <v>Week 13</v>
      </c>
      <c r="G4416" s="2" t="str">
        <f t="shared" si="275"/>
        <v>Week 13-2026</v>
      </c>
      <c r="O4416"/>
      <c r="Q4416"/>
    </row>
    <row r="4417" spans="1:17" hidden="1" x14ac:dyDescent="0.2">
      <c r="A4417" s="3">
        <v>46104</v>
      </c>
      <c r="B4417" s="2" t="s">
        <v>14</v>
      </c>
      <c r="C4417" s="2">
        <v>2</v>
      </c>
      <c r="D4417" s="2">
        <f t="shared" si="272"/>
        <v>2026</v>
      </c>
      <c r="E4417" s="2" t="str">
        <f t="shared" si="273"/>
        <v>2026-13</v>
      </c>
      <c r="F4417" s="2" t="str">
        <f t="shared" si="274"/>
        <v>Week 13</v>
      </c>
      <c r="G4417" s="2" t="str">
        <f t="shared" si="275"/>
        <v>Week 13-2026</v>
      </c>
      <c r="O4417"/>
      <c r="Q4417"/>
    </row>
    <row r="4418" spans="1:17" hidden="1" x14ac:dyDescent="0.2">
      <c r="A4418" s="3">
        <v>46104</v>
      </c>
      <c r="B4418" s="2" t="s">
        <v>14</v>
      </c>
      <c r="C4418" s="2">
        <v>2</v>
      </c>
      <c r="D4418" s="2">
        <f t="shared" ref="D4418:D4481" si="276">YEAR(A4418)</f>
        <v>2026</v>
      </c>
      <c r="E4418" s="2" t="str">
        <f t="shared" ref="E4418:E4481" si="277">YEAR(A4418)&amp;"-"&amp;_xlfn.ISOWEEKNUM(A4418)</f>
        <v>2026-13</v>
      </c>
      <c r="F4418" s="2" t="str">
        <f t="shared" ref="F4418:F4481" si="278">_xlfn.CONCAT("Week "&amp;WEEKNUM(A4418))</f>
        <v>Week 13</v>
      </c>
      <c r="G4418" s="2" t="str">
        <f t="shared" ref="G4418:G4481" si="279">_xlfn.CONCAT(F4418,"-",D4418)</f>
        <v>Week 13-2026</v>
      </c>
      <c r="O4418"/>
      <c r="Q4418"/>
    </row>
    <row r="4419" spans="1:17" hidden="1" x14ac:dyDescent="0.2">
      <c r="A4419" s="3">
        <v>46104</v>
      </c>
      <c r="B4419" s="2" t="s">
        <v>14</v>
      </c>
      <c r="C4419" s="2">
        <v>2</v>
      </c>
      <c r="D4419" s="2">
        <f t="shared" si="276"/>
        <v>2026</v>
      </c>
      <c r="E4419" s="2" t="str">
        <f t="shared" si="277"/>
        <v>2026-13</v>
      </c>
      <c r="F4419" s="2" t="str">
        <f t="shared" si="278"/>
        <v>Week 13</v>
      </c>
      <c r="G4419" s="2" t="str">
        <f t="shared" si="279"/>
        <v>Week 13-2026</v>
      </c>
      <c r="O4419"/>
      <c r="Q4419"/>
    </row>
    <row r="4420" spans="1:17" hidden="1" x14ac:dyDescent="0.2">
      <c r="A4420" s="3">
        <v>46104</v>
      </c>
      <c r="B4420" s="2" t="s">
        <v>8</v>
      </c>
      <c r="C4420" s="2">
        <v>2</v>
      </c>
      <c r="D4420" s="2">
        <f t="shared" si="276"/>
        <v>2026</v>
      </c>
      <c r="E4420" s="2" t="str">
        <f t="shared" si="277"/>
        <v>2026-13</v>
      </c>
      <c r="F4420" s="2" t="str">
        <f t="shared" si="278"/>
        <v>Week 13</v>
      </c>
      <c r="G4420" s="2" t="str">
        <f t="shared" si="279"/>
        <v>Week 13-2026</v>
      </c>
      <c r="O4420"/>
      <c r="Q4420"/>
    </row>
    <row r="4421" spans="1:17" hidden="1" x14ac:dyDescent="0.2">
      <c r="A4421" s="3">
        <v>46104</v>
      </c>
      <c r="B4421" s="2" t="s">
        <v>5</v>
      </c>
      <c r="C4421" s="2">
        <v>1</v>
      </c>
      <c r="D4421" s="2">
        <f t="shared" si="276"/>
        <v>2026</v>
      </c>
      <c r="E4421" s="2" t="str">
        <f t="shared" si="277"/>
        <v>2026-13</v>
      </c>
      <c r="F4421" s="2" t="str">
        <f t="shared" si="278"/>
        <v>Week 13</v>
      </c>
      <c r="G4421" s="2" t="str">
        <f t="shared" si="279"/>
        <v>Week 13-2026</v>
      </c>
      <c r="O4421"/>
      <c r="Q4421"/>
    </row>
    <row r="4422" spans="1:17" hidden="1" x14ac:dyDescent="0.2">
      <c r="A4422" s="3">
        <v>46107</v>
      </c>
      <c r="B4422" s="2" t="s">
        <v>7</v>
      </c>
      <c r="C4422" s="2">
        <v>26</v>
      </c>
      <c r="D4422" s="2">
        <f t="shared" si="276"/>
        <v>2026</v>
      </c>
      <c r="E4422" s="2" t="str">
        <f t="shared" si="277"/>
        <v>2026-13</v>
      </c>
      <c r="F4422" s="2" t="str">
        <f t="shared" si="278"/>
        <v>Week 13</v>
      </c>
      <c r="G4422" s="2" t="str">
        <f t="shared" si="279"/>
        <v>Week 13-2026</v>
      </c>
      <c r="O4422"/>
      <c r="Q4422"/>
    </row>
    <row r="4423" spans="1:17" hidden="1" x14ac:dyDescent="0.2">
      <c r="A4423" s="3">
        <v>46107</v>
      </c>
      <c r="B4423" s="2" t="s">
        <v>19</v>
      </c>
      <c r="C4423" s="2">
        <v>15</v>
      </c>
      <c r="D4423" s="2">
        <f t="shared" si="276"/>
        <v>2026</v>
      </c>
      <c r="E4423" s="2" t="str">
        <f t="shared" si="277"/>
        <v>2026-13</v>
      </c>
      <c r="F4423" s="2" t="str">
        <f t="shared" si="278"/>
        <v>Week 13</v>
      </c>
      <c r="G4423" s="2" t="str">
        <f t="shared" si="279"/>
        <v>Week 13-2026</v>
      </c>
      <c r="O4423"/>
      <c r="Q4423"/>
    </row>
    <row r="4424" spans="1:17" hidden="1" x14ac:dyDescent="0.2">
      <c r="A4424" s="3">
        <v>46107</v>
      </c>
      <c r="B4424" s="2" t="s">
        <v>7</v>
      </c>
      <c r="C4424" s="2">
        <v>14</v>
      </c>
      <c r="D4424" s="2">
        <f t="shared" si="276"/>
        <v>2026</v>
      </c>
      <c r="E4424" s="2" t="str">
        <f t="shared" si="277"/>
        <v>2026-13</v>
      </c>
      <c r="F4424" s="2" t="str">
        <f t="shared" si="278"/>
        <v>Week 13</v>
      </c>
      <c r="G4424" s="2" t="str">
        <f t="shared" si="279"/>
        <v>Week 13-2026</v>
      </c>
      <c r="O4424"/>
      <c r="Q4424"/>
    </row>
    <row r="4425" spans="1:17" hidden="1" x14ac:dyDescent="0.2">
      <c r="A4425" s="3">
        <v>46107</v>
      </c>
      <c r="B4425" s="2" t="s">
        <v>5</v>
      </c>
      <c r="C4425" s="2">
        <v>16</v>
      </c>
      <c r="D4425" s="2">
        <f t="shared" si="276"/>
        <v>2026</v>
      </c>
      <c r="E4425" s="2" t="str">
        <f t="shared" si="277"/>
        <v>2026-13</v>
      </c>
      <c r="F4425" s="2" t="str">
        <f t="shared" si="278"/>
        <v>Week 13</v>
      </c>
      <c r="G4425" s="2" t="str">
        <f t="shared" si="279"/>
        <v>Week 13-2026</v>
      </c>
      <c r="O4425"/>
      <c r="Q4425"/>
    </row>
    <row r="4426" spans="1:17" hidden="1" x14ac:dyDescent="0.2">
      <c r="A4426" s="3">
        <v>46107</v>
      </c>
      <c r="B4426" s="2" t="s">
        <v>6</v>
      </c>
      <c r="C4426" s="2">
        <v>8</v>
      </c>
      <c r="D4426" s="2">
        <f t="shared" si="276"/>
        <v>2026</v>
      </c>
      <c r="E4426" s="2" t="str">
        <f t="shared" si="277"/>
        <v>2026-13</v>
      </c>
      <c r="F4426" s="2" t="str">
        <f t="shared" si="278"/>
        <v>Week 13</v>
      </c>
      <c r="G4426" s="2" t="str">
        <f t="shared" si="279"/>
        <v>Week 13-2026</v>
      </c>
      <c r="O4426"/>
      <c r="Q4426"/>
    </row>
    <row r="4427" spans="1:17" hidden="1" x14ac:dyDescent="0.2">
      <c r="A4427" s="3">
        <v>46107</v>
      </c>
      <c r="B4427" s="2" t="s">
        <v>4</v>
      </c>
      <c r="C4427" s="2">
        <v>8</v>
      </c>
      <c r="D4427" s="2">
        <f t="shared" si="276"/>
        <v>2026</v>
      </c>
      <c r="E4427" s="2" t="str">
        <f t="shared" si="277"/>
        <v>2026-13</v>
      </c>
      <c r="F4427" s="2" t="str">
        <f t="shared" si="278"/>
        <v>Week 13</v>
      </c>
      <c r="G4427" s="2" t="str">
        <f t="shared" si="279"/>
        <v>Week 13-2026</v>
      </c>
      <c r="O4427"/>
      <c r="Q4427"/>
    </row>
    <row r="4428" spans="1:17" hidden="1" x14ac:dyDescent="0.2">
      <c r="A4428" s="3">
        <v>46107</v>
      </c>
      <c r="B4428" s="2" t="s">
        <v>3</v>
      </c>
      <c r="C4428" s="2">
        <v>8</v>
      </c>
      <c r="D4428" s="2">
        <f t="shared" si="276"/>
        <v>2026</v>
      </c>
      <c r="E4428" s="2" t="str">
        <f t="shared" si="277"/>
        <v>2026-13</v>
      </c>
      <c r="F4428" s="2" t="str">
        <f t="shared" si="278"/>
        <v>Week 13</v>
      </c>
      <c r="G4428" s="2" t="str">
        <f t="shared" si="279"/>
        <v>Week 13-2026</v>
      </c>
      <c r="O4428"/>
      <c r="Q4428"/>
    </row>
    <row r="4429" spans="1:17" hidden="1" x14ac:dyDescent="0.2">
      <c r="A4429" s="3">
        <v>46107</v>
      </c>
      <c r="B4429" s="2" t="s">
        <v>9</v>
      </c>
      <c r="C4429" s="2">
        <v>6</v>
      </c>
      <c r="D4429" s="2">
        <f t="shared" si="276"/>
        <v>2026</v>
      </c>
      <c r="E4429" s="2" t="str">
        <f t="shared" si="277"/>
        <v>2026-13</v>
      </c>
      <c r="F4429" s="2" t="str">
        <f t="shared" si="278"/>
        <v>Week 13</v>
      </c>
      <c r="G4429" s="2" t="str">
        <f t="shared" si="279"/>
        <v>Week 13-2026</v>
      </c>
      <c r="O4429"/>
      <c r="Q4429"/>
    </row>
    <row r="4430" spans="1:17" hidden="1" x14ac:dyDescent="0.2">
      <c r="A4430" s="3">
        <v>46107</v>
      </c>
      <c r="B4430" s="2" t="s">
        <v>5</v>
      </c>
      <c r="C4430" s="2">
        <v>4</v>
      </c>
      <c r="D4430" s="2">
        <f t="shared" si="276"/>
        <v>2026</v>
      </c>
      <c r="E4430" s="2" t="str">
        <f t="shared" si="277"/>
        <v>2026-13</v>
      </c>
      <c r="F4430" s="2" t="str">
        <f t="shared" si="278"/>
        <v>Week 13</v>
      </c>
      <c r="G4430" s="2" t="str">
        <f t="shared" si="279"/>
        <v>Week 13-2026</v>
      </c>
      <c r="O4430"/>
      <c r="Q4430"/>
    </row>
    <row r="4431" spans="1:17" hidden="1" x14ac:dyDescent="0.2">
      <c r="A4431" s="3">
        <v>46107</v>
      </c>
      <c r="B4431" s="2" t="s">
        <v>19</v>
      </c>
      <c r="C4431" s="2">
        <v>1</v>
      </c>
      <c r="D4431" s="2">
        <f t="shared" si="276"/>
        <v>2026</v>
      </c>
      <c r="E4431" s="2" t="str">
        <f t="shared" si="277"/>
        <v>2026-13</v>
      </c>
      <c r="F4431" s="2" t="str">
        <f t="shared" si="278"/>
        <v>Week 13</v>
      </c>
      <c r="G4431" s="2" t="str">
        <f t="shared" si="279"/>
        <v>Week 13-2026</v>
      </c>
      <c r="O4431"/>
      <c r="Q4431"/>
    </row>
    <row r="4432" spans="1:17" hidden="1" x14ac:dyDescent="0.2">
      <c r="A4432" s="3">
        <v>46109</v>
      </c>
      <c r="B4432" s="2" t="s">
        <v>12</v>
      </c>
      <c r="C4432" s="2">
        <v>12</v>
      </c>
      <c r="D4432" s="2">
        <f t="shared" si="276"/>
        <v>2026</v>
      </c>
      <c r="E4432" s="2" t="str">
        <f t="shared" si="277"/>
        <v>2026-13</v>
      </c>
      <c r="F4432" s="2" t="str">
        <f t="shared" si="278"/>
        <v>Week 13</v>
      </c>
      <c r="G4432" s="2" t="str">
        <f t="shared" si="279"/>
        <v>Week 13-2026</v>
      </c>
      <c r="O4432"/>
      <c r="Q4432"/>
    </row>
    <row r="4433" spans="1:17" hidden="1" x14ac:dyDescent="0.2">
      <c r="A4433" s="3">
        <v>46109</v>
      </c>
      <c r="B4433" s="2" t="s">
        <v>5</v>
      </c>
      <c r="C4433" s="2">
        <v>8</v>
      </c>
      <c r="D4433" s="2">
        <f t="shared" si="276"/>
        <v>2026</v>
      </c>
      <c r="E4433" s="2" t="str">
        <f t="shared" si="277"/>
        <v>2026-13</v>
      </c>
      <c r="F4433" s="2" t="str">
        <f t="shared" si="278"/>
        <v>Week 13</v>
      </c>
      <c r="G4433" s="2" t="str">
        <f t="shared" si="279"/>
        <v>Week 13-2026</v>
      </c>
      <c r="O4433"/>
      <c r="Q4433"/>
    </row>
    <row r="4434" spans="1:17" hidden="1" x14ac:dyDescent="0.2">
      <c r="A4434" s="3">
        <v>46109</v>
      </c>
      <c r="B4434" s="2" t="s">
        <v>14</v>
      </c>
      <c r="C4434" s="2">
        <v>1</v>
      </c>
      <c r="D4434" s="2">
        <f t="shared" si="276"/>
        <v>2026</v>
      </c>
      <c r="E4434" s="2" t="str">
        <f t="shared" si="277"/>
        <v>2026-13</v>
      </c>
      <c r="F4434" s="2" t="str">
        <f t="shared" si="278"/>
        <v>Week 13</v>
      </c>
      <c r="G4434" s="2" t="str">
        <f t="shared" si="279"/>
        <v>Week 13-2026</v>
      </c>
      <c r="O4434"/>
      <c r="Q4434"/>
    </row>
    <row r="4435" spans="1:17" hidden="1" x14ac:dyDescent="0.2">
      <c r="A4435" s="3">
        <v>46111</v>
      </c>
      <c r="B4435" s="2" t="s">
        <v>5</v>
      </c>
      <c r="C4435" s="2">
        <v>7</v>
      </c>
      <c r="D4435" s="2">
        <f t="shared" si="276"/>
        <v>2026</v>
      </c>
      <c r="E4435" s="2" t="str">
        <f t="shared" si="277"/>
        <v>2026-14</v>
      </c>
      <c r="F4435" s="2" t="str">
        <f t="shared" si="278"/>
        <v>Week 14</v>
      </c>
      <c r="G4435" s="2" t="str">
        <f t="shared" si="279"/>
        <v>Week 14-2026</v>
      </c>
      <c r="O4435"/>
      <c r="Q4435"/>
    </row>
    <row r="4436" spans="1:17" hidden="1" x14ac:dyDescent="0.2">
      <c r="A4436" s="3">
        <v>46111</v>
      </c>
      <c r="B4436" s="2" t="s">
        <v>9</v>
      </c>
      <c r="C4436" s="2">
        <v>4</v>
      </c>
      <c r="D4436" s="2">
        <f t="shared" si="276"/>
        <v>2026</v>
      </c>
      <c r="E4436" s="2" t="str">
        <f t="shared" si="277"/>
        <v>2026-14</v>
      </c>
      <c r="F4436" s="2" t="str">
        <f t="shared" si="278"/>
        <v>Week 14</v>
      </c>
      <c r="G4436" s="2" t="str">
        <f t="shared" si="279"/>
        <v>Week 14-2026</v>
      </c>
      <c r="O4436"/>
      <c r="Q4436"/>
    </row>
    <row r="4437" spans="1:17" x14ac:dyDescent="0.2">
      <c r="A4437" s="3">
        <v>46111</v>
      </c>
      <c r="B4437" s="2" t="s">
        <v>24</v>
      </c>
      <c r="C4437" s="2">
        <v>10</v>
      </c>
      <c r="D4437" s="2">
        <f t="shared" si="276"/>
        <v>2026</v>
      </c>
      <c r="E4437" s="2" t="str">
        <f t="shared" si="277"/>
        <v>2026-14</v>
      </c>
      <c r="F4437" s="2" t="str">
        <f t="shared" si="278"/>
        <v>Week 14</v>
      </c>
      <c r="G4437" s="2" t="str">
        <f t="shared" si="279"/>
        <v>Week 14-2026</v>
      </c>
      <c r="O4437"/>
      <c r="Q4437"/>
    </row>
    <row r="4438" spans="1:17" hidden="1" x14ac:dyDescent="0.2">
      <c r="A4438" s="3">
        <v>46111</v>
      </c>
      <c r="B4438" s="2" t="s">
        <v>5</v>
      </c>
      <c r="C4438" s="2">
        <v>4</v>
      </c>
      <c r="D4438" s="2">
        <f t="shared" si="276"/>
        <v>2026</v>
      </c>
      <c r="E4438" s="2" t="str">
        <f t="shared" si="277"/>
        <v>2026-14</v>
      </c>
      <c r="F4438" s="2" t="str">
        <f t="shared" si="278"/>
        <v>Week 14</v>
      </c>
      <c r="G4438" s="2" t="str">
        <f t="shared" si="279"/>
        <v>Week 14-2026</v>
      </c>
      <c r="O4438"/>
      <c r="Q4438"/>
    </row>
    <row r="4439" spans="1:17" hidden="1" x14ac:dyDescent="0.2">
      <c r="A4439" s="3">
        <v>46111</v>
      </c>
      <c r="B4439" s="2" t="s">
        <v>36</v>
      </c>
      <c r="C4439" s="2">
        <v>8</v>
      </c>
      <c r="D4439" s="2">
        <f t="shared" si="276"/>
        <v>2026</v>
      </c>
      <c r="E4439" s="2" t="str">
        <f t="shared" si="277"/>
        <v>2026-14</v>
      </c>
      <c r="F4439" s="2" t="str">
        <f t="shared" si="278"/>
        <v>Week 14</v>
      </c>
      <c r="G4439" s="2" t="str">
        <f t="shared" si="279"/>
        <v>Week 14-2026</v>
      </c>
      <c r="O4439"/>
      <c r="Q4439"/>
    </row>
    <row r="4440" spans="1:17" hidden="1" x14ac:dyDescent="0.2">
      <c r="A4440" s="3">
        <v>46111</v>
      </c>
      <c r="B4440" s="2" t="s">
        <v>19</v>
      </c>
      <c r="C4440" s="2">
        <v>2</v>
      </c>
      <c r="D4440" s="2">
        <f t="shared" si="276"/>
        <v>2026</v>
      </c>
      <c r="E4440" s="2" t="str">
        <f t="shared" si="277"/>
        <v>2026-14</v>
      </c>
      <c r="F4440" s="2" t="str">
        <f t="shared" si="278"/>
        <v>Week 14</v>
      </c>
      <c r="G4440" s="2" t="str">
        <f t="shared" si="279"/>
        <v>Week 14-2026</v>
      </c>
      <c r="O4440"/>
      <c r="Q4440"/>
    </row>
    <row r="4441" spans="1:17" hidden="1" x14ac:dyDescent="0.2">
      <c r="A4441" s="3">
        <v>46111</v>
      </c>
      <c r="B4441" s="2" t="s">
        <v>15</v>
      </c>
      <c r="C4441" s="2">
        <v>6</v>
      </c>
      <c r="D4441" s="2">
        <f t="shared" si="276"/>
        <v>2026</v>
      </c>
      <c r="E4441" s="2" t="str">
        <f t="shared" si="277"/>
        <v>2026-14</v>
      </c>
      <c r="F4441" s="2" t="str">
        <f t="shared" si="278"/>
        <v>Week 14</v>
      </c>
      <c r="G4441" s="2" t="str">
        <f t="shared" si="279"/>
        <v>Week 14-2026</v>
      </c>
      <c r="O4441"/>
      <c r="Q4441"/>
    </row>
    <row r="4442" spans="1:17" hidden="1" x14ac:dyDescent="0.2">
      <c r="A4442" s="3">
        <v>46111</v>
      </c>
      <c r="B4442" s="2" t="s">
        <v>9</v>
      </c>
      <c r="C4442" s="2">
        <v>2</v>
      </c>
      <c r="D4442" s="2">
        <f t="shared" si="276"/>
        <v>2026</v>
      </c>
      <c r="E4442" s="2" t="str">
        <f t="shared" si="277"/>
        <v>2026-14</v>
      </c>
      <c r="F4442" s="2" t="str">
        <f t="shared" si="278"/>
        <v>Week 14</v>
      </c>
      <c r="G4442" s="2" t="str">
        <f t="shared" si="279"/>
        <v>Week 14-2026</v>
      </c>
      <c r="O4442"/>
      <c r="Q4442"/>
    </row>
    <row r="4443" spans="1:17" hidden="1" x14ac:dyDescent="0.2">
      <c r="A4443" s="3">
        <v>46111</v>
      </c>
      <c r="B4443" s="2" t="s">
        <v>5</v>
      </c>
      <c r="C4443" s="2">
        <v>1</v>
      </c>
      <c r="D4443" s="2">
        <f t="shared" si="276"/>
        <v>2026</v>
      </c>
      <c r="E4443" s="2" t="str">
        <f t="shared" si="277"/>
        <v>2026-14</v>
      </c>
      <c r="F4443" s="2" t="str">
        <f t="shared" si="278"/>
        <v>Week 14</v>
      </c>
      <c r="G4443" s="2" t="str">
        <f t="shared" si="279"/>
        <v>Week 14-2026</v>
      </c>
      <c r="O4443"/>
      <c r="Q4443"/>
    </row>
    <row r="4444" spans="1:17" hidden="1" x14ac:dyDescent="0.2">
      <c r="A4444" s="3">
        <v>46112</v>
      </c>
      <c r="B4444" s="2" t="s">
        <v>5</v>
      </c>
      <c r="C4444" s="2">
        <v>16</v>
      </c>
      <c r="D4444" s="2">
        <f t="shared" si="276"/>
        <v>2026</v>
      </c>
      <c r="E4444" s="2" t="str">
        <f t="shared" si="277"/>
        <v>2026-14</v>
      </c>
      <c r="F4444" s="2" t="str">
        <f t="shared" si="278"/>
        <v>Week 14</v>
      </c>
      <c r="G4444" s="2" t="str">
        <f t="shared" si="279"/>
        <v>Week 14-2026</v>
      </c>
      <c r="O4444"/>
      <c r="Q4444"/>
    </row>
    <row r="4445" spans="1:17" hidden="1" x14ac:dyDescent="0.2">
      <c r="A4445" s="3">
        <v>46112</v>
      </c>
      <c r="B4445" s="2" t="s">
        <v>22</v>
      </c>
      <c r="C4445" s="2">
        <v>8</v>
      </c>
      <c r="D4445" s="2">
        <f t="shared" si="276"/>
        <v>2026</v>
      </c>
      <c r="E4445" s="2" t="str">
        <f t="shared" si="277"/>
        <v>2026-14</v>
      </c>
      <c r="F4445" s="2" t="str">
        <f t="shared" si="278"/>
        <v>Week 14</v>
      </c>
      <c r="G4445" s="2" t="str">
        <f t="shared" si="279"/>
        <v>Week 14-2026</v>
      </c>
      <c r="O4445"/>
      <c r="Q4445"/>
    </row>
    <row r="4446" spans="1:17" hidden="1" x14ac:dyDescent="0.2">
      <c r="A4446" s="3">
        <v>46112</v>
      </c>
      <c r="B4446" s="2" t="s">
        <v>6</v>
      </c>
      <c r="C4446" s="2">
        <v>6</v>
      </c>
      <c r="D4446" s="2">
        <f t="shared" si="276"/>
        <v>2026</v>
      </c>
      <c r="E4446" s="2" t="str">
        <f t="shared" si="277"/>
        <v>2026-14</v>
      </c>
      <c r="F4446" s="2" t="str">
        <f t="shared" si="278"/>
        <v>Week 14</v>
      </c>
      <c r="G4446" s="2" t="str">
        <f t="shared" si="279"/>
        <v>Week 14-2026</v>
      </c>
      <c r="O4446"/>
      <c r="Q4446"/>
    </row>
    <row r="4447" spans="1:17" hidden="1" x14ac:dyDescent="0.2">
      <c r="A4447" s="3">
        <v>46112</v>
      </c>
      <c r="B4447" s="2" t="s">
        <v>30</v>
      </c>
      <c r="C4447" s="2">
        <v>10</v>
      </c>
      <c r="D4447" s="2">
        <f t="shared" si="276"/>
        <v>2026</v>
      </c>
      <c r="E4447" s="2" t="str">
        <f t="shared" si="277"/>
        <v>2026-14</v>
      </c>
      <c r="F4447" s="2" t="str">
        <f t="shared" si="278"/>
        <v>Week 14</v>
      </c>
      <c r="G4447" s="2" t="str">
        <f t="shared" si="279"/>
        <v>Week 14-2026</v>
      </c>
      <c r="O4447"/>
      <c r="Q4447"/>
    </row>
    <row r="4448" spans="1:17" hidden="1" x14ac:dyDescent="0.2">
      <c r="A4448" s="3">
        <v>46112</v>
      </c>
      <c r="B4448" s="2" t="s">
        <v>48</v>
      </c>
      <c r="C4448" s="2">
        <v>4</v>
      </c>
      <c r="D4448" s="2">
        <f t="shared" si="276"/>
        <v>2026</v>
      </c>
      <c r="E4448" s="2" t="str">
        <f t="shared" si="277"/>
        <v>2026-14</v>
      </c>
      <c r="F4448" s="2" t="str">
        <f t="shared" si="278"/>
        <v>Week 14</v>
      </c>
      <c r="G4448" s="2" t="str">
        <f t="shared" si="279"/>
        <v>Week 14-2026</v>
      </c>
      <c r="O4448"/>
      <c r="Q4448"/>
    </row>
    <row r="4449" spans="1:17" hidden="1" x14ac:dyDescent="0.2">
      <c r="A4449" s="3">
        <v>46112</v>
      </c>
      <c r="B4449" s="2" t="s">
        <v>10</v>
      </c>
      <c r="C4449" s="2">
        <v>4</v>
      </c>
      <c r="D4449" s="2">
        <f t="shared" si="276"/>
        <v>2026</v>
      </c>
      <c r="E4449" s="2" t="str">
        <f t="shared" si="277"/>
        <v>2026-14</v>
      </c>
      <c r="F4449" s="2" t="str">
        <f t="shared" si="278"/>
        <v>Week 14</v>
      </c>
      <c r="G4449" s="2" t="str">
        <f t="shared" si="279"/>
        <v>Week 14-2026</v>
      </c>
      <c r="O4449"/>
      <c r="Q4449"/>
    </row>
    <row r="4450" spans="1:17" hidden="1" x14ac:dyDescent="0.2">
      <c r="A4450" s="3">
        <v>46112</v>
      </c>
      <c r="B4450" s="2" t="s">
        <v>30</v>
      </c>
      <c r="C4450" s="2">
        <v>4</v>
      </c>
      <c r="D4450" s="2">
        <f t="shared" si="276"/>
        <v>2026</v>
      </c>
      <c r="E4450" s="2" t="str">
        <f t="shared" si="277"/>
        <v>2026-14</v>
      </c>
      <c r="F4450" s="2" t="str">
        <f t="shared" si="278"/>
        <v>Week 14</v>
      </c>
      <c r="G4450" s="2" t="str">
        <f t="shared" si="279"/>
        <v>Week 14-2026</v>
      </c>
      <c r="O4450"/>
      <c r="Q4450"/>
    </row>
    <row r="4451" spans="1:17" hidden="1" x14ac:dyDescent="0.2">
      <c r="A4451" s="3">
        <v>46112</v>
      </c>
      <c r="B4451" s="2" t="s">
        <v>30</v>
      </c>
      <c r="C4451" s="2">
        <v>2</v>
      </c>
      <c r="D4451" s="2">
        <f t="shared" si="276"/>
        <v>2026</v>
      </c>
      <c r="E4451" s="2" t="str">
        <f t="shared" si="277"/>
        <v>2026-14</v>
      </c>
      <c r="F4451" s="2" t="str">
        <f t="shared" si="278"/>
        <v>Week 14</v>
      </c>
      <c r="G4451" s="2" t="str">
        <f t="shared" si="279"/>
        <v>Week 14-2026</v>
      </c>
      <c r="O4451"/>
      <c r="Q4451"/>
    </row>
    <row r="4452" spans="1:17" hidden="1" x14ac:dyDescent="0.2">
      <c r="A4452" s="3">
        <v>46115</v>
      </c>
      <c r="B4452" s="2" t="s">
        <v>5</v>
      </c>
      <c r="C4452" s="2">
        <v>22</v>
      </c>
      <c r="D4452" s="2">
        <f t="shared" si="276"/>
        <v>2026</v>
      </c>
      <c r="E4452" s="2" t="str">
        <f t="shared" si="277"/>
        <v>2026-14</v>
      </c>
      <c r="F4452" s="2" t="str">
        <f t="shared" si="278"/>
        <v>Week 14</v>
      </c>
      <c r="G4452" s="2" t="str">
        <f t="shared" si="279"/>
        <v>Week 14-2026</v>
      </c>
      <c r="O4452"/>
      <c r="Q4452"/>
    </row>
    <row r="4453" spans="1:17" hidden="1" x14ac:dyDescent="0.2">
      <c r="A4453" s="3">
        <v>46115</v>
      </c>
      <c r="B4453" s="2" t="s">
        <v>3</v>
      </c>
      <c r="C4453" s="2">
        <v>12</v>
      </c>
      <c r="D4453" s="2">
        <f t="shared" si="276"/>
        <v>2026</v>
      </c>
      <c r="E4453" s="2" t="str">
        <f t="shared" si="277"/>
        <v>2026-14</v>
      </c>
      <c r="F4453" s="2" t="str">
        <f t="shared" si="278"/>
        <v>Week 14</v>
      </c>
      <c r="G4453" s="2" t="str">
        <f t="shared" si="279"/>
        <v>Week 14-2026</v>
      </c>
      <c r="O4453"/>
      <c r="Q4453"/>
    </row>
    <row r="4454" spans="1:17" hidden="1" x14ac:dyDescent="0.2">
      <c r="A4454" s="3">
        <v>46115</v>
      </c>
      <c r="B4454" s="2" t="s">
        <v>4</v>
      </c>
      <c r="C4454" s="2">
        <v>8</v>
      </c>
      <c r="D4454" s="2">
        <f t="shared" si="276"/>
        <v>2026</v>
      </c>
      <c r="E4454" s="2" t="str">
        <f t="shared" si="277"/>
        <v>2026-14</v>
      </c>
      <c r="F4454" s="2" t="str">
        <f t="shared" si="278"/>
        <v>Week 14</v>
      </c>
      <c r="G4454" s="2" t="str">
        <f t="shared" si="279"/>
        <v>Week 14-2026</v>
      </c>
      <c r="O4454"/>
      <c r="Q4454"/>
    </row>
    <row r="4455" spans="1:17" hidden="1" x14ac:dyDescent="0.2">
      <c r="A4455" s="3">
        <v>46115</v>
      </c>
      <c r="B4455" s="2" t="s">
        <v>5</v>
      </c>
      <c r="C4455" s="2">
        <v>12</v>
      </c>
      <c r="D4455" s="2">
        <f t="shared" si="276"/>
        <v>2026</v>
      </c>
      <c r="E4455" s="2" t="str">
        <f t="shared" si="277"/>
        <v>2026-14</v>
      </c>
      <c r="F4455" s="2" t="str">
        <f t="shared" si="278"/>
        <v>Week 14</v>
      </c>
      <c r="G4455" s="2" t="str">
        <f t="shared" si="279"/>
        <v>Week 14-2026</v>
      </c>
      <c r="O4455"/>
      <c r="Q4455"/>
    </row>
    <row r="4456" spans="1:17" hidden="1" x14ac:dyDescent="0.2">
      <c r="A4456" s="3">
        <v>46115</v>
      </c>
      <c r="B4456" s="2" t="s">
        <v>9</v>
      </c>
      <c r="C4456" s="2">
        <v>8</v>
      </c>
      <c r="D4456" s="2">
        <f t="shared" si="276"/>
        <v>2026</v>
      </c>
      <c r="E4456" s="2" t="str">
        <f t="shared" si="277"/>
        <v>2026-14</v>
      </c>
      <c r="F4456" s="2" t="str">
        <f t="shared" si="278"/>
        <v>Week 14</v>
      </c>
      <c r="G4456" s="2" t="str">
        <f t="shared" si="279"/>
        <v>Week 14-2026</v>
      </c>
      <c r="O4456"/>
      <c r="Q4456"/>
    </row>
    <row r="4457" spans="1:17" hidden="1" x14ac:dyDescent="0.2">
      <c r="A4457" s="3">
        <v>46115</v>
      </c>
      <c r="B4457" s="2" t="s">
        <v>5</v>
      </c>
      <c r="C4457" s="2">
        <v>8</v>
      </c>
      <c r="D4457" s="2">
        <f t="shared" si="276"/>
        <v>2026</v>
      </c>
      <c r="E4457" s="2" t="str">
        <f t="shared" si="277"/>
        <v>2026-14</v>
      </c>
      <c r="F4457" s="2" t="str">
        <f t="shared" si="278"/>
        <v>Week 14</v>
      </c>
      <c r="G4457" s="2" t="str">
        <f t="shared" si="279"/>
        <v>Week 14-2026</v>
      </c>
      <c r="O4457"/>
      <c r="Q4457"/>
    </row>
    <row r="4458" spans="1:17" hidden="1" x14ac:dyDescent="0.2">
      <c r="A4458" s="3">
        <v>46115</v>
      </c>
      <c r="B4458" s="2" t="s">
        <v>6</v>
      </c>
      <c r="C4458" s="2">
        <v>4</v>
      </c>
      <c r="D4458" s="2">
        <f t="shared" si="276"/>
        <v>2026</v>
      </c>
      <c r="E4458" s="2" t="str">
        <f t="shared" si="277"/>
        <v>2026-14</v>
      </c>
      <c r="F4458" s="2" t="str">
        <f t="shared" si="278"/>
        <v>Week 14</v>
      </c>
      <c r="G4458" s="2" t="str">
        <f t="shared" si="279"/>
        <v>Week 14-2026</v>
      </c>
      <c r="O4458"/>
      <c r="Q4458"/>
    </row>
    <row r="4459" spans="1:17" hidden="1" x14ac:dyDescent="0.2">
      <c r="A4459" s="3">
        <v>46115</v>
      </c>
      <c r="B4459" s="2" t="s">
        <v>9</v>
      </c>
      <c r="C4459" s="2">
        <v>4</v>
      </c>
      <c r="D4459" s="2">
        <f t="shared" si="276"/>
        <v>2026</v>
      </c>
      <c r="E4459" s="2" t="str">
        <f t="shared" si="277"/>
        <v>2026-14</v>
      </c>
      <c r="F4459" s="2" t="str">
        <f t="shared" si="278"/>
        <v>Week 14</v>
      </c>
      <c r="G4459" s="2" t="str">
        <f t="shared" si="279"/>
        <v>Week 14-2026</v>
      </c>
      <c r="O4459"/>
      <c r="Q4459"/>
    </row>
    <row r="4460" spans="1:17" hidden="1" x14ac:dyDescent="0.2">
      <c r="A4460" s="3">
        <v>46115</v>
      </c>
      <c r="B4460" s="2" t="s">
        <v>9</v>
      </c>
      <c r="C4460" s="2">
        <v>4</v>
      </c>
      <c r="D4460" s="2">
        <f t="shared" si="276"/>
        <v>2026</v>
      </c>
      <c r="E4460" s="2" t="str">
        <f t="shared" si="277"/>
        <v>2026-14</v>
      </c>
      <c r="F4460" s="2" t="str">
        <f t="shared" si="278"/>
        <v>Week 14</v>
      </c>
      <c r="G4460" s="2" t="str">
        <f t="shared" si="279"/>
        <v>Week 14-2026</v>
      </c>
      <c r="O4460"/>
      <c r="Q4460"/>
    </row>
    <row r="4461" spans="1:17" hidden="1" x14ac:dyDescent="0.2">
      <c r="A4461" s="3">
        <v>46115</v>
      </c>
      <c r="B4461" s="2" t="s">
        <v>36</v>
      </c>
      <c r="C4461" s="2">
        <v>8</v>
      </c>
      <c r="D4461" s="2">
        <f t="shared" si="276"/>
        <v>2026</v>
      </c>
      <c r="E4461" s="2" t="str">
        <f t="shared" si="277"/>
        <v>2026-14</v>
      </c>
      <c r="F4461" s="2" t="str">
        <f t="shared" si="278"/>
        <v>Week 14</v>
      </c>
      <c r="G4461" s="2" t="str">
        <f t="shared" si="279"/>
        <v>Week 14-2026</v>
      </c>
      <c r="O4461"/>
      <c r="Q4461"/>
    </row>
    <row r="4462" spans="1:17" hidden="1" x14ac:dyDescent="0.2">
      <c r="A4462" s="3">
        <v>46115</v>
      </c>
      <c r="B4462" s="2" t="s">
        <v>14</v>
      </c>
      <c r="C4462" s="2">
        <v>4</v>
      </c>
      <c r="D4462" s="2">
        <f t="shared" si="276"/>
        <v>2026</v>
      </c>
      <c r="E4462" s="2" t="str">
        <f t="shared" si="277"/>
        <v>2026-14</v>
      </c>
      <c r="F4462" s="2" t="str">
        <f t="shared" si="278"/>
        <v>Week 14</v>
      </c>
      <c r="G4462" s="2" t="str">
        <f t="shared" si="279"/>
        <v>Week 14-2026</v>
      </c>
      <c r="O4462"/>
      <c r="Q4462"/>
    </row>
    <row r="4463" spans="1:17" hidden="1" x14ac:dyDescent="0.2">
      <c r="A4463" s="3">
        <v>46115</v>
      </c>
      <c r="B4463" s="2" t="s">
        <v>14</v>
      </c>
      <c r="C4463" s="2">
        <v>4</v>
      </c>
      <c r="D4463" s="2">
        <f t="shared" si="276"/>
        <v>2026</v>
      </c>
      <c r="E4463" s="2" t="str">
        <f t="shared" si="277"/>
        <v>2026-14</v>
      </c>
      <c r="F4463" s="2" t="str">
        <f t="shared" si="278"/>
        <v>Week 14</v>
      </c>
      <c r="G4463" s="2" t="str">
        <f t="shared" si="279"/>
        <v>Week 14-2026</v>
      </c>
      <c r="O4463"/>
      <c r="Q4463"/>
    </row>
    <row r="4464" spans="1:17" hidden="1" x14ac:dyDescent="0.2">
      <c r="A4464" s="3">
        <v>46115</v>
      </c>
      <c r="B4464" s="2" t="s">
        <v>5</v>
      </c>
      <c r="C4464" s="2">
        <v>2</v>
      </c>
      <c r="D4464" s="2">
        <f t="shared" si="276"/>
        <v>2026</v>
      </c>
      <c r="E4464" s="2" t="str">
        <f t="shared" si="277"/>
        <v>2026-14</v>
      </c>
      <c r="F4464" s="2" t="str">
        <f t="shared" si="278"/>
        <v>Week 14</v>
      </c>
      <c r="G4464" s="2" t="str">
        <f t="shared" si="279"/>
        <v>Week 14-2026</v>
      </c>
      <c r="O4464"/>
      <c r="Q4464"/>
    </row>
    <row r="4465" spans="1:17" hidden="1" x14ac:dyDescent="0.2">
      <c r="A4465" s="3">
        <v>46115</v>
      </c>
      <c r="B4465" s="2" t="s">
        <v>30</v>
      </c>
      <c r="C4465" s="2">
        <v>4</v>
      </c>
      <c r="D4465" s="2">
        <f t="shared" si="276"/>
        <v>2026</v>
      </c>
      <c r="E4465" s="2" t="str">
        <f t="shared" si="277"/>
        <v>2026-14</v>
      </c>
      <c r="F4465" s="2" t="str">
        <f t="shared" si="278"/>
        <v>Week 14</v>
      </c>
      <c r="G4465" s="2" t="str">
        <f t="shared" si="279"/>
        <v>Week 14-2026</v>
      </c>
      <c r="O4465"/>
      <c r="Q4465"/>
    </row>
    <row r="4466" spans="1:17" hidden="1" x14ac:dyDescent="0.2">
      <c r="A4466" s="3">
        <v>46118</v>
      </c>
      <c r="B4466" s="2" t="s">
        <v>5</v>
      </c>
      <c r="C4466" s="2">
        <v>28</v>
      </c>
      <c r="D4466" s="2">
        <f t="shared" si="276"/>
        <v>2026</v>
      </c>
      <c r="E4466" s="2" t="str">
        <f t="shared" si="277"/>
        <v>2026-15</v>
      </c>
      <c r="F4466" s="2" t="str">
        <f t="shared" si="278"/>
        <v>Week 15</v>
      </c>
      <c r="G4466" s="2" t="str">
        <f t="shared" si="279"/>
        <v>Week 15-2026</v>
      </c>
      <c r="O4466"/>
      <c r="Q4466"/>
    </row>
    <row r="4467" spans="1:17" hidden="1" x14ac:dyDescent="0.2">
      <c r="A4467" s="3">
        <v>46118</v>
      </c>
      <c r="B4467" s="2" t="s">
        <v>7</v>
      </c>
      <c r="C4467" s="2">
        <v>16</v>
      </c>
      <c r="D4467" s="2">
        <f t="shared" si="276"/>
        <v>2026</v>
      </c>
      <c r="E4467" s="2" t="str">
        <f t="shared" si="277"/>
        <v>2026-15</v>
      </c>
      <c r="F4467" s="2" t="str">
        <f t="shared" si="278"/>
        <v>Week 15</v>
      </c>
      <c r="G4467" s="2" t="str">
        <f t="shared" si="279"/>
        <v>Week 15-2026</v>
      </c>
      <c r="O4467"/>
      <c r="Q4467"/>
    </row>
    <row r="4468" spans="1:17" hidden="1" x14ac:dyDescent="0.2">
      <c r="A4468" s="3">
        <v>46118</v>
      </c>
      <c r="B4468" s="2" t="s">
        <v>5</v>
      </c>
      <c r="C4468" s="2">
        <v>20</v>
      </c>
      <c r="D4468" s="2">
        <f t="shared" si="276"/>
        <v>2026</v>
      </c>
      <c r="E4468" s="2" t="str">
        <f t="shared" si="277"/>
        <v>2026-15</v>
      </c>
      <c r="F4468" s="2" t="str">
        <f t="shared" si="278"/>
        <v>Week 15</v>
      </c>
      <c r="G4468" s="2" t="str">
        <f t="shared" si="279"/>
        <v>Week 15-2026</v>
      </c>
      <c r="O4468"/>
      <c r="Q4468"/>
    </row>
    <row r="4469" spans="1:17" hidden="1" x14ac:dyDescent="0.2">
      <c r="A4469" s="3">
        <v>46118</v>
      </c>
      <c r="B4469" s="2" t="s">
        <v>14</v>
      </c>
      <c r="C4469" s="2">
        <v>20</v>
      </c>
      <c r="D4469" s="2">
        <f t="shared" si="276"/>
        <v>2026</v>
      </c>
      <c r="E4469" s="2" t="str">
        <f t="shared" si="277"/>
        <v>2026-15</v>
      </c>
      <c r="F4469" s="2" t="str">
        <f t="shared" si="278"/>
        <v>Week 15</v>
      </c>
      <c r="G4469" s="2" t="str">
        <f t="shared" si="279"/>
        <v>Week 15-2026</v>
      </c>
      <c r="O4469"/>
      <c r="Q4469"/>
    </row>
    <row r="4470" spans="1:17" hidden="1" x14ac:dyDescent="0.2">
      <c r="A4470" s="3">
        <v>46118</v>
      </c>
      <c r="B4470" s="2" t="s">
        <v>5</v>
      </c>
      <c r="C4470" s="2">
        <v>12</v>
      </c>
      <c r="D4470" s="2">
        <f t="shared" si="276"/>
        <v>2026</v>
      </c>
      <c r="E4470" s="2" t="str">
        <f t="shared" si="277"/>
        <v>2026-15</v>
      </c>
      <c r="F4470" s="2" t="str">
        <f t="shared" si="278"/>
        <v>Week 15</v>
      </c>
      <c r="G4470" s="2" t="str">
        <f t="shared" si="279"/>
        <v>Week 15-2026</v>
      </c>
      <c r="O4470"/>
      <c r="Q4470"/>
    </row>
    <row r="4471" spans="1:17" hidden="1" x14ac:dyDescent="0.2">
      <c r="A4471" s="3">
        <v>46118</v>
      </c>
      <c r="B4471" s="2" t="s">
        <v>4</v>
      </c>
      <c r="C4471" s="2">
        <v>8</v>
      </c>
      <c r="D4471" s="2">
        <f t="shared" si="276"/>
        <v>2026</v>
      </c>
      <c r="E4471" s="2" t="str">
        <f t="shared" si="277"/>
        <v>2026-15</v>
      </c>
      <c r="F4471" s="2" t="str">
        <f t="shared" si="278"/>
        <v>Week 15</v>
      </c>
      <c r="G4471" s="2" t="str">
        <f t="shared" si="279"/>
        <v>Week 15-2026</v>
      </c>
      <c r="O4471"/>
      <c r="Q4471"/>
    </row>
    <row r="4472" spans="1:17" hidden="1" x14ac:dyDescent="0.2">
      <c r="A4472" s="3">
        <v>46118</v>
      </c>
      <c r="B4472" s="2" t="s">
        <v>5</v>
      </c>
      <c r="C4472" s="2">
        <v>8</v>
      </c>
      <c r="D4472" s="2">
        <f t="shared" si="276"/>
        <v>2026</v>
      </c>
      <c r="E4472" s="2" t="str">
        <f t="shared" si="277"/>
        <v>2026-15</v>
      </c>
      <c r="F4472" s="2" t="str">
        <f t="shared" si="278"/>
        <v>Week 15</v>
      </c>
      <c r="G4472" s="2" t="str">
        <f t="shared" si="279"/>
        <v>Week 15-2026</v>
      </c>
      <c r="O4472"/>
      <c r="Q4472"/>
    </row>
    <row r="4473" spans="1:17" hidden="1" x14ac:dyDescent="0.2">
      <c r="A4473" s="3">
        <v>46118</v>
      </c>
      <c r="B4473" s="2" t="s">
        <v>3</v>
      </c>
      <c r="C4473" s="2">
        <v>6</v>
      </c>
      <c r="D4473" s="2">
        <f t="shared" si="276"/>
        <v>2026</v>
      </c>
      <c r="E4473" s="2" t="str">
        <f t="shared" si="277"/>
        <v>2026-15</v>
      </c>
      <c r="F4473" s="2" t="str">
        <f t="shared" si="278"/>
        <v>Week 15</v>
      </c>
      <c r="G4473" s="2" t="str">
        <f t="shared" si="279"/>
        <v>Week 15-2026</v>
      </c>
      <c r="O4473"/>
      <c r="Q4473"/>
    </row>
    <row r="4474" spans="1:17" hidden="1" x14ac:dyDescent="0.2">
      <c r="A4474" s="3">
        <v>46118</v>
      </c>
      <c r="B4474" s="2" t="s">
        <v>3</v>
      </c>
      <c r="C4474" s="2">
        <v>6</v>
      </c>
      <c r="D4474" s="2">
        <f t="shared" si="276"/>
        <v>2026</v>
      </c>
      <c r="E4474" s="2" t="str">
        <f t="shared" si="277"/>
        <v>2026-15</v>
      </c>
      <c r="F4474" s="2" t="str">
        <f t="shared" si="278"/>
        <v>Week 15</v>
      </c>
      <c r="G4474" s="2" t="str">
        <f t="shared" si="279"/>
        <v>Week 15-2026</v>
      </c>
      <c r="O4474"/>
      <c r="Q4474"/>
    </row>
    <row r="4475" spans="1:17" hidden="1" x14ac:dyDescent="0.2">
      <c r="A4475" s="3">
        <v>46118</v>
      </c>
      <c r="B4475" s="2" t="s">
        <v>9</v>
      </c>
      <c r="C4475" s="2">
        <v>4</v>
      </c>
      <c r="D4475" s="2">
        <f t="shared" si="276"/>
        <v>2026</v>
      </c>
      <c r="E4475" s="2" t="str">
        <f t="shared" si="277"/>
        <v>2026-15</v>
      </c>
      <c r="F4475" s="2" t="str">
        <f t="shared" si="278"/>
        <v>Week 15</v>
      </c>
      <c r="G4475" s="2" t="str">
        <f t="shared" si="279"/>
        <v>Week 15-2026</v>
      </c>
      <c r="O4475"/>
      <c r="Q4475"/>
    </row>
    <row r="4476" spans="1:17" hidden="1" x14ac:dyDescent="0.2">
      <c r="A4476" s="3">
        <v>46118</v>
      </c>
      <c r="B4476" s="2" t="s">
        <v>3</v>
      </c>
      <c r="C4476" s="2">
        <v>4</v>
      </c>
      <c r="D4476" s="2">
        <f t="shared" si="276"/>
        <v>2026</v>
      </c>
      <c r="E4476" s="2" t="str">
        <f t="shared" si="277"/>
        <v>2026-15</v>
      </c>
      <c r="F4476" s="2" t="str">
        <f t="shared" si="278"/>
        <v>Week 15</v>
      </c>
      <c r="G4476" s="2" t="str">
        <f t="shared" si="279"/>
        <v>Week 15-2026</v>
      </c>
      <c r="O4476"/>
      <c r="Q4476"/>
    </row>
    <row r="4477" spans="1:17" hidden="1" x14ac:dyDescent="0.2">
      <c r="A4477" s="3">
        <v>46118</v>
      </c>
      <c r="B4477" s="2" t="s">
        <v>14</v>
      </c>
      <c r="C4477" s="2">
        <v>6</v>
      </c>
      <c r="D4477" s="2">
        <f t="shared" si="276"/>
        <v>2026</v>
      </c>
      <c r="E4477" s="2" t="str">
        <f t="shared" si="277"/>
        <v>2026-15</v>
      </c>
      <c r="F4477" s="2" t="str">
        <f t="shared" si="278"/>
        <v>Week 15</v>
      </c>
      <c r="G4477" s="2" t="str">
        <f t="shared" si="279"/>
        <v>Week 15-2026</v>
      </c>
      <c r="O4477"/>
      <c r="Q4477"/>
    </row>
    <row r="4478" spans="1:17" hidden="1" x14ac:dyDescent="0.2">
      <c r="A4478" s="3">
        <v>46118</v>
      </c>
      <c r="B4478" s="2" t="s">
        <v>10</v>
      </c>
      <c r="C4478" s="2">
        <v>4</v>
      </c>
      <c r="D4478" s="2">
        <f t="shared" si="276"/>
        <v>2026</v>
      </c>
      <c r="E4478" s="2" t="str">
        <f t="shared" si="277"/>
        <v>2026-15</v>
      </c>
      <c r="F4478" s="2" t="str">
        <f t="shared" si="278"/>
        <v>Week 15</v>
      </c>
      <c r="G4478" s="2" t="str">
        <f t="shared" si="279"/>
        <v>Week 15-2026</v>
      </c>
      <c r="O4478"/>
      <c r="Q4478"/>
    </row>
    <row r="4479" spans="1:17" hidden="1" x14ac:dyDescent="0.2">
      <c r="A4479" s="3">
        <v>46118</v>
      </c>
      <c r="B4479" s="2" t="s">
        <v>31</v>
      </c>
      <c r="C4479" s="2">
        <v>4</v>
      </c>
      <c r="D4479" s="2">
        <f t="shared" si="276"/>
        <v>2026</v>
      </c>
      <c r="E4479" s="2" t="str">
        <f t="shared" si="277"/>
        <v>2026-15</v>
      </c>
      <c r="F4479" s="2" t="str">
        <f t="shared" si="278"/>
        <v>Week 15</v>
      </c>
      <c r="G4479" s="2" t="str">
        <f t="shared" si="279"/>
        <v>Week 15-2026</v>
      </c>
      <c r="O4479"/>
      <c r="Q4479"/>
    </row>
    <row r="4480" spans="1:17" hidden="1" x14ac:dyDescent="0.2">
      <c r="A4480" s="3">
        <v>46118</v>
      </c>
      <c r="B4480" s="2" t="s">
        <v>14</v>
      </c>
      <c r="C4480" s="2">
        <v>4</v>
      </c>
      <c r="D4480" s="2">
        <f t="shared" si="276"/>
        <v>2026</v>
      </c>
      <c r="E4480" s="2" t="str">
        <f t="shared" si="277"/>
        <v>2026-15</v>
      </c>
      <c r="F4480" s="2" t="str">
        <f t="shared" si="278"/>
        <v>Week 15</v>
      </c>
      <c r="G4480" s="2" t="str">
        <f t="shared" si="279"/>
        <v>Week 15-2026</v>
      </c>
      <c r="O4480"/>
      <c r="Q4480"/>
    </row>
    <row r="4481" spans="1:17" hidden="1" x14ac:dyDescent="0.2">
      <c r="A4481" s="3">
        <v>46118</v>
      </c>
      <c r="B4481" s="2" t="s">
        <v>8</v>
      </c>
      <c r="C4481" s="2">
        <v>4</v>
      </c>
      <c r="D4481" s="2">
        <f t="shared" si="276"/>
        <v>2026</v>
      </c>
      <c r="E4481" s="2" t="str">
        <f t="shared" si="277"/>
        <v>2026-15</v>
      </c>
      <c r="F4481" s="2" t="str">
        <f t="shared" si="278"/>
        <v>Week 15</v>
      </c>
      <c r="G4481" s="2" t="str">
        <f t="shared" si="279"/>
        <v>Week 15-2026</v>
      </c>
      <c r="O4481"/>
      <c r="Q4481"/>
    </row>
    <row r="4482" spans="1:17" hidden="1" x14ac:dyDescent="0.2">
      <c r="A4482" s="3">
        <v>46118</v>
      </c>
      <c r="B4482" s="2" t="s">
        <v>9</v>
      </c>
      <c r="C4482" s="2">
        <v>2</v>
      </c>
      <c r="D4482" s="2">
        <f t="shared" ref="D4482:D4545" si="280">YEAR(A4482)</f>
        <v>2026</v>
      </c>
      <c r="E4482" s="2" t="str">
        <f t="shared" ref="E4482:E4545" si="281">YEAR(A4482)&amp;"-"&amp;_xlfn.ISOWEEKNUM(A4482)</f>
        <v>2026-15</v>
      </c>
      <c r="F4482" s="2" t="str">
        <f t="shared" ref="F4482:F4545" si="282">_xlfn.CONCAT("Week "&amp;WEEKNUM(A4482))</f>
        <v>Week 15</v>
      </c>
      <c r="G4482" s="2" t="str">
        <f t="shared" ref="G4482:G4545" si="283">_xlfn.CONCAT(F4482,"-",D4482)</f>
        <v>Week 15-2026</v>
      </c>
      <c r="O4482"/>
      <c r="Q4482"/>
    </row>
    <row r="4483" spans="1:17" hidden="1" x14ac:dyDescent="0.2">
      <c r="A4483" s="3">
        <v>46118</v>
      </c>
      <c r="B4483" s="2" t="s">
        <v>28</v>
      </c>
      <c r="C4483" s="2">
        <v>4</v>
      </c>
      <c r="D4483" s="2">
        <f t="shared" si="280"/>
        <v>2026</v>
      </c>
      <c r="E4483" s="2" t="str">
        <f t="shared" si="281"/>
        <v>2026-15</v>
      </c>
      <c r="F4483" s="2" t="str">
        <f t="shared" si="282"/>
        <v>Week 15</v>
      </c>
      <c r="G4483" s="2" t="str">
        <f t="shared" si="283"/>
        <v>Week 15-2026</v>
      </c>
      <c r="O4483"/>
      <c r="Q4483"/>
    </row>
    <row r="4484" spans="1:17" hidden="1" x14ac:dyDescent="0.2">
      <c r="A4484" s="3">
        <v>46118</v>
      </c>
      <c r="B4484" s="2" t="s">
        <v>14</v>
      </c>
      <c r="C4484" s="2">
        <v>3</v>
      </c>
      <c r="D4484" s="2">
        <f t="shared" si="280"/>
        <v>2026</v>
      </c>
      <c r="E4484" s="2" t="str">
        <f t="shared" si="281"/>
        <v>2026-15</v>
      </c>
      <c r="F4484" s="2" t="str">
        <f t="shared" si="282"/>
        <v>Week 15</v>
      </c>
      <c r="G4484" s="2" t="str">
        <f t="shared" si="283"/>
        <v>Week 15-2026</v>
      </c>
      <c r="O4484"/>
      <c r="Q4484"/>
    </row>
    <row r="4485" spans="1:17" hidden="1" x14ac:dyDescent="0.2">
      <c r="A4485" s="3">
        <v>46118</v>
      </c>
      <c r="B4485" s="2" t="s">
        <v>8</v>
      </c>
      <c r="C4485" s="2">
        <v>2</v>
      </c>
      <c r="D4485" s="2">
        <f t="shared" si="280"/>
        <v>2026</v>
      </c>
      <c r="E4485" s="2" t="str">
        <f t="shared" si="281"/>
        <v>2026-15</v>
      </c>
      <c r="F4485" s="2" t="str">
        <f t="shared" si="282"/>
        <v>Week 15</v>
      </c>
      <c r="G4485" s="2" t="str">
        <f t="shared" si="283"/>
        <v>Week 15-2026</v>
      </c>
      <c r="O4485"/>
      <c r="Q4485"/>
    </row>
    <row r="4486" spans="1:17" hidden="1" x14ac:dyDescent="0.2">
      <c r="A4486" s="3">
        <v>46118</v>
      </c>
      <c r="B4486" s="2" t="s">
        <v>8</v>
      </c>
      <c r="C4486" s="2">
        <v>2</v>
      </c>
      <c r="D4486" s="2">
        <f t="shared" si="280"/>
        <v>2026</v>
      </c>
      <c r="E4486" s="2" t="str">
        <f t="shared" si="281"/>
        <v>2026-15</v>
      </c>
      <c r="F4486" s="2" t="str">
        <f t="shared" si="282"/>
        <v>Week 15</v>
      </c>
      <c r="G4486" s="2" t="str">
        <f t="shared" si="283"/>
        <v>Week 15-2026</v>
      </c>
      <c r="O4486"/>
      <c r="Q4486"/>
    </row>
    <row r="4487" spans="1:17" hidden="1" x14ac:dyDescent="0.2">
      <c r="A4487" s="3">
        <v>46118</v>
      </c>
      <c r="B4487" s="2" t="s">
        <v>9</v>
      </c>
      <c r="C4487" s="2">
        <v>1</v>
      </c>
      <c r="D4487" s="2">
        <f t="shared" si="280"/>
        <v>2026</v>
      </c>
      <c r="E4487" s="2" t="str">
        <f t="shared" si="281"/>
        <v>2026-15</v>
      </c>
      <c r="F4487" s="2" t="str">
        <f t="shared" si="282"/>
        <v>Week 15</v>
      </c>
      <c r="G4487" s="2" t="str">
        <f t="shared" si="283"/>
        <v>Week 15-2026</v>
      </c>
      <c r="O4487"/>
      <c r="Q4487"/>
    </row>
    <row r="4488" spans="1:17" hidden="1" x14ac:dyDescent="0.2">
      <c r="A4488" s="3">
        <v>46122</v>
      </c>
      <c r="B4488" s="2" t="s">
        <v>3</v>
      </c>
      <c r="C4488" s="2">
        <v>22</v>
      </c>
      <c r="D4488" s="2">
        <f t="shared" si="280"/>
        <v>2026</v>
      </c>
      <c r="E4488" s="2" t="str">
        <f t="shared" si="281"/>
        <v>2026-15</v>
      </c>
      <c r="F4488" s="2" t="str">
        <f t="shared" si="282"/>
        <v>Week 15</v>
      </c>
      <c r="G4488" s="2" t="str">
        <f t="shared" si="283"/>
        <v>Week 15-2026</v>
      </c>
      <c r="O4488"/>
      <c r="Q4488"/>
    </row>
    <row r="4489" spans="1:17" hidden="1" x14ac:dyDescent="0.2">
      <c r="A4489" s="3">
        <v>46122</v>
      </c>
      <c r="B4489" s="2" t="s">
        <v>5</v>
      </c>
      <c r="C4489" s="2">
        <v>24</v>
      </c>
      <c r="D4489" s="2">
        <f t="shared" si="280"/>
        <v>2026</v>
      </c>
      <c r="E4489" s="2" t="str">
        <f t="shared" si="281"/>
        <v>2026-15</v>
      </c>
      <c r="F4489" s="2" t="str">
        <f t="shared" si="282"/>
        <v>Week 15</v>
      </c>
      <c r="G4489" s="2" t="str">
        <f t="shared" si="283"/>
        <v>Week 15-2026</v>
      </c>
      <c r="O4489"/>
      <c r="Q4489"/>
    </row>
    <row r="4490" spans="1:17" hidden="1" x14ac:dyDescent="0.2">
      <c r="A4490" s="3">
        <v>46122</v>
      </c>
      <c r="B4490" s="2" t="s">
        <v>9</v>
      </c>
      <c r="C4490" s="2">
        <v>14</v>
      </c>
      <c r="D4490" s="2">
        <f t="shared" si="280"/>
        <v>2026</v>
      </c>
      <c r="E4490" s="2" t="str">
        <f t="shared" si="281"/>
        <v>2026-15</v>
      </c>
      <c r="F4490" s="2" t="str">
        <f t="shared" si="282"/>
        <v>Week 15</v>
      </c>
      <c r="G4490" s="2" t="str">
        <f t="shared" si="283"/>
        <v>Week 15-2026</v>
      </c>
      <c r="O4490"/>
      <c r="Q4490"/>
    </row>
    <row r="4491" spans="1:17" hidden="1" x14ac:dyDescent="0.2">
      <c r="A4491" s="3">
        <v>46122</v>
      </c>
      <c r="B4491" s="2" t="s">
        <v>4</v>
      </c>
      <c r="C4491" s="2">
        <v>8</v>
      </c>
      <c r="D4491" s="2">
        <f t="shared" si="280"/>
        <v>2026</v>
      </c>
      <c r="E4491" s="2" t="str">
        <f t="shared" si="281"/>
        <v>2026-15</v>
      </c>
      <c r="F4491" s="2" t="str">
        <f t="shared" si="282"/>
        <v>Week 15</v>
      </c>
      <c r="G4491" s="2" t="str">
        <f t="shared" si="283"/>
        <v>Week 15-2026</v>
      </c>
      <c r="O4491"/>
      <c r="Q4491"/>
    </row>
    <row r="4492" spans="1:17" hidden="1" x14ac:dyDescent="0.2">
      <c r="A4492" s="3">
        <v>46122</v>
      </c>
      <c r="B4492" s="2" t="s">
        <v>14</v>
      </c>
      <c r="C4492" s="2">
        <v>6</v>
      </c>
      <c r="D4492" s="2">
        <f t="shared" si="280"/>
        <v>2026</v>
      </c>
      <c r="E4492" s="2" t="str">
        <f t="shared" si="281"/>
        <v>2026-15</v>
      </c>
      <c r="F4492" s="2" t="str">
        <f t="shared" si="282"/>
        <v>Week 15</v>
      </c>
      <c r="G4492" s="2" t="str">
        <f t="shared" si="283"/>
        <v>Week 15-2026</v>
      </c>
      <c r="O4492"/>
      <c r="Q4492"/>
    </row>
    <row r="4493" spans="1:17" hidden="1" x14ac:dyDescent="0.2">
      <c r="A4493" s="3">
        <v>46122</v>
      </c>
      <c r="B4493" s="2" t="s">
        <v>5</v>
      </c>
      <c r="C4493" s="2">
        <v>4</v>
      </c>
      <c r="D4493" s="2">
        <f t="shared" si="280"/>
        <v>2026</v>
      </c>
      <c r="E4493" s="2" t="str">
        <f t="shared" si="281"/>
        <v>2026-15</v>
      </c>
      <c r="F4493" s="2" t="str">
        <f t="shared" si="282"/>
        <v>Week 15</v>
      </c>
      <c r="G4493" s="2" t="str">
        <f t="shared" si="283"/>
        <v>Week 15-2026</v>
      </c>
      <c r="O4493"/>
      <c r="Q4493"/>
    </row>
    <row r="4494" spans="1:17" hidden="1" x14ac:dyDescent="0.2">
      <c r="A4494" s="3">
        <v>46122</v>
      </c>
      <c r="B4494" s="2" t="s">
        <v>7</v>
      </c>
      <c r="C4494" s="2">
        <v>2</v>
      </c>
      <c r="D4494" s="2">
        <f t="shared" si="280"/>
        <v>2026</v>
      </c>
      <c r="E4494" s="2" t="str">
        <f t="shared" si="281"/>
        <v>2026-15</v>
      </c>
      <c r="F4494" s="2" t="str">
        <f t="shared" si="282"/>
        <v>Week 15</v>
      </c>
      <c r="G4494" s="2" t="str">
        <f t="shared" si="283"/>
        <v>Week 15-2026</v>
      </c>
      <c r="O4494"/>
      <c r="Q4494"/>
    </row>
    <row r="4495" spans="1:17" hidden="1" x14ac:dyDescent="0.2">
      <c r="A4495" s="3">
        <v>46122</v>
      </c>
      <c r="B4495" s="2" t="s">
        <v>10</v>
      </c>
      <c r="C4495" s="2">
        <v>2</v>
      </c>
      <c r="D4495" s="2">
        <f t="shared" si="280"/>
        <v>2026</v>
      </c>
      <c r="E4495" s="2" t="str">
        <f t="shared" si="281"/>
        <v>2026-15</v>
      </c>
      <c r="F4495" s="2" t="str">
        <f t="shared" si="282"/>
        <v>Week 15</v>
      </c>
      <c r="G4495" s="2" t="str">
        <f t="shared" si="283"/>
        <v>Week 15-2026</v>
      </c>
      <c r="O4495"/>
      <c r="Q4495"/>
    </row>
    <row r="4496" spans="1:17" hidden="1" x14ac:dyDescent="0.2">
      <c r="A4496" s="3">
        <v>46125</v>
      </c>
      <c r="B4496" s="2" t="s">
        <v>5</v>
      </c>
      <c r="C4496" s="2">
        <v>12</v>
      </c>
      <c r="D4496" s="2">
        <f t="shared" si="280"/>
        <v>2026</v>
      </c>
      <c r="E4496" s="2" t="str">
        <f t="shared" si="281"/>
        <v>2026-16</v>
      </c>
      <c r="F4496" s="2" t="str">
        <f t="shared" si="282"/>
        <v>Week 16</v>
      </c>
      <c r="G4496" s="2" t="str">
        <f t="shared" si="283"/>
        <v>Week 16-2026</v>
      </c>
      <c r="O4496"/>
      <c r="Q4496"/>
    </row>
    <row r="4497" spans="1:17" hidden="1" x14ac:dyDescent="0.2">
      <c r="A4497" s="3">
        <v>46125</v>
      </c>
      <c r="B4497" s="2" t="s">
        <v>5</v>
      </c>
      <c r="C4497" s="2">
        <v>8</v>
      </c>
      <c r="D4497" s="2">
        <f t="shared" si="280"/>
        <v>2026</v>
      </c>
      <c r="E4497" s="2" t="str">
        <f t="shared" si="281"/>
        <v>2026-16</v>
      </c>
      <c r="F4497" s="2" t="str">
        <f t="shared" si="282"/>
        <v>Week 16</v>
      </c>
      <c r="G4497" s="2" t="str">
        <f t="shared" si="283"/>
        <v>Week 16-2026</v>
      </c>
      <c r="O4497"/>
      <c r="Q4497"/>
    </row>
    <row r="4498" spans="1:17" hidden="1" x14ac:dyDescent="0.2">
      <c r="A4498" s="3">
        <v>46125</v>
      </c>
      <c r="B4498" s="2" t="s">
        <v>5</v>
      </c>
      <c r="C4498" s="2">
        <v>7</v>
      </c>
      <c r="D4498" s="2">
        <f t="shared" si="280"/>
        <v>2026</v>
      </c>
      <c r="E4498" s="2" t="str">
        <f t="shared" si="281"/>
        <v>2026-16</v>
      </c>
      <c r="F4498" s="2" t="str">
        <f t="shared" si="282"/>
        <v>Week 16</v>
      </c>
      <c r="G4498" s="2" t="str">
        <f t="shared" si="283"/>
        <v>Week 16-2026</v>
      </c>
      <c r="O4498"/>
      <c r="Q4498"/>
    </row>
    <row r="4499" spans="1:17" hidden="1" x14ac:dyDescent="0.2">
      <c r="A4499" s="3">
        <v>46125</v>
      </c>
      <c r="B4499" s="2" t="s">
        <v>3</v>
      </c>
      <c r="C4499" s="2">
        <v>6</v>
      </c>
      <c r="D4499" s="2">
        <f t="shared" si="280"/>
        <v>2026</v>
      </c>
      <c r="E4499" s="2" t="str">
        <f t="shared" si="281"/>
        <v>2026-16</v>
      </c>
      <c r="F4499" s="2" t="str">
        <f t="shared" si="282"/>
        <v>Week 16</v>
      </c>
      <c r="G4499" s="2" t="str">
        <f t="shared" si="283"/>
        <v>Week 16-2026</v>
      </c>
      <c r="O4499"/>
      <c r="Q4499"/>
    </row>
    <row r="4500" spans="1:17" hidden="1" x14ac:dyDescent="0.2">
      <c r="A4500" s="3">
        <v>46125</v>
      </c>
      <c r="B4500" s="2" t="s">
        <v>10</v>
      </c>
      <c r="C4500" s="2">
        <v>8</v>
      </c>
      <c r="D4500" s="2">
        <f t="shared" si="280"/>
        <v>2026</v>
      </c>
      <c r="E4500" s="2" t="str">
        <f t="shared" si="281"/>
        <v>2026-16</v>
      </c>
      <c r="F4500" s="2" t="str">
        <f t="shared" si="282"/>
        <v>Week 16</v>
      </c>
      <c r="G4500" s="2" t="str">
        <f t="shared" si="283"/>
        <v>Week 16-2026</v>
      </c>
      <c r="O4500"/>
      <c r="Q4500"/>
    </row>
    <row r="4501" spans="1:17" hidden="1" x14ac:dyDescent="0.2">
      <c r="A4501" s="3">
        <v>46125</v>
      </c>
      <c r="B4501" s="2" t="s">
        <v>5</v>
      </c>
      <c r="C4501" s="2">
        <v>6</v>
      </c>
      <c r="D4501" s="2">
        <f t="shared" si="280"/>
        <v>2026</v>
      </c>
      <c r="E4501" s="2" t="str">
        <f t="shared" si="281"/>
        <v>2026-16</v>
      </c>
      <c r="F4501" s="2" t="str">
        <f t="shared" si="282"/>
        <v>Week 16</v>
      </c>
      <c r="G4501" s="2" t="str">
        <f t="shared" si="283"/>
        <v>Week 16-2026</v>
      </c>
      <c r="O4501"/>
      <c r="Q4501"/>
    </row>
    <row r="4502" spans="1:17" hidden="1" x14ac:dyDescent="0.2">
      <c r="A4502" s="3">
        <v>46125</v>
      </c>
      <c r="B4502" s="2" t="s">
        <v>7</v>
      </c>
      <c r="C4502" s="2">
        <v>4</v>
      </c>
      <c r="D4502" s="2">
        <f t="shared" si="280"/>
        <v>2026</v>
      </c>
      <c r="E4502" s="2" t="str">
        <f t="shared" si="281"/>
        <v>2026-16</v>
      </c>
      <c r="F4502" s="2" t="str">
        <f t="shared" si="282"/>
        <v>Week 16</v>
      </c>
      <c r="G4502" s="2" t="str">
        <f t="shared" si="283"/>
        <v>Week 16-2026</v>
      </c>
      <c r="O4502"/>
      <c r="Q4502"/>
    </row>
    <row r="4503" spans="1:17" hidden="1" x14ac:dyDescent="0.2">
      <c r="A4503" s="3">
        <v>46125</v>
      </c>
      <c r="B4503" s="2" t="s">
        <v>14</v>
      </c>
      <c r="C4503" s="2">
        <v>8</v>
      </c>
      <c r="D4503" s="2">
        <f t="shared" si="280"/>
        <v>2026</v>
      </c>
      <c r="E4503" s="2" t="str">
        <f t="shared" si="281"/>
        <v>2026-16</v>
      </c>
      <c r="F4503" s="2" t="str">
        <f t="shared" si="282"/>
        <v>Week 16</v>
      </c>
      <c r="G4503" s="2" t="str">
        <f t="shared" si="283"/>
        <v>Week 16-2026</v>
      </c>
      <c r="O4503"/>
      <c r="Q4503"/>
    </row>
    <row r="4504" spans="1:17" x14ac:dyDescent="0.2">
      <c r="A4504" s="3">
        <v>46125</v>
      </c>
      <c r="B4504" s="2" t="s">
        <v>24</v>
      </c>
      <c r="C4504" s="2">
        <v>12</v>
      </c>
      <c r="D4504" s="2">
        <f t="shared" si="280"/>
        <v>2026</v>
      </c>
      <c r="E4504" s="2" t="str">
        <f t="shared" si="281"/>
        <v>2026-16</v>
      </c>
      <c r="F4504" s="2" t="str">
        <f t="shared" si="282"/>
        <v>Week 16</v>
      </c>
      <c r="G4504" s="2" t="str">
        <f t="shared" si="283"/>
        <v>Week 16-2026</v>
      </c>
      <c r="O4504"/>
      <c r="Q4504"/>
    </row>
    <row r="4505" spans="1:17" hidden="1" x14ac:dyDescent="0.2">
      <c r="A4505" s="3">
        <v>46125</v>
      </c>
      <c r="B4505" s="2" t="s">
        <v>9</v>
      </c>
      <c r="C4505" s="2">
        <v>4</v>
      </c>
      <c r="D4505" s="2">
        <f t="shared" si="280"/>
        <v>2026</v>
      </c>
      <c r="E4505" s="2" t="str">
        <f t="shared" si="281"/>
        <v>2026-16</v>
      </c>
      <c r="F4505" s="2" t="str">
        <f t="shared" si="282"/>
        <v>Week 16</v>
      </c>
      <c r="G4505" s="2" t="str">
        <f t="shared" si="283"/>
        <v>Week 16-2026</v>
      </c>
      <c r="O4505"/>
      <c r="Q4505"/>
    </row>
    <row r="4506" spans="1:17" hidden="1" x14ac:dyDescent="0.2">
      <c r="A4506" s="3">
        <v>46125</v>
      </c>
      <c r="B4506" s="2" t="s">
        <v>9</v>
      </c>
      <c r="C4506" s="2">
        <v>4</v>
      </c>
      <c r="D4506" s="2">
        <f t="shared" si="280"/>
        <v>2026</v>
      </c>
      <c r="E4506" s="2" t="str">
        <f t="shared" si="281"/>
        <v>2026-16</v>
      </c>
      <c r="F4506" s="2" t="str">
        <f t="shared" si="282"/>
        <v>Week 16</v>
      </c>
      <c r="G4506" s="2" t="str">
        <f t="shared" si="283"/>
        <v>Week 16-2026</v>
      </c>
      <c r="O4506"/>
      <c r="Q4506"/>
    </row>
    <row r="4507" spans="1:17" hidden="1" x14ac:dyDescent="0.2">
      <c r="A4507" s="3">
        <v>46125</v>
      </c>
      <c r="B4507" s="2" t="s">
        <v>3</v>
      </c>
      <c r="C4507" s="2">
        <v>4</v>
      </c>
      <c r="D4507" s="2">
        <f t="shared" si="280"/>
        <v>2026</v>
      </c>
      <c r="E4507" s="2" t="str">
        <f t="shared" si="281"/>
        <v>2026-16</v>
      </c>
      <c r="F4507" s="2" t="str">
        <f t="shared" si="282"/>
        <v>Week 16</v>
      </c>
      <c r="G4507" s="2" t="str">
        <f t="shared" si="283"/>
        <v>Week 16-2026</v>
      </c>
      <c r="O4507"/>
      <c r="Q4507"/>
    </row>
    <row r="4508" spans="1:17" hidden="1" x14ac:dyDescent="0.2">
      <c r="A4508" s="3">
        <v>46125</v>
      </c>
      <c r="B4508" s="2" t="s">
        <v>20</v>
      </c>
      <c r="C4508" s="2">
        <v>2</v>
      </c>
      <c r="D4508" s="2">
        <f t="shared" si="280"/>
        <v>2026</v>
      </c>
      <c r="E4508" s="2" t="str">
        <f t="shared" si="281"/>
        <v>2026-16</v>
      </c>
      <c r="F4508" s="2" t="str">
        <f t="shared" si="282"/>
        <v>Week 16</v>
      </c>
      <c r="G4508" s="2" t="str">
        <f t="shared" si="283"/>
        <v>Week 16-2026</v>
      </c>
      <c r="O4508"/>
      <c r="Q4508"/>
    </row>
    <row r="4509" spans="1:17" hidden="1" x14ac:dyDescent="0.2">
      <c r="A4509" s="3">
        <v>46125</v>
      </c>
      <c r="B4509" s="2" t="s">
        <v>5</v>
      </c>
      <c r="C4509" s="2">
        <v>3</v>
      </c>
      <c r="D4509" s="2">
        <f t="shared" si="280"/>
        <v>2026</v>
      </c>
      <c r="E4509" s="2" t="str">
        <f t="shared" si="281"/>
        <v>2026-16</v>
      </c>
      <c r="F4509" s="2" t="str">
        <f t="shared" si="282"/>
        <v>Week 16</v>
      </c>
      <c r="G4509" s="2" t="str">
        <f t="shared" si="283"/>
        <v>Week 16-2026</v>
      </c>
      <c r="O4509"/>
      <c r="Q4509"/>
    </row>
    <row r="4510" spans="1:17" hidden="1" x14ac:dyDescent="0.2">
      <c r="A4510" s="3">
        <v>46125</v>
      </c>
      <c r="B4510" s="2" t="s">
        <v>29</v>
      </c>
      <c r="C4510" s="2">
        <v>2</v>
      </c>
      <c r="D4510" s="2">
        <f t="shared" si="280"/>
        <v>2026</v>
      </c>
      <c r="E4510" s="2" t="str">
        <f t="shared" si="281"/>
        <v>2026-16</v>
      </c>
      <c r="F4510" s="2" t="str">
        <f t="shared" si="282"/>
        <v>Week 16</v>
      </c>
      <c r="G4510" s="2" t="str">
        <f t="shared" si="283"/>
        <v>Week 16-2026</v>
      </c>
      <c r="O4510"/>
      <c r="Q4510"/>
    </row>
    <row r="4511" spans="1:17" hidden="1" x14ac:dyDescent="0.2">
      <c r="A4511" s="3">
        <v>46125</v>
      </c>
      <c r="B4511" s="2" t="s">
        <v>8</v>
      </c>
      <c r="C4511" s="2">
        <v>2</v>
      </c>
      <c r="D4511" s="2">
        <f t="shared" si="280"/>
        <v>2026</v>
      </c>
      <c r="E4511" s="2" t="str">
        <f t="shared" si="281"/>
        <v>2026-16</v>
      </c>
      <c r="F4511" s="2" t="str">
        <f t="shared" si="282"/>
        <v>Week 16</v>
      </c>
      <c r="G4511" s="2" t="str">
        <f t="shared" si="283"/>
        <v>Week 16-2026</v>
      </c>
      <c r="O4511"/>
      <c r="Q4511"/>
    </row>
    <row r="4512" spans="1:17" hidden="1" x14ac:dyDescent="0.2">
      <c r="A4512" s="3">
        <v>46125</v>
      </c>
      <c r="B4512" s="2" t="s">
        <v>36</v>
      </c>
      <c r="C4512" s="2">
        <v>2</v>
      </c>
      <c r="D4512" s="2">
        <f t="shared" si="280"/>
        <v>2026</v>
      </c>
      <c r="E4512" s="2" t="str">
        <f t="shared" si="281"/>
        <v>2026-16</v>
      </c>
      <c r="F4512" s="2" t="str">
        <f t="shared" si="282"/>
        <v>Week 16</v>
      </c>
      <c r="G4512" s="2" t="str">
        <f t="shared" si="283"/>
        <v>Week 16-2026</v>
      </c>
      <c r="O4512"/>
      <c r="Q4512"/>
    </row>
    <row r="4513" spans="1:17" hidden="1" x14ac:dyDescent="0.2">
      <c r="A4513" s="3">
        <v>46126</v>
      </c>
      <c r="B4513" s="2" t="s">
        <v>21</v>
      </c>
      <c r="C4513" s="2">
        <v>8</v>
      </c>
      <c r="D4513" s="2">
        <f t="shared" si="280"/>
        <v>2026</v>
      </c>
      <c r="E4513" s="2" t="str">
        <f t="shared" si="281"/>
        <v>2026-16</v>
      </c>
      <c r="F4513" s="2" t="str">
        <f t="shared" si="282"/>
        <v>Week 16</v>
      </c>
      <c r="G4513" s="2" t="str">
        <f t="shared" si="283"/>
        <v>Week 16-2026</v>
      </c>
      <c r="O4513"/>
      <c r="Q4513"/>
    </row>
    <row r="4514" spans="1:17" hidden="1" x14ac:dyDescent="0.2">
      <c r="A4514" s="3">
        <v>46126</v>
      </c>
      <c r="B4514" s="2" t="s">
        <v>12</v>
      </c>
      <c r="C4514" s="2">
        <v>8</v>
      </c>
      <c r="D4514" s="2">
        <f t="shared" si="280"/>
        <v>2026</v>
      </c>
      <c r="E4514" s="2" t="str">
        <f t="shared" si="281"/>
        <v>2026-16</v>
      </c>
      <c r="F4514" s="2" t="str">
        <f t="shared" si="282"/>
        <v>Week 16</v>
      </c>
      <c r="G4514" s="2" t="str">
        <f t="shared" si="283"/>
        <v>Week 16-2026</v>
      </c>
      <c r="O4514"/>
      <c r="Q4514"/>
    </row>
    <row r="4515" spans="1:17" hidden="1" x14ac:dyDescent="0.2">
      <c r="A4515" s="3">
        <v>46126</v>
      </c>
      <c r="B4515" s="2" t="s">
        <v>3</v>
      </c>
      <c r="C4515" s="2">
        <v>12</v>
      </c>
      <c r="D4515" s="2">
        <f t="shared" si="280"/>
        <v>2026</v>
      </c>
      <c r="E4515" s="2" t="str">
        <f t="shared" si="281"/>
        <v>2026-16</v>
      </c>
      <c r="F4515" s="2" t="str">
        <f t="shared" si="282"/>
        <v>Week 16</v>
      </c>
      <c r="G4515" s="2" t="str">
        <f t="shared" si="283"/>
        <v>Week 16-2026</v>
      </c>
      <c r="O4515"/>
      <c r="Q4515"/>
    </row>
    <row r="4516" spans="1:17" hidden="1" x14ac:dyDescent="0.2">
      <c r="A4516" s="3">
        <v>46126</v>
      </c>
      <c r="B4516" s="2" t="s">
        <v>3</v>
      </c>
      <c r="C4516" s="2">
        <v>8</v>
      </c>
      <c r="D4516" s="2">
        <f t="shared" si="280"/>
        <v>2026</v>
      </c>
      <c r="E4516" s="2" t="str">
        <f t="shared" si="281"/>
        <v>2026-16</v>
      </c>
      <c r="F4516" s="2" t="str">
        <f t="shared" si="282"/>
        <v>Week 16</v>
      </c>
      <c r="G4516" s="2" t="str">
        <f t="shared" si="283"/>
        <v>Week 16-2026</v>
      </c>
      <c r="O4516"/>
      <c r="Q4516"/>
    </row>
    <row r="4517" spans="1:17" hidden="1" x14ac:dyDescent="0.2">
      <c r="A4517" s="3">
        <v>46126</v>
      </c>
      <c r="B4517" s="2" t="s">
        <v>6</v>
      </c>
      <c r="C4517" s="2">
        <v>4</v>
      </c>
      <c r="D4517" s="2">
        <f t="shared" si="280"/>
        <v>2026</v>
      </c>
      <c r="E4517" s="2" t="str">
        <f t="shared" si="281"/>
        <v>2026-16</v>
      </c>
      <c r="F4517" s="2" t="str">
        <f t="shared" si="282"/>
        <v>Week 16</v>
      </c>
      <c r="G4517" s="2" t="str">
        <f t="shared" si="283"/>
        <v>Week 16-2026</v>
      </c>
      <c r="O4517"/>
      <c r="Q4517"/>
    </row>
    <row r="4518" spans="1:17" hidden="1" x14ac:dyDescent="0.2">
      <c r="A4518" s="3">
        <v>46126</v>
      </c>
      <c r="B4518" s="2" t="s">
        <v>6</v>
      </c>
      <c r="C4518" s="2">
        <v>4</v>
      </c>
      <c r="D4518" s="2">
        <f t="shared" si="280"/>
        <v>2026</v>
      </c>
      <c r="E4518" s="2" t="str">
        <f t="shared" si="281"/>
        <v>2026-16</v>
      </c>
      <c r="F4518" s="2" t="str">
        <f t="shared" si="282"/>
        <v>Week 16</v>
      </c>
      <c r="G4518" s="2" t="str">
        <f t="shared" si="283"/>
        <v>Week 16-2026</v>
      </c>
      <c r="O4518"/>
      <c r="Q4518"/>
    </row>
    <row r="4519" spans="1:17" hidden="1" x14ac:dyDescent="0.2">
      <c r="A4519" s="3">
        <v>46126</v>
      </c>
      <c r="B4519" s="2" t="s">
        <v>44</v>
      </c>
      <c r="C4519" s="2">
        <v>1</v>
      </c>
      <c r="D4519" s="2">
        <f t="shared" si="280"/>
        <v>2026</v>
      </c>
      <c r="E4519" s="2" t="str">
        <f t="shared" si="281"/>
        <v>2026-16</v>
      </c>
      <c r="F4519" s="2" t="str">
        <f t="shared" si="282"/>
        <v>Week 16</v>
      </c>
      <c r="G4519" s="2" t="str">
        <f t="shared" si="283"/>
        <v>Week 16-2026</v>
      </c>
      <c r="O4519"/>
      <c r="Q4519"/>
    </row>
    <row r="4520" spans="1:17" hidden="1" x14ac:dyDescent="0.2">
      <c r="A4520" s="3">
        <v>46126</v>
      </c>
      <c r="B4520" s="2" t="s">
        <v>44</v>
      </c>
      <c r="C4520" s="2">
        <v>1</v>
      </c>
      <c r="D4520" s="2">
        <f t="shared" si="280"/>
        <v>2026</v>
      </c>
      <c r="E4520" s="2" t="str">
        <f t="shared" si="281"/>
        <v>2026-16</v>
      </c>
      <c r="F4520" s="2" t="str">
        <f t="shared" si="282"/>
        <v>Week 16</v>
      </c>
      <c r="G4520" s="2" t="str">
        <f t="shared" si="283"/>
        <v>Week 16-2026</v>
      </c>
      <c r="O4520"/>
      <c r="Q4520"/>
    </row>
    <row r="4521" spans="1:17" hidden="1" x14ac:dyDescent="0.2">
      <c r="A4521" s="3">
        <v>46126</v>
      </c>
      <c r="B4521" s="2" t="s">
        <v>3</v>
      </c>
      <c r="C4521" s="2">
        <v>5</v>
      </c>
      <c r="D4521" s="2">
        <f t="shared" si="280"/>
        <v>2026</v>
      </c>
      <c r="E4521" s="2" t="str">
        <f t="shared" si="281"/>
        <v>2026-16</v>
      </c>
      <c r="F4521" s="2" t="str">
        <f t="shared" si="282"/>
        <v>Week 16</v>
      </c>
      <c r="G4521" s="2" t="str">
        <f t="shared" si="283"/>
        <v>Week 16-2026</v>
      </c>
      <c r="O4521"/>
      <c r="Q4521"/>
    </row>
    <row r="4522" spans="1:17" hidden="1" x14ac:dyDescent="0.2">
      <c r="A4522" s="3">
        <v>46126</v>
      </c>
      <c r="B4522" s="2" t="s">
        <v>9</v>
      </c>
      <c r="C4522" s="2">
        <v>4</v>
      </c>
      <c r="D4522" s="2">
        <f t="shared" si="280"/>
        <v>2026</v>
      </c>
      <c r="E4522" s="2" t="str">
        <f t="shared" si="281"/>
        <v>2026-16</v>
      </c>
      <c r="F4522" s="2" t="str">
        <f t="shared" si="282"/>
        <v>Week 16</v>
      </c>
      <c r="G4522" s="2" t="str">
        <f t="shared" si="283"/>
        <v>Week 16-2026</v>
      </c>
      <c r="O4522"/>
      <c r="Q4522"/>
    </row>
    <row r="4523" spans="1:17" hidden="1" x14ac:dyDescent="0.2">
      <c r="A4523" s="3">
        <v>46126</v>
      </c>
      <c r="B4523" s="2" t="s">
        <v>9</v>
      </c>
      <c r="C4523" s="2">
        <v>4</v>
      </c>
      <c r="D4523" s="2">
        <f t="shared" si="280"/>
        <v>2026</v>
      </c>
      <c r="E4523" s="2" t="str">
        <f t="shared" si="281"/>
        <v>2026-16</v>
      </c>
      <c r="F4523" s="2" t="str">
        <f t="shared" si="282"/>
        <v>Week 16</v>
      </c>
      <c r="G4523" s="2" t="str">
        <f t="shared" si="283"/>
        <v>Week 16-2026</v>
      </c>
      <c r="O4523"/>
      <c r="Q4523"/>
    </row>
    <row r="4524" spans="1:17" hidden="1" x14ac:dyDescent="0.2">
      <c r="A4524" s="3">
        <v>46126</v>
      </c>
      <c r="B4524" s="2" t="s">
        <v>6</v>
      </c>
      <c r="C4524" s="2">
        <v>2</v>
      </c>
      <c r="D4524" s="2">
        <f t="shared" si="280"/>
        <v>2026</v>
      </c>
      <c r="E4524" s="2" t="str">
        <f t="shared" si="281"/>
        <v>2026-16</v>
      </c>
      <c r="F4524" s="2" t="str">
        <f t="shared" si="282"/>
        <v>Week 16</v>
      </c>
      <c r="G4524" s="2" t="str">
        <f t="shared" si="283"/>
        <v>Week 16-2026</v>
      </c>
      <c r="O4524"/>
      <c r="Q4524"/>
    </row>
    <row r="4525" spans="1:17" hidden="1" x14ac:dyDescent="0.2">
      <c r="A4525" s="3">
        <v>46126</v>
      </c>
      <c r="B4525" s="2" t="s">
        <v>19</v>
      </c>
      <c r="C4525" s="2">
        <v>2</v>
      </c>
      <c r="D4525" s="2">
        <f t="shared" si="280"/>
        <v>2026</v>
      </c>
      <c r="E4525" s="2" t="str">
        <f t="shared" si="281"/>
        <v>2026-16</v>
      </c>
      <c r="F4525" s="2" t="str">
        <f t="shared" si="282"/>
        <v>Week 16</v>
      </c>
      <c r="G4525" s="2" t="str">
        <f t="shared" si="283"/>
        <v>Week 16-2026</v>
      </c>
      <c r="O4525"/>
      <c r="Q4525"/>
    </row>
    <row r="4526" spans="1:17" hidden="1" x14ac:dyDescent="0.2">
      <c r="A4526" s="3">
        <v>46126</v>
      </c>
      <c r="B4526" s="2" t="s">
        <v>9</v>
      </c>
      <c r="C4526" s="2">
        <v>2</v>
      </c>
      <c r="D4526" s="2">
        <f t="shared" si="280"/>
        <v>2026</v>
      </c>
      <c r="E4526" s="2" t="str">
        <f t="shared" si="281"/>
        <v>2026-16</v>
      </c>
      <c r="F4526" s="2" t="str">
        <f t="shared" si="282"/>
        <v>Week 16</v>
      </c>
      <c r="G4526" s="2" t="str">
        <f t="shared" si="283"/>
        <v>Week 16-2026</v>
      </c>
      <c r="O4526"/>
      <c r="Q4526"/>
    </row>
    <row r="4527" spans="1:17" hidden="1" x14ac:dyDescent="0.2">
      <c r="A4527" s="3">
        <v>46126</v>
      </c>
      <c r="B4527" s="2" t="s">
        <v>30</v>
      </c>
      <c r="C4527" s="2">
        <v>2</v>
      </c>
      <c r="D4527" s="2">
        <f t="shared" si="280"/>
        <v>2026</v>
      </c>
      <c r="E4527" s="2" t="str">
        <f t="shared" si="281"/>
        <v>2026-16</v>
      </c>
      <c r="F4527" s="2" t="str">
        <f t="shared" si="282"/>
        <v>Week 16</v>
      </c>
      <c r="G4527" s="2" t="str">
        <f t="shared" si="283"/>
        <v>Week 16-2026</v>
      </c>
      <c r="O4527"/>
      <c r="Q4527"/>
    </row>
    <row r="4528" spans="1:17" hidden="1" x14ac:dyDescent="0.2">
      <c r="A4528" s="3">
        <v>46127</v>
      </c>
      <c r="B4528" s="2" t="s">
        <v>3</v>
      </c>
      <c r="C4528" s="2">
        <v>24</v>
      </c>
      <c r="D4528" s="2">
        <f t="shared" si="280"/>
        <v>2026</v>
      </c>
      <c r="E4528" s="2" t="str">
        <f t="shared" si="281"/>
        <v>2026-16</v>
      </c>
      <c r="F4528" s="2" t="str">
        <f t="shared" si="282"/>
        <v>Week 16</v>
      </c>
      <c r="G4528" s="2" t="str">
        <f t="shared" si="283"/>
        <v>Week 16-2026</v>
      </c>
      <c r="O4528"/>
      <c r="Q4528"/>
    </row>
    <row r="4529" spans="1:17" hidden="1" x14ac:dyDescent="0.2">
      <c r="A4529" s="3">
        <v>46127</v>
      </c>
      <c r="B4529" s="2" t="s">
        <v>6</v>
      </c>
      <c r="C4529" s="2">
        <v>7</v>
      </c>
      <c r="D4529" s="2">
        <f t="shared" si="280"/>
        <v>2026</v>
      </c>
      <c r="E4529" s="2" t="str">
        <f t="shared" si="281"/>
        <v>2026-16</v>
      </c>
      <c r="F4529" s="2" t="str">
        <f t="shared" si="282"/>
        <v>Week 16</v>
      </c>
      <c r="G4529" s="2" t="str">
        <f t="shared" si="283"/>
        <v>Week 16-2026</v>
      </c>
      <c r="O4529"/>
      <c r="Q4529"/>
    </row>
    <row r="4530" spans="1:17" hidden="1" x14ac:dyDescent="0.2">
      <c r="A4530" s="3">
        <v>46127</v>
      </c>
      <c r="B4530" s="2" t="s">
        <v>6</v>
      </c>
      <c r="C4530" s="2">
        <v>4</v>
      </c>
      <c r="D4530" s="2">
        <f t="shared" si="280"/>
        <v>2026</v>
      </c>
      <c r="E4530" s="2" t="str">
        <f t="shared" si="281"/>
        <v>2026-16</v>
      </c>
      <c r="F4530" s="2" t="str">
        <f t="shared" si="282"/>
        <v>Week 16</v>
      </c>
      <c r="G4530" s="2" t="str">
        <f t="shared" si="283"/>
        <v>Week 16-2026</v>
      </c>
      <c r="O4530"/>
      <c r="Q4530"/>
    </row>
    <row r="4531" spans="1:17" hidden="1" x14ac:dyDescent="0.2">
      <c r="A4531" s="3">
        <v>46127</v>
      </c>
      <c r="B4531" s="2" t="s">
        <v>37</v>
      </c>
      <c r="C4531" s="2">
        <v>8</v>
      </c>
      <c r="D4531" s="2">
        <f t="shared" si="280"/>
        <v>2026</v>
      </c>
      <c r="E4531" s="2" t="str">
        <f t="shared" si="281"/>
        <v>2026-16</v>
      </c>
      <c r="F4531" s="2" t="str">
        <f t="shared" si="282"/>
        <v>Week 16</v>
      </c>
      <c r="G4531" s="2" t="str">
        <f t="shared" si="283"/>
        <v>Week 16-2026</v>
      </c>
      <c r="O4531"/>
      <c r="Q4531"/>
    </row>
    <row r="4532" spans="1:17" hidden="1" x14ac:dyDescent="0.2">
      <c r="A4532" s="3">
        <v>46127</v>
      </c>
      <c r="B4532" s="2" t="s">
        <v>9</v>
      </c>
      <c r="C4532" s="2">
        <v>4</v>
      </c>
      <c r="D4532" s="2">
        <f t="shared" si="280"/>
        <v>2026</v>
      </c>
      <c r="E4532" s="2" t="str">
        <f t="shared" si="281"/>
        <v>2026-16</v>
      </c>
      <c r="F4532" s="2" t="str">
        <f t="shared" si="282"/>
        <v>Week 16</v>
      </c>
      <c r="G4532" s="2" t="str">
        <f t="shared" si="283"/>
        <v>Week 16-2026</v>
      </c>
      <c r="O4532"/>
      <c r="Q4532"/>
    </row>
    <row r="4533" spans="1:17" hidden="1" x14ac:dyDescent="0.2">
      <c r="A4533" s="3">
        <v>46127</v>
      </c>
      <c r="B4533" s="2" t="s">
        <v>19</v>
      </c>
      <c r="C4533" s="2">
        <v>2</v>
      </c>
      <c r="D4533" s="2">
        <f t="shared" si="280"/>
        <v>2026</v>
      </c>
      <c r="E4533" s="2" t="str">
        <f t="shared" si="281"/>
        <v>2026-16</v>
      </c>
      <c r="F4533" s="2" t="str">
        <f t="shared" si="282"/>
        <v>Week 16</v>
      </c>
      <c r="G4533" s="2" t="str">
        <f t="shared" si="283"/>
        <v>Week 16-2026</v>
      </c>
      <c r="O4533"/>
      <c r="Q4533"/>
    </row>
    <row r="4534" spans="1:17" hidden="1" x14ac:dyDescent="0.2">
      <c r="A4534" s="3">
        <v>46127</v>
      </c>
      <c r="B4534" s="2" t="s">
        <v>17</v>
      </c>
      <c r="C4534" s="2">
        <v>2</v>
      </c>
      <c r="D4534" s="2">
        <f t="shared" si="280"/>
        <v>2026</v>
      </c>
      <c r="E4534" s="2" t="str">
        <f t="shared" si="281"/>
        <v>2026-16</v>
      </c>
      <c r="F4534" s="2" t="str">
        <f t="shared" si="282"/>
        <v>Week 16</v>
      </c>
      <c r="G4534" s="2" t="str">
        <f t="shared" si="283"/>
        <v>Week 16-2026</v>
      </c>
      <c r="O4534"/>
      <c r="Q4534"/>
    </row>
    <row r="4535" spans="1:17" hidden="1" x14ac:dyDescent="0.2">
      <c r="A4535" s="3">
        <v>46128</v>
      </c>
      <c r="B4535" s="2" t="s">
        <v>5</v>
      </c>
      <c r="C4535" s="2">
        <v>16</v>
      </c>
      <c r="D4535" s="2">
        <f t="shared" si="280"/>
        <v>2026</v>
      </c>
      <c r="E4535" s="2" t="str">
        <f t="shared" si="281"/>
        <v>2026-16</v>
      </c>
      <c r="F4535" s="2" t="str">
        <f t="shared" si="282"/>
        <v>Week 16</v>
      </c>
      <c r="G4535" s="2" t="str">
        <f t="shared" si="283"/>
        <v>Week 16-2026</v>
      </c>
      <c r="O4535"/>
      <c r="Q4535"/>
    </row>
    <row r="4536" spans="1:17" hidden="1" x14ac:dyDescent="0.2">
      <c r="A4536" s="3">
        <v>46128</v>
      </c>
      <c r="B4536" s="2" t="s">
        <v>3</v>
      </c>
      <c r="C4536" s="2">
        <v>14</v>
      </c>
      <c r="D4536" s="2">
        <f t="shared" si="280"/>
        <v>2026</v>
      </c>
      <c r="E4536" s="2" t="str">
        <f t="shared" si="281"/>
        <v>2026-16</v>
      </c>
      <c r="F4536" s="2" t="str">
        <f t="shared" si="282"/>
        <v>Week 16</v>
      </c>
      <c r="G4536" s="2" t="str">
        <f t="shared" si="283"/>
        <v>Week 16-2026</v>
      </c>
      <c r="O4536"/>
      <c r="Q4536"/>
    </row>
    <row r="4537" spans="1:17" hidden="1" x14ac:dyDescent="0.2">
      <c r="A4537" s="3">
        <v>46128</v>
      </c>
      <c r="B4537" s="2" t="s">
        <v>14</v>
      </c>
      <c r="C4537" s="2">
        <v>12</v>
      </c>
      <c r="D4537" s="2">
        <f t="shared" si="280"/>
        <v>2026</v>
      </c>
      <c r="E4537" s="2" t="str">
        <f t="shared" si="281"/>
        <v>2026-16</v>
      </c>
      <c r="F4537" s="2" t="str">
        <f t="shared" si="282"/>
        <v>Week 16</v>
      </c>
      <c r="G4537" s="2" t="str">
        <f t="shared" si="283"/>
        <v>Week 16-2026</v>
      </c>
      <c r="O4537"/>
      <c r="Q4537"/>
    </row>
    <row r="4538" spans="1:17" hidden="1" x14ac:dyDescent="0.2">
      <c r="A4538" s="3">
        <v>46128</v>
      </c>
      <c r="B4538" s="2" t="s">
        <v>10</v>
      </c>
      <c r="C4538" s="2">
        <v>8</v>
      </c>
      <c r="D4538" s="2">
        <f t="shared" si="280"/>
        <v>2026</v>
      </c>
      <c r="E4538" s="2" t="str">
        <f t="shared" si="281"/>
        <v>2026-16</v>
      </c>
      <c r="F4538" s="2" t="str">
        <f t="shared" si="282"/>
        <v>Week 16</v>
      </c>
      <c r="G4538" s="2" t="str">
        <f t="shared" si="283"/>
        <v>Week 16-2026</v>
      </c>
      <c r="O4538"/>
      <c r="Q4538"/>
    </row>
    <row r="4539" spans="1:17" hidden="1" x14ac:dyDescent="0.2">
      <c r="A4539" s="3">
        <v>46128</v>
      </c>
      <c r="B4539" s="2" t="s">
        <v>4</v>
      </c>
      <c r="C4539" s="2">
        <v>4</v>
      </c>
      <c r="D4539" s="2">
        <f t="shared" si="280"/>
        <v>2026</v>
      </c>
      <c r="E4539" s="2" t="str">
        <f t="shared" si="281"/>
        <v>2026-16</v>
      </c>
      <c r="F4539" s="2" t="str">
        <f t="shared" si="282"/>
        <v>Week 16</v>
      </c>
      <c r="G4539" s="2" t="str">
        <f t="shared" si="283"/>
        <v>Week 16-2026</v>
      </c>
      <c r="O4539"/>
      <c r="Q4539"/>
    </row>
    <row r="4540" spans="1:17" hidden="1" x14ac:dyDescent="0.2">
      <c r="A4540" s="3">
        <v>46128</v>
      </c>
      <c r="B4540" s="2" t="s">
        <v>36</v>
      </c>
      <c r="C4540" s="2">
        <v>7</v>
      </c>
      <c r="D4540" s="2">
        <f t="shared" si="280"/>
        <v>2026</v>
      </c>
      <c r="E4540" s="2" t="str">
        <f t="shared" si="281"/>
        <v>2026-16</v>
      </c>
      <c r="F4540" s="2" t="str">
        <f t="shared" si="282"/>
        <v>Week 16</v>
      </c>
      <c r="G4540" s="2" t="str">
        <f t="shared" si="283"/>
        <v>Week 16-2026</v>
      </c>
      <c r="O4540"/>
      <c r="Q4540"/>
    </row>
    <row r="4541" spans="1:17" hidden="1" x14ac:dyDescent="0.2">
      <c r="A4541" s="3">
        <v>46128</v>
      </c>
      <c r="B4541" s="2" t="s">
        <v>28</v>
      </c>
      <c r="C4541" s="2">
        <v>4</v>
      </c>
      <c r="D4541" s="2">
        <f t="shared" si="280"/>
        <v>2026</v>
      </c>
      <c r="E4541" s="2" t="str">
        <f t="shared" si="281"/>
        <v>2026-16</v>
      </c>
      <c r="F4541" s="2" t="str">
        <f t="shared" si="282"/>
        <v>Week 16</v>
      </c>
      <c r="G4541" s="2" t="str">
        <f t="shared" si="283"/>
        <v>Week 16-2026</v>
      </c>
      <c r="O4541"/>
      <c r="Q4541"/>
    </row>
    <row r="4542" spans="1:17" hidden="1" x14ac:dyDescent="0.2">
      <c r="A4542" s="3">
        <v>46128</v>
      </c>
      <c r="B4542" s="2" t="s">
        <v>15</v>
      </c>
      <c r="C4542" s="2">
        <v>2</v>
      </c>
      <c r="D4542" s="2">
        <f t="shared" si="280"/>
        <v>2026</v>
      </c>
      <c r="E4542" s="2" t="str">
        <f t="shared" si="281"/>
        <v>2026-16</v>
      </c>
      <c r="F4542" s="2" t="str">
        <f t="shared" si="282"/>
        <v>Week 16</v>
      </c>
      <c r="G4542" s="2" t="str">
        <f t="shared" si="283"/>
        <v>Week 16-2026</v>
      </c>
      <c r="O4542"/>
      <c r="Q4542"/>
    </row>
    <row r="4543" spans="1:17" hidden="1" x14ac:dyDescent="0.2">
      <c r="A4543" s="3">
        <v>46129</v>
      </c>
      <c r="B4543" s="2" t="s">
        <v>5</v>
      </c>
      <c r="C4543" s="2">
        <v>34</v>
      </c>
      <c r="D4543" s="2">
        <f t="shared" si="280"/>
        <v>2026</v>
      </c>
      <c r="E4543" s="2" t="str">
        <f t="shared" si="281"/>
        <v>2026-16</v>
      </c>
      <c r="F4543" s="2" t="str">
        <f t="shared" si="282"/>
        <v>Week 16</v>
      </c>
      <c r="G4543" s="2" t="str">
        <f t="shared" si="283"/>
        <v>Week 16-2026</v>
      </c>
      <c r="O4543"/>
      <c r="Q4543"/>
    </row>
    <row r="4544" spans="1:17" hidden="1" x14ac:dyDescent="0.2">
      <c r="A4544" s="3">
        <v>46129</v>
      </c>
      <c r="B4544" s="2" t="s">
        <v>3</v>
      </c>
      <c r="C4544" s="2">
        <v>26</v>
      </c>
      <c r="D4544" s="2">
        <f t="shared" si="280"/>
        <v>2026</v>
      </c>
      <c r="E4544" s="2" t="str">
        <f t="shared" si="281"/>
        <v>2026-16</v>
      </c>
      <c r="F4544" s="2" t="str">
        <f t="shared" si="282"/>
        <v>Week 16</v>
      </c>
      <c r="G4544" s="2" t="str">
        <f t="shared" si="283"/>
        <v>Week 16-2026</v>
      </c>
      <c r="O4544"/>
      <c r="Q4544"/>
    </row>
    <row r="4545" spans="1:17" hidden="1" x14ac:dyDescent="0.2">
      <c r="A4545" s="3">
        <v>46129</v>
      </c>
      <c r="B4545" s="2" t="s">
        <v>9</v>
      </c>
      <c r="C4545" s="2">
        <v>22</v>
      </c>
      <c r="D4545" s="2">
        <f t="shared" si="280"/>
        <v>2026</v>
      </c>
      <c r="E4545" s="2" t="str">
        <f t="shared" si="281"/>
        <v>2026-16</v>
      </c>
      <c r="F4545" s="2" t="str">
        <f t="shared" si="282"/>
        <v>Week 16</v>
      </c>
      <c r="G4545" s="2" t="str">
        <f t="shared" si="283"/>
        <v>Week 16-2026</v>
      </c>
      <c r="O4545"/>
      <c r="Q4545"/>
    </row>
    <row r="4546" spans="1:17" hidden="1" x14ac:dyDescent="0.2">
      <c r="A4546" s="3">
        <v>46129</v>
      </c>
      <c r="B4546" s="2" t="s">
        <v>3</v>
      </c>
      <c r="C4546" s="2">
        <v>16</v>
      </c>
      <c r="D4546" s="2">
        <f t="shared" ref="D4546:D4609" si="284">YEAR(A4546)</f>
        <v>2026</v>
      </c>
      <c r="E4546" s="2" t="str">
        <f t="shared" ref="E4546:E4609" si="285">YEAR(A4546)&amp;"-"&amp;_xlfn.ISOWEEKNUM(A4546)</f>
        <v>2026-16</v>
      </c>
      <c r="F4546" s="2" t="str">
        <f t="shared" ref="F4546:F4609" si="286">_xlfn.CONCAT("Week "&amp;WEEKNUM(A4546))</f>
        <v>Week 16</v>
      </c>
      <c r="G4546" s="2" t="str">
        <f t="shared" ref="G4546:G4609" si="287">_xlfn.CONCAT(F4546,"-",D4546)</f>
        <v>Week 16-2026</v>
      </c>
      <c r="O4546"/>
      <c r="Q4546"/>
    </row>
    <row r="4547" spans="1:17" hidden="1" x14ac:dyDescent="0.2">
      <c r="A4547" s="3">
        <v>46129</v>
      </c>
      <c r="B4547" s="2" t="s">
        <v>14</v>
      </c>
      <c r="C4547" s="2">
        <v>18</v>
      </c>
      <c r="D4547" s="2">
        <f t="shared" si="284"/>
        <v>2026</v>
      </c>
      <c r="E4547" s="2" t="str">
        <f t="shared" si="285"/>
        <v>2026-16</v>
      </c>
      <c r="F4547" s="2" t="str">
        <f t="shared" si="286"/>
        <v>Week 16</v>
      </c>
      <c r="G4547" s="2" t="str">
        <f t="shared" si="287"/>
        <v>Week 16-2026</v>
      </c>
      <c r="O4547"/>
      <c r="Q4547"/>
    </row>
    <row r="4548" spans="1:17" hidden="1" x14ac:dyDescent="0.2">
      <c r="A4548" s="3">
        <v>46129</v>
      </c>
      <c r="B4548" s="2" t="s">
        <v>6</v>
      </c>
      <c r="C4548" s="2">
        <v>8</v>
      </c>
      <c r="D4548" s="2">
        <f t="shared" si="284"/>
        <v>2026</v>
      </c>
      <c r="E4548" s="2" t="str">
        <f t="shared" si="285"/>
        <v>2026-16</v>
      </c>
      <c r="F4548" s="2" t="str">
        <f t="shared" si="286"/>
        <v>Week 16</v>
      </c>
      <c r="G4548" s="2" t="str">
        <f t="shared" si="287"/>
        <v>Week 16-2026</v>
      </c>
      <c r="O4548"/>
      <c r="Q4548"/>
    </row>
    <row r="4549" spans="1:17" hidden="1" x14ac:dyDescent="0.2">
      <c r="A4549" s="3">
        <v>46129</v>
      </c>
      <c r="B4549" s="2" t="s">
        <v>3</v>
      </c>
      <c r="C4549" s="2">
        <v>8</v>
      </c>
      <c r="D4549" s="2">
        <f t="shared" si="284"/>
        <v>2026</v>
      </c>
      <c r="E4549" s="2" t="str">
        <f t="shared" si="285"/>
        <v>2026-16</v>
      </c>
      <c r="F4549" s="2" t="str">
        <f t="shared" si="286"/>
        <v>Week 16</v>
      </c>
      <c r="G4549" s="2" t="str">
        <f t="shared" si="287"/>
        <v>Week 16-2026</v>
      </c>
      <c r="O4549"/>
      <c r="Q4549"/>
    </row>
    <row r="4550" spans="1:17" hidden="1" x14ac:dyDescent="0.2">
      <c r="A4550" s="3">
        <v>46129</v>
      </c>
      <c r="B4550" s="2" t="s">
        <v>4</v>
      </c>
      <c r="C4550" s="2">
        <v>4</v>
      </c>
      <c r="D4550" s="2">
        <f t="shared" si="284"/>
        <v>2026</v>
      </c>
      <c r="E4550" s="2" t="str">
        <f t="shared" si="285"/>
        <v>2026-16</v>
      </c>
      <c r="F4550" s="2" t="str">
        <f t="shared" si="286"/>
        <v>Week 16</v>
      </c>
      <c r="G4550" s="2" t="str">
        <f t="shared" si="287"/>
        <v>Week 16-2026</v>
      </c>
      <c r="O4550"/>
      <c r="Q4550"/>
    </row>
    <row r="4551" spans="1:17" hidden="1" x14ac:dyDescent="0.2">
      <c r="A4551" s="3">
        <v>46129</v>
      </c>
      <c r="B4551" s="2" t="s">
        <v>3</v>
      </c>
      <c r="C4551" s="2">
        <v>4</v>
      </c>
      <c r="D4551" s="2">
        <f t="shared" si="284"/>
        <v>2026</v>
      </c>
      <c r="E4551" s="2" t="str">
        <f t="shared" si="285"/>
        <v>2026-16</v>
      </c>
      <c r="F4551" s="2" t="str">
        <f t="shared" si="286"/>
        <v>Week 16</v>
      </c>
      <c r="G4551" s="2" t="str">
        <f t="shared" si="287"/>
        <v>Week 16-2026</v>
      </c>
      <c r="O4551"/>
      <c r="Q4551"/>
    </row>
    <row r="4552" spans="1:17" hidden="1" x14ac:dyDescent="0.2">
      <c r="A4552" s="3">
        <v>46129</v>
      </c>
      <c r="B4552" s="2" t="s">
        <v>9</v>
      </c>
      <c r="C4552" s="2">
        <v>4</v>
      </c>
      <c r="D4552" s="2">
        <f t="shared" si="284"/>
        <v>2026</v>
      </c>
      <c r="E4552" s="2" t="str">
        <f t="shared" si="285"/>
        <v>2026-16</v>
      </c>
      <c r="F4552" s="2" t="str">
        <f t="shared" si="286"/>
        <v>Week 16</v>
      </c>
      <c r="G4552" s="2" t="str">
        <f t="shared" si="287"/>
        <v>Week 16-2026</v>
      </c>
      <c r="O4552"/>
      <c r="Q4552"/>
    </row>
    <row r="4553" spans="1:17" hidden="1" x14ac:dyDescent="0.2">
      <c r="A4553" s="3">
        <v>46129</v>
      </c>
      <c r="B4553" s="2" t="s">
        <v>9</v>
      </c>
      <c r="C4553" s="2">
        <v>4</v>
      </c>
      <c r="D4553" s="2">
        <f t="shared" si="284"/>
        <v>2026</v>
      </c>
      <c r="E4553" s="2" t="str">
        <f t="shared" si="285"/>
        <v>2026-16</v>
      </c>
      <c r="F4553" s="2" t="str">
        <f t="shared" si="286"/>
        <v>Week 16</v>
      </c>
      <c r="G4553" s="2" t="str">
        <f t="shared" si="287"/>
        <v>Week 16-2026</v>
      </c>
      <c r="O4553"/>
      <c r="Q4553"/>
    </row>
    <row r="4554" spans="1:17" hidden="1" x14ac:dyDescent="0.2">
      <c r="A4554" s="3">
        <v>46129</v>
      </c>
      <c r="B4554" s="2" t="s">
        <v>10</v>
      </c>
      <c r="C4554" s="2">
        <v>6</v>
      </c>
      <c r="D4554" s="2">
        <f t="shared" si="284"/>
        <v>2026</v>
      </c>
      <c r="E4554" s="2" t="str">
        <f t="shared" si="285"/>
        <v>2026-16</v>
      </c>
      <c r="F4554" s="2" t="str">
        <f t="shared" si="286"/>
        <v>Week 16</v>
      </c>
      <c r="G4554" s="2" t="str">
        <f t="shared" si="287"/>
        <v>Week 16-2026</v>
      </c>
      <c r="O4554"/>
      <c r="Q4554"/>
    </row>
    <row r="4555" spans="1:17" hidden="1" x14ac:dyDescent="0.2">
      <c r="A4555" s="3">
        <v>46129</v>
      </c>
      <c r="B4555" s="2" t="s">
        <v>12</v>
      </c>
      <c r="C4555" s="2">
        <v>2</v>
      </c>
      <c r="D4555" s="2">
        <f t="shared" si="284"/>
        <v>2026</v>
      </c>
      <c r="E4555" s="2" t="str">
        <f t="shared" si="285"/>
        <v>2026-16</v>
      </c>
      <c r="F4555" s="2" t="str">
        <f t="shared" si="286"/>
        <v>Week 16</v>
      </c>
      <c r="G4555" s="2" t="str">
        <f t="shared" si="287"/>
        <v>Week 16-2026</v>
      </c>
      <c r="O4555"/>
      <c r="Q4555"/>
    </row>
    <row r="4556" spans="1:17" hidden="1" x14ac:dyDescent="0.2">
      <c r="A4556" s="3">
        <v>46129</v>
      </c>
      <c r="B4556" s="2" t="s">
        <v>7</v>
      </c>
      <c r="C4556" s="2">
        <v>2</v>
      </c>
      <c r="D4556" s="2">
        <f t="shared" si="284"/>
        <v>2026</v>
      </c>
      <c r="E4556" s="2" t="str">
        <f t="shared" si="285"/>
        <v>2026-16</v>
      </c>
      <c r="F4556" s="2" t="str">
        <f t="shared" si="286"/>
        <v>Week 16</v>
      </c>
      <c r="G4556" s="2" t="str">
        <f t="shared" si="287"/>
        <v>Week 16-2026</v>
      </c>
      <c r="O4556"/>
      <c r="Q4556"/>
    </row>
    <row r="4557" spans="1:17" hidden="1" x14ac:dyDescent="0.2">
      <c r="A4557" s="3">
        <v>46129</v>
      </c>
      <c r="B4557" s="2" t="s">
        <v>14</v>
      </c>
      <c r="C4557" s="2">
        <v>4</v>
      </c>
      <c r="D4557" s="2">
        <f t="shared" si="284"/>
        <v>2026</v>
      </c>
      <c r="E4557" s="2" t="str">
        <f t="shared" si="285"/>
        <v>2026-16</v>
      </c>
      <c r="F4557" s="2" t="str">
        <f t="shared" si="286"/>
        <v>Week 16</v>
      </c>
      <c r="G4557" s="2" t="str">
        <f t="shared" si="287"/>
        <v>Week 16-2026</v>
      </c>
      <c r="O4557"/>
      <c r="Q4557"/>
    </row>
    <row r="4558" spans="1:17" hidden="1" x14ac:dyDescent="0.2">
      <c r="A4558" s="3">
        <v>46129</v>
      </c>
      <c r="B4558" s="2" t="s">
        <v>9</v>
      </c>
      <c r="C4558" s="2">
        <v>2</v>
      </c>
      <c r="D4558" s="2">
        <f t="shared" si="284"/>
        <v>2026</v>
      </c>
      <c r="E4558" s="2" t="str">
        <f t="shared" si="285"/>
        <v>2026-16</v>
      </c>
      <c r="F4558" s="2" t="str">
        <f t="shared" si="286"/>
        <v>Week 16</v>
      </c>
      <c r="G4558" s="2" t="str">
        <f t="shared" si="287"/>
        <v>Week 16-2026</v>
      </c>
      <c r="O4558"/>
      <c r="Q4558"/>
    </row>
    <row r="4559" spans="1:17" hidden="1" x14ac:dyDescent="0.2">
      <c r="A4559" s="3">
        <v>46129</v>
      </c>
      <c r="B4559" s="2" t="s">
        <v>27</v>
      </c>
      <c r="C4559" s="2">
        <v>4</v>
      </c>
      <c r="D4559" s="2">
        <f t="shared" si="284"/>
        <v>2026</v>
      </c>
      <c r="E4559" s="2" t="str">
        <f t="shared" si="285"/>
        <v>2026-16</v>
      </c>
      <c r="F4559" s="2" t="str">
        <f t="shared" si="286"/>
        <v>Week 16</v>
      </c>
      <c r="G4559" s="2" t="str">
        <f t="shared" si="287"/>
        <v>Week 16-2026</v>
      </c>
      <c r="O4559"/>
      <c r="Q4559"/>
    </row>
    <row r="4560" spans="1:17" hidden="1" x14ac:dyDescent="0.2">
      <c r="A4560" s="3">
        <v>46129</v>
      </c>
      <c r="B4560" s="2" t="s">
        <v>36</v>
      </c>
      <c r="C4560" s="2">
        <v>4</v>
      </c>
      <c r="D4560" s="2">
        <f t="shared" si="284"/>
        <v>2026</v>
      </c>
      <c r="E4560" s="2" t="str">
        <f t="shared" si="285"/>
        <v>2026-16</v>
      </c>
      <c r="F4560" s="2" t="str">
        <f t="shared" si="286"/>
        <v>Week 16</v>
      </c>
      <c r="G4560" s="2" t="str">
        <f t="shared" si="287"/>
        <v>Week 16-2026</v>
      </c>
      <c r="O4560"/>
      <c r="Q4560"/>
    </row>
    <row r="4561" spans="1:17" hidden="1" x14ac:dyDescent="0.2">
      <c r="A4561" s="3">
        <v>46129</v>
      </c>
      <c r="B4561" s="2" t="s">
        <v>30</v>
      </c>
      <c r="C4561" s="2">
        <v>3</v>
      </c>
      <c r="D4561" s="2">
        <f t="shared" si="284"/>
        <v>2026</v>
      </c>
      <c r="E4561" s="2" t="str">
        <f t="shared" si="285"/>
        <v>2026-16</v>
      </c>
      <c r="F4561" s="2" t="str">
        <f t="shared" si="286"/>
        <v>Week 16</v>
      </c>
      <c r="G4561" s="2" t="str">
        <f t="shared" si="287"/>
        <v>Week 16-2026</v>
      </c>
      <c r="O4561"/>
      <c r="Q4561"/>
    </row>
    <row r="4562" spans="1:17" hidden="1" x14ac:dyDescent="0.2">
      <c r="A4562" s="3">
        <v>46129</v>
      </c>
      <c r="B4562" s="2" t="s">
        <v>15</v>
      </c>
      <c r="C4562" s="2">
        <v>2</v>
      </c>
      <c r="D4562" s="2">
        <f t="shared" si="284"/>
        <v>2026</v>
      </c>
      <c r="E4562" s="2" t="str">
        <f t="shared" si="285"/>
        <v>2026-16</v>
      </c>
      <c r="F4562" s="2" t="str">
        <f t="shared" si="286"/>
        <v>Week 16</v>
      </c>
      <c r="G4562" s="2" t="str">
        <f t="shared" si="287"/>
        <v>Week 16-2026</v>
      </c>
      <c r="O4562"/>
      <c r="Q4562"/>
    </row>
    <row r="4563" spans="1:17" hidden="1" x14ac:dyDescent="0.2">
      <c r="A4563" s="3">
        <v>46129</v>
      </c>
      <c r="B4563" s="2" t="s">
        <v>36</v>
      </c>
      <c r="C4563" s="2">
        <v>2</v>
      </c>
      <c r="D4563" s="2">
        <f t="shared" si="284"/>
        <v>2026</v>
      </c>
      <c r="E4563" s="2" t="str">
        <f t="shared" si="285"/>
        <v>2026-16</v>
      </c>
      <c r="F4563" s="2" t="str">
        <f t="shared" si="286"/>
        <v>Week 16</v>
      </c>
      <c r="G4563" s="2" t="str">
        <f t="shared" si="287"/>
        <v>Week 16-2026</v>
      </c>
      <c r="O4563"/>
      <c r="Q4563"/>
    </row>
    <row r="4564" spans="1:17" hidden="1" x14ac:dyDescent="0.2">
      <c r="A4564" s="3">
        <v>46129</v>
      </c>
      <c r="B4564" s="2" t="s">
        <v>42</v>
      </c>
      <c r="C4564" s="2">
        <v>1</v>
      </c>
      <c r="D4564" s="2">
        <f t="shared" si="284"/>
        <v>2026</v>
      </c>
      <c r="E4564" s="2" t="str">
        <f t="shared" si="285"/>
        <v>2026-16</v>
      </c>
      <c r="F4564" s="2" t="str">
        <f t="shared" si="286"/>
        <v>Week 16</v>
      </c>
      <c r="G4564" s="2" t="str">
        <f t="shared" si="287"/>
        <v>Week 16-2026</v>
      </c>
      <c r="O4564"/>
      <c r="Q4564"/>
    </row>
    <row r="4565" spans="1:17" hidden="1" x14ac:dyDescent="0.2">
      <c r="A4565" s="3">
        <v>46132</v>
      </c>
      <c r="B4565" s="2" t="s">
        <v>5</v>
      </c>
      <c r="C4565" s="2">
        <v>20</v>
      </c>
      <c r="D4565" s="2">
        <f t="shared" si="284"/>
        <v>2026</v>
      </c>
      <c r="E4565" s="2" t="str">
        <f t="shared" si="285"/>
        <v>2026-17</v>
      </c>
      <c r="F4565" s="2" t="str">
        <f t="shared" si="286"/>
        <v>Week 17</v>
      </c>
      <c r="G4565" s="2" t="str">
        <f t="shared" si="287"/>
        <v>Week 17-2026</v>
      </c>
      <c r="O4565"/>
      <c r="Q4565"/>
    </row>
    <row r="4566" spans="1:17" hidden="1" x14ac:dyDescent="0.2">
      <c r="A4566" s="3">
        <v>46132</v>
      </c>
      <c r="B4566" s="2" t="s">
        <v>14</v>
      </c>
      <c r="C4566" s="2">
        <v>8</v>
      </c>
      <c r="D4566" s="2">
        <f t="shared" si="284"/>
        <v>2026</v>
      </c>
      <c r="E4566" s="2" t="str">
        <f t="shared" si="285"/>
        <v>2026-17</v>
      </c>
      <c r="F4566" s="2" t="str">
        <f t="shared" si="286"/>
        <v>Week 17</v>
      </c>
      <c r="G4566" s="2" t="str">
        <f t="shared" si="287"/>
        <v>Week 17-2026</v>
      </c>
      <c r="O4566"/>
      <c r="Q4566"/>
    </row>
    <row r="4567" spans="1:17" hidden="1" x14ac:dyDescent="0.2">
      <c r="A4567" s="3">
        <v>46132</v>
      </c>
      <c r="B4567" s="2" t="s">
        <v>27</v>
      </c>
      <c r="C4567" s="2">
        <v>8</v>
      </c>
      <c r="D4567" s="2">
        <f t="shared" si="284"/>
        <v>2026</v>
      </c>
      <c r="E4567" s="2" t="str">
        <f t="shared" si="285"/>
        <v>2026-17</v>
      </c>
      <c r="F4567" s="2" t="str">
        <f t="shared" si="286"/>
        <v>Week 17</v>
      </c>
      <c r="G4567" s="2" t="str">
        <f t="shared" si="287"/>
        <v>Week 17-2026</v>
      </c>
      <c r="O4567"/>
      <c r="Q4567"/>
    </row>
    <row r="4568" spans="1:17" hidden="1" x14ac:dyDescent="0.2">
      <c r="A4568" s="3">
        <v>46132</v>
      </c>
      <c r="B4568" s="2" t="s">
        <v>14</v>
      </c>
      <c r="C4568" s="2">
        <v>6</v>
      </c>
      <c r="D4568" s="2">
        <f t="shared" si="284"/>
        <v>2026</v>
      </c>
      <c r="E4568" s="2" t="str">
        <f t="shared" si="285"/>
        <v>2026-17</v>
      </c>
      <c r="F4568" s="2" t="str">
        <f t="shared" si="286"/>
        <v>Week 17</v>
      </c>
      <c r="G4568" s="2" t="str">
        <f t="shared" si="287"/>
        <v>Week 17-2026</v>
      </c>
      <c r="O4568"/>
      <c r="Q4568"/>
    </row>
    <row r="4569" spans="1:17" hidden="1" x14ac:dyDescent="0.2">
      <c r="A4569" s="3">
        <v>46132</v>
      </c>
      <c r="B4569" s="2" t="s">
        <v>30</v>
      </c>
      <c r="C4569" s="2">
        <v>4</v>
      </c>
      <c r="D4569" s="2">
        <f t="shared" si="284"/>
        <v>2026</v>
      </c>
      <c r="E4569" s="2" t="str">
        <f t="shared" si="285"/>
        <v>2026-17</v>
      </c>
      <c r="F4569" s="2" t="str">
        <f t="shared" si="286"/>
        <v>Week 17</v>
      </c>
      <c r="G4569" s="2" t="str">
        <f t="shared" si="287"/>
        <v>Week 17-2026</v>
      </c>
      <c r="O4569"/>
      <c r="Q4569"/>
    </row>
    <row r="4570" spans="1:17" hidden="1" x14ac:dyDescent="0.2">
      <c r="A4570" s="3">
        <v>46133</v>
      </c>
      <c r="B4570" s="2" t="s">
        <v>6</v>
      </c>
      <c r="C4570" s="2">
        <v>11</v>
      </c>
      <c r="D4570" s="2">
        <f t="shared" si="284"/>
        <v>2026</v>
      </c>
      <c r="E4570" s="2" t="str">
        <f t="shared" si="285"/>
        <v>2026-17</v>
      </c>
      <c r="F4570" s="2" t="str">
        <f t="shared" si="286"/>
        <v>Week 17</v>
      </c>
      <c r="G4570" s="2" t="str">
        <f t="shared" si="287"/>
        <v>Week 17-2026</v>
      </c>
      <c r="O4570"/>
      <c r="Q4570"/>
    </row>
    <row r="4571" spans="1:17" hidden="1" x14ac:dyDescent="0.2">
      <c r="A4571" s="3">
        <v>46133</v>
      </c>
      <c r="B4571" s="2" t="s">
        <v>6</v>
      </c>
      <c r="C4571" s="2">
        <v>5</v>
      </c>
      <c r="D4571" s="2">
        <f t="shared" si="284"/>
        <v>2026</v>
      </c>
      <c r="E4571" s="2" t="str">
        <f t="shared" si="285"/>
        <v>2026-17</v>
      </c>
      <c r="F4571" s="2" t="str">
        <f t="shared" si="286"/>
        <v>Week 17</v>
      </c>
      <c r="G4571" s="2" t="str">
        <f t="shared" si="287"/>
        <v>Week 17-2026</v>
      </c>
      <c r="O4571"/>
      <c r="Q4571"/>
    </row>
    <row r="4572" spans="1:17" hidden="1" x14ac:dyDescent="0.2">
      <c r="A4572" s="3">
        <v>46133</v>
      </c>
      <c r="B4572" s="2" t="s">
        <v>3</v>
      </c>
      <c r="C4572" s="2">
        <v>6</v>
      </c>
      <c r="D4572" s="2">
        <f t="shared" si="284"/>
        <v>2026</v>
      </c>
      <c r="E4572" s="2" t="str">
        <f t="shared" si="285"/>
        <v>2026-17</v>
      </c>
      <c r="F4572" s="2" t="str">
        <f t="shared" si="286"/>
        <v>Week 17</v>
      </c>
      <c r="G4572" s="2" t="str">
        <f t="shared" si="287"/>
        <v>Week 17-2026</v>
      </c>
      <c r="O4572"/>
      <c r="Q4572"/>
    </row>
    <row r="4573" spans="1:17" hidden="1" x14ac:dyDescent="0.2">
      <c r="A4573" s="3">
        <v>46133</v>
      </c>
      <c r="B4573" s="2" t="s">
        <v>9</v>
      </c>
      <c r="C4573" s="2">
        <v>4</v>
      </c>
      <c r="D4573" s="2">
        <f t="shared" si="284"/>
        <v>2026</v>
      </c>
      <c r="E4573" s="2" t="str">
        <f t="shared" si="285"/>
        <v>2026-17</v>
      </c>
      <c r="F4573" s="2" t="str">
        <f t="shared" si="286"/>
        <v>Week 17</v>
      </c>
      <c r="G4573" s="2" t="str">
        <f t="shared" si="287"/>
        <v>Week 17-2026</v>
      </c>
      <c r="O4573"/>
      <c r="Q4573"/>
    </row>
    <row r="4574" spans="1:17" hidden="1" x14ac:dyDescent="0.2">
      <c r="A4574" s="3">
        <v>46133</v>
      </c>
      <c r="B4574" s="2" t="s">
        <v>12</v>
      </c>
      <c r="C4574" s="2">
        <v>2</v>
      </c>
      <c r="D4574" s="2">
        <f t="shared" si="284"/>
        <v>2026</v>
      </c>
      <c r="E4574" s="2" t="str">
        <f t="shared" si="285"/>
        <v>2026-17</v>
      </c>
      <c r="F4574" s="2" t="str">
        <f t="shared" si="286"/>
        <v>Week 17</v>
      </c>
      <c r="G4574" s="2" t="str">
        <f t="shared" si="287"/>
        <v>Week 17-2026</v>
      </c>
      <c r="O4574"/>
      <c r="Q4574"/>
    </row>
    <row r="4575" spans="1:17" hidden="1" x14ac:dyDescent="0.2">
      <c r="A4575" s="3">
        <v>46133</v>
      </c>
      <c r="B4575" s="2" t="s">
        <v>14</v>
      </c>
      <c r="C4575" s="2">
        <v>5</v>
      </c>
      <c r="D4575" s="2">
        <f t="shared" si="284"/>
        <v>2026</v>
      </c>
      <c r="E4575" s="2" t="str">
        <f t="shared" si="285"/>
        <v>2026-17</v>
      </c>
      <c r="F4575" s="2" t="str">
        <f t="shared" si="286"/>
        <v>Week 17</v>
      </c>
      <c r="G4575" s="2" t="str">
        <f t="shared" si="287"/>
        <v>Week 17-2026</v>
      </c>
      <c r="O4575"/>
      <c r="Q4575"/>
    </row>
    <row r="4576" spans="1:17" hidden="1" x14ac:dyDescent="0.2">
      <c r="A4576" s="3">
        <v>46133</v>
      </c>
      <c r="B4576" s="2" t="s">
        <v>30</v>
      </c>
      <c r="C4576" s="2">
        <v>4</v>
      </c>
      <c r="D4576" s="2">
        <f t="shared" si="284"/>
        <v>2026</v>
      </c>
      <c r="E4576" s="2" t="str">
        <f t="shared" si="285"/>
        <v>2026-17</v>
      </c>
      <c r="F4576" s="2" t="str">
        <f t="shared" si="286"/>
        <v>Week 17</v>
      </c>
      <c r="G4576" s="2" t="str">
        <f t="shared" si="287"/>
        <v>Week 17-2026</v>
      </c>
      <c r="O4576"/>
      <c r="Q4576"/>
    </row>
    <row r="4577" spans="1:17" hidden="1" x14ac:dyDescent="0.2">
      <c r="A4577" s="3">
        <v>46133</v>
      </c>
      <c r="B4577" s="2" t="s">
        <v>14</v>
      </c>
      <c r="C4577" s="2">
        <v>3</v>
      </c>
      <c r="D4577" s="2">
        <f t="shared" si="284"/>
        <v>2026</v>
      </c>
      <c r="E4577" s="2" t="str">
        <f t="shared" si="285"/>
        <v>2026-17</v>
      </c>
      <c r="F4577" s="2" t="str">
        <f t="shared" si="286"/>
        <v>Week 17</v>
      </c>
      <c r="G4577" s="2" t="str">
        <f t="shared" si="287"/>
        <v>Week 17-2026</v>
      </c>
      <c r="O4577"/>
      <c r="Q4577"/>
    </row>
    <row r="4578" spans="1:17" hidden="1" x14ac:dyDescent="0.2">
      <c r="A4578" s="3">
        <v>46133</v>
      </c>
      <c r="B4578" s="2" t="s">
        <v>13</v>
      </c>
      <c r="C4578" s="2">
        <v>2</v>
      </c>
      <c r="D4578" s="2">
        <f t="shared" si="284"/>
        <v>2026</v>
      </c>
      <c r="E4578" s="2" t="str">
        <f t="shared" si="285"/>
        <v>2026-17</v>
      </c>
      <c r="F4578" s="2" t="str">
        <f t="shared" si="286"/>
        <v>Week 17</v>
      </c>
      <c r="G4578" s="2" t="str">
        <f t="shared" si="287"/>
        <v>Week 17-2026</v>
      </c>
      <c r="O4578"/>
      <c r="Q4578"/>
    </row>
    <row r="4579" spans="1:17" hidden="1" x14ac:dyDescent="0.2">
      <c r="A4579" s="3">
        <v>46133</v>
      </c>
      <c r="B4579" s="2" t="s">
        <v>17</v>
      </c>
      <c r="C4579" s="2">
        <v>2</v>
      </c>
      <c r="D4579" s="2">
        <f t="shared" si="284"/>
        <v>2026</v>
      </c>
      <c r="E4579" s="2" t="str">
        <f t="shared" si="285"/>
        <v>2026-17</v>
      </c>
      <c r="F4579" s="2" t="str">
        <f t="shared" si="286"/>
        <v>Week 17</v>
      </c>
      <c r="G4579" s="2" t="str">
        <f t="shared" si="287"/>
        <v>Week 17-2026</v>
      </c>
      <c r="O4579"/>
      <c r="Q4579"/>
    </row>
    <row r="4580" spans="1:17" hidden="1" x14ac:dyDescent="0.2">
      <c r="A4580" s="3">
        <v>46133</v>
      </c>
      <c r="B4580" s="2" t="s">
        <v>34</v>
      </c>
      <c r="C4580" s="2">
        <v>2</v>
      </c>
      <c r="D4580" s="2">
        <f t="shared" si="284"/>
        <v>2026</v>
      </c>
      <c r="E4580" s="2" t="str">
        <f t="shared" si="285"/>
        <v>2026-17</v>
      </c>
      <c r="F4580" s="2" t="str">
        <f t="shared" si="286"/>
        <v>Week 17</v>
      </c>
      <c r="G4580" s="2" t="str">
        <f t="shared" si="287"/>
        <v>Week 17-2026</v>
      </c>
      <c r="O4580"/>
      <c r="Q4580"/>
    </row>
    <row r="4581" spans="1:17" hidden="1" x14ac:dyDescent="0.2">
      <c r="A4581" s="3">
        <v>46135</v>
      </c>
      <c r="B4581" s="2" t="s">
        <v>4</v>
      </c>
      <c r="C4581" s="2">
        <v>14</v>
      </c>
      <c r="D4581" s="2">
        <f t="shared" si="284"/>
        <v>2026</v>
      </c>
      <c r="E4581" s="2" t="str">
        <f t="shared" si="285"/>
        <v>2026-17</v>
      </c>
      <c r="F4581" s="2" t="str">
        <f t="shared" si="286"/>
        <v>Week 17</v>
      </c>
      <c r="G4581" s="2" t="str">
        <f t="shared" si="287"/>
        <v>Week 17-2026</v>
      </c>
      <c r="O4581"/>
      <c r="Q4581"/>
    </row>
    <row r="4582" spans="1:17" hidden="1" x14ac:dyDescent="0.2">
      <c r="A4582" s="3">
        <v>46135</v>
      </c>
      <c r="B4582" s="2" t="s">
        <v>6</v>
      </c>
      <c r="C4582" s="2">
        <v>8</v>
      </c>
      <c r="D4582" s="2">
        <f t="shared" si="284"/>
        <v>2026</v>
      </c>
      <c r="E4582" s="2" t="str">
        <f t="shared" si="285"/>
        <v>2026-17</v>
      </c>
      <c r="F4582" s="2" t="str">
        <f t="shared" si="286"/>
        <v>Week 17</v>
      </c>
      <c r="G4582" s="2" t="str">
        <f t="shared" si="287"/>
        <v>Week 17-2026</v>
      </c>
      <c r="O4582"/>
      <c r="Q4582"/>
    </row>
    <row r="4583" spans="1:17" hidden="1" x14ac:dyDescent="0.2">
      <c r="A4583" s="3">
        <v>46135</v>
      </c>
      <c r="B4583" s="2" t="s">
        <v>3</v>
      </c>
      <c r="C4583" s="2">
        <v>8</v>
      </c>
      <c r="D4583" s="2">
        <f t="shared" si="284"/>
        <v>2026</v>
      </c>
      <c r="E4583" s="2" t="str">
        <f t="shared" si="285"/>
        <v>2026-17</v>
      </c>
      <c r="F4583" s="2" t="str">
        <f t="shared" si="286"/>
        <v>Week 17</v>
      </c>
      <c r="G4583" s="2" t="str">
        <f t="shared" si="287"/>
        <v>Week 17-2026</v>
      </c>
      <c r="O4583"/>
      <c r="Q4583"/>
    </row>
    <row r="4584" spans="1:17" hidden="1" x14ac:dyDescent="0.2">
      <c r="A4584" s="3">
        <v>46135</v>
      </c>
      <c r="B4584" s="2" t="s">
        <v>3</v>
      </c>
      <c r="C4584" s="2">
        <v>6</v>
      </c>
      <c r="D4584" s="2">
        <f t="shared" si="284"/>
        <v>2026</v>
      </c>
      <c r="E4584" s="2" t="str">
        <f t="shared" si="285"/>
        <v>2026-17</v>
      </c>
      <c r="F4584" s="2" t="str">
        <f t="shared" si="286"/>
        <v>Week 17</v>
      </c>
      <c r="G4584" s="2" t="str">
        <f t="shared" si="287"/>
        <v>Week 17-2026</v>
      </c>
      <c r="O4584"/>
      <c r="Q4584"/>
    </row>
    <row r="4585" spans="1:17" hidden="1" x14ac:dyDescent="0.2">
      <c r="A4585" s="3">
        <v>46135</v>
      </c>
      <c r="B4585" s="2" t="s">
        <v>10</v>
      </c>
      <c r="C4585" s="2">
        <v>4</v>
      </c>
      <c r="D4585" s="2">
        <f t="shared" si="284"/>
        <v>2026</v>
      </c>
      <c r="E4585" s="2" t="str">
        <f t="shared" si="285"/>
        <v>2026-17</v>
      </c>
      <c r="F4585" s="2" t="str">
        <f t="shared" si="286"/>
        <v>Week 17</v>
      </c>
      <c r="G4585" s="2" t="str">
        <f t="shared" si="287"/>
        <v>Week 17-2026</v>
      </c>
      <c r="O4585"/>
      <c r="Q4585"/>
    </row>
    <row r="4586" spans="1:17" hidden="1" x14ac:dyDescent="0.2">
      <c r="A4586" s="3">
        <v>46135</v>
      </c>
      <c r="B4586" s="2" t="s">
        <v>7</v>
      </c>
      <c r="C4586" s="2">
        <v>2</v>
      </c>
      <c r="D4586" s="2">
        <f t="shared" si="284"/>
        <v>2026</v>
      </c>
      <c r="E4586" s="2" t="str">
        <f t="shared" si="285"/>
        <v>2026-17</v>
      </c>
      <c r="F4586" s="2" t="str">
        <f t="shared" si="286"/>
        <v>Week 17</v>
      </c>
      <c r="G4586" s="2" t="str">
        <f t="shared" si="287"/>
        <v>Week 17-2026</v>
      </c>
      <c r="O4586"/>
      <c r="Q4586"/>
    </row>
    <row r="4587" spans="1:17" hidden="1" x14ac:dyDescent="0.2">
      <c r="A4587" s="3">
        <v>46135</v>
      </c>
      <c r="B4587" s="2" t="s">
        <v>4</v>
      </c>
      <c r="C4587" s="2">
        <v>2</v>
      </c>
      <c r="D4587" s="2">
        <f t="shared" si="284"/>
        <v>2026</v>
      </c>
      <c r="E4587" s="2" t="str">
        <f t="shared" si="285"/>
        <v>2026-17</v>
      </c>
      <c r="F4587" s="2" t="str">
        <f t="shared" si="286"/>
        <v>Week 17</v>
      </c>
      <c r="G4587" s="2" t="str">
        <f t="shared" si="287"/>
        <v>Week 17-2026</v>
      </c>
      <c r="O4587"/>
      <c r="Q4587"/>
    </row>
    <row r="4588" spans="1:17" hidden="1" x14ac:dyDescent="0.2">
      <c r="A4588" s="3">
        <v>46139</v>
      </c>
      <c r="B4588" s="2" t="s">
        <v>3</v>
      </c>
      <c r="C4588" s="2">
        <v>38</v>
      </c>
      <c r="D4588" s="2">
        <f t="shared" si="284"/>
        <v>2026</v>
      </c>
      <c r="E4588" s="2" t="str">
        <f t="shared" si="285"/>
        <v>2026-18</v>
      </c>
      <c r="F4588" s="2" t="str">
        <f t="shared" si="286"/>
        <v>Week 18</v>
      </c>
      <c r="G4588" s="2" t="str">
        <f t="shared" si="287"/>
        <v>Week 18-2026</v>
      </c>
      <c r="O4588"/>
      <c r="Q4588"/>
    </row>
    <row r="4589" spans="1:17" hidden="1" x14ac:dyDescent="0.2">
      <c r="A4589" s="3">
        <v>46139</v>
      </c>
      <c r="B4589" s="2" t="s">
        <v>4</v>
      </c>
      <c r="C4589" s="2">
        <v>24</v>
      </c>
      <c r="D4589" s="2">
        <f t="shared" si="284"/>
        <v>2026</v>
      </c>
      <c r="E4589" s="2" t="str">
        <f t="shared" si="285"/>
        <v>2026-18</v>
      </c>
      <c r="F4589" s="2" t="str">
        <f t="shared" si="286"/>
        <v>Week 18</v>
      </c>
      <c r="G4589" s="2" t="str">
        <f t="shared" si="287"/>
        <v>Week 18-2026</v>
      </c>
      <c r="O4589"/>
      <c r="Q4589"/>
    </row>
    <row r="4590" spans="1:17" hidden="1" x14ac:dyDescent="0.2">
      <c r="A4590" s="3">
        <v>46139</v>
      </c>
      <c r="B4590" s="2" t="s">
        <v>3</v>
      </c>
      <c r="C4590" s="2">
        <v>28</v>
      </c>
      <c r="D4590" s="2">
        <f t="shared" si="284"/>
        <v>2026</v>
      </c>
      <c r="E4590" s="2" t="str">
        <f t="shared" si="285"/>
        <v>2026-18</v>
      </c>
      <c r="F4590" s="2" t="str">
        <f t="shared" si="286"/>
        <v>Week 18</v>
      </c>
      <c r="G4590" s="2" t="str">
        <f t="shared" si="287"/>
        <v>Week 18-2026</v>
      </c>
      <c r="O4590"/>
      <c r="Q4590"/>
    </row>
    <row r="4591" spans="1:17" hidden="1" x14ac:dyDescent="0.2">
      <c r="A4591" s="3">
        <v>46139</v>
      </c>
      <c r="B4591" s="2" t="s">
        <v>7</v>
      </c>
      <c r="C4591" s="2">
        <v>18</v>
      </c>
      <c r="D4591" s="2">
        <f t="shared" si="284"/>
        <v>2026</v>
      </c>
      <c r="E4591" s="2" t="str">
        <f t="shared" si="285"/>
        <v>2026-18</v>
      </c>
      <c r="F4591" s="2" t="str">
        <f t="shared" si="286"/>
        <v>Week 18</v>
      </c>
      <c r="G4591" s="2" t="str">
        <f t="shared" si="287"/>
        <v>Week 18-2026</v>
      </c>
      <c r="O4591"/>
      <c r="Q4591"/>
    </row>
    <row r="4592" spans="1:17" hidden="1" x14ac:dyDescent="0.2">
      <c r="A4592" s="3">
        <v>46139</v>
      </c>
      <c r="B4592" s="2" t="s">
        <v>5</v>
      </c>
      <c r="C4592" s="2">
        <v>24</v>
      </c>
      <c r="D4592" s="2">
        <f t="shared" si="284"/>
        <v>2026</v>
      </c>
      <c r="E4592" s="2" t="str">
        <f t="shared" si="285"/>
        <v>2026-18</v>
      </c>
      <c r="F4592" s="2" t="str">
        <f t="shared" si="286"/>
        <v>Week 18</v>
      </c>
      <c r="G4592" s="2" t="str">
        <f t="shared" si="287"/>
        <v>Week 18-2026</v>
      </c>
      <c r="O4592"/>
      <c r="Q4592"/>
    </row>
    <row r="4593" spans="1:17" hidden="1" x14ac:dyDescent="0.2">
      <c r="A4593" s="3">
        <v>46139</v>
      </c>
      <c r="B4593" s="2" t="s">
        <v>5</v>
      </c>
      <c r="C4593" s="2">
        <v>20</v>
      </c>
      <c r="D4593" s="2">
        <f t="shared" si="284"/>
        <v>2026</v>
      </c>
      <c r="E4593" s="2" t="str">
        <f t="shared" si="285"/>
        <v>2026-18</v>
      </c>
      <c r="F4593" s="2" t="str">
        <f t="shared" si="286"/>
        <v>Week 18</v>
      </c>
      <c r="G4593" s="2" t="str">
        <f t="shared" si="287"/>
        <v>Week 18-2026</v>
      </c>
      <c r="O4593"/>
      <c r="Q4593"/>
    </row>
    <row r="4594" spans="1:17" hidden="1" x14ac:dyDescent="0.2">
      <c r="A4594" s="3">
        <v>46139</v>
      </c>
      <c r="B4594" s="2" t="s">
        <v>4</v>
      </c>
      <c r="C4594" s="2">
        <v>12</v>
      </c>
      <c r="D4594" s="2">
        <f t="shared" si="284"/>
        <v>2026</v>
      </c>
      <c r="E4594" s="2" t="str">
        <f t="shared" si="285"/>
        <v>2026-18</v>
      </c>
      <c r="F4594" s="2" t="str">
        <f t="shared" si="286"/>
        <v>Week 18</v>
      </c>
      <c r="G4594" s="2" t="str">
        <f t="shared" si="287"/>
        <v>Week 18-2026</v>
      </c>
      <c r="O4594"/>
      <c r="Q4594"/>
    </row>
    <row r="4595" spans="1:17" hidden="1" x14ac:dyDescent="0.2">
      <c r="A4595" s="3">
        <v>46139</v>
      </c>
      <c r="B4595" s="2" t="s">
        <v>14</v>
      </c>
      <c r="C4595" s="2">
        <v>22</v>
      </c>
      <c r="D4595" s="2">
        <f t="shared" si="284"/>
        <v>2026</v>
      </c>
      <c r="E4595" s="2" t="str">
        <f t="shared" si="285"/>
        <v>2026-18</v>
      </c>
      <c r="F4595" s="2" t="str">
        <f t="shared" si="286"/>
        <v>Week 18</v>
      </c>
      <c r="G4595" s="2" t="str">
        <f t="shared" si="287"/>
        <v>Week 18-2026</v>
      </c>
      <c r="O4595"/>
      <c r="Q4595"/>
    </row>
    <row r="4596" spans="1:17" hidden="1" x14ac:dyDescent="0.2">
      <c r="A4596" s="3">
        <v>46139</v>
      </c>
      <c r="B4596" s="2" t="s">
        <v>9</v>
      </c>
      <c r="C4596" s="2">
        <v>12</v>
      </c>
      <c r="D4596" s="2">
        <f t="shared" si="284"/>
        <v>2026</v>
      </c>
      <c r="E4596" s="2" t="str">
        <f t="shared" si="285"/>
        <v>2026-18</v>
      </c>
      <c r="F4596" s="2" t="str">
        <f t="shared" si="286"/>
        <v>Week 18</v>
      </c>
      <c r="G4596" s="2" t="str">
        <f t="shared" si="287"/>
        <v>Week 18-2026</v>
      </c>
      <c r="O4596"/>
      <c r="Q4596"/>
    </row>
    <row r="4597" spans="1:17" hidden="1" x14ac:dyDescent="0.2">
      <c r="A4597" s="3">
        <v>46139</v>
      </c>
      <c r="B4597" s="2" t="s">
        <v>19</v>
      </c>
      <c r="C4597" s="2">
        <v>8</v>
      </c>
      <c r="D4597" s="2">
        <f t="shared" si="284"/>
        <v>2026</v>
      </c>
      <c r="E4597" s="2" t="str">
        <f t="shared" si="285"/>
        <v>2026-18</v>
      </c>
      <c r="F4597" s="2" t="str">
        <f t="shared" si="286"/>
        <v>Week 18</v>
      </c>
      <c r="G4597" s="2" t="str">
        <f t="shared" si="287"/>
        <v>Week 18-2026</v>
      </c>
      <c r="O4597"/>
      <c r="Q4597"/>
    </row>
    <row r="4598" spans="1:17" hidden="1" x14ac:dyDescent="0.2">
      <c r="A4598" s="3">
        <v>46139</v>
      </c>
      <c r="B4598" s="2" t="s">
        <v>10</v>
      </c>
      <c r="C4598" s="2">
        <v>8</v>
      </c>
      <c r="D4598" s="2">
        <f t="shared" si="284"/>
        <v>2026</v>
      </c>
      <c r="E4598" s="2" t="str">
        <f t="shared" si="285"/>
        <v>2026-18</v>
      </c>
      <c r="F4598" s="2" t="str">
        <f t="shared" si="286"/>
        <v>Week 18</v>
      </c>
      <c r="G4598" s="2" t="str">
        <f t="shared" si="287"/>
        <v>Week 18-2026</v>
      </c>
      <c r="O4598"/>
      <c r="Q4598"/>
    </row>
    <row r="4599" spans="1:17" hidden="1" x14ac:dyDescent="0.2">
      <c r="A4599" s="3">
        <v>46139</v>
      </c>
      <c r="B4599" s="2" t="s">
        <v>9</v>
      </c>
      <c r="C4599" s="2">
        <v>8</v>
      </c>
      <c r="D4599" s="2">
        <f t="shared" si="284"/>
        <v>2026</v>
      </c>
      <c r="E4599" s="2" t="str">
        <f t="shared" si="285"/>
        <v>2026-18</v>
      </c>
      <c r="F4599" s="2" t="str">
        <f t="shared" si="286"/>
        <v>Week 18</v>
      </c>
      <c r="G4599" s="2" t="str">
        <f t="shared" si="287"/>
        <v>Week 18-2026</v>
      </c>
      <c r="O4599"/>
      <c r="Q4599"/>
    </row>
    <row r="4600" spans="1:17" hidden="1" x14ac:dyDescent="0.2">
      <c r="A4600" s="3">
        <v>46139</v>
      </c>
      <c r="B4600" s="2" t="s">
        <v>7</v>
      </c>
      <c r="C4600" s="2">
        <v>4</v>
      </c>
      <c r="D4600" s="2">
        <f t="shared" si="284"/>
        <v>2026</v>
      </c>
      <c r="E4600" s="2" t="str">
        <f t="shared" si="285"/>
        <v>2026-18</v>
      </c>
      <c r="F4600" s="2" t="str">
        <f t="shared" si="286"/>
        <v>Week 18</v>
      </c>
      <c r="G4600" s="2" t="str">
        <f t="shared" si="287"/>
        <v>Week 18-2026</v>
      </c>
      <c r="O4600"/>
      <c r="Q4600"/>
    </row>
    <row r="4601" spans="1:17" hidden="1" x14ac:dyDescent="0.2">
      <c r="A4601" s="3">
        <v>46139</v>
      </c>
      <c r="B4601" s="2" t="s">
        <v>12</v>
      </c>
      <c r="C4601" s="2">
        <v>4</v>
      </c>
      <c r="D4601" s="2">
        <f t="shared" si="284"/>
        <v>2026</v>
      </c>
      <c r="E4601" s="2" t="str">
        <f t="shared" si="285"/>
        <v>2026-18</v>
      </c>
      <c r="F4601" s="2" t="str">
        <f t="shared" si="286"/>
        <v>Week 18</v>
      </c>
      <c r="G4601" s="2" t="str">
        <f t="shared" si="287"/>
        <v>Week 18-2026</v>
      </c>
      <c r="O4601"/>
      <c r="Q4601"/>
    </row>
    <row r="4602" spans="1:17" hidden="1" x14ac:dyDescent="0.2">
      <c r="A4602" s="3">
        <v>46139</v>
      </c>
      <c r="B4602" s="2" t="s">
        <v>6</v>
      </c>
      <c r="C4602" s="2">
        <v>4</v>
      </c>
      <c r="D4602" s="2">
        <f t="shared" si="284"/>
        <v>2026</v>
      </c>
      <c r="E4602" s="2" t="str">
        <f t="shared" si="285"/>
        <v>2026-18</v>
      </c>
      <c r="F4602" s="2" t="str">
        <f t="shared" si="286"/>
        <v>Week 18</v>
      </c>
      <c r="G4602" s="2" t="str">
        <f t="shared" si="287"/>
        <v>Week 18-2026</v>
      </c>
      <c r="O4602"/>
      <c r="Q4602"/>
    </row>
    <row r="4603" spans="1:17" hidden="1" x14ac:dyDescent="0.2">
      <c r="A4603" s="3">
        <v>46139</v>
      </c>
      <c r="B4603" s="2" t="s">
        <v>14</v>
      </c>
      <c r="C4603" s="2">
        <v>8</v>
      </c>
      <c r="D4603" s="2">
        <f t="shared" si="284"/>
        <v>2026</v>
      </c>
      <c r="E4603" s="2" t="str">
        <f t="shared" si="285"/>
        <v>2026-18</v>
      </c>
      <c r="F4603" s="2" t="str">
        <f t="shared" si="286"/>
        <v>Week 18</v>
      </c>
      <c r="G4603" s="2" t="str">
        <f t="shared" si="287"/>
        <v>Week 18-2026</v>
      </c>
      <c r="O4603"/>
      <c r="Q4603"/>
    </row>
    <row r="4604" spans="1:17" hidden="1" x14ac:dyDescent="0.2">
      <c r="A4604" s="3">
        <v>46139</v>
      </c>
      <c r="B4604" s="2" t="s">
        <v>8</v>
      </c>
      <c r="C4604" s="2">
        <v>8</v>
      </c>
      <c r="D4604" s="2">
        <f t="shared" si="284"/>
        <v>2026</v>
      </c>
      <c r="E4604" s="2" t="str">
        <f t="shared" si="285"/>
        <v>2026-18</v>
      </c>
      <c r="F4604" s="2" t="str">
        <f t="shared" si="286"/>
        <v>Week 18</v>
      </c>
      <c r="G4604" s="2" t="str">
        <f t="shared" si="287"/>
        <v>Week 18-2026</v>
      </c>
      <c r="O4604"/>
      <c r="Q4604"/>
    </row>
    <row r="4605" spans="1:17" hidden="1" x14ac:dyDescent="0.2">
      <c r="A4605" s="3">
        <v>46139</v>
      </c>
      <c r="B4605" s="2" t="s">
        <v>9</v>
      </c>
      <c r="C4605" s="2">
        <v>4</v>
      </c>
      <c r="D4605" s="2">
        <f t="shared" si="284"/>
        <v>2026</v>
      </c>
      <c r="E4605" s="2" t="str">
        <f t="shared" si="285"/>
        <v>2026-18</v>
      </c>
      <c r="F4605" s="2" t="str">
        <f t="shared" si="286"/>
        <v>Week 18</v>
      </c>
      <c r="G4605" s="2" t="str">
        <f t="shared" si="287"/>
        <v>Week 18-2026</v>
      </c>
      <c r="O4605"/>
      <c r="Q4605"/>
    </row>
    <row r="4606" spans="1:17" hidden="1" x14ac:dyDescent="0.2">
      <c r="A4606" s="3">
        <v>46139</v>
      </c>
      <c r="B4606" s="2" t="s">
        <v>14</v>
      </c>
      <c r="C4606" s="2">
        <v>6</v>
      </c>
      <c r="D4606" s="2">
        <f t="shared" si="284"/>
        <v>2026</v>
      </c>
      <c r="E4606" s="2" t="str">
        <f t="shared" si="285"/>
        <v>2026-18</v>
      </c>
      <c r="F4606" s="2" t="str">
        <f t="shared" si="286"/>
        <v>Week 18</v>
      </c>
      <c r="G4606" s="2" t="str">
        <f t="shared" si="287"/>
        <v>Week 18-2026</v>
      </c>
      <c r="O4606"/>
      <c r="Q4606"/>
    </row>
    <row r="4607" spans="1:17" hidden="1" x14ac:dyDescent="0.2">
      <c r="A4607" s="3">
        <v>46139</v>
      </c>
      <c r="B4607" s="2" t="s">
        <v>18</v>
      </c>
      <c r="C4607" s="2">
        <v>2</v>
      </c>
      <c r="D4607" s="2">
        <f t="shared" si="284"/>
        <v>2026</v>
      </c>
      <c r="E4607" s="2" t="str">
        <f t="shared" si="285"/>
        <v>2026-18</v>
      </c>
      <c r="F4607" s="2" t="str">
        <f t="shared" si="286"/>
        <v>Week 18</v>
      </c>
      <c r="G4607" s="2" t="str">
        <f t="shared" si="287"/>
        <v>Week 18-2026</v>
      </c>
      <c r="O4607"/>
      <c r="Q4607"/>
    </row>
    <row r="4608" spans="1:17" hidden="1" x14ac:dyDescent="0.2">
      <c r="A4608" s="3">
        <v>46139</v>
      </c>
      <c r="B4608" s="2" t="s">
        <v>6</v>
      </c>
      <c r="C4608" s="2">
        <v>2</v>
      </c>
      <c r="D4608" s="2">
        <f t="shared" si="284"/>
        <v>2026</v>
      </c>
      <c r="E4608" s="2" t="str">
        <f t="shared" si="285"/>
        <v>2026-18</v>
      </c>
      <c r="F4608" s="2" t="str">
        <f t="shared" si="286"/>
        <v>Week 18</v>
      </c>
      <c r="G4608" s="2" t="str">
        <f t="shared" si="287"/>
        <v>Week 18-2026</v>
      </c>
      <c r="O4608"/>
      <c r="Q4608"/>
    </row>
    <row r="4609" spans="1:17" hidden="1" x14ac:dyDescent="0.2">
      <c r="A4609" s="3">
        <v>46139</v>
      </c>
      <c r="B4609" s="2" t="s">
        <v>19</v>
      </c>
      <c r="C4609" s="2">
        <v>2</v>
      </c>
      <c r="D4609" s="2">
        <f t="shared" si="284"/>
        <v>2026</v>
      </c>
      <c r="E4609" s="2" t="str">
        <f t="shared" si="285"/>
        <v>2026-18</v>
      </c>
      <c r="F4609" s="2" t="str">
        <f t="shared" si="286"/>
        <v>Week 18</v>
      </c>
      <c r="G4609" s="2" t="str">
        <f t="shared" si="287"/>
        <v>Week 18-2026</v>
      </c>
      <c r="O4609"/>
      <c r="Q4609"/>
    </row>
    <row r="4610" spans="1:17" hidden="1" x14ac:dyDescent="0.2">
      <c r="A4610" s="3">
        <v>46139</v>
      </c>
      <c r="B4610" s="2" t="s">
        <v>19</v>
      </c>
      <c r="C4610" s="2">
        <v>2</v>
      </c>
      <c r="D4610" s="2">
        <f t="shared" ref="D4610:D4673" si="288">YEAR(A4610)</f>
        <v>2026</v>
      </c>
      <c r="E4610" s="2" t="str">
        <f t="shared" ref="E4610:E4673" si="289">YEAR(A4610)&amp;"-"&amp;_xlfn.ISOWEEKNUM(A4610)</f>
        <v>2026-18</v>
      </c>
      <c r="F4610" s="2" t="str">
        <f t="shared" ref="F4610:F4673" si="290">_xlfn.CONCAT("Week "&amp;WEEKNUM(A4610))</f>
        <v>Week 18</v>
      </c>
      <c r="G4610" s="2" t="str">
        <f t="shared" ref="G4610:G4673" si="291">_xlfn.CONCAT(F4610,"-",D4610)</f>
        <v>Week 18-2026</v>
      </c>
      <c r="O4610"/>
      <c r="Q4610"/>
    </row>
    <row r="4611" spans="1:17" hidden="1" x14ac:dyDescent="0.2">
      <c r="A4611" s="3">
        <v>46139</v>
      </c>
      <c r="B4611" s="2" t="s">
        <v>28</v>
      </c>
      <c r="C4611" s="2">
        <v>4</v>
      </c>
      <c r="D4611" s="2">
        <f t="shared" si="288"/>
        <v>2026</v>
      </c>
      <c r="E4611" s="2" t="str">
        <f t="shared" si="289"/>
        <v>2026-18</v>
      </c>
      <c r="F4611" s="2" t="str">
        <f t="shared" si="290"/>
        <v>Week 18</v>
      </c>
      <c r="G4611" s="2" t="str">
        <f t="shared" si="291"/>
        <v>Week 18-2026</v>
      </c>
      <c r="O4611"/>
      <c r="Q4611"/>
    </row>
    <row r="4612" spans="1:17" hidden="1" x14ac:dyDescent="0.2">
      <c r="A4612" s="3">
        <v>46139</v>
      </c>
      <c r="B4612" s="2" t="s">
        <v>17</v>
      </c>
      <c r="C4612" s="2">
        <v>2</v>
      </c>
      <c r="D4612" s="2">
        <f t="shared" si="288"/>
        <v>2026</v>
      </c>
      <c r="E4612" s="2" t="str">
        <f t="shared" si="289"/>
        <v>2026-18</v>
      </c>
      <c r="F4612" s="2" t="str">
        <f t="shared" si="290"/>
        <v>Week 18</v>
      </c>
      <c r="G4612" s="2" t="str">
        <f t="shared" si="291"/>
        <v>Week 18-2026</v>
      </c>
      <c r="O4612"/>
      <c r="Q4612"/>
    </row>
    <row r="4613" spans="1:17" hidden="1" x14ac:dyDescent="0.2">
      <c r="A4613" s="3">
        <v>46139</v>
      </c>
      <c r="B4613" s="2" t="s">
        <v>14</v>
      </c>
      <c r="C4613" s="2">
        <v>2</v>
      </c>
      <c r="D4613" s="2">
        <f t="shared" si="288"/>
        <v>2026</v>
      </c>
      <c r="E4613" s="2" t="str">
        <f t="shared" si="289"/>
        <v>2026-18</v>
      </c>
      <c r="F4613" s="2" t="str">
        <f t="shared" si="290"/>
        <v>Week 18</v>
      </c>
      <c r="G4613" s="2" t="str">
        <f t="shared" si="291"/>
        <v>Week 18-2026</v>
      </c>
      <c r="O4613"/>
      <c r="Q4613"/>
    </row>
    <row r="4614" spans="1:17" hidden="1" x14ac:dyDescent="0.2">
      <c r="A4614" s="3">
        <v>46139</v>
      </c>
      <c r="B4614" s="2" t="s">
        <v>8</v>
      </c>
      <c r="C4614" s="2">
        <v>2</v>
      </c>
      <c r="D4614" s="2">
        <f t="shared" si="288"/>
        <v>2026</v>
      </c>
      <c r="E4614" s="2" t="str">
        <f t="shared" si="289"/>
        <v>2026-18</v>
      </c>
      <c r="F4614" s="2" t="str">
        <f t="shared" si="290"/>
        <v>Week 18</v>
      </c>
      <c r="G4614" s="2" t="str">
        <f t="shared" si="291"/>
        <v>Week 18-2026</v>
      </c>
      <c r="O4614"/>
      <c r="Q4614"/>
    </row>
    <row r="4615" spans="1:17" hidden="1" x14ac:dyDescent="0.2">
      <c r="A4615" s="3">
        <v>46140</v>
      </c>
      <c r="B4615" s="2" t="s">
        <v>5</v>
      </c>
      <c r="C4615" s="2">
        <v>24</v>
      </c>
      <c r="D4615" s="2">
        <f t="shared" si="288"/>
        <v>2026</v>
      </c>
      <c r="E4615" s="2" t="str">
        <f t="shared" si="289"/>
        <v>2026-18</v>
      </c>
      <c r="F4615" s="2" t="str">
        <f t="shared" si="290"/>
        <v>Week 18</v>
      </c>
      <c r="G4615" s="2" t="str">
        <f t="shared" si="291"/>
        <v>Week 18-2026</v>
      </c>
      <c r="O4615"/>
      <c r="Q4615"/>
    </row>
    <row r="4616" spans="1:17" hidden="1" x14ac:dyDescent="0.2">
      <c r="A4616" s="3">
        <v>46140</v>
      </c>
      <c r="B4616" s="2" t="s">
        <v>4</v>
      </c>
      <c r="C4616" s="2">
        <v>16</v>
      </c>
      <c r="D4616" s="2">
        <f t="shared" si="288"/>
        <v>2026</v>
      </c>
      <c r="E4616" s="2" t="str">
        <f t="shared" si="289"/>
        <v>2026-18</v>
      </c>
      <c r="F4616" s="2" t="str">
        <f t="shared" si="290"/>
        <v>Week 18</v>
      </c>
      <c r="G4616" s="2" t="str">
        <f t="shared" si="291"/>
        <v>Week 18-2026</v>
      </c>
      <c r="O4616"/>
      <c r="Q4616"/>
    </row>
    <row r="4617" spans="1:17" hidden="1" x14ac:dyDescent="0.2">
      <c r="A4617" s="3">
        <v>46140</v>
      </c>
      <c r="B4617" s="2" t="s">
        <v>14</v>
      </c>
      <c r="C4617" s="2">
        <v>16</v>
      </c>
      <c r="D4617" s="2">
        <f t="shared" si="288"/>
        <v>2026</v>
      </c>
      <c r="E4617" s="2" t="str">
        <f t="shared" si="289"/>
        <v>2026-18</v>
      </c>
      <c r="F4617" s="2" t="str">
        <f t="shared" si="290"/>
        <v>Week 18</v>
      </c>
      <c r="G4617" s="2" t="str">
        <f t="shared" si="291"/>
        <v>Week 18-2026</v>
      </c>
      <c r="O4617"/>
      <c r="Q4617"/>
    </row>
    <row r="4618" spans="1:17" hidden="1" x14ac:dyDescent="0.2">
      <c r="A4618" s="3">
        <v>46140</v>
      </c>
      <c r="B4618" s="2" t="s">
        <v>9</v>
      </c>
      <c r="C4618" s="2">
        <v>4</v>
      </c>
      <c r="D4618" s="2">
        <f t="shared" si="288"/>
        <v>2026</v>
      </c>
      <c r="E4618" s="2" t="str">
        <f t="shared" si="289"/>
        <v>2026-18</v>
      </c>
      <c r="F4618" s="2" t="str">
        <f t="shared" si="290"/>
        <v>Week 18</v>
      </c>
      <c r="G4618" s="2" t="str">
        <f t="shared" si="291"/>
        <v>Week 18-2026</v>
      </c>
      <c r="O4618"/>
      <c r="Q4618"/>
    </row>
    <row r="4619" spans="1:17" hidden="1" x14ac:dyDescent="0.2">
      <c r="A4619" s="3">
        <v>46141</v>
      </c>
      <c r="B4619" s="2" t="s">
        <v>4</v>
      </c>
      <c r="C4619" s="2">
        <v>6</v>
      </c>
      <c r="D4619" s="2">
        <f t="shared" si="288"/>
        <v>2026</v>
      </c>
      <c r="E4619" s="2" t="str">
        <f t="shared" si="289"/>
        <v>2026-18</v>
      </c>
      <c r="F4619" s="2" t="str">
        <f t="shared" si="290"/>
        <v>Week 18</v>
      </c>
      <c r="G4619" s="2" t="str">
        <f t="shared" si="291"/>
        <v>Week 18-2026</v>
      </c>
      <c r="O4619"/>
      <c r="Q4619"/>
    </row>
    <row r="4620" spans="1:17" hidden="1" x14ac:dyDescent="0.2">
      <c r="A4620" s="3">
        <v>46141</v>
      </c>
      <c r="B4620" s="2" t="s">
        <v>5</v>
      </c>
      <c r="C4620" s="2">
        <v>8</v>
      </c>
      <c r="D4620" s="2">
        <f t="shared" si="288"/>
        <v>2026</v>
      </c>
      <c r="E4620" s="2" t="str">
        <f t="shared" si="289"/>
        <v>2026-18</v>
      </c>
      <c r="F4620" s="2" t="str">
        <f t="shared" si="290"/>
        <v>Week 18</v>
      </c>
      <c r="G4620" s="2" t="str">
        <f t="shared" si="291"/>
        <v>Week 18-2026</v>
      </c>
      <c r="O4620"/>
      <c r="Q4620"/>
    </row>
    <row r="4621" spans="1:17" hidden="1" x14ac:dyDescent="0.2">
      <c r="A4621" s="3">
        <v>46141</v>
      </c>
      <c r="B4621" s="2" t="s">
        <v>14</v>
      </c>
      <c r="C4621" s="2">
        <v>7</v>
      </c>
      <c r="D4621" s="2">
        <f t="shared" si="288"/>
        <v>2026</v>
      </c>
      <c r="E4621" s="2" t="str">
        <f t="shared" si="289"/>
        <v>2026-18</v>
      </c>
      <c r="F4621" s="2" t="str">
        <f t="shared" si="290"/>
        <v>Week 18</v>
      </c>
      <c r="G4621" s="2" t="str">
        <f t="shared" si="291"/>
        <v>Week 18-2026</v>
      </c>
      <c r="O4621"/>
      <c r="Q4621"/>
    </row>
    <row r="4622" spans="1:17" hidden="1" x14ac:dyDescent="0.2">
      <c r="A4622" s="3">
        <v>46141</v>
      </c>
      <c r="B4622" s="2" t="s">
        <v>14</v>
      </c>
      <c r="C4622" s="2">
        <v>4</v>
      </c>
      <c r="D4622" s="2">
        <f t="shared" si="288"/>
        <v>2026</v>
      </c>
      <c r="E4622" s="2" t="str">
        <f t="shared" si="289"/>
        <v>2026-18</v>
      </c>
      <c r="F4622" s="2" t="str">
        <f t="shared" si="290"/>
        <v>Week 18</v>
      </c>
      <c r="G4622" s="2" t="str">
        <f t="shared" si="291"/>
        <v>Week 18-2026</v>
      </c>
      <c r="O4622"/>
      <c r="Q4622"/>
    </row>
    <row r="4623" spans="1:17" hidden="1" x14ac:dyDescent="0.2">
      <c r="A4623" s="3">
        <v>46141</v>
      </c>
      <c r="B4623" s="2" t="s">
        <v>4</v>
      </c>
      <c r="C4623" s="2">
        <v>2</v>
      </c>
      <c r="D4623" s="2">
        <f t="shared" si="288"/>
        <v>2026</v>
      </c>
      <c r="E4623" s="2" t="str">
        <f t="shared" si="289"/>
        <v>2026-18</v>
      </c>
      <c r="F4623" s="2" t="str">
        <f t="shared" si="290"/>
        <v>Week 18</v>
      </c>
      <c r="G4623" s="2" t="str">
        <f t="shared" si="291"/>
        <v>Week 18-2026</v>
      </c>
      <c r="O4623"/>
      <c r="Q4623"/>
    </row>
    <row r="4624" spans="1:17" hidden="1" x14ac:dyDescent="0.2">
      <c r="A4624" s="3">
        <v>46141</v>
      </c>
      <c r="B4624" s="2" t="s">
        <v>27</v>
      </c>
      <c r="C4624" s="2">
        <v>4</v>
      </c>
      <c r="D4624" s="2">
        <f t="shared" si="288"/>
        <v>2026</v>
      </c>
      <c r="E4624" s="2" t="str">
        <f t="shared" si="289"/>
        <v>2026-18</v>
      </c>
      <c r="F4624" s="2" t="str">
        <f t="shared" si="290"/>
        <v>Week 18</v>
      </c>
      <c r="G4624" s="2" t="str">
        <f t="shared" si="291"/>
        <v>Week 18-2026</v>
      </c>
      <c r="O4624"/>
      <c r="Q4624"/>
    </row>
    <row r="4625" spans="1:17" hidden="1" x14ac:dyDescent="0.2">
      <c r="A4625" s="3">
        <v>46141</v>
      </c>
      <c r="B4625" s="2" t="s">
        <v>14</v>
      </c>
      <c r="C4625" s="2">
        <v>2</v>
      </c>
      <c r="D4625" s="2">
        <f t="shared" si="288"/>
        <v>2026</v>
      </c>
      <c r="E4625" s="2" t="str">
        <f t="shared" si="289"/>
        <v>2026-18</v>
      </c>
      <c r="F4625" s="2" t="str">
        <f t="shared" si="290"/>
        <v>Week 18</v>
      </c>
      <c r="G4625" s="2" t="str">
        <f t="shared" si="291"/>
        <v>Week 18-2026</v>
      </c>
      <c r="O4625"/>
      <c r="Q4625"/>
    </row>
    <row r="4626" spans="1:17" hidden="1" x14ac:dyDescent="0.2">
      <c r="A4626" s="3">
        <v>46141</v>
      </c>
      <c r="B4626" s="2" t="s">
        <v>8</v>
      </c>
      <c r="C4626" s="2">
        <v>2</v>
      </c>
      <c r="D4626" s="2">
        <f t="shared" si="288"/>
        <v>2026</v>
      </c>
      <c r="E4626" s="2" t="str">
        <f t="shared" si="289"/>
        <v>2026-18</v>
      </c>
      <c r="F4626" s="2" t="str">
        <f t="shared" si="290"/>
        <v>Week 18</v>
      </c>
      <c r="G4626" s="2" t="str">
        <f t="shared" si="291"/>
        <v>Week 18-2026</v>
      </c>
      <c r="O4626"/>
      <c r="Q4626"/>
    </row>
    <row r="4627" spans="1:17" hidden="1" x14ac:dyDescent="0.2">
      <c r="A4627" s="3">
        <v>46141</v>
      </c>
      <c r="B4627" s="2" t="s">
        <v>30</v>
      </c>
      <c r="C4627" s="2">
        <v>2</v>
      </c>
      <c r="D4627" s="2">
        <f t="shared" si="288"/>
        <v>2026</v>
      </c>
      <c r="E4627" s="2" t="str">
        <f t="shared" si="289"/>
        <v>2026-18</v>
      </c>
      <c r="F4627" s="2" t="str">
        <f t="shared" si="290"/>
        <v>Week 18</v>
      </c>
      <c r="G4627" s="2" t="str">
        <f t="shared" si="291"/>
        <v>Week 18-2026</v>
      </c>
      <c r="O4627"/>
      <c r="Q4627"/>
    </row>
    <row r="4628" spans="1:17" hidden="1" x14ac:dyDescent="0.2">
      <c r="A4628" s="3">
        <v>46141</v>
      </c>
      <c r="B4628" s="2" t="s">
        <v>42</v>
      </c>
      <c r="C4628" s="2">
        <v>2</v>
      </c>
      <c r="D4628" s="2">
        <f t="shared" si="288"/>
        <v>2026</v>
      </c>
      <c r="E4628" s="2" t="str">
        <f t="shared" si="289"/>
        <v>2026-18</v>
      </c>
      <c r="F4628" s="2" t="str">
        <f t="shared" si="290"/>
        <v>Week 18</v>
      </c>
      <c r="G4628" s="2" t="str">
        <f t="shared" si="291"/>
        <v>Week 18-2026</v>
      </c>
      <c r="O4628"/>
      <c r="Q4628"/>
    </row>
    <row r="4629" spans="1:17" hidden="1" x14ac:dyDescent="0.2">
      <c r="A4629" s="3">
        <v>46141</v>
      </c>
      <c r="B4629" s="2" t="s">
        <v>15</v>
      </c>
      <c r="C4629" s="2">
        <v>2</v>
      </c>
      <c r="D4629" s="2">
        <f t="shared" si="288"/>
        <v>2026</v>
      </c>
      <c r="E4629" s="2" t="str">
        <f t="shared" si="289"/>
        <v>2026-18</v>
      </c>
      <c r="F4629" s="2" t="str">
        <f t="shared" si="290"/>
        <v>Week 18</v>
      </c>
      <c r="G4629" s="2" t="str">
        <f t="shared" si="291"/>
        <v>Week 18-2026</v>
      </c>
      <c r="O4629"/>
      <c r="Q4629"/>
    </row>
    <row r="4630" spans="1:17" hidden="1" x14ac:dyDescent="0.2">
      <c r="A4630" s="3">
        <v>46141</v>
      </c>
      <c r="B4630" s="2" t="s">
        <v>36</v>
      </c>
      <c r="C4630" s="2">
        <v>2</v>
      </c>
      <c r="D4630" s="2">
        <f t="shared" si="288"/>
        <v>2026</v>
      </c>
      <c r="E4630" s="2" t="str">
        <f t="shared" si="289"/>
        <v>2026-18</v>
      </c>
      <c r="F4630" s="2" t="str">
        <f t="shared" si="290"/>
        <v>Week 18</v>
      </c>
      <c r="G4630" s="2" t="str">
        <f t="shared" si="291"/>
        <v>Week 18-2026</v>
      </c>
      <c r="O4630"/>
      <c r="Q4630"/>
    </row>
    <row r="4631" spans="1:17" hidden="1" x14ac:dyDescent="0.2">
      <c r="A4631" s="3">
        <v>46141</v>
      </c>
      <c r="B4631" s="2" t="s">
        <v>8</v>
      </c>
      <c r="C4631" s="2">
        <v>1</v>
      </c>
      <c r="D4631" s="2">
        <f t="shared" si="288"/>
        <v>2026</v>
      </c>
      <c r="E4631" s="2" t="str">
        <f t="shared" si="289"/>
        <v>2026-18</v>
      </c>
      <c r="F4631" s="2" t="str">
        <f t="shared" si="290"/>
        <v>Week 18</v>
      </c>
      <c r="G4631" s="2" t="str">
        <f t="shared" si="291"/>
        <v>Week 18-2026</v>
      </c>
      <c r="O4631"/>
      <c r="Q4631"/>
    </row>
    <row r="4632" spans="1:17" x14ac:dyDescent="0.2">
      <c r="A4632" s="3">
        <v>46141</v>
      </c>
      <c r="B4632" s="2" t="s">
        <v>24</v>
      </c>
      <c r="C4632" s="2">
        <v>1</v>
      </c>
      <c r="D4632" s="2">
        <f t="shared" si="288"/>
        <v>2026</v>
      </c>
      <c r="E4632" s="2" t="str">
        <f t="shared" si="289"/>
        <v>2026-18</v>
      </c>
      <c r="F4632" s="2" t="str">
        <f t="shared" si="290"/>
        <v>Week 18</v>
      </c>
      <c r="G4632" s="2" t="str">
        <f t="shared" si="291"/>
        <v>Week 18-2026</v>
      </c>
      <c r="O4632"/>
      <c r="Q4632"/>
    </row>
    <row r="4633" spans="1:17" hidden="1" x14ac:dyDescent="0.2">
      <c r="A4633" s="3">
        <v>46142</v>
      </c>
      <c r="B4633" s="2" t="s">
        <v>4</v>
      </c>
      <c r="C4633" s="2">
        <v>20</v>
      </c>
      <c r="D4633" s="2">
        <f t="shared" si="288"/>
        <v>2026</v>
      </c>
      <c r="E4633" s="2" t="str">
        <f t="shared" si="289"/>
        <v>2026-18</v>
      </c>
      <c r="F4633" s="2" t="str">
        <f t="shared" si="290"/>
        <v>Week 18</v>
      </c>
      <c r="G4633" s="2" t="str">
        <f t="shared" si="291"/>
        <v>Week 18-2026</v>
      </c>
      <c r="O4633"/>
      <c r="Q4633"/>
    </row>
    <row r="4634" spans="1:17" hidden="1" x14ac:dyDescent="0.2">
      <c r="A4634" s="3">
        <v>46142</v>
      </c>
      <c r="B4634" s="2" t="s">
        <v>14</v>
      </c>
      <c r="C4634" s="2">
        <v>4</v>
      </c>
      <c r="D4634" s="2">
        <f t="shared" si="288"/>
        <v>2026</v>
      </c>
      <c r="E4634" s="2" t="str">
        <f t="shared" si="289"/>
        <v>2026-18</v>
      </c>
      <c r="F4634" s="2" t="str">
        <f t="shared" si="290"/>
        <v>Week 18</v>
      </c>
      <c r="G4634" s="2" t="str">
        <f t="shared" si="291"/>
        <v>Week 18-2026</v>
      </c>
      <c r="O4634"/>
      <c r="Q4634"/>
    </row>
    <row r="4635" spans="1:17" hidden="1" x14ac:dyDescent="0.2">
      <c r="A4635" s="3">
        <v>46142</v>
      </c>
      <c r="B4635" s="2" t="s">
        <v>15</v>
      </c>
      <c r="C4635" s="2">
        <v>4</v>
      </c>
      <c r="D4635" s="2">
        <f t="shared" si="288"/>
        <v>2026</v>
      </c>
      <c r="E4635" s="2" t="str">
        <f t="shared" si="289"/>
        <v>2026-18</v>
      </c>
      <c r="F4635" s="2" t="str">
        <f t="shared" si="290"/>
        <v>Week 18</v>
      </c>
      <c r="G4635" s="2" t="str">
        <f t="shared" si="291"/>
        <v>Week 18-2026</v>
      </c>
      <c r="O4635"/>
      <c r="Q4635"/>
    </row>
    <row r="4636" spans="1:17" hidden="1" x14ac:dyDescent="0.2">
      <c r="A4636" s="3">
        <v>46142</v>
      </c>
      <c r="B4636" s="2" t="s">
        <v>36</v>
      </c>
      <c r="C4636" s="2">
        <v>4</v>
      </c>
      <c r="D4636" s="2">
        <f t="shared" si="288"/>
        <v>2026</v>
      </c>
      <c r="E4636" s="2" t="str">
        <f t="shared" si="289"/>
        <v>2026-18</v>
      </c>
      <c r="F4636" s="2" t="str">
        <f t="shared" si="290"/>
        <v>Week 18</v>
      </c>
      <c r="G4636" s="2" t="str">
        <f t="shared" si="291"/>
        <v>Week 18-2026</v>
      </c>
      <c r="O4636"/>
      <c r="Q4636"/>
    </row>
    <row r="4637" spans="1:17" hidden="1" x14ac:dyDescent="0.2">
      <c r="A4637" s="3">
        <v>46142</v>
      </c>
      <c r="B4637" s="2" t="s">
        <v>6</v>
      </c>
      <c r="C4637" s="2">
        <v>1</v>
      </c>
      <c r="D4637" s="2">
        <f t="shared" si="288"/>
        <v>2026</v>
      </c>
      <c r="E4637" s="2" t="str">
        <f t="shared" si="289"/>
        <v>2026-18</v>
      </c>
      <c r="F4637" s="2" t="str">
        <f t="shared" si="290"/>
        <v>Week 18</v>
      </c>
      <c r="G4637" s="2" t="str">
        <f t="shared" si="291"/>
        <v>Week 18-2026</v>
      </c>
      <c r="O4637"/>
      <c r="Q4637"/>
    </row>
    <row r="4638" spans="1:17" hidden="1" x14ac:dyDescent="0.2">
      <c r="A4638" s="3">
        <v>46142</v>
      </c>
      <c r="B4638" s="2" t="s">
        <v>30</v>
      </c>
      <c r="C4638" s="2">
        <v>2</v>
      </c>
      <c r="D4638" s="2">
        <f t="shared" si="288"/>
        <v>2026</v>
      </c>
      <c r="E4638" s="2" t="str">
        <f t="shared" si="289"/>
        <v>2026-18</v>
      </c>
      <c r="F4638" s="2" t="str">
        <f t="shared" si="290"/>
        <v>Week 18</v>
      </c>
      <c r="G4638" s="2" t="str">
        <f t="shared" si="291"/>
        <v>Week 18-2026</v>
      </c>
      <c r="O4638"/>
      <c r="Q4638"/>
    </row>
    <row r="4639" spans="1:17" hidden="1" x14ac:dyDescent="0.2">
      <c r="A4639" s="3">
        <v>46144</v>
      </c>
      <c r="B4639" s="2" t="s">
        <v>5</v>
      </c>
      <c r="C4639" s="2">
        <v>28</v>
      </c>
      <c r="D4639" s="2">
        <f t="shared" si="288"/>
        <v>2026</v>
      </c>
      <c r="E4639" s="2" t="str">
        <f t="shared" si="289"/>
        <v>2026-18</v>
      </c>
      <c r="F4639" s="2" t="str">
        <f t="shared" si="290"/>
        <v>Week 18</v>
      </c>
      <c r="G4639" s="2" t="str">
        <f t="shared" si="291"/>
        <v>Week 18-2026</v>
      </c>
      <c r="O4639"/>
      <c r="Q4639"/>
    </row>
    <row r="4640" spans="1:17" hidden="1" x14ac:dyDescent="0.2">
      <c r="A4640" s="3">
        <v>46144</v>
      </c>
      <c r="B4640" s="2" t="s">
        <v>7</v>
      </c>
      <c r="C4640" s="2">
        <v>16</v>
      </c>
      <c r="D4640" s="2">
        <f t="shared" si="288"/>
        <v>2026</v>
      </c>
      <c r="E4640" s="2" t="str">
        <f t="shared" si="289"/>
        <v>2026-18</v>
      </c>
      <c r="F4640" s="2" t="str">
        <f t="shared" si="290"/>
        <v>Week 18</v>
      </c>
      <c r="G4640" s="2" t="str">
        <f t="shared" si="291"/>
        <v>Week 18-2026</v>
      </c>
      <c r="O4640"/>
      <c r="Q4640"/>
    </row>
    <row r="4641" spans="1:17" hidden="1" x14ac:dyDescent="0.2">
      <c r="A4641" s="3">
        <v>46144</v>
      </c>
      <c r="B4641" s="2" t="s">
        <v>3</v>
      </c>
      <c r="C4641" s="2">
        <v>16</v>
      </c>
      <c r="D4641" s="2">
        <f t="shared" si="288"/>
        <v>2026</v>
      </c>
      <c r="E4641" s="2" t="str">
        <f t="shared" si="289"/>
        <v>2026-18</v>
      </c>
      <c r="F4641" s="2" t="str">
        <f t="shared" si="290"/>
        <v>Week 18</v>
      </c>
      <c r="G4641" s="2" t="str">
        <f t="shared" si="291"/>
        <v>Week 18-2026</v>
      </c>
      <c r="O4641"/>
      <c r="Q4641"/>
    </row>
    <row r="4642" spans="1:17" hidden="1" x14ac:dyDescent="0.2">
      <c r="A4642" s="3">
        <v>46144</v>
      </c>
      <c r="B4642" s="2" t="s">
        <v>4</v>
      </c>
      <c r="C4642" s="2">
        <v>12</v>
      </c>
      <c r="D4642" s="2">
        <f t="shared" si="288"/>
        <v>2026</v>
      </c>
      <c r="E4642" s="2" t="str">
        <f t="shared" si="289"/>
        <v>2026-18</v>
      </c>
      <c r="F4642" s="2" t="str">
        <f t="shared" si="290"/>
        <v>Week 18</v>
      </c>
      <c r="G4642" s="2" t="str">
        <f t="shared" si="291"/>
        <v>Week 18-2026</v>
      </c>
      <c r="O4642"/>
      <c r="Q4642"/>
    </row>
    <row r="4643" spans="1:17" hidden="1" x14ac:dyDescent="0.2">
      <c r="A4643" s="3">
        <v>46144</v>
      </c>
      <c r="B4643" s="2" t="s">
        <v>7</v>
      </c>
      <c r="C4643" s="2">
        <v>8</v>
      </c>
      <c r="D4643" s="2">
        <f t="shared" si="288"/>
        <v>2026</v>
      </c>
      <c r="E4643" s="2" t="str">
        <f t="shared" si="289"/>
        <v>2026-18</v>
      </c>
      <c r="F4643" s="2" t="str">
        <f t="shared" si="290"/>
        <v>Week 18</v>
      </c>
      <c r="G4643" s="2" t="str">
        <f t="shared" si="291"/>
        <v>Week 18-2026</v>
      </c>
      <c r="O4643"/>
      <c r="Q4643"/>
    </row>
    <row r="4644" spans="1:17" hidden="1" x14ac:dyDescent="0.2">
      <c r="A4644" s="3">
        <v>46144</v>
      </c>
      <c r="B4644" s="2" t="s">
        <v>9</v>
      </c>
      <c r="C4644" s="2">
        <v>8</v>
      </c>
      <c r="D4644" s="2">
        <f t="shared" si="288"/>
        <v>2026</v>
      </c>
      <c r="E4644" s="2" t="str">
        <f t="shared" si="289"/>
        <v>2026-18</v>
      </c>
      <c r="F4644" s="2" t="str">
        <f t="shared" si="290"/>
        <v>Week 18</v>
      </c>
      <c r="G4644" s="2" t="str">
        <f t="shared" si="291"/>
        <v>Week 18-2026</v>
      </c>
      <c r="O4644"/>
      <c r="Q4644"/>
    </row>
    <row r="4645" spans="1:17" hidden="1" x14ac:dyDescent="0.2">
      <c r="A4645" s="3">
        <v>46144</v>
      </c>
      <c r="B4645" s="2" t="s">
        <v>9</v>
      </c>
      <c r="C4645" s="2">
        <v>8</v>
      </c>
      <c r="D4645" s="2">
        <f t="shared" si="288"/>
        <v>2026</v>
      </c>
      <c r="E4645" s="2" t="str">
        <f t="shared" si="289"/>
        <v>2026-18</v>
      </c>
      <c r="F4645" s="2" t="str">
        <f t="shared" si="290"/>
        <v>Week 18</v>
      </c>
      <c r="G4645" s="2" t="str">
        <f t="shared" si="291"/>
        <v>Week 18-2026</v>
      </c>
      <c r="O4645"/>
      <c r="Q4645"/>
    </row>
    <row r="4646" spans="1:17" hidden="1" x14ac:dyDescent="0.2">
      <c r="A4646" s="3">
        <v>46144</v>
      </c>
      <c r="B4646" s="2" t="s">
        <v>10</v>
      </c>
      <c r="C4646" s="2">
        <v>12</v>
      </c>
      <c r="D4646" s="2">
        <f t="shared" si="288"/>
        <v>2026</v>
      </c>
      <c r="E4646" s="2" t="str">
        <f t="shared" si="289"/>
        <v>2026-18</v>
      </c>
      <c r="F4646" s="2" t="str">
        <f t="shared" si="290"/>
        <v>Week 18</v>
      </c>
      <c r="G4646" s="2" t="str">
        <f t="shared" si="291"/>
        <v>Week 18-2026</v>
      </c>
      <c r="O4646"/>
      <c r="Q4646"/>
    </row>
    <row r="4647" spans="1:17" hidden="1" x14ac:dyDescent="0.2">
      <c r="A4647" s="3">
        <v>46144</v>
      </c>
      <c r="B4647" s="2" t="s">
        <v>10</v>
      </c>
      <c r="C4647" s="2">
        <v>6</v>
      </c>
      <c r="D4647" s="2">
        <f t="shared" si="288"/>
        <v>2026</v>
      </c>
      <c r="E4647" s="2" t="str">
        <f t="shared" si="289"/>
        <v>2026-18</v>
      </c>
      <c r="F4647" s="2" t="str">
        <f t="shared" si="290"/>
        <v>Week 18</v>
      </c>
      <c r="G4647" s="2" t="str">
        <f t="shared" si="291"/>
        <v>Week 18-2026</v>
      </c>
      <c r="O4647"/>
      <c r="Q4647"/>
    </row>
    <row r="4648" spans="1:17" hidden="1" x14ac:dyDescent="0.2">
      <c r="A4648" s="3">
        <v>46144</v>
      </c>
      <c r="B4648" s="2" t="s">
        <v>8</v>
      </c>
      <c r="C4648" s="2">
        <v>7</v>
      </c>
      <c r="D4648" s="2">
        <f t="shared" si="288"/>
        <v>2026</v>
      </c>
      <c r="E4648" s="2" t="str">
        <f t="shared" si="289"/>
        <v>2026-18</v>
      </c>
      <c r="F4648" s="2" t="str">
        <f t="shared" si="290"/>
        <v>Week 18</v>
      </c>
      <c r="G4648" s="2" t="str">
        <f t="shared" si="291"/>
        <v>Week 18-2026</v>
      </c>
      <c r="O4648"/>
      <c r="Q4648"/>
    </row>
    <row r="4649" spans="1:17" hidden="1" x14ac:dyDescent="0.2">
      <c r="A4649" s="3">
        <v>46144</v>
      </c>
      <c r="B4649" s="2" t="s">
        <v>10</v>
      </c>
      <c r="C4649" s="2">
        <v>4</v>
      </c>
      <c r="D4649" s="2">
        <f t="shared" si="288"/>
        <v>2026</v>
      </c>
      <c r="E4649" s="2" t="str">
        <f t="shared" si="289"/>
        <v>2026-18</v>
      </c>
      <c r="F4649" s="2" t="str">
        <f t="shared" si="290"/>
        <v>Week 18</v>
      </c>
      <c r="G4649" s="2" t="str">
        <f t="shared" si="291"/>
        <v>Week 18-2026</v>
      </c>
      <c r="O4649"/>
      <c r="Q4649"/>
    </row>
    <row r="4650" spans="1:17" hidden="1" x14ac:dyDescent="0.2">
      <c r="A4650" s="3">
        <v>46144</v>
      </c>
      <c r="B4650" s="2" t="s">
        <v>7</v>
      </c>
      <c r="C4650" s="2">
        <v>2</v>
      </c>
      <c r="D4650" s="2">
        <f t="shared" si="288"/>
        <v>2026</v>
      </c>
      <c r="E4650" s="2" t="str">
        <f t="shared" si="289"/>
        <v>2026-18</v>
      </c>
      <c r="F4650" s="2" t="str">
        <f t="shared" si="290"/>
        <v>Week 18</v>
      </c>
      <c r="G4650" s="2" t="str">
        <f t="shared" si="291"/>
        <v>Week 18-2026</v>
      </c>
      <c r="O4650"/>
      <c r="Q4650"/>
    </row>
    <row r="4651" spans="1:17" hidden="1" x14ac:dyDescent="0.2">
      <c r="A4651" s="3">
        <v>46144</v>
      </c>
      <c r="B4651" s="2" t="s">
        <v>8</v>
      </c>
      <c r="C4651" s="2">
        <v>1</v>
      </c>
      <c r="D4651" s="2">
        <f t="shared" si="288"/>
        <v>2026</v>
      </c>
      <c r="E4651" s="2" t="str">
        <f t="shared" si="289"/>
        <v>2026-18</v>
      </c>
      <c r="F4651" s="2" t="str">
        <f t="shared" si="290"/>
        <v>Week 18</v>
      </c>
      <c r="G4651" s="2" t="str">
        <f t="shared" si="291"/>
        <v>Week 18-2026</v>
      </c>
      <c r="O4651"/>
      <c r="Q4651"/>
    </row>
    <row r="4652" spans="1:17" hidden="1" x14ac:dyDescent="0.2">
      <c r="A4652" s="3">
        <v>46144</v>
      </c>
      <c r="B4652" s="2" t="s">
        <v>42</v>
      </c>
      <c r="C4652" s="2">
        <v>1</v>
      </c>
      <c r="D4652" s="2">
        <f t="shared" si="288"/>
        <v>2026</v>
      </c>
      <c r="E4652" s="2" t="str">
        <f t="shared" si="289"/>
        <v>2026-18</v>
      </c>
      <c r="F4652" s="2" t="str">
        <f t="shared" si="290"/>
        <v>Week 18</v>
      </c>
      <c r="G4652" s="2" t="str">
        <f t="shared" si="291"/>
        <v>Week 18-2026</v>
      </c>
      <c r="O4652"/>
      <c r="Q4652"/>
    </row>
    <row r="4653" spans="1:17" hidden="1" x14ac:dyDescent="0.2">
      <c r="A4653" s="3">
        <v>46146</v>
      </c>
      <c r="B4653" s="2" t="s">
        <v>9</v>
      </c>
      <c r="C4653" s="2">
        <v>4</v>
      </c>
      <c r="D4653" s="2">
        <f t="shared" si="288"/>
        <v>2026</v>
      </c>
      <c r="E4653" s="2" t="str">
        <f t="shared" si="289"/>
        <v>2026-19</v>
      </c>
      <c r="F4653" s="2" t="str">
        <f t="shared" si="290"/>
        <v>Week 19</v>
      </c>
      <c r="G4653" s="2" t="str">
        <f t="shared" si="291"/>
        <v>Week 19-2026</v>
      </c>
      <c r="O4653"/>
      <c r="Q4653"/>
    </row>
    <row r="4654" spans="1:17" hidden="1" x14ac:dyDescent="0.2">
      <c r="A4654" s="3">
        <v>46146</v>
      </c>
      <c r="B4654" s="2" t="s">
        <v>12</v>
      </c>
      <c r="C4654" s="2">
        <v>2</v>
      </c>
      <c r="D4654" s="2">
        <f t="shared" si="288"/>
        <v>2026</v>
      </c>
      <c r="E4654" s="2" t="str">
        <f t="shared" si="289"/>
        <v>2026-19</v>
      </c>
      <c r="F4654" s="2" t="str">
        <f t="shared" si="290"/>
        <v>Week 19</v>
      </c>
      <c r="G4654" s="2" t="str">
        <f t="shared" si="291"/>
        <v>Week 19-2026</v>
      </c>
      <c r="O4654"/>
      <c r="Q4654"/>
    </row>
    <row r="4655" spans="1:17" hidden="1" x14ac:dyDescent="0.2">
      <c r="A4655" s="3">
        <v>46146</v>
      </c>
      <c r="B4655" s="2" t="s">
        <v>10</v>
      </c>
      <c r="C4655" s="2">
        <v>4</v>
      </c>
      <c r="D4655" s="2">
        <f t="shared" si="288"/>
        <v>2026</v>
      </c>
      <c r="E4655" s="2" t="str">
        <f t="shared" si="289"/>
        <v>2026-19</v>
      </c>
      <c r="F4655" s="2" t="str">
        <f t="shared" si="290"/>
        <v>Week 19</v>
      </c>
      <c r="G4655" s="2" t="str">
        <f t="shared" si="291"/>
        <v>Week 19-2026</v>
      </c>
      <c r="O4655"/>
      <c r="Q4655"/>
    </row>
    <row r="4656" spans="1:17" hidden="1" x14ac:dyDescent="0.2">
      <c r="A4656" s="3">
        <v>46148</v>
      </c>
      <c r="B4656" s="2" t="s">
        <v>3</v>
      </c>
      <c r="C4656" s="2">
        <v>16</v>
      </c>
      <c r="D4656" s="2">
        <f t="shared" si="288"/>
        <v>2026</v>
      </c>
      <c r="E4656" s="2" t="str">
        <f t="shared" si="289"/>
        <v>2026-19</v>
      </c>
      <c r="F4656" s="2" t="str">
        <f t="shared" si="290"/>
        <v>Week 19</v>
      </c>
      <c r="G4656" s="2" t="str">
        <f t="shared" si="291"/>
        <v>Week 19-2026</v>
      </c>
      <c r="O4656"/>
      <c r="Q4656"/>
    </row>
    <row r="4657" spans="1:17" hidden="1" x14ac:dyDescent="0.2">
      <c r="A4657" s="3">
        <v>46148</v>
      </c>
      <c r="B4657" s="2" t="s">
        <v>21</v>
      </c>
      <c r="C4657" s="2">
        <v>4</v>
      </c>
      <c r="D4657" s="2">
        <f t="shared" si="288"/>
        <v>2026</v>
      </c>
      <c r="E4657" s="2" t="str">
        <f t="shared" si="289"/>
        <v>2026-19</v>
      </c>
      <c r="F4657" s="2" t="str">
        <f t="shared" si="290"/>
        <v>Week 19</v>
      </c>
      <c r="G4657" s="2" t="str">
        <f t="shared" si="291"/>
        <v>Week 19-2026</v>
      </c>
      <c r="O4657"/>
      <c r="Q4657"/>
    </row>
    <row r="4658" spans="1:17" hidden="1" x14ac:dyDescent="0.2">
      <c r="A4658" s="3">
        <v>46148</v>
      </c>
      <c r="B4658" s="2" t="s">
        <v>4</v>
      </c>
      <c r="C4658" s="2">
        <v>4</v>
      </c>
      <c r="D4658" s="2">
        <f t="shared" si="288"/>
        <v>2026</v>
      </c>
      <c r="E4658" s="2" t="str">
        <f t="shared" si="289"/>
        <v>2026-19</v>
      </c>
      <c r="F4658" s="2" t="str">
        <f t="shared" si="290"/>
        <v>Week 19</v>
      </c>
      <c r="G4658" s="2" t="str">
        <f t="shared" si="291"/>
        <v>Week 19-2026</v>
      </c>
      <c r="O4658"/>
      <c r="Q4658"/>
    </row>
    <row r="4659" spans="1:17" hidden="1" x14ac:dyDescent="0.2">
      <c r="A4659" s="3">
        <v>46148</v>
      </c>
      <c r="B4659" s="2" t="s">
        <v>5</v>
      </c>
      <c r="C4659" s="2">
        <v>4</v>
      </c>
      <c r="D4659" s="2">
        <f t="shared" si="288"/>
        <v>2026</v>
      </c>
      <c r="E4659" s="2" t="str">
        <f t="shared" si="289"/>
        <v>2026-19</v>
      </c>
      <c r="F4659" s="2" t="str">
        <f t="shared" si="290"/>
        <v>Week 19</v>
      </c>
      <c r="G4659" s="2" t="str">
        <f t="shared" si="291"/>
        <v>Week 19-2026</v>
      </c>
      <c r="O4659"/>
      <c r="Q4659"/>
    </row>
    <row r="4660" spans="1:17" hidden="1" x14ac:dyDescent="0.2">
      <c r="A4660" s="3">
        <v>46148</v>
      </c>
      <c r="B4660" s="2" t="s">
        <v>14</v>
      </c>
      <c r="C4660" s="2">
        <v>5</v>
      </c>
      <c r="D4660" s="2">
        <f t="shared" si="288"/>
        <v>2026</v>
      </c>
      <c r="E4660" s="2" t="str">
        <f t="shared" si="289"/>
        <v>2026-19</v>
      </c>
      <c r="F4660" s="2" t="str">
        <f t="shared" si="290"/>
        <v>Week 19</v>
      </c>
      <c r="G4660" s="2" t="str">
        <f t="shared" si="291"/>
        <v>Week 19-2026</v>
      </c>
      <c r="O4660"/>
      <c r="Q4660"/>
    </row>
    <row r="4661" spans="1:17" hidden="1" x14ac:dyDescent="0.2">
      <c r="A4661" s="3">
        <v>46148</v>
      </c>
      <c r="B4661" s="2" t="s">
        <v>39</v>
      </c>
      <c r="C4661" s="2">
        <v>4</v>
      </c>
      <c r="D4661" s="2">
        <f t="shared" si="288"/>
        <v>2026</v>
      </c>
      <c r="E4661" s="2" t="str">
        <f t="shared" si="289"/>
        <v>2026-19</v>
      </c>
      <c r="F4661" s="2" t="str">
        <f t="shared" si="290"/>
        <v>Week 19</v>
      </c>
      <c r="G4661" s="2" t="str">
        <f t="shared" si="291"/>
        <v>Week 19-2026</v>
      </c>
      <c r="O4661"/>
      <c r="Q4661"/>
    </row>
    <row r="4662" spans="1:17" hidden="1" x14ac:dyDescent="0.2">
      <c r="A4662" s="3">
        <v>46148</v>
      </c>
      <c r="B4662" s="2" t="s">
        <v>13</v>
      </c>
      <c r="C4662" s="2">
        <v>4</v>
      </c>
      <c r="D4662" s="2">
        <f t="shared" si="288"/>
        <v>2026</v>
      </c>
      <c r="E4662" s="2" t="str">
        <f t="shared" si="289"/>
        <v>2026-19</v>
      </c>
      <c r="F4662" s="2" t="str">
        <f t="shared" si="290"/>
        <v>Week 19</v>
      </c>
      <c r="G4662" s="2" t="str">
        <f t="shared" si="291"/>
        <v>Week 19-2026</v>
      </c>
      <c r="O4662"/>
      <c r="Q4662"/>
    </row>
    <row r="4663" spans="1:17" hidden="1" x14ac:dyDescent="0.2">
      <c r="A4663" s="3">
        <v>46148</v>
      </c>
      <c r="B4663" s="2" t="s">
        <v>23</v>
      </c>
      <c r="C4663" s="2">
        <v>2</v>
      </c>
      <c r="D4663" s="2">
        <f t="shared" si="288"/>
        <v>2026</v>
      </c>
      <c r="E4663" s="2" t="str">
        <f t="shared" si="289"/>
        <v>2026-19</v>
      </c>
      <c r="F4663" s="2" t="str">
        <f t="shared" si="290"/>
        <v>Week 19</v>
      </c>
      <c r="G4663" s="2" t="str">
        <f t="shared" si="291"/>
        <v>Week 19-2026</v>
      </c>
      <c r="O4663"/>
      <c r="Q4663"/>
    </row>
    <row r="4664" spans="1:17" hidden="1" x14ac:dyDescent="0.2">
      <c r="A4664" s="3">
        <v>46148</v>
      </c>
      <c r="B4664" s="2" t="s">
        <v>19</v>
      </c>
      <c r="C4664" s="2">
        <v>2</v>
      </c>
      <c r="D4664" s="2">
        <f t="shared" si="288"/>
        <v>2026</v>
      </c>
      <c r="E4664" s="2" t="str">
        <f t="shared" si="289"/>
        <v>2026-19</v>
      </c>
      <c r="F4664" s="2" t="str">
        <f t="shared" si="290"/>
        <v>Week 19</v>
      </c>
      <c r="G4664" s="2" t="str">
        <f t="shared" si="291"/>
        <v>Week 19-2026</v>
      </c>
      <c r="O4664"/>
      <c r="Q4664"/>
    </row>
    <row r="4665" spans="1:17" hidden="1" x14ac:dyDescent="0.2">
      <c r="A4665" s="3">
        <v>46148</v>
      </c>
      <c r="B4665" s="2" t="s">
        <v>18</v>
      </c>
      <c r="C4665" s="2">
        <v>2</v>
      </c>
      <c r="D4665" s="2">
        <f t="shared" si="288"/>
        <v>2026</v>
      </c>
      <c r="E4665" s="2" t="str">
        <f t="shared" si="289"/>
        <v>2026-19</v>
      </c>
      <c r="F4665" s="2" t="str">
        <f t="shared" si="290"/>
        <v>Week 19</v>
      </c>
      <c r="G4665" s="2" t="str">
        <f t="shared" si="291"/>
        <v>Week 19-2026</v>
      </c>
      <c r="O4665"/>
      <c r="Q4665"/>
    </row>
    <row r="4666" spans="1:17" hidden="1" x14ac:dyDescent="0.2">
      <c r="A4666" s="3">
        <v>46148</v>
      </c>
      <c r="B4666" s="2" t="s">
        <v>7</v>
      </c>
      <c r="C4666" s="2">
        <v>2</v>
      </c>
      <c r="D4666" s="2">
        <f t="shared" si="288"/>
        <v>2026</v>
      </c>
      <c r="E4666" s="2" t="str">
        <f t="shared" si="289"/>
        <v>2026-19</v>
      </c>
      <c r="F4666" s="2" t="str">
        <f t="shared" si="290"/>
        <v>Week 19</v>
      </c>
      <c r="G4666" s="2" t="str">
        <f t="shared" si="291"/>
        <v>Week 19-2026</v>
      </c>
      <c r="O4666"/>
      <c r="Q4666"/>
    </row>
    <row r="4667" spans="1:17" hidden="1" x14ac:dyDescent="0.2">
      <c r="A4667" s="3">
        <v>46148</v>
      </c>
      <c r="B4667" s="2" t="s">
        <v>27</v>
      </c>
      <c r="C4667" s="2">
        <v>6</v>
      </c>
      <c r="D4667" s="2">
        <f t="shared" si="288"/>
        <v>2026</v>
      </c>
      <c r="E4667" s="2" t="str">
        <f t="shared" si="289"/>
        <v>2026-19</v>
      </c>
      <c r="F4667" s="2" t="str">
        <f t="shared" si="290"/>
        <v>Week 19</v>
      </c>
      <c r="G4667" s="2" t="str">
        <f t="shared" si="291"/>
        <v>Week 19-2026</v>
      </c>
      <c r="O4667"/>
      <c r="Q4667"/>
    </row>
    <row r="4668" spans="1:17" x14ac:dyDescent="0.2">
      <c r="A4668" s="3">
        <v>46148</v>
      </c>
      <c r="B4668" s="2" t="s">
        <v>24</v>
      </c>
      <c r="C4668" s="2">
        <v>6</v>
      </c>
      <c r="D4668" s="2">
        <f t="shared" si="288"/>
        <v>2026</v>
      </c>
      <c r="E4668" s="2" t="str">
        <f t="shared" si="289"/>
        <v>2026-19</v>
      </c>
      <c r="F4668" s="2" t="str">
        <f t="shared" si="290"/>
        <v>Week 19</v>
      </c>
      <c r="G4668" s="2" t="str">
        <f t="shared" si="291"/>
        <v>Week 19-2026</v>
      </c>
      <c r="O4668"/>
      <c r="Q4668"/>
    </row>
    <row r="4669" spans="1:17" hidden="1" x14ac:dyDescent="0.2">
      <c r="A4669" s="3">
        <v>46148</v>
      </c>
      <c r="B4669" s="2" t="s">
        <v>29</v>
      </c>
      <c r="C4669" s="2">
        <v>2</v>
      </c>
      <c r="D4669" s="2">
        <f t="shared" si="288"/>
        <v>2026</v>
      </c>
      <c r="E4669" s="2" t="str">
        <f t="shared" si="289"/>
        <v>2026-19</v>
      </c>
      <c r="F4669" s="2" t="str">
        <f t="shared" si="290"/>
        <v>Week 19</v>
      </c>
      <c r="G4669" s="2" t="str">
        <f t="shared" si="291"/>
        <v>Week 19-2026</v>
      </c>
      <c r="O4669"/>
      <c r="Q4669"/>
    </row>
    <row r="4670" spans="1:17" hidden="1" x14ac:dyDescent="0.2">
      <c r="A4670" s="3">
        <v>46148</v>
      </c>
      <c r="B4670" s="2" t="s">
        <v>10</v>
      </c>
      <c r="C4670" s="2">
        <v>2</v>
      </c>
      <c r="D4670" s="2">
        <f t="shared" si="288"/>
        <v>2026</v>
      </c>
      <c r="E4670" s="2" t="str">
        <f t="shared" si="289"/>
        <v>2026-19</v>
      </c>
      <c r="F4670" s="2" t="str">
        <f t="shared" si="290"/>
        <v>Week 19</v>
      </c>
      <c r="G4670" s="2" t="str">
        <f t="shared" si="291"/>
        <v>Week 19-2026</v>
      </c>
      <c r="O4670"/>
      <c r="Q4670"/>
    </row>
    <row r="4671" spans="1:17" hidden="1" x14ac:dyDescent="0.2">
      <c r="A4671" s="3">
        <v>46148</v>
      </c>
      <c r="B4671" s="2" t="s">
        <v>10</v>
      </c>
      <c r="C4671" s="2">
        <v>2</v>
      </c>
      <c r="D4671" s="2">
        <f t="shared" si="288"/>
        <v>2026</v>
      </c>
      <c r="E4671" s="2" t="str">
        <f t="shared" si="289"/>
        <v>2026-19</v>
      </c>
      <c r="F4671" s="2" t="str">
        <f t="shared" si="290"/>
        <v>Week 19</v>
      </c>
      <c r="G4671" s="2" t="str">
        <f t="shared" si="291"/>
        <v>Week 19-2026</v>
      </c>
      <c r="O4671"/>
      <c r="Q4671"/>
    </row>
    <row r="4672" spans="1:17" hidden="1" x14ac:dyDescent="0.2">
      <c r="A4672" s="3">
        <v>46148</v>
      </c>
      <c r="B4672" s="2" t="s">
        <v>34</v>
      </c>
      <c r="C4672" s="2">
        <v>2</v>
      </c>
      <c r="D4672" s="2">
        <f t="shared" si="288"/>
        <v>2026</v>
      </c>
      <c r="E4672" s="2" t="str">
        <f t="shared" si="289"/>
        <v>2026-19</v>
      </c>
      <c r="F4672" s="2" t="str">
        <f t="shared" si="290"/>
        <v>Week 19</v>
      </c>
      <c r="G4672" s="2" t="str">
        <f t="shared" si="291"/>
        <v>Week 19-2026</v>
      </c>
      <c r="O4672"/>
      <c r="Q4672"/>
    </row>
    <row r="4673" spans="1:17" hidden="1" x14ac:dyDescent="0.2">
      <c r="A4673" s="3">
        <v>46148</v>
      </c>
      <c r="B4673" s="2" t="s">
        <v>15</v>
      </c>
      <c r="C4673" s="2">
        <v>3</v>
      </c>
      <c r="D4673" s="2">
        <f t="shared" si="288"/>
        <v>2026</v>
      </c>
      <c r="E4673" s="2" t="str">
        <f t="shared" si="289"/>
        <v>2026-19</v>
      </c>
      <c r="F4673" s="2" t="str">
        <f t="shared" si="290"/>
        <v>Week 19</v>
      </c>
      <c r="G4673" s="2" t="str">
        <f t="shared" si="291"/>
        <v>Week 19-2026</v>
      </c>
      <c r="O4673"/>
      <c r="Q4673"/>
    </row>
    <row r="4674" spans="1:17" hidden="1" x14ac:dyDescent="0.2">
      <c r="A4674" s="3">
        <v>46148</v>
      </c>
      <c r="B4674" s="2" t="s">
        <v>3</v>
      </c>
      <c r="C4674" s="2">
        <v>1</v>
      </c>
      <c r="D4674" s="2">
        <f t="shared" ref="D4674:D4737" si="292">YEAR(A4674)</f>
        <v>2026</v>
      </c>
      <c r="E4674" s="2" t="str">
        <f t="shared" ref="E4674:E4737" si="293">YEAR(A4674)&amp;"-"&amp;_xlfn.ISOWEEKNUM(A4674)</f>
        <v>2026-19</v>
      </c>
      <c r="F4674" s="2" t="str">
        <f t="shared" ref="F4674:F4737" si="294">_xlfn.CONCAT("Week "&amp;WEEKNUM(A4674))</f>
        <v>Week 19</v>
      </c>
      <c r="G4674" s="2" t="str">
        <f t="shared" ref="G4674:G4737" si="295">_xlfn.CONCAT(F4674,"-",D4674)</f>
        <v>Week 19-2026</v>
      </c>
      <c r="O4674"/>
      <c r="Q4674"/>
    </row>
    <row r="4675" spans="1:17" hidden="1" x14ac:dyDescent="0.2">
      <c r="A4675" s="3">
        <v>46148</v>
      </c>
      <c r="B4675" s="2" t="s">
        <v>36</v>
      </c>
      <c r="C4675" s="2">
        <v>1</v>
      </c>
      <c r="D4675" s="2">
        <f t="shared" si="292"/>
        <v>2026</v>
      </c>
      <c r="E4675" s="2" t="str">
        <f t="shared" si="293"/>
        <v>2026-19</v>
      </c>
      <c r="F4675" s="2" t="str">
        <f t="shared" si="294"/>
        <v>Week 19</v>
      </c>
      <c r="G4675" s="2" t="str">
        <f t="shared" si="295"/>
        <v>Week 19-2026</v>
      </c>
      <c r="O4675"/>
      <c r="Q4675"/>
    </row>
    <row r="4676" spans="1:17" hidden="1" x14ac:dyDescent="0.2">
      <c r="A4676" s="3">
        <v>46149</v>
      </c>
      <c r="B4676" s="2" t="s">
        <v>5</v>
      </c>
      <c r="C4676" s="2">
        <v>50</v>
      </c>
      <c r="D4676" s="2">
        <f t="shared" si="292"/>
        <v>2026</v>
      </c>
      <c r="E4676" s="2" t="str">
        <f t="shared" si="293"/>
        <v>2026-19</v>
      </c>
      <c r="F4676" s="2" t="str">
        <f t="shared" si="294"/>
        <v>Week 19</v>
      </c>
      <c r="G4676" s="2" t="str">
        <f t="shared" si="295"/>
        <v>Week 19-2026</v>
      </c>
      <c r="O4676"/>
      <c r="Q4676"/>
    </row>
    <row r="4677" spans="1:17" hidden="1" x14ac:dyDescent="0.2">
      <c r="A4677" s="3">
        <v>46149</v>
      </c>
      <c r="B4677" s="2" t="s">
        <v>3</v>
      </c>
      <c r="C4677" s="2">
        <v>32</v>
      </c>
      <c r="D4677" s="2">
        <f t="shared" si="292"/>
        <v>2026</v>
      </c>
      <c r="E4677" s="2" t="str">
        <f t="shared" si="293"/>
        <v>2026-19</v>
      </c>
      <c r="F4677" s="2" t="str">
        <f t="shared" si="294"/>
        <v>Week 19</v>
      </c>
      <c r="G4677" s="2" t="str">
        <f t="shared" si="295"/>
        <v>Week 19-2026</v>
      </c>
      <c r="O4677"/>
      <c r="Q4677"/>
    </row>
    <row r="4678" spans="1:17" hidden="1" x14ac:dyDescent="0.2">
      <c r="A4678" s="3">
        <v>46149</v>
      </c>
      <c r="B4678" s="2" t="s">
        <v>9</v>
      </c>
      <c r="C4678" s="2">
        <v>18</v>
      </c>
      <c r="D4678" s="2">
        <f t="shared" si="292"/>
        <v>2026</v>
      </c>
      <c r="E4678" s="2" t="str">
        <f t="shared" si="293"/>
        <v>2026-19</v>
      </c>
      <c r="F4678" s="2" t="str">
        <f t="shared" si="294"/>
        <v>Week 19</v>
      </c>
      <c r="G4678" s="2" t="str">
        <f t="shared" si="295"/>
        <v>Week 19-2026</v>
      </c>
      <c r="O4678"/>
      <c r="Q4678"/>
    </row>
    <row r="4679" spans="1:17" hidden="1" x14ac:dyDescent="0.2">
      <c r="A4679" s="3">
        <v>46149</v>
      </c>
      <c r="B4679" s="2" t="s">
        <v>30</v>
      </c>
      <c r="C4679" s="2">
        <v>23</v>
      </c>
      <c r="D4679" s="2">
        <f t="shared" si="292"/>
        <v>2026</v>
      </c>
      <c r="E4679" s="2" t="str">
        <f t="shared" si="293"/>
        <v>2026-19</v>
      </c>
      <c r="F4679" s="2" t="str">
        <f t="shared" si="294"/>
        <v>Week 19</v>
      </c>
      <c r="G4679" s="2" t="str">
        <f t="shared" si="295"/>
        <v>Week 19-2026</v>
      </c>
      <c r="O4679"/>
      <c r="Q4679"/>
    </row>
    <row r="4680" spans="1:17" hidden="1" x14ac:dyDescent="0.2">
      <c r="A4680" s="3">
        <v>46149</v>
      </c>
      <c r="B4680" s="2" t="s">
        <v>14</v>
      </c>
      <c r="C4680" s="2">
        <v>12</v>
      </c>
      <c r="D4680" s="2">
        <f t="shared" si="292"/>
        <v>2026</v>
      </c>
      <c r="E4680" s="2" t="str">
        <f t="shared" si="293"/>
        <v>2026-19</v>
      </c>
      <c r="F4680" s="2" t="str">
        <f t="shared" si="294"/>
        <v>Week 19</v>
      </c>
      <c r="G4680" s="2" t="str">
        <f t="shared" si="295"/>
        <v>Week 19-2026</v>
      </c>
      <c r="O4680"/>
      <c r="Q4680"/>
    </row>
    <row r="4681" spans="1:17" hidden="1" x14ac:dyDescent="0.2">
      <c r="A4681" s="3">
        <v>46149</v>
      </c>
      <c r="B4681" s="2" t="s">
        <v>5</v>
      </c>
      <c r="C4681" s="2">
        <v>8</v>
      </c>
      <c r="D4681" s="2">
        <f t="shared" si="292"/>
        <v>2026</v>
      </c>
      <c r="E4681" s="2" t="str">
        <f t="shared" si="293"/>
        <v>2026-19</v>
      </c>
      <c r="F4681" s="2" t="str">
        <f t="shared" si="294"/>
        <v>Week 19</v>
      </c>
      <c r="G4681" s="2" t="str">
        <f t="shared" si="295"/>
        <v>Week 19-2026</v>
      </c>
      <c r="O4681"/>
      <c r="Q4681"/>
    </row>
    <row r="4682" spans="1:17" hidden="1" x14ac:dyDescent="0.2">
      <c r="A4682" s="3">
        <v>46149</v>
      </c>
      <c r="B4682" s="2" t="s">
        <v>3</v>
      </c>
      <c r="C4682" s="2">
        <v>6</v>
      </c>
      <c r="D4682" s="2">
        <f t="shared" si="292"/>
        <v>2026</v>
      </c>
      <c r="E4682" s="2" t="str">
        <f t="shared" si="293"/>
        <v>2026-19</v>
      </c>
      <c r="F4682" s="2" t="str">
        <f t="shared" si="294"/>
        <v>Week 19</v>
      </c>
      <c r="G4682" s="2" t="str">
        <f t="shared" si="295"/>
        <v>Week 19-2026</v>
      </c>
      <c r="O4682"/>
      <c r="Q4682"/>
    </row>
    <row r="4683" spans="1:17" hidden="1" x14ac:dyDescent="0.2">
      <c r="A4683" s="3">
        <v>46149</v>
      </c>
      <c r="B4683" s="2" t="s">
        <v>14</v>
      </c>
      <c r="C4683" s="2">
        <v>8</v>
      </c>
      <c r="D4683" s="2">
        <f t="shared" si="292"/>
        <v>2026</v>
      </c>
      <c r="E4683" s="2" t="str">
        <f t="shared" si="293"/>
        <v>2026-19</v>
      </c>
      <c r="F4683" s="2" t="str">
        <f t="shared" si="294"/>
        <v>Week 19</v>
      </c>
      <c r="G4683" s="2" t="str">
        <f t="shared" si="295"/>
        <v>Week 19-2026</v>
      </c>
      <c r="O4683"/>
      <c r="Q4683"/>
    </row>
    <row r="4684" spans="1:17" hidden="1" x14ac:dyDescent="0.2">
      <c r="A4684" s="3">
        <v>46149</v>
      </c>
      <c r="B4684" s="2" t="s">
        <v>27</v>
      </c>
      <c r="C4684" s="2">
        <v>10</v>
      </c>
      <c r="D4684" s="2">
        <f t="shared" si="292"/>
        <v>2026</v>
      </c>
      <c r="E4684" s="2" t="str">
        <f t="shared" si="293"/>
        <v>2026-19</v>
      </c>
      <c r="F4684" s="2" t="str">
        <f t="shared" si="294"/>
        <v>Week 19</v>
      </c>
      <c r="G4684" s="2" t="str">
        <f t="shared" si="295"/>
        <v>Week 19-2026</v>
      </c>
      <c r="O4684"/>
      <c r="Q4684"/>
    </row>
    <row r="4685" spans="1:17" hidden="1" x14ac:dyDescent="0.2">
      <c r="A4685" s="3">
        <v>46149</v>
      </c>
      <c r="B4685" s="2" t="s">
        <v>10</v>
      </c>
      <c r="C4685" s="2">
        <v>4</v>
      </c>
      <c r="D4685" s="2">
        <f t="shared" si="292"/>
        <v>2026</v>
      </c>
      <c r="E4685" s="2" t="str">
        <f t="shared" si="293"/>
        <v>2026-19</v>
      </c>
      <c r="F4685" s="2" t="str">
        <f t="shared" si="294"/>
        <v>Week 19</v>
      </c>
      <c r="G4685" s="2" t="str">
        <f t="shared" si="295"/>
        <v>Week 19-2026</v>
      </c>
      <c r="O4685"/>
      <c r="Q4685"/>
    </row>
    <row r="4686" spans="1:17" hidden="1" x14ac:dyDescent="0.2">
      <c r="A4686" s="3">
        <v>46149</v>
      </c>
      <c r="B4686" s="2" t="s">
        <v>19</v>
      </c>
      <c r="C4686" s="2">
        <v>2</v>
      </c>
      <c r="D4686" s="2">
        <f t="shared" si="292"/>
        <v>2026</v>
      </c>
      <c r="E4686" s="2" t="str">
        <f t="shared" si="293"/>
        <v>2026-19</v>
      </c>
      <c r="F4686" s="2" t="str">
        <f t="shared" si="294"/>
        <v>Week 19</v>
      </c>
      <c r="G4686" s="2" t="str">
        <f t="shared" si="295"/>
        <v>Week 19-2026</v>
      </c>
      <c r="O4686"/>
      <c r="Q4686"/>
    </row>
    <row r="4687" spans="1:17" hidden="1" x14ac:dyDescent="0.2">
      <c r="A4687" s="3">
        <v>46149</v>
      </c>
      <c r="B4687" s="2" t="s">
        <v>7</v>
      </c>
      <c r="C4687" s="2">
        <v>2</v>
      </c>
      <c r="D4687" s="2">
        <f t="shared" si="292"/>
        <v>2026</v>
      </c>
      <c r="E4687" s="2" t="str">
        <f t="shared" si="293"/>
        <v>2026-19</v>
      </c>
      <c r="F4687" s="2" t="str">
        <f t="shared" si="294"/>
        <v>Week 19</v>
      </c>
      <c r="G4687" s="2" t="str">
        <f t="shared" si="295"/>
        <v>Week 19-2026</v>
      </c>
      <c r="O4687"/>
      <c r="Q4687"/>
    </row>
    <row r="4688" spans="1:17" hidden="1" x14ac:dyDescent="0.2">
      <c r="A4688" s="3">
        <v>46149</v>
      </c>
      <c r="B4688" s="2" t="s">
        <v>30</v>
      </c>
      <c r="C4688" s="2">
        <v>2</v>
      </c>
      <c r="D4688" s="2">
        <f t="shared" si="292"/>
        <v>2026</v>
      </c>
      <c r="E4688" s="2" t="str">
        <f t="shared" si="293"/>
        <v>2026-19</v>
      </c>
      <c r="F4688" s="2" t="str">
        <f t="shared" si="294"/>
        <v>Week 19</v>
      </c>
      <c r="G4688" s="2" t="str">
        <f t="shared" si="295"/>
        <v>Week 19-2026</v>
      </c>
      <c r="O4688"/>
      <c r="Q4688"/>
    </row>
    <row r="4689" spans="1:17" x14ac:dyDescent="0.2">
      <c r="A4689" s="3">
        <v>46150</v>
      </c>
      <c r="B4689" s="2" t="s">
        <v>24</v>
      </c>
      <c r="C4689" s="2">
        <v>4</v>
      </c>
      <c r="D4689" s="2">
        <f t="shared" si="292"/>
        <v>2026</v>
      </c>
      <c r="E4689" s="2" t="str">
        <f t="shared" si="293"/>
        <v>2026-19</v>
      </c>
      <c r="F4689" s="2" t="str">
        <f t="shared" si="294"/>
        <v>Week 19</v>
      </c>
      <c r="G4689" s="2" t="str">
        <f t="shared" si="295"/>
        <v>Week 19-2026</v>
      </c>
      <c r="O4689"/>
      <c r="Q4689"/>
    </row>
    <row r="4690" spans="1:17" hidden="1" x14ac:dyDescent="0.2">
      <c r="A4690" s="3">
        <v>46150</v>
      </c>
      <c r="B4690" s="2" t="s">
        <v>36</v>
      </c>
      <c r="C4690" s="2">
        <v>2</v>
      </c>
      <c r="D4690" s="2">
        <f t="shared" si="292"/>
        <v>2026</v>
      </c>
      <c r="E4690" s="2" t="str">
        <f t="shared" si="293"/>
        <v>2026-19</v>
      </c>
      <c r="F4690" s="2" t="str">
        <f t="shared" si="294"/>
        <v>Week 19</v>
      </c>
      <c r="G4690" s="2" t="str">
        <f t="shared" si="295"/>
        <v>Week 19-2026</v>
      </c>
      <c r="O4690"/>
      <c r="Q4690"/>
    </row>
    <row r="4691" spans="1:17" hidden="1" x14ac:dyDescent="0.2">
      <c r="A4691" s="3">
        <v>46153</v>
      </c>
      <c r="B4691" s="2" t="s">
        <v>3</v>
      </c>
      <c r="C4691" s="2">
        <v>44</v>
      </c>
      <c r="D4691" s="2">
        <f t="shared" si="292"/>
        <v>2026</v>
      </c>
      <c r="E4691" s="2" t="str">
        <f t="shared" si="293"/>
        <v>2026-20</v>
      </c>
      <c r="F4691" s="2" t="str">
        <f t="shared" si="294"/>
        <v>Week 20</v>
      </c>
      <c r="G4691" s="2" t="str">
        <f t="shared" si="295"/>
        <v>Week 20-2026</v>
      </c>
      <c r="O4691"/>
      <c r="Q4691"/>
    </row>
    <row r="4692" spans="1:17" hidden="1" x14ac:dyDescent="0.2">
      <c r="A4692" s="3">
        <v>46153</v>
      </c>
      <c r="B4692" s="2" t="s">
        <v>7</v>
      </c>
      <c r="C4692" s="2">
        <v>24</v>
      </c>
      <c r="D4692" s="2">
        <f t="shared" si="292"/>
        <v>2026</v>
      </c>
      <c r="E4692" s="2" t="str">
        <f t="shared" si="293"/>
        <v>2026-20</v>
      </c>
      <c r="F4692" s="2" t="str">
        <f t="shared" si="294"/>
        <v>Week 20</v>
      </c>
      <c r="G4692" s="2" t="str">
        <f t="shared" si="295"/>
        <v>Week 20-2026</v>
      </c>
      <c r="O4692"/>
      <c r="Q4692"/>
    </row>
    <row r="4693" spans="1:17" hidden="1" x14ac:dyDescent="0.2">
      <c r="A4693" s="3">
        <v>46153</v>
      </c>
      <c r="B4693" s="2" t="s">
        <v>18</v>
      </c>
      <c r="C4693" s="2">
        <v>16</v>
      </c>
      <c r="D4693" s="2">
        <f t="shared" si="292"/>
        <v>2026</v>
      </c>
      <c r="E4693" s="2" t="str">
        <f t="shared" si="293"/>
        <v>2026-20</v>
      </c>
      <c r="F4693" s="2" t="str">
        <f t="shared" si="294"/>
        <v>Week 20</v>
      </c>
      <c r="G4693" s="2" t="str">
        <f t="shared" si="295"/>
        <v>Week 20-2026</v>
      </c>
      <c r="O4693"/>
      <c r="Q4693"/>
    </row>
    <row r="4694" spans="1:17" hidden="1" x14ac:dyDescent="0.2">
      <c r="A4694" s="3">
        <v>46153</v>
      </c>
      <c r="B4694" s="2" t="s">
        <v>26</v>
      </c>
      <c r="C4694" s="2">
        <v>22</v>
      </c>
      <c r="D4694" s="2">
        <f t="shared" si="292"/>
        <v>2026</v>
      </c>
      <c r="E4694" s="2" t="str">
        <f t="shared" si="293"/>
        <v>2026-20</v>
      </c>
      <c r="F4694" s="2" t="str">
        <f t="shared" si="294"/>
        <v>Week 20</v>
      </c>
      <c r="G4694" s="2" t="str">
        <f t="shared" si="295"/>
        <v>Week 20-2026</v>
      </c>
      <c r="O4694"/>
      <c r="Q4694"/>
    </row>
    <row r="4695" spans="1:17" hidden="1" x14ac:dyDescent="0.2">
      <c r="A4695" s="3">
        <v>46153</v>
      </c>
      <c r="B4695" s="2" t="s">
        <v>7</v>
      </c>
      <c r="C4695" s="2">
        <v>16</v>
      </c>
      <c r="D4695" s="2">
        <f t="shared" si="292"/>
        <v>2026</v>
      </c>
      <c r="E4695" s="2" t="str">
        <f t="shared" si="293"/>
        <v>2026-20</v>
      </c>
      <c r="F4695" s="2" t="str">
        <f t="shared" si="294"/>
        <v>Week 20</v>
      </c>
      <c r="G4695" s="2" t="str">
        <f t="shared" si="295"/>
        <v>Week 20-2026</v>
      </c>
      <c r="O4695"/>
      <c r="Q4695"/>
    </row>
    <row r="4696" spans="1:17" hidden="1" x14ac:dyDescent="0.2">
      <c r="A4696" s="3">
        <v>46153</v>
      </c>
      <c r="B4696" s="2" t="s">
        <v>12</v>
      </c>
      <c r="C4696" s="2">
        <v>10</v>
      </c>
      <c r="D4696" s="2">
        <f t="shared" si="292"/>
        <v>2026</v>
      </c>
      <c r="E4696" s="2" t="str">
        <f t="shared" si="293"/>
        <v>2026-20</v>
      </c>
      <c r="F4696" s="2" t="str">
        <f t="shared" si="294"/>
        <v>Week 20</v>
      </c>
      <c r="G4696" s="2" t="str">
        <f t="shared" si="295"/>
        <v>Week 20-2026</v>
      </c>
      <c r="O4696"/>
      <c r="Q4696"/>
    </row>
    <row r="4697" spans="1:17" hidden="1" x14ac:dyDescent="0.2">
      <c r="A4697" s="3">
        <v>46153</v>
      </c>
      <c r="B4697" s="2" t="s">
        <v>5</v>
      </c>
      <c r="C4697" s="2">
        <v>20</v>
      </c>
      <c r="D4697" s="2">
        <f t="shared" si="292"/>
        <v>2026</v>
      </c>
      <c r="E4697" s="2" t="str">
        <f t="shared" si="293"/>
        <v>2026-20</v>
      </c>
      <c r="F4697" s="2" t="str">
        <f t="shared" si="294"/>
        <v>Week 20</v>
      </c>
      <c r="G4697" s="2" t="str">
        <f t="shared" si="295"/>
        <v>Week 20-2026</v>
      </c>
      <c r="O4697"/>
      <c r="Q4697"/>
    </row>
    <row r="4698" spans="1:17" hidden="1" x14ac:dyDescent="0.2">
      <c r="A4698" s="3">
        <v>46153</v>
      </c>
      <c r="B4698" s="2" t="s">
        <v>9</v>
      </c>
      <c r="C4698" s="2">
        <v>13</v>
      </c>
      <c r="D4698" s="2">
        <f t="shared" si="292"/>
        <v>2026</v>
      </c>
      <c r="E4698" s="2" t="str">
        <f t="shared" si="293"/>
        <v>2026-20</v>
      </c>
      <c r="F4698" s="2" t="str">
        <f t="shared" si="294"/>
        <v>Week 20</v>
      </c>
      <c r="G4698" s="2" t="str">
        <f t="shared" si="295"/>
        <v>Week 20-2026</v>
      </c>
      <c r="O4698"/>
      <c r="Q4698"/>
    </row>
    <row r="4699" spans="1:17" hidden="1" x14ac:dyDescent="0.2">
      <c r="A4699" s="3">
        <v>46153</v>
      </c>
      <c r="B4699" s="2" t="s">
        <v>3</v>
      </c>
      <c r="C4699" s="2">
        <v>14</v>
      </c>
      <c r="D4699" s="2">
        <f t="shared" si="292"/>
        <v>2026</v>
      </c>
      <c r="E4699" s="2" t="str">
        <f t="shared" si="293"/>
        <v>2026-20</v>
      </c>
      <c r="F4699" s="2" t="str">
        <f t="shared" si="294"/>
        <v>Week 20</v>
      </c>
      <c r="G4699" s="2" t="str">
        <f t="shared" si="295"/>
        <v>Week 20-2026</v>
      </c>
      <c r="O4699"/>
      <c r="Q4699"/>
    </row>
    <row r="4700" spans="1:17" hidden="1" x14ac:dyDescent="0.2">
      <c r="A4700" s="3">
        <v>46153</v>
      </c>
      <c r="B4700" s="2" t="s">
        <v>5</v>
      </c>
      <c r="C4700" s="2">
        <v>14</v>
      </c>
      <c r="D4700" s="2">
        <f t="shared" si="292"/>
        <v>2026</v>
      </c>
      <c r="E4700" s="2" t="str">
        <f t="shared" si="293"/>
        <v>2026-20</v>
      </c>
      <c r="F4700" s="2" t="str">
        <f t="shared" si="294"/>
        <v>Week 20</v>
      </c>
      <c r="G4700" s="2" t="str">
        <f t="shared" si="295"/>
        <v>Week 20-2026</v>
      </c>
      <c r="O4700"/>
      <c r="Q4700"/>
    </row>
    <row r="4701" spans="1:17" hidden="1" x14ac:dyDescent="0.2">
      <c r="A4701" s="3">
        <v>46153</v>
      </c>
      <c r="B4701" s="2" t="s">
        <v>19</v>
      </c>
      <c r="C4701" s="2">
        <v>8</v>
      </c>
      <c r="D4701" s="2">
        <f t="shared" si="292"/>
        <v>2026</v>
      </c>
      <c r="E4701" s="2" t="str">
        <f t="shared" si="293"/>
        <v>2026-20</v>
      </c>
      <c r="F4701" s="2" t="str">
        <f t="shared" si="294"/>
        <v>Week 20</v>
      </c>
      <c r="G4701" s="2" t="str">
        <f t="shared" si="295"/>
        <v>Week 20-2026</v>
      </c>
      <c r="O4701"/>
      <c r="Q4701"/>
    </row>
    <row r="4702" spans="1:17" hidden="1" x14ac:dyDescent="0.2">
      <c r="A4702" s="3">
        <v>46153</v>
      </c>
      <c r="B4702" s="2" t="s">
        <v>4</v>
      </c>
      <c r="C4702" s="2">
        <v>8</v>
      </c>
      <c r="D4702" s="2">
        <f t="shared" si="292"/>
        <v>2026</v>
      </c>
      <c r="E4702" s="2" t="str">
        <f t="shared" si="293"/>
        <v>2026-20</v>
      </c>
      <c r="F4702" s="2" t="str">
        <f t="shared" si="294"/>
        <v>Week 20</v>
      </c>
      <c r="G4702" s="2" t="str">
        <f t="shared" si="295"/>
        <v>Week 20-2026</v>
      </c>
      <c r="O4702"/>
      <c r="Q4702"/>
    </row>
    <row r="4703" spans="1:17" hidden="1" x14ac:dyDescent="0.2">
      <c r="A4703" s="3">
        <v>46153</v>
      </c>
      <c r="B4703" s="2" t="s">
        <v>9</v>
      </c>
      <c r="C4703" s="2">
        <v>8</v>
      </c>
      <c r="D4703" s="2">
        <f t="shared" si="292"/>
        <v>2026</v>
      </c>
      <c r="E4703" s="2" t="str">
        <f t="shared" si="293"/>
        <v>2026-20</v>
      </c>
      <c r="F4703" s="2" t="str">
        <f t="shared" si="294"/>
        <v>Week 20</v>
      </c>
      <c r="G4703" s="2" t="str">
        <f t="shared" si="295"/>
        <v>Week 20-2026</v>
      </c>
      <c r="O4703"/>
      <c r="Q4703"/>
    </row>
    <row r="4704" spans="1:17" hidden="1" x14ac:dyDescent="0.2">
      <c r="A4704" s="3">
        <v>46153</v>
      </c>
      <c r="B4704" s="2" t="s">
        <v>13</v>
      </c>
      <c r="C4704" s="2">
        <v>8</v>
      </c>
      <c r="D4704" s="2">
        <f t="shared" si="292"/>
        <v>2026</v>
      </c>
      <c r="E4704" s="2" t="str">
        <f t="shared" si="293"/>
        <v>2026-20</v>
      </c>
      <c r="F4704" s="2" t="str">
        <f t="shared" si="294"/>
        <v>Week 20</v>
      </c>
      <c r="G4704" s="2" t="str">
        <f t="shared" si="295"/>
        <v>Week 20-2026</v>
      </c>
      <c r="O4704"/>
      <c r="Q4704"/>
    </row>
    <row r="4705" spans="1:17" hidden="1" x14ac:dyDescent="0.2">
      <c r="A4705" s="3">
        <v>46153</v>
      </c>
      <c r="B4705" s="2" t="s">
        <v>17</v>
      </c>
      <c r="C4705" s="2">
        <v>8</v>
      </c>
      <c r="D4705" s="2">
        <f t="shared" si="292"/>
        <v>2026</v>
      </c>
      <c r="E4705" s="2" t="str">
        <f t="shared" si="293"/>
        <v>2026-20</v>
      </c>
      <c r="F4705" s="2" t="str">
        <f t="shared" si="294"/>
        <v>Week 20</v>
      </c>
      <c r="G4705" s="2" t="str">
        <f t="shared" si="295"/>
        <v>Week 20-2026</v>
      </c>
      <c r="O4705"/>
      <c r="Q4705"/>
    </row>
    <row r="4706" spans="1:17" hidden="1" x14ac:dyDescent="0.2">
      <c r="A4706" s="3">
        <v>46153</v>
      </c>
      <c r="B4706" s="2" t="s">
        <v>17</v>
      </c>
      <c r="C4706" s="2">
        <v>8</v>
      </c>
      <c r="D4706" s="2">
        <f t="shared" si="292"/>
        <v>2026</v>
      </c>
      <c r="E4706" s="2" t="str">
        <f t="shared" si="293"/>
        <v>2026-20</v>
      </c>
      <c r="F4706" s="2" t="str">
        <f t="shared" si="294"/>
        <v>Week 20</v>
      </c>
      <c r="G4706" s="2" t="str">
        <f t="shared" si="295"/>
        <v>Week 20-2026</v>
      </c>
      <c r="O4706"/>
      <c r="Q4706"/>
    </row>
    <row r="4707" spans="1:17" hidden="1" x14ac:dyDescent="0.2">
      <c r="A4707" s="3">
        <v>46153</v>
      </c>
      <c r="B4707" s="2" t="s">
        <v>10</v>
      </c>
      <c r="C4707" s="2">
        <v>8</v>
      </c>
      <c r="D4707" s="2">
        <f t="shared" si="292"/>
        <v>2026</v>
      </c>
      <c r="E4707" s="2" t="str">
        <f t="shared" si="293"/>
        <v>2026-20</v>
      </c>
      <c r="F4707" s="2" t="str">
        <f t="shared" si="294"/>
        <v>Week 20</v>
      </c>
      <c r="G4707" s="2" t="str">
        <f t="shared" si="295"/>
        <v>Week 20-2026</v>
      </c>
      <c r="O4707"/>
      <c r="Q4707"/>
    </row>
    <row r="4708" spans="1:17" hidden="1" x14ac:dyDescent="0.2">
      <c r="A4708" s="3">
        <v>46153</v>
      </c>
      <c r="B4708" s="2" t="s">
        <v>14</v>
      </c>
      <c r="C4708" s="2">
        <v>6</v>
      </c>
      <c r="D4708" s="2">
        <f t="shared" si="292"/>
        <v>2026</v>
      </c>
      <c r="E4708" s="2" t="str">
        <f t="shared" si="293"/>
        <v>2026-20</v>
      </c>
      <c r="F4708" s="2" t="str">
        <f t="shared" si="294"/>
        <v>Week 20</v>
      </c>
      <c r="G4708" s="2" t="str">
        <f t="shared" si="295"/>
        <v>Week 20-2026</v>
      </c>
      <c r="O4708"/>
      <c r="Q4708"/>
    </row>
    <row r="4709" spans="1:17" hidden="1" x14ac:dyDescent="0.2">
      <c r="A4709" s="3">
        <v>46153</v>
      </c>
      <c r="B4709" s="2" t="s">
        <v>6</v>
      </c>
      <c r="C4709" s="2">
        <v>2</v>
      </c>
      <c r="D4709" s="2">
        <f t="shared" si="292"/>
        <v>2026</v>
      </c>
      <c r="E4709" s="2" t="str">
        <f t="shared" si="293"/>
        <v>2026-20</v>
      </c>
      <c r="F4709" s="2" t="str">
        <f t="shared" si="294"/>
        <v>Week 20</v>
      </c>
      <c r="G4709" s="2" t="str">
        <f t="shared" si="295"/>
        <v>Week 20-2026</v>
      </c>
      <c r="O4709"/>
      <c r="Q4709"/>
    </row>
    <row r="4710" spans="1:17" hidden="1" x14ac:dyDescent="0.2">
      <c r="A4710" s="3">
        <v>46153</v>
      </c>
      <c r="B4710" s="2" t="s">
        <v>19</v>
      </c>
      <c r="C4710" s="2">
        <v>2</v>
      </c>
      <c r="D4710" s="2">
        <f t="shared" si="292"/>
        <v>2026</v>
      </c>
      <c r="E4710" s="2" t="str">
        <f t="shared" si="293"/>
        <v>2026-20</v>
      </c>
      <c r="F4710" s="2" t="str">
        <f t="shared" si="294"/>
        <v>Week 20</v>
      </c>
      <c r="G4710" s="2" t="str">
        <f t="shared" si="295"/>
        <v>Week 20-2026</v>
      </c>
      <c r="O4710"/>
      <c r="Q4710"/>
    </row>
    <row r="4711" spans="1:17" hidden="1" x14ac:dyDescent="0.2">
      <c r="A4711" s="3">
        <v>46153</v>
      </c>
      <c r="B4711" s="2" t="s">
        <v>29</v>
      </c>
      <c r="C4711" s="2">
        <v>2</v>
      </c>
      <c r="D4711" s="2">
        <f t="shared" si="292"/>
        <v>2026</v>
      </c>
      <c r="E4711" s="2" t="str">
        <f t="shared" si="293"/>
        <v>2026-20</v>
      </c>
      <c r="F4711" s="2" t="str">
        <f t="shared" si="294"/>
        <v>Week 20</v>
      </c>
      <c r="G4711" s="2" t="str">
        <f t="shared" si="295"/>
        <v>Week 20-2026</v>
      </c>
      <c r="O4711"/>
      <c r="Q4711"/>
    </row>
    <row r="4712" spans="1:17" hidden="1" x14ac:dyDescent="0.2">
      <c r="A4712" s="3">
        <v>46153</v>
      </c>
      <c r="B4712" s="2" t="s">
        <v>4</v>
      </c>
      <c r="C4712" s="2">
        <v>1</v>
      </c>
      <c r="D4712" s="2">
        <f t="shared" si="292"/>
        <v>2026</v>
      </c>
      <c r="E4712" s="2" t="str">
        <f t="shared" si="293"/>
        <v>2026-20</v>
      </c>
      <c r="F4712" s="2" t="str">
        <f t="shared" si="294"/>
        <v>Week 20</v>
      </c>
      <c r="G4712" s="2" t="str">
        <f t="shared" si="295"/>
        <v>Week 20-2026</v>
      </c>
      <c r="O4712"/>
      <c r="Q4712"/>
    </row>
    <row r="4713" spans="1:17" hidden="1" x14ac:dyDescent="0.2">
      <c r="A4713" s="3">
        <v>46153</v>
      </c>
      <c r="B4713" s="2" t="s">
        <v>8</v>
      </c>
      <c r="C4713" s="2">
        <v>2</v>
      </c>
      <c r="D4713" s="2">
        <f t="shared" si="292"/>
        <v>2026</v>
      </c>
      <c r="E4713" s="2" t="str">
        <f t="shared" si="293"/>
        <v>2026-20</v>
      </c>
      <c r="F4713" s="2" t="str">
        <f t="shared" si="294"/>
        <v>Week 20</v>
      </c>
      <c r="G4713" s="2" t="str">
        <f t="shared" si="295"/>
        <v>Week 20-2026</v>
      </c>
      <c r="O4713"/>
      <c r="Q4713"/>
    </row>
    <row r="4714" spans="1:17" hidden="1" x14ac:dyDescent="0.2">
      <c r="A4714" s="3">
        <v>46154</v>
      </c>
      <c r="B4714" s="2" t="s">
        <v>3</v>
      </c>
      <c r="C4714" s="2">
        <v>22</v>
      </c>
      <c r="D4714" s="2">
        <f t="shared" si="292"/>
        <v>2026</v>
      </c>
      <c r="E4714" s="2" t="str">
        <f t="shared" si="293"/>
        <v>2026-20</v>
      </c>
      <c r="F4714" s="2" t="str">
        <f t="shared" si="294"/>
        <v>Week 20</v>
      </c>
      <c r="G4714" s="2" t="str">
        <f t="shared" si="295"/>
        <v>Week 20-2026</v>
      </c>
      <c r="O4714"/>
      <c r="Q4714"/>
    </row>
    <row r="4715" spans="1:17" hidden="1" x14ac:dyDescent="0.2">
      <c r="A4715" s="3">
        <v>46154</v>
      </c>
      <c r="B4715" s="2" t="s">
        <v>3</v>
      </c>
      <c r="C4715" s="2">
        <v>16</v>
      </c>
      <c r="D4715" s="2">
        <f t="shared" si="292"/>
        <v>2026</v>
      </c>
      <c r="E4715" s="2" t="str">
        <f t="shared" si="293"/>
        <v>2026-20</v>
      </c>
      <c r="F4715" s="2" t="str">
        <f t="shared" si="294"/>
        <v>Week 20</v>
      </c>
      <c r="G4715" s="2" t="str">
        <f t="shared" si="295"/>
        <v>Week 20-2026</v>
      </c>
      <c r="O4715"/>
      <c r="Q4715"/>
    </row>
    <row r="4716" spans="1:17" hidden="1" x14ac:dyDescent="0.2">
      <c r="A4716" s="3">
        <v>46154</v>
      </c>
      <c r="B4716" s="2" t="s">
        <v>38</v>
      </c>
      <c r="C4716" s="2">
        <v>24</v>
      </c>
      <c r="D4716" s="2">
        <f t="shared" si="292"/>
        <v>2026</v>
      </c>
      <c r="E4716" s="2" t="str">
        <f t="shared" si="293"/>
        <v>2026-20</v>
      </c>
      <c r="F4716" s="2" t="str">
        <f t="shared" si="294"/>
        <v>Week 20</v>
      </c>
      <c r="G4716" s="2" t="str">
        <f t="shared" si="295"/>
        <v>Week 20-2026</v>
      </c>
      <c r="O4716"/>
      <c r="Q4716"/>
    </row>
    <row r="4717" spans="1:17" hidden="1" x14ac:dyDescent="0.2">
      <c r="A4717" s="3">
        <v>46154</v>
      </c>
      <c r="B4717" s="2" t="s">
        <v>9</v>
      </c>
      <c r="C4717" s="2">
        <v>12</v>
      </c>
      <c r="D4717" s="2">
        <f t="shared" si="292"/>
        <v>2026</v>
      </c>
      <c r="E4717" s="2" t="str">
        <f t="shared" si="293"/>
        <v>2026-20</v>
      </c>
      <c r="F4717" s="2" t="str">
        <f t="shared" si="294"/>
        <v>Week 20</v>
      </c>
      <c r="G4717" s="2" t="str">
        <f t="shared" si="295"/>
        <v>Week 20-2026</v>
      </c>
      <c r="O4717"/>
      <c r="Q4717"/>
    </row>
    <row r="4718" spans="1:17" hidden="1" x14ac:dyDescent="0.2">
      <c r="A4718" s="3">
        <v>46154</v>
      </c>
      <c r="B4718" s="2" t="s">
        <v>34</v>
      </c>
      <c r="C4718" s="2">
        <v>12</v>
      </c>
      <c r="D4718" s="2">
        <f t="shared" si="292"/>
        <v>2026</v>
      </c>
      <c r="E4718" s="2" t="str">
        <f t="shared" si="293"/>
        <v>2026-20</v>
      </c>
      <c r="F4718" s="2" t="str">
        <f t="shared" si="294"/>
        <v>Week 20</v>
      </c>
      <c r="G4718" s="2" t="str">
        <f t="shared" si="295"/>
        <v>Week 20-2026</v>
      </c>
      <c r="O4718"/>
      <c r="Q4718"/>
    </row>
    <row r="4719" spans="1:17" hidden="1" x14ac:dyDescent="0.2">
      <c r="A4719" s="3">
        <v>46154</v>
      </c>
      <c r="B4719" s="2" t="s">
        <v>8</v>
      </c>
      <c r="C4719" s="2">
        <v>12</v>
      </c>
      <c r="D4719" s="2">
        <f t="shared" si="292"/>
        <v>2026</v>
      </c>
      <c r="E4719" s="2" t="str">
        <f t="shared" si="293"/>
        <v>2026-20</v>
      </c>
      <c r="F4719" s="2" t="str">
        <f t="shared" si="294"/>
        <v>Week 20</v>
      </c>
      <c r="G4719" s="2" t="str">
        <f t="shared" si="295"/>
        <v>Week 20-2026</v>
      </c>
      <c r="O4719"/>
      <c r="Q4719"/>
    </row>
    <row r="4720" spans="1:17" hidden="1" x14ac:dyDescent="0.2">
      <c r="A4720" s="3">
        <v>46154</v>
      </c>
      <c r="B4720" s="2" t="s">
        <v>34</v>
      </c>
      <c r="C4720" s="2">
        <v>8</v>
      </c>
      <c r="D4720" s="2">
        <f t="shared" si="292"/>
        <v>2026</v>
      </c>
      <c r="E4720" s="2" t="str">
        <f t="shared" si="293"/>
        <v>2026-20</v>
      </c>
      <c r="F4720" s="2" t="str">
        <f t="shared" si="294"/>
        <v>Week 20</v>
      </c>
      <c r="G4720" s="2" t="str">
        <f t="shared" si="295"/>
        <v>Week 20-2026</v>
      </c>
      <c r="O4720"/>
      <c r="Q4720"/>
    </row>
    <row r="4721" spans="1:17" hidden="1" x14ac:dyDescent="0.2">
      <c r="A4721" s="3">
        <v>46154</v>
      </c>
      <c r="B4721" s="2" t="s">
        <v>38</v>
      </c>
      <c r="C4721" s="2">
        <v>8</v>
      </c>
      <c r="D4721" s="2">
        <f t="shared" si="292"/>
        <v>2026</v>
      </c>
      <c r="E4721" s="2" t="str">
        <f t="shared" si="293"/>
        <v>2026-20</v>
      </c>
      <c r="F4721" s="2" t="str">
        <f t="shared" si="294"/>
        <v>Week 20</v>
      </c>
      <c r="G4721" s="2" t="str">
        <f t="shared" si="295"/>
        <v>Week 20-2026</v>
      </c>
      <c r="O4721"/>
      <c r="Q4721"/>
    </row>
    <row r="4722" spans="1:17" hidden="1" x14ac:dyDescent="0.2">
      <c r="A4722" s="3">
        <v>46154</v>
      </c>
      <c r="B4722" s="2" t="s">
        <v>10</v>
      </c>
      <c r="C4722" s="2">
        <v>4</v>
      </c>
      <c r="D4722" s="2">
        <f t="shared" si="292"/>
        <v>2026</v>
      </c>
      <c r="E4722" s="2" t="str">
        <f t="shared" si="293"/>
        <v>2026-20</v>
      </c>
      <c r="F4722" s="2" t="str">
        <f t="shared" si="294"/>
        <v>Week 20</v>
      </c>
      <c r="G4722" s="2" t="str">
        <f t="shared" si="295"/>
        <v>Week 20-2026</v>
      </c>
      <c r="O4722"/>
      <c r="Q4722"/>
    </row>
    <row r="4723" spans="1:17" hidden="1" x14ac:dyDescent="0.2">
      <c r="A4723" s="3">
        <v>46154</v>
      </c>
      <c r="B4723" s="2" t="s">
        <v>10</v>
      </c>
      <c r="C4723" s="2">
        <v>4</v>
      </c>
      <c r="D4723" s="2">
        <f t="shared" si="292"/>
        <v>2026</v>
      </c>
      <c r="E4723" s="2" t="str">
        <f t="shared" si="293"/>
        <v>2026-20</v>
      </c>
      <c r="F4723" s="2" t="str">
        <f t="shared" si="294"/>
        <v>Week 20</v>
      </c>
      <c r="G4723" s="2" t="str">
        <f t="shared" si="295"/>
        <v>Week 20-2026</v>
      </c>
      <c r="O4723"/>
      <c r="Q4723"/>
    </row>
    <row r="4724" spans="1:17" hidden="1" x14ac:dyDescent="0.2">
      <c r="A4724" s="3">
        <v>46154</v>
      </c>
      <c r="B4724" s="2" t="s">
        <v>6</v>
      </c>
      <c r="C4724" s="2">
        <v>2</v>
      </c>
      <c r="D4724" s="2">
        <f t="shared" si="292"/>
        <v>2026</v>
      </c>
      <c r="E4724" s="2" t="str">
        <f t="shared" si="293"/>
        <v>2026-20</v>
      </c>
      <c r="F4724" s="2" t="str">
        <f t="shared" si="294"/>
        <v>Week 20</v>
      </c>
      <c r="G4724" s="2" t="str">
        <f t="shared" si="295"/>
        <v>Week 20-2026</v>
      </c>
      <c r="O4724"/>
      <c r="Q4724"/>
    </row>
    <row r="4725" spans="1:17" hidden="1" x14ac:dyDescent="0.2">
      <c r="A4725" s="3">
        <v>46154</v>
      </c>
      <c r="B4725" s="2" t="s">
        <v>9</v>
      </c>
      <c r="C4725" s="2">
        <v>2</v>
      </c>
      <c r="D4725" s="2">
        <f t="shared" si="292"/>
        <v>2026</v>
      </c>
      <c r="E4725" s="2" t="str">
        <f t="shared" si="293"/>
        <v>2026-20</v>
      </c>
      <c r="F4725" s="2" t="str">
        <f t="shared" si="294"/>
        <v>Week 20</v>
      </c>
      <c r="G4725" s="2" t="str">
        <f t="shared" si="295"/>
        <v>Week 20-2026</v>
      </c>
      <c r="O4725"/>
      <c r="Q4725"/>
    </row>
    <row r="4726" spans="1:17" hidden="1" x14ac:dyDescent="0.2">
      <c r="A4726" s="3">
        <v>46156</v>
      </c>
      <c r="B4726" s="2" t="s">
        <v>19</v>
      </c>
      <c r="C4726" s="2">
        <v>16</v>
      </c>
      <c r="D4726" s="2">
        <f t="shared" si="292"/>
        <v>2026</v>
      </c>
      <c r="E4726" s="2" t="str">
        <f t="shared" si="293"/>
        <v>2026-20</v>
      </c>
      <c r="F4726" s="2" t="str">
        <f t="shared" si="294"/>
        <v>Week 20</v>
      </c>
      <c r="G4726" s="2" t="str">
        <f t="shared" si="295"/>
        <v>Week 20-2026</v>
      </c>
      <c r="O4726"/>
      <c r="Q4726"/>
    </row>
    <row r="4727" spans="1:17" hidden="1" x14ac:dyDescent="0.2">
      <c r="A4727" s="3">
        <v>46156</v>
      </c>
      <c r="B4727" s="2" t="s">
        <v>14</v>
      </c>
      <c r="C4727" s="2">
        <v>18</v>
      </c>
      <c r="D4727" s="2">
        <f t="shared" si="292"/>
        <v>2026</v>
      </c>
      <c r="E4727" s="2" t="str">
        <f t="shared" si="293"/>
        <v>2026-20</v>
      </c>
      <c r="F4727" s="2" t="str">
        <f t="shared" si="294"/>
        <v>Week 20</v>
      </c>
      <c r="G4727" s="2" t="str">
        <f t="shared" si="295"/>
        <v>Week 20-2026</v>
      </c>
      <c r="O4727"/>
      <c r="Q4727"/>
    </row>
    <row r="4728" spans="1:17" hidden="1" x14ac:dyDescent="0.2">
      <c r="A4728" s="3">
        <v>46156</v>
      </c>
      <c r="B4728" s="2" t="s">
        <v>5</v>
      </c>
      <c r="C4728" s="2">
        <v>8</v>
      </c>
      <c r="D4728" s="2">
        <f t="shared" si="292"/>
        <v>2026</v>
      </c>
      <c r="E4728" s="2" t="str">
        <f t="shared" si="293"/>
        <v>2026-20</v>
      </c>
      <c r="F4728" s="2" t="str">
        <f t="shared" si="294"/>
        <v>Week 20</v>
      </c>
      <c r="G4728" s="2" t="str">
        <f t="shared" si="295"/>
        <v>Week 20-2026</v>
      </c>
      <c r="O4728"/>
      <c r="Q4728"/>
    </row>
    <row r="4729" spans="1:17" hidden="1" x14ac:dyDescent="0.2">
      <c r="A4729" s="3">
        <v>46156</v>
      </c>
      <c r="B4729" s="2" t="s">
        <v>28</v>
      </c>
      <c r="C4729" s="2">
        <v>4</v>
      </c>
      <c r="D4729" s="2">
        <f t="shared" si="292"/>
        <v>2026</v>
      </c>
      <c r="E4729" s="2" t="str">
        <f t="shared" si="293"/>
        <v>2026-20</v>
      </c>
      <c r="F4729" s="2" t="str">
        <f t="shared" si="294"/>
        <v>Week 20</v>
      </c>
      <c r="G4729" s="2" t="str">
        <f t="shared" si="295"/>
        <v>Week 20-2026</v>
      </c>
      <c r="O4729"/>
      <c r="Q4729"/>
    </row>
    <row r="4730" spans="1:17" hidden="1" x14ac:dyDescent="0.2">
      <c r="A4730" s="3">
        <v>46156</v>
      </c>
      <c r="B4730" s="2" t="s">
        <v>26</v>
      </c>
      <c r="C4730" s="2">
        <v>1</v>
      </c>
      <c r="D4730" s="2">
        <f t="shared" si="292"/>
        <v>2026</v>
      </c>
      <c r="E4730" s="2" t="str">
        <f t="shared" si="293"/>
        <v>2026-20</v>
      </c>
      <c r="F4730" s="2" t="str">
        <f t="shared" si="294"/>
        <v>Week 20</v>
      </c>
      <c r="G4730" s="2" t="str">
        <f t="shared" si="295"/>
        <v>Week 20-2026</v>
      </c>
      <c r="O4730"/>
      <c r="Q4730"/>
    </row>
    <row r="4731" spans="1:17" hidden="1" x14ac:dyDescent="0.2">
      <c r="A4731" s="3">
        <v>46156</v>
      </c>
      <c r="B4731" s="2" t="s">
        <v>42</v>
      </c>
      <c r="C4731" s="2">
        <v>2</v>
      </c>
      <c r="D4731" s="2">
        <f t="shared" si="292"/>
        <v>2026</v>
      </c>
      <c r="E4731" s="2" t="str">
        <f t="shared" si="293"/>
        <v>2026-20</v>
      </c>
      <c r="F4731" s="2" t="str">
        <f t="shared" si="294"/>
        <v>Week 20</v>
      </c>
      <c r="G4731" s="2" t="str">
        <f t="shared" si="295"/>
        <v>Week 20-2026</v>
      </c>
      <c r="O4731"/>
      <c r="Q4731"/>
    </row>
    <row r="4732" spans="1:17" hidden="1" x14ac:dyDescent="0.2">
      <c r="A4732" s="3">
        <v>46157</v>
      </c>
      <c r="B4732" s="2" t="s">
        <v>6</v>
      </c>
      <c r="C4732" s="2">
        <v>17</v>
      </c>
      <c r="D4732" s="2">
        <f t="shared" si="292"/>
        <v>2026</v>
      </c>
      <c r="E4732" s="2" t="str">
        <f t="shared" si="293"/>
        <v>2026-20</v>
      </c>
      <c r="F4732" s="2" t="str">
        <f t="shared" si="294"/>
        <v>Week 20</v>
      </c>
      <c r="G4732" s="2" t="str">
        <f t="shared" si="295"/>
        <v>Week 20-2026</v>
      </c>
      <c r="O4732"/>
      <c r="Q4732"/>
    </row>
    <row r="4733" spans="1:17" hidden="1" x14ac:dyDescent="0.2">
      <c r="A4733" s="3">
        <v>46157</v>
      </c>
      <c r="B4733" s="2" t="s">
        <v>17</v>
      </c>
      <c r="C4733" s="2">
        <v>28</v>
      </c>
      <c r="D4733" s="2">
        <f t="shared" si="292"/>
        <v>2026</v>
      </c>
      <c r="E4733" s="2" t="str">
        <f t="shared" si="293"/>
        <v>2026-20</v>
      </c>
      <c r="F4733" s="2" t="str">
        <f t="shared" si="294"/>
        <v>Week 20</v>
      </c>
      <c r="G4733" s="2" t="str">
        <f t="shared" si="295"/>
        <v>Week 20-2026</v>
      </c>
      <c r="O4733"/>
      <c r="Q4733"/>
    </row>
    <row r="4734" spans="1:17" hidden="1" x14ac:dyDescent="0.2">
      <c r="A4734" s="3">
        <v>46157</v>
      </c>
      <c r="B4734" s="2" t="s">
        <v>9</v>
      </c>
      <c r="C4734" s="2">
        <v>17</v>
      </c>
      <c r="D4734" s="2">
        <f t="shared" si="292"/>
        <v>2026</v>
      </c>
      <c r="E4734" s="2" t="str">
        <f t="shared" si="293"/>
        <v>2026-20</v>
      </c>
      <c r="F4734" s="2" t="str">
        <f t="shared" si="294"/>
        <v>Week 20</v>
      </c>
      <c r="G4734" s="2" t="str">
        <f t="shared" si="295"/>
        <v>Week 20-2026</v>
      </c>
      <c r="O4734"/>
      <c r="Q4734"/>
    </row>
    <row r="4735" spans="1:17" hidden="1" x14ac:dyDescent="0.2">
      <c r="A4735" s="3">
        <v>46157</v>
      </c>
      <c r="B4735" s="2" t="s">
        <v>9</v>
      </c>
      <c r="C4735" s="2">
        <v>16</v>
      </c>
      <c r="D4735" s="2">
        <f t="shared" si="292"/>
        <v>2026</v>
      </c>
      <c r="E4735" s="2" t="str">
        <f t="shared" si="293"/>
        <v>2026-20</v>
      </c>
      <c r="F4735" s="2" t="str">
        <f t="shared" si="294"/>
        <v>Week 20</v>
      </c>
      <c r="G4735" s="2" t="str">
        <f t="shared" si="295"/>
        <v>Week 20-2026</v>
      </c>
      <c r="O4735"/>
      <c r="Q4735"/>
    </row>
    <row r="4736" spans="1:17" hidden="1" x14ac:dyDescent="0.2">
      <c r="A4736" s="3">
        <v>46157</v>
      </c>
      <c r="B4736" s="2" t="s">
        <v>29</v>
      </c>
      <c r="C4736" s="2">
        <v>9</v>
      </c>
      <c r="D4736" s="2">
        <f t="shared" si="292"/>
        <v>2026</v>
      </c>
      <c r="E4736" s="2" t="str">
        <f t="shared" si="293"/>
        <v>2026-20</v>
      </c>
      <c r="F4736" s="2" t="str">
        <f t="shared" si="294"/>
        <v>Week 20</v>
      </c>
      <c r="G4736" s="2" t="str">
        <f t="shared" si="295"/>
        <v>Week 20-2026</v>
      </c>
      <c r="O4736"/>
      <c r="Q4736"/>
    </row>
    <row r="4737" spans="1:17" hidden="1" x14ac:dyDescent="0.2">
      <c r="A4737" s="3">
        <v>46157</v>
      </c>
      <c r="B4737" s="2" t="s">
        <v>18</v>
      </c>
      <c r="C4737" s="2">
        <v>3</v>
      </c>
      <c r="D4737" s="2">
        <f t="shared" si="292"/>
        <v>2026</v>
      </c>
      <c r="E4737" s="2" t="str">
        <f t="shared" si="293"/>
        <v>2026-20</v>
      </c>
      <c r="F4737" s="2" t="str">
        <f t="shared" si="294"/>
        <v>Week 20</v>
      </c>
      <c r="G4737" s="2" t="str">
        <f t="shared" si="295"/>
        <v>Week 20-2026</v>
      </c>
      <c r="O4737"/>
      <c r="Q4737"/>
    </row>
    <row r="4738" spans="1:17" hidden="1" x14ac:dyDescent="0.2">
      <c r="A4738" s="3">
        <v>46157</v>
      </c>
      <c r="B4738" s="2" t="s">
        <v>5</v>
      </c>
      <c r="C4738" s="2">
        <v>5</v>
      </c>
      <c r="D4738" s="2">
        <f t="shared" ref="D4738:D4801" si="296">YEAR(A4738)</f>
        <v>2026</v>
      </c>
      <c r="E4738" s="2" t="str">
        <f t="shared" ref="E4738:E4801" si="297">YEAR(A4738)&amp;"-"&amp;_xlfn.ISOWEEKNUM(A4738)</f>
        <v>2026-20</v>
      </c>
      <c r="F4738" s="2" t="str">
        <f t="shared" ref="F4738:F4801" si="298">_xlfn.CONCAT("Week "&amp;WEEKNUM(A4738))</f>
        <v>Week 20</v>
      </c>
      <c r="G4738" s="2" t="str">
        <f t="shared" ref="G4738:G4801" si="299">_xlfn.CONCAT(F4738,"-",D4738)</f>
        <v>Week 20-2026</v>
      </c>
      <c r="O4738"/>
      <c r="Q4738"/>
    </row>
    <row r="4739" spans="1:17" hidden="1" x14ac:dyDescent="0.2">
      <c r="A4739" s="3">
        <v>46157</v>
      </c>
      <c r="B4739" s="2" t="s">
        <v>15</v>
      </c>
      <c r="C4739" s="2">
        <v>10</v>
      </c>
      <c r="D4739" s="2">
        <f t="shared" si="296"/>
        <v>2026</v>
      </c>
      <c r="E4739" s="2" t="str">
        <f t="shared" si="297"/>
        <v>2026-20</v>
      </c>
      <c r="F4739" s="2" t="str">
        <f t="shared" si="298"/>
        <v>Week 20</v>
      </c>
      <c r="G4739" s="2" t="str">
        <f t="shared" si="299"/>
        <v>Week 20-2026</v>
      </c>
      <c r="O4739"/>
      <c r="Q4739"/>
    </row>
    <row r="4740" spans="1:17" hidden="1" x14ac:dyDescent="0.2">
      <c r="A4740" s="3">
        <v>46157</v>
      </c>
      <c r="B4740" s="2" t="s">
        <v>6</v>
      </c>
      <c r="C4740" s="2">
        <v>2</v>
      </c>
      <c r="D4740" s="2">
        <f t="shared" si="296"/>
        <v>2026</v>
      </c>
      <c r="E4740" s="2" t="str">
        <f t="shared" si="297"/>
        <v>2026-20</v>
      </c>
      <c r="F4740" s="2" t="str">
        <f t="shared" si="298"/>
        <v>Week 20</v>
      </c>
      <c r="G4740" s="2" t="str">
        <f t="shared" si="299"/>
        <v>Week 20-2026</v>
      </c>
      <c r="O4740"/>
      <c r="Q4740"/>
    </row>
    <row r="4741" spans="1:17" hidden="1" x14ac:dyDescent="0.2">
      <c r="A4741" s="3">
        <v>46157</v>
      </c>
      <c r="B4741" s="2" t="s">
        <v>19</v>
      </c>
      <c r="C4741" s="2">
        <v>2</v>
      </c>
      <c r="D4741" s="2">
        <f t="shared" si="296"/>
        <v>2026</v>
      </c>
      <c r="E4741" s="2" t="str">
        <f t="shared" si="297"/>
        <v>2026-20</v>
      </c>
      <c r="F4741" s="2" t="str">
        <f t="shared" si="298"/>
        <v>Week 20</v>
      </c>
      <c r="G4741" s="2" t="str">
        <f t="shared" si="299"/>
        <v>Week 20-2026</v>
      </c>
      <c r="O4741"/>
      <c r="Q4741"/>
    </row>
    <row r="4742" spans="1:17" hidden="1" x14ac:dyDescent="0.2">
      <c r="A4742" s="3">
        <v>46157</v>
      </c>
      <c r="B4742" s="2" t="s">
        <v>34</v>
      </c>
      <c r="C4742" s="2">
        <v>2</v>
      </c>
      <c r="D4742" s="2">
        <f t="shared" si="296"/>
        <v>2026</v>
      </c>
      <c r="E4742" s="2" t="str">
        <f t="shared" si="297"/>
        <v>2026-20</v>
      </c>
      <c r="F4742" s="2" t="str">
        <f t="shared" si="298"/>
        <v>Week 20</v>
      </c>
      <c r="G4742" s="2" t="str">
        <f t="shared" si="299"/>
        <v>Week 20-2026</v>
      </c>
      <c r="O4742"/>
      <c r="Q4742"/>
    </row>
    <row r="4743" spans="1:17" hidden="1" x14ac:dyDescent="0.2">
      <c r="A4743" s="3">
        <v>46157</v>
      </c>
      <c r="B4743" s="2" t="s">
        <v>29</v>
      </c>
      <c r="C4743" s="2">
        <v>1</v>
      </c>
      <c r="D4743" s="2">
        <f t="shared" si="296"/>
        <v>2026</v>
      </c>
      <c r="E4743" s="2" t="str">
        <f t="shared" si="297"/>
        <v>2026-20</v>
      </c>
      <c r="F4743" s="2" t="str">
        <f t="shared" si="298"/>
        <v>Week 20</v>
      </c>
      <c r="G4743" s="2" t="str">
        <f t="shared" si="299"/>
        <v>Week 20-2026</v>
      </c>
      <c r="O4743"/>
      <c r="Q4743"/>
    </row>
    <row r="4744" spans="1:17" hidden="1" x14ac:dyDescent="0.2">
      <c r="A4744" s="3">
        <v>46157</v>
      </c>
      <c r="B4744" s="2" t="s">
        <v>15</v>
      </c>
      <c r="C4744" s="2">
        <v>2</v>
      </c>
      <c r="D4744" s="2">
        <f t="shared" si="296"/>
        <v>2026</v>
      </c>
      <c r="E4744" s="2" t="str">
        <f t="shared" si="297"/>
        <v>2026-20</v>
      </c>
      <c r="F4744" s="2" t="str">
        <f t="shared" si="298"/>
        <v>Week 20</v>
      </c>
      <c r="G4744" s="2" t="str">
        <f t="shared" si="299"/>
        <v>Week 20-2026</v>
      </c>
      <c r="O4744"/>
      <c r="Q4744"/>
    </row>
    <row r="4745" spans="1:17" hidden="1" x14ac:dyDescent="0.2">
      <c r="A4745" s="3">
        <v>46158</v>
      </c>
      <c r="B4745" s="2" t="s">
        <v>6</v>
      </c>
      <c r="C4745" s="2">
        <v>16</v>
      </c>
      <c r="D4745" s="2">
        <f t="shared" si="296"/>
        <v>2026</v>
      </c>
      <c r="E4745" s="2" t="str">
        <f t="shared" si="297"/>
        <v>2026-20</v>
      </c>
      <c r="F4745" s="2" t="str">
        <f t="shared" si="298"/>
        <v>Week 20</v>
      </c>
      <c r="G4745" s="2" t="str">
        <f t="shared" si="299"/>
        <v>Week 20-2026</v>
      </c>
      <c r="O4745"/>
      <c r="Q4745"/>
    </row>
    <row r="4746" spans="1:17" hidden="1" x14ac:dyDescent="0.2">
      <c r="A4746" s="3">
        <v>46158</v>
      </c>
      <c r="B4746" s="2" t="s">
        <v>6</v>
      </c>
      <c r="C4746" s="2">
        <v>12</v>
      </c>
      <c r="D4746" s="2">
        <f t="shared" si="296"/>
        <v>2026</v>
      </c>
      <c r="E4746" s="2" t="str">
        <f t="shared" si="297"/>
        <v>2026-20</v>
      </c>
      <c r="F4746" s="2" t="str">
        <f t="shared" si="298"/>
        <v>Week 20</v>
      </c>
      <c r="G4746" s="2" t="str">
        <f t="shared" si="299"/>
        <v>Week 20-2026</v>
      </c>
      <c r="O4746"/>
      <c r="Q4746"/>
    </row>
    <row r="4747" spans="1:17" hidden="1" x14ac:dyDescent="0.2">
      <c r="A4747" s="3">
        <v>46158</v>
      </c>
      <c r="B4747" s="2" t="s">
        <v>21</v>
      </c>
      <c r="C4747" s="2">
        <v>6</v>
      </c>
      <c r="D4747" s="2">
        <f t="shared" si="296"/>
        <v>2026</v>
      </c>
      <c r="E4747" s="2" t="str">
        <f t="shared" si="297"/>
        <v>2026-20</v>
      </c>
      <c r="F4747" s="2" t="str">
        <f t="shared" si="298"/>
        <v>Week 20</v>
      </c>
      <c r="G4747" s="2" t="str">
        <f t="shared" si="299"/>
        <v>Week 20-2026</v>
      </c>
      <c r="O4747"/>
      <c r="Q4747"/>
    </row>
    <row r="4748" spans="1:17" hidden="1" x14ac:dyDescent="0.2">
      <c r="A4748" s="3">
        <v>46158</v>
      </c>
      <c r="B4748" s="2" t="s">
        <v>12</v>
      </c>
      <c r="C4748" s="2">
        <v>6</v>
      </c>
      <c r="D4748" s="2">
        <f t="shared" si="296"/>
        <v>2026</v>
      </c>
      <c r="E4748" s="2" t="str">
        <f t="shared" si="297"/>
        <v>2026-20</v>
      </c>
      <c r="F4748" s="2" t="str">
        <f t="shared" si="298"/>
        <v>Week 20</v>
      </c>
      <c r="G4748" s="2" t="str">
        <f t="shared" si="299"/>
        <v>Week 20-2026</v>
      </c>
      <c r="O4748"/>
      <c r="Q4748"/>
    </row>
    <row r="4749" spans="1:17" hidden="1" x14ac:dyDescent="0.2">
      <c r="A4749" s="3">
        <v>46158</v>
      </c>
      <c r="B4749" s="2" t="s">
        <v>6</v>
      </c>
      <c r="C4749" s="2">
        <v>4</v>
      </c>
      <c r="D4749" s="2">
        <f t="shared" si="296"/>
        <v>2026</v>
      </c>
      <c r="E4749" s="2" t="str">
        <f t="shared" si="297"/>
        <v>2026-20</v>
      </c>
      <c r="F4749" s="2" t="str">
        <f t="shared" si="298"/>
        <v>Week 20</v>
      </c>
      <c r="G4749" s="2" t="str">
        <f t="shared" si="299"/>
        <v>Week 20-2026</v>
      </c>
      <c r="O4749"/>
      <c r="Q4749"/>
    </row>
    <row r="4750" spans="1:17" hidden="1" x14ac:dyDescent="0.2">
      <c r="A4750" s="3">
        <v>46158</v>
      </c>
      <c r="B4750" s="2" t="s">
        <v>8</v>
      </c>
      <c r="C4750" s="2">
        <v>1</v>
      </c>
      <c r="D4750" s="2">
        <f t="shared" si="296"/>
        <v>2026</v>
      </c>
      <c r="E4750" s="2" t="str">
        <f t="shared" si="297"/>
        <v>2026-20</v>
      </c>
      <c r="F4750" s="2" t="str">
        <f t="shared" si="298"/>
        <v>Week 20</v>
      </c>
      <c r="G4750" s="2" t="str">
        <f t="shared" si="299"/>
        <v>Week 20-2026</v>
      </c>
      <c r="O4750"/>
      <c r="Q4750"/>
    </row>
    <row r="4751" spans="1:17" hidden="1" x14ac:dyDescent="0.2">
      <c r="A4751" s="3">
        <v>46160</v>
      </c>
      <c r="B4751" s="2" t="s">
        <v>3</v>
      </c>
      <c r="C4751" s="2">
        <v>20</v>
      </c>
      <c r="D4751" s="2">
        <f t="shared" si="296"/>
        <v>2026</v>
      </c>
      <c r="E4751" s="2" t="str">
        <f t="shared" si="297"/>
        <v>2026-21</v>
      </c>
      <c r="F4751" s="2" t="str">
        <f t="shared" si="298"/>
        <v>Week 21</v>
      </c>
      <c r="G4751" s="2" t="str">
        <f t="shared" si="299"/>
        <v>Week 21-2026</v>
      </c>
      <c r="O4751"/>
      <c r="Q4751"/>
    </row>
    <row r="4752" spans="1:17" hidden="1" x14ac:dyDescent="0.2">
      <c r="A4752" s="3">
        <v>46160</v>
      </c>
      <c r="B4752" s="2" t="s">
        <v>5</v>
      </c>
      <c r="C4752" s="2">
        <v>11</v>
      </c>
      <c r="D4752" s="2">
        <f t="shared" si="296"/>
        <v>2026</v>
      </c>
      <c r="E4752" s="2" t="str">
        <f t="shared" si="297"/>
        <v>2026-21</v>
      </c>
      <c r="F4752" s="2" t="str">
        <f t="shared" si="298"/>
        <v>Week 21</v>
      </c>
      <c r="G4752" s="2" t="str">
        <f t="shared" si="299"/>
        <v>Week 21-2026</v>
      </c>
      <c r="O4752"/>
      <c r="Q4752"/>
    </row>
    <row r="4753" spans="1:17" hidden="1" x14ac:dyDescent="0.2">
      <c r="A4753" s="3">
        <v>46160</v>
      </c>
      <c r="B4753" s="2" t="s">
        <v>14</v>
      </c>
      <c r="C4753" s="2">
        <v>14</v>
      </c>
      <c r="D4753" s="2">
        <f t="shared" si="296"/>
        <v>2026</v>
      </c>
      <c r="E4753" s="2" t="str">
        <f t="shared" si="297"/>
        <v>2026-21</v>
      </c>
      <c r="F4753" s="2" t="str">
        <f t="shared" si="298"/>
        <v>Week 21</v>
      </c>
      <c r="G4753" s="2" t="str">
        <f t="shared" si="299"/>
        <v>Week 21-2026</v>
      </c>
      <c r="O4753"/>
      <c r="Q4753"/>
    </row>
    <row r="4754" spans="1:17" hidden="1" x14ac:dyDescent="0.2">
      <c r="A4754" s="3">
        <v>46160</v>
      </c>
      <c r="B4754" s="2" t="s">
        <v>7</v>
      </c>
      <c r="C4754" s="2">
        <v>4</v>
      </c>
      <c r="D4754" s="2">
        <f t="shared" si="296"/>
        <v>2026</v>
      </c>
      <c r="E4754" s="2" t="str">
        <f t="shared" si="297"/>
        <v>2026-21</v>
      </c>
      <c r="F4754" s="2" t="str">
        <f t="shared" si="298"/>
        <v>Week 21</v>
      </c>
      <c r="G4754" s="2" t="str">
        <f t="shared" si="299"/>
        <v>Week 21-2026</v>
      </c>
      <c r="O4754"/>
      <c r="Q4754"/>
    </row>
    <row r="4755" spans="1:17" hidden="1" x14ac:dyDescent="0.2">
      <c r="A4755" s="3">
        <v>46160</v>
      </c>
      <c r="B4755" s="2" t="s">
        <v>8</v>
      </c>
      <c r="C4755" s="2">
        <v>8</v>
      </c>
      <c r="D4755" s="2">
        <f t="shared" si="296"/>
        <v>2026</v>
      </c>
      <c r="E4755" s="2" t="str">
        <f t="shared" si="297"/>
        <v>2026-21</v>
      </c>
      <c r="F4755" s="2" t="str">
        <f t="shared" si="298"/>
        <v>Week 21</v>
      </c>
      <c r="G4755" s="2" t="str">
        <f t="shared" si="299"/>
        <v>Week 21-2026</v>
      </c>
      <c r="O4755"/>
      <c r="Q4755"/>
    </row>
    <row r="4756" spans="1:17" hidden="1" x14ac:dyDescent="0.2">
      <c r="A4756" s="3">
        <v>46160</v>
      </c>
      <c r="B4756" s="2" t="s">
        <v>10</v>
      </c>
      <c r="C4756" s="2">
        <v>6</v>
      </c>
      <c r="D4756" s="2">
        <f t="shared" si="296"/>
        <v>2026</v>
      </c>
      <c r="E4756" s="2" t="str">
        <f t="shared" si="297"/>
        <v>2026-21</v>
      </c>
      <c r="F4756" s="2" t="str">
        <f t="shared" si="298"/>
        <v>Week 21</v>
      </c>
      <c r="G4756" s="2" t="str">
        <f t="shared" si="299"/>
        <v>Week 21-2026</v>
      </c>
      <c r="O4756"/>
      <c r="Q4756"/>
    </row>
    <row r="4757" spans="1:17" hidden="1" x14ac:dyDescent="0.2">
      <c r="A4757" s="3">
        <v>46160</v>
      </c>
      <c r="B4757" s="2" t="s">
        <v>19</v>
      </c>
      <c r="C4757" s="2">
        <v>2</v>
      </c>
      <c r="D4757" s="2">
        <f t="shared" si="296"/>
        <v>2026</v>
      </c>
      <c r="E4757" s="2" t="str">
        <f t="shared" si="297"/>
        <v>2026-21</v>
      </c>
      <c r="F4757" s="2" t="str">
        <f t="shared" si="298"/>
        <v>Week 21</v>
      </c>
      <c r="G4757" s="2" t="str">
        <f t="shared" si="299"/>
        <v>Week 21-2026</v>
      </c>
      <c r="O4757"/>
      <c r="Q4757"/>
    </row>
    <row r="4758" spans="1:17" hidden="1" x14ac:dyDescent="0.2">
      <c r="A4758" s="3">
        <v>46160</v>
      </c>
      <c r="B4758" s="2" t="s">
        <v>14</v>
      </c>
      <c r="C4758" s="2">
        <v>4</v>
      </c>
      <c r="D4758" s="2">
        <f t="shared" si="296"/>
        <v>2026</v>
      </c>
      <c r="E4758" s="2" t="str">
        <f t="shared" si="297"/>
        <v>2026-21</v>
      </c>
      <c r="F4758" s="2" t="str">
        <f t="shared" si="298"/>
        <v>Week 21</v>
      </c>
      <c r="G4758" s="2" t="str">
        <f t="shared" si="299"/>
        <v>Week 21-2026</v>
      </c>
      <c r="O4758"/>
      <c r="Q4758"/>
    </row>
    <row r="4759" spans="1:17" hidden="1" x14ac:dyDescent="0.2">
      <c r="A4759" s="3">
        <v>46160</v>
      </c>
      <c r="B4759" s="2" t="s">
        <v>4</v>
      </c>
      <c r="C4759" s="2">
        <v>2</v>
      </c>
      <c r="D4759" s="2">
        <f t="shared" si="296"/>
        <v>2026</v>
      </c>
      <c r="E4759" s="2" t="str">
        <f t="shared" si="297"/>
        <v>2026-21</v>
      </c>
      <c r="F4759" s="2" t="str">
        <f t="shared" si="298"/>
        <v>Week 21</v>
      </c>
      <c r="G4759" s="2" t="str">
        <f t="shared" si="299"/>
        <v>Week 21-2026</v>
      </c>
      <c r="O4759"/>
      <c r="Q4759"/>
    </row>
    <row r="4760" spans="1:17" hidden="1" x14ac:dyDescent="0.2">
      <c r="A4760" s="3">
        <v>46161</v>
      </c>
      <c r="B4760" s="2" t="s">
        <v>3</v>
      </c>
      <c r="C4760" s="2">
        <v>30</v>
      </c>
      <c r="D4760" s="2">
        <f t="shared" si="296"/>
        <v>2026</v>
      </c>
      <c r="E4760" s="2" t="str">
        <f t="shared" si="297"/>
        <v>2026-21</v>
      </c>
      <c r="F4760" s="2" t="str">
        <f t="shared" si="298"/>
        <v>Week 21</v>
      </c>
      <c r="G4760" s="2" t="str">
        <f t="shared" si="299"/>
        <v>Week 21-2026</v>
      </c>
      <c r="O4760"/>
      <c r="Q4760"/>
    </row>
    <row r="4761" spans="1:17" hidden="1" x14ac:dyDescent="0.2">
      <c r="A4761" s="3">
        <v>46161</v>
      </c>
      <c r="B4761" s="2" t="s">
        <v>7</v>
      </c>
      <c r="C4761" s="2">
        <v>20</v>
      </c>
      <c r="D4761" s="2">
        <f t="shared" si="296"/>
        <v>2026</v>
      </c>
      <c r="E4761" s="2" t="str">
        <f t="shared" si="297"/>
        <v>2026-21</v>
      </c>
      <c r="F4761" s="2" t="str">
        <f t="shared" si="298"/>
        <v>Week 21</v>
      </c>
      <c r="G4761" s="2" t="str">
        <f t="shared" si="299"/>
        <v>Week 21-2026</v>
      </c>
      <c r="O4761"/>
      <c r="Q4761"/>
    </row>
    <row r="4762" spans="1:17" hidden="1" x14ac:dyDescent="0.2">
      <c r="A4762" s="3">
        <v>46161</v>
      </c>
      <c r="B4762" s="2" t="s">
        <v>19</v>
      </c>
      <c r="C4762" s="2">
        <v>8</v>
      </c>
      <c r="D4762" s="2">
        <f t="shared" si="296"/>
        <v>2026</v>
      </c>
      <c r="E4762" s="2" t="str">
        <f t="shared" si="297"/>
        <v>2026-21</v>
      </c>
      <c r="F4762" s="2" t="str">
        <f t="shared" si="298"/>
        <v>Week 21</v>
      </c>
      <c r="G4762" s="2" t="str">
        <f t="shared" si="299"/>
        <v>Week 21-2026</v>
      </c>
      <c r="O4762"/>
      <c r="Q4762"/>
    </row>
    <row r="4763" spans="1:17" hidden="1" x14ac:dyDescent="0.2">
      <c r="A4763" s="3">
        <v>46161</v>
      </c>
      <c r="B4763" s="2" t="s">
        <v>3</v>
      </c>
      <c r="C4763" s="2">
        <v>10</v>
      </c>
      <c r="D4763" s="2">
        <f t="shared" si="296"/>
        <v>2026</v>
      </c>
      <c r="E4763" s="2" t="str">
        <f t="shared" si="297"/>
        <v>2026-21</v>
      </c>
      <c r="F4763" s="2" t="str">
        <f t="shared" si="298"/>
        <v>Week 21</v>
      </c>
      <c r="G4763" s="2" t="str">
        <f t="shared" si="299"/>
        <v>Week 21-2026</v>
      </c>
      <c r="O4763"/>
      <c r="Q4763"/>
    </row>
    <row r="4764" spans="1:17" hidden="1" x14ac:dyDescent="0.2">
      <c r="A4764" s="3">
        <v>46161</v>
      </c>
      <c r="B4764" s="2" t="s">
        <v>4</v>
      </c>
      <c r="C4764" s="2">
        <v>8</v>
      </c>
      <c r="D4764" s="2">
        <f t="shared" si="296"/>
        <v>2026</v>
      </c>
      <c r="E4764" s="2" t="str">
        <f t="shared" si="297"/>
        <v>2026-21</v>
      </c>
      <c r="F4764" s="2" t="str">
        <f t="shared" si="298"/>
        <v>Week 21</v>
      </c>
      <c r="G4764" s="2" t="str">
        <f t="shared" si="299"/>
        <v>Week 21-2026</v>
      </c>
      <c r="O4764"/>
      <c r="Q4764"/>
    </row>
    <row r="4765" spans="1:17" hidden="1" x14ac:dyDescent="0.2">
      <c r="A4765" s="3">
        <v>46161</v>
      </c>
      <c r="B4765" s="2" t="s">
        <v>18</v>
      </c>
      <c r="C4765" s="2">
        <v>6</v>
      </c>
      <c r="D4765" s="2">
        <f t="shared" si="296"/>
        <v>2026</v>
      </c>
      <c r="E4765" s="2" t="str">
        <f t="shared" si="297"/>
        <v>2026-21</v>
      </c>
      <c r="F4765" s="2" t="str">
        <f t="shared" si="298"/>
        <v>Week 21</v>
      </c>
      <c r="G4765" s="2" t="str">
        <f t="shared" si="299"/>
        <v>Week 21-2026</v>
      </c>
      <c r="O4765"/>
      <c r="Q4765"/>
    </row>
    <row r="4766" spans="1:17" hidden="1" x14ac:dyDescent="0.2">
      <c r="A4766" s="3">
        <v>46161</v>
      </c>
      <c r="B4766" s="2" t="s">
        <v>4</v>
      </c>
      <c r="C4766" s="2">
        <v>6</v>
      </c>
      <c r="D4766" s="2">
        <f t="shared" si="296"/>
        <v>2026</v>
      </c>
      <c r="E4766" s="2" t="str">
        <f t="shared" si="297"/>
        <v>2026-21</v>
      </c>
      <c r="F4766" s="2" t="str">
        <f t="shared" si="298"/>
        <v>Week 21</v>
      </c>
      <c r="G4766" s="2" t="str">
        <f t="shared" si="299"/>
        <v>Week 21-2026</v>
      </c>
      <c r="O4766"/>
      <c r="Q4766"/>
    </row>
    <row r="4767" spans="1:17" hidden="1" x14ac:dyDescent="0.2">
      <c r="A4767" s="3">
        <v>46161</v>
      </c>
      <c r="B4767" s="2" t="s">
        <v>14</v>
      </c>
      <c r="C4767" s="2">
        <v>10</v>
      </c>
      <c r="D4767" s="2">
        <f t="shared" si="296"/>
        <v>2026</v>
      </c>
      <c r="E4767" s="2" t="str">
        <f t="shared" si="297"/>
        <v>2026-21</v>
      </c>
      <c r="F4767" s="2" t="str">
        <f t="shared" si="298"/>
        <v>Week 21</v>
      </c>
      <c r="G4767" s="2" t="str">
        <f t="shared" si="299"/>
        <v>Week 21-2026</v>
      </c>
      <c r="O4767"/>
      <c r="Q4767"/>
    </row>
    <row r="4768" spans="1:17" hidden="1" x14ac:dyDescent="0.2">
      <c r="A4768" s="3">
        <v>46161</v>
      </c>
      <c r="B4768" s="2" t="s">
        <v>17</v>
      </c>
      <c r="C4768" s="2">
        <v>7</v>
      </c>
      <c r="D4768" s="2">
        <f t="shared" si="296"/>
        <v>2026</v>
      </c>
      <c r="E4768" s="2" t="str">
        <f t="shared" si="297"/>
        <v>2026-21</v>
      </c>
      <c r="F4768" s="2" t="str">
        <f t="shared" si="298"/>
        <v>Week 21</v>
      </c>
      <c r="G4768" s="2" t="str">
        <f t="shared" si="299"/>
        <v>Week 21-2026</v>
      </c>
      <c r="O4768"/>
      <c r="Q4768"/>
    </row>
    <row r="4769" spans="1:17" hidden="1" x14ac:dyDescent="0.2">
      <c r="A4769" s="3">
        <v>46161</v>
      </c>
      <c r="B4769" s="2" t="s">
        <v>14</v>
      </c>
      <c r="C4769" s="2">
        <v>8</v>
      </c>
      <c r="D4769" s="2">
        <f t="shared" si="296"/>
        <v>2026</v>
      </c>
      <c r="E4769" s="2" t="str">
        <f t="shared" si="297"/>
        <v>2026-21</v>
      </c>
      <c r="F4769" s="2" t="str">
        <f t="shared" si="298"/>
        <v>Week 21</v>
      </c>
      <c r="G4769" s="2" t="str">
        <f t="shared" si="299"/>
        <v>Week 21-2026</v>
      </c>
      <c r="O4769"/>
      <c r="Q4769"/>
    </row>
    <row r="4770" spans="1:17" hidden="1" x14ac:dyDescent="0.2">
      <c r="A4770" s="3">
        <v>46161</v>
      </c>
      <c r="B4770" s="2" t="s">
        <v>8</v>
      </c>
      <c r="C4770" s="2">
        <v>8</v>
      </c>
      <c r="D4770" s="2">
        <f t="shared" si="296"/>
        <v>2026</v>
      </c>
      <c r="E4770" s="2" t="str">
        <f t="shared" si="297"/>
        <v>2026-21</v>
      </c>
      <c r="F4770" s="2" t="str">
        <f t="shared" si="298"/>
        <v>Week 21</v>
      </c>
      <c r="G4770" s="2" t="str">
        <f t="shared" si="299"/>
        <v>Week 21-2026</v>
      </c>
      <c r="O4770"/>
      <c r="Q4770"/>
    </row>
    <row r="4771" spans="1:17" hidden="1" x14ac:dyDescent="0.2">
      <c r="A4771" s="3">
        <v>46161</v>
      </c>
      <c r="B4771" s="2" t="s">
        <v>18</v>
      </c>
      <c r="C4771" s="2">
        <v>2</v>
      </c>
      <c r="D4771" s="2">
        <f t="shared" si="296"/>
        <v>2026</v>
      </c>
      <c r="E4771" s="2" t="str">
        <f t="shared" si="297"/>
        <v>2026-21</v>
      </c>
      <c r="F4771" s="2" t="str">
        <f t="shared" si="298"/>
        <v>Week 21</v>
      </c>
      <c r="G4771" s="2" t="str">
        <f t="shared" si="299"/>
        <v>Week 21-2026</v>
      </c>
      <c r="O4771"/>
      <c r="Q4771"/>
    </row>
    <row r="4772" spans="1:17" hidden="1" x14ac:dyDescent="0.2">
      <c r="A4772" s="3">
        <v>46161</v>
      </c>
      <c r="B4772" s="2" t="s">
        <v>10</v>
      </c>
      <c r="C4772" s="2">
        <v>4</v>
      </c>
      <c r="D4772" s="2">
        <f t="shared" si="296"/>
        <v>2026</v>
      </c>
      <c r="E4772" s="2" t="str">
        <f t="shared" si="297"/>
        <v>2026-21</v>
      </c>
      <c r="F4772" s="2" t="str">
        <f t="shared" si="298"/>
        <v>Week 21</v>
      </c>
      <c r="G4772" s="2" t="str">
        <f t="shared" si="299"/>
        <v>Week 21-2026</v>
      </c>
      <c r="O4772"/>
      <c r="Q4772"/>
    </row>
    <row r="4773" spans="1:17" hidden="1" x14ac:dyDescent="0.2">
      <c r="A4773" s="3">
        <v>46161</v>
      </c>
      <c r="B4773" s="2" t="s">
        <v>19</v>
      </c>
      <c r="C4773" s="2">
        <v>2</v>
      </c>
      <c r="D4773" s="2">
        <f t="shared" si="296"/>
        <v>2026</v>
      </c>
      <c r="E4773" s="2" t="str">
        <f t="shared" si="297"/>
        <v>2026-21</v>
      </c>
      <c r="F4773" s="2" t="str">
        <f t="shared" si="298"/>
        <v>Week 21</v>
      </c>
      <c r="G4773" s="2" t="str">
        <f t="shared" si="299"/>
        <v>Week 21-2026</v>
      </c>
      <c r="O4773"/>
      <c r="Q4773"/>
    </row>
    <row r="4774" spans="1:17" hidden="1" x14ac:dyDescent="0.2">
      <c r="A4774" s="3">
        <v>46161</v>
      </c>
      <c r="B4774" s="2" t="s">
        <v>14</v>
      </c>
      <c r="C4774" s="2">
        <v>4</v>
      </c>
      <c r="D4774" s="2">
        <f t="shared" si="296"/>
        <v>2026</v>
      </c>
      <c r="E4774" s="2" t="str">
        <f t="shared" si="297"/>
        <v>2026-21</v>
      </c>
      <c r="F4774" s="2" t="str">
        <f t="shared" si="298"/>
        <v>Week 21</v>
      </c>
      <c r="G4774" s="2" t="str">
        <f t="shared" si="299"/>
        <v>Week 21-2026</v>
      </c>
      <c r="O4774"/>
      <c r="Q4774"/>
    </row>
    <row r="4775" spans="1:17" hidden="1" x14ac:dyDescent="0.2">
      <c r="A4775" s="3">
        <v>46161</v>
      </c>
      <c r="B4775" s="2" t="s">
        <v>3</v>
      </c>
      <c r="C4775" s="2">
        <v>2</v>
      </c>
      <c r="D4775" s="2">
        <f t="shared" si="296"/>
        <v>2026</v>
      </c>
      <c r="E4775" s="2" t="str">
        <f t="shared" si="297"/>
        <v>2026-21</v>
      </c>
      <c r="F4775" s="2" t="str">
        <f t="shared" si="298"/>
        <v>Week 21</v>
      </c>
      <c r="G4775" s="2" t="str">
        <f t="shared" si="299"/>
        <v>Week 21-2026</v>
      </c>
      <c r="O4775"/>
      <c r="Q4775"/>
    </row>
    <row r="4776" spans="1:17" hidden="1" x14ac:dyDescent="0.2">
      <c r="A4776" s="3">
        <v>46161</v>
      </c>
      <c r="B4776" s="2" t="s">
        <v>10</v>
      </c>
      <c r="C4776" s="2">
        <v>2</v>
      </c>
      <c r="D4776" s="2">
        <f t="shared" si="296"/>
        <v>2026</v>
      </c>
      <c r="E4776" s="2" t="str">
        <f t="shared" si="297"/>
        <v>2026-21</v>
      </c>
      <c r="F4776" s="2" t="str">
        <f t="shared" si="298"/>
        <v>Week 21</v>
      </c>
      <c r="G4776" s="2" t="str">
        <f t="shared" si="299"/>
        <v>Week 21-2026</v>
      </c>
      <c r="O4776"/>
      <c r="Q4776"/>
    </row>
    <row r="4777" spans="1:17" hidden="1" x14ac:dyDescent="0.2">
      <c r="A4777" s="3">
        <v>46164</v>
      </c>
      <c r="B4777" s="2" t="s">
        <v>7</v>
      </c>
      <c r="C4777" s="2">
        <v>18</v>
      </c>
      <c r="D4777" s="2">
        <f t="shared" si="296"/>
        <v>2026</v>
      </c>
      <c r="E4777" s="2" t="str">
        <f t="shared" si="297"/>
        <v>2026-21</v>
      </c>
      <c r="F4777" s="2" t="str">
        <f t="shared" si="298"/>
        <v>Week 21</v>
      </c>
      <c r="G4777" s="2" t="str">
        <f t="shared" si="299"/>
        <v>Week 21-2026</v>
      </c>
      <c r="O4777"/>
      <c r="Q4777"/>
    </row>
    <row r="4778" spans="1:17" hidden="1" x14ac:dyDescent="0.2">
      <c r="A4778" s="3">
        <v>46164</v>
      </c>
      <c r="B4778" s="2" t="s">
        <v>3</v>
      </c>
      <c r="C4778" s="2">
        <v>14</v>
      </c>
      <c r="D4778" s="2">
        <f t="shared" si="296"/>
        <v>2026</v>
      </c>
      <c r="E4778" s="2" t="str">
        <f t="shared" si="297"/>
        <v>2026-21</v>
      </c>
      <c r="F4778" s="2" t="str">
        <f t="shared" si="298"/>
        <v>Week 21</v>
      </c>
      <c r="G4778" s="2" t="str">
        <f t="shared" si="299"/>
        <v>Week 21-2026</v>
      </c>
      <c r="O4778"/>
      <c r="Q4778"/>
    </row>
    <row r="4779" spans="1:17" hidden="1" x14ac:dyDescent="0.2">
      <c r="A4779" s="3">
        <v>46164</v>
      </c>
      <c r="B4779" s="2" t="s">
        <v>8</v>
      </c>
      <c r="C4779" s="2">
        <v>10</v>
      </c>
      <c r="D4779" s="2">
        <f t="shared" si="296"/>
        <v>2026</v>
      </c>
      <c r="E4779" s="2" t="str">
        <f t="shared" si="297"/>
        <v>2026-21</v>
      </c>
      <c r="F4779" s="2" t="str">
        <f t="shared" si="298"/>
        <v>Week 21</v>
      </c>
      <c r="G4779" s="2" t="str">
        <f t="shared" si="299"/>
        <v>Week 21-2026</v>
      </c>
      <c r="O4779"/>
      <c r="Q4779"/>
    </row>
    <row r="4780" spans="1:17" hidden="1" x14ac:dyDescent="0.2">
      <c r="A4780" s="3">
        <v>46164</v>
      </c>
      <c r="B4780" s="2" t="s">
        <v>14</v>
      </c>
      <c r="C4780" s="2">
        <v>4</v>
      </c>
      <c r="D4780" s="2">
        <f t="shared" si="296"/>
        <v>2026</v>
      </c>
      <c r="E4780" s="2" t="str">
        <f t="shared" si="297"/>
        <v>2026-21</v>
      </c>
      <c r="F4780" s="2" t="str">
        <f t="shared" si="298"/>
        <v>Week 21</v>
      </c>
      <c r="G4780" s="2" t="str">
        <f t="shared" si="299"/>
        <v>Week 21-2026</v>
      </c>
      <c r="O4780"/>
      <c r="Q4780"/>
    </row>
    <row r="4781" spans="1:17" hidden="1" x14ac:dyDescent="0.2">
      <c r="A4781" s="3">
        <v>46164</v>
      </c>
      <c r="B4781" s="2" t="s">
        <v>36</v>
      </c>
      <c r="C4781" s="2">
        <v>4</v>
      </c>
      <c r="D4781" s="2">
        <f t="shared" si="296"/>
        <v>2026</v>
      </c>
      <c r="E4781" s="2" t="str">
        <f t="shared" si="297"/>
        <v>2026-21</v>
      </c>
      <c r="F4781" s="2" t="str">
        <f t="shared" si="298"/>
        <v>Week 21</v>
      </c>
      <c r="G4781" s="2" t="str">
        <f t="shared" si="299"/>
        <v>Week 21-2026</v>
      </c>
      <c r="O4781"/>
      <c r="Q4781"/>
    </row>
    <row r="4782" spans="1:17" hidden="1" x14ac:dyDescent="0.2">
      <c r="A4782" s="3">
        <v>46164</v>
      </c>
      <c r="B4782" s="2" t="s">
        <v>14</v>
      </c>
      <c r="C4782" s="2">
        <v>2</v>
      </c>
      <c r="D4782" s="2">
        <f t="shared" si="296"/>
        <v>2026</v>
      </c>
      <c r="E4782" s="2" t="str">
        <f t="shared" si="297"/>
        <v>2026-21</v>
      </c>
      <c r="F4782" s="2" t="str">
        <f t="shared" si="298"/>
        <v>Week 21</v>
      </c>
      <c r="G4782" s="2" t="str">
        <f t="shared" si="299"/>
        <v>Week 21-2026</v>
      </c>
      <c r="O4782"/>
      <c r="Q4782"/>
    </row>
    <row r="4783" spans="1:17" hidden="1" x14ac:dyDescent="0.2">
      <c r="A4783" s="3">
        <v>46164</v>
      </c>
      <c r="B4783" s="2" t="s">
        <v>8</v>
      </c>
      <c r="C4783" s="2">
        <v>1</v>
      </c>
      <c r="D4783" s="2">
        <f t="shared" si="296"/>
        <v>2026</v>
      </c>
      <c r="E4783" s="2" t="str">
        <f t="shared" si="297"/>
        <v>2026-21</v>
      </c>
      <c r="F4783" s="2" t="str">
        <f t="shared" si="298"/>
        <v>Week 21</v>
      </c>
      <c r="G4783" s="2" t="str">
        <f t="shared" si="299"/>
        <v>Week 21-2026</v>
      </c>
      <c r="O4783"/>
      <c r="Q4783"/>
    </row>
    <row r="4784" spans="1:17" hidden="1" x14ac:dyDescent="0.2">
      <c r="A4784" s="3">
        <v>46167</v>
      </c>
      <c r="B4784" s="2" t="s">
        <v>14</v>
      </c>
      <c r="C4784" s="2">
        <v>8</v>
      </c>
      <c r="D4784" s="2">
        <f t="shared" si="296"/>
        <v>2026</v>
      </c>
      <c r="E4784" s="2" t="str">
        <f t="shared" si="297"/>
        <v>2026-22</v>
      </c>
      <c r="F4784" s="2" t="str">
        <f t="shared" si="298"/>
        <v>Week 22</v>
      </c>
      <c r="G4784" s="2" t="str">
        <f t="shared" si="299"/>
        <v>Week 22-2026</v>
      </c>
      <c r="O4784"/>
      <c r="Q4784"/>
    </row>
    <row r="4785" spans="1:17" hidden="1" x14ac:dyDescent="0.2">
      <c r="A4785" s="3">
        <v>46167</v>
      </c>
      <c r="B4785" s="2" t="s">
        <v>10</v>
      </c>
      <c r="C4785" s="2">
        <v>4</v>
      </c>
      <c r="D4785" s="2">
        <f t="shared" si="296"/>
        <v>2026</v>
      </c>
      <c r="E4785" s="2" t="str">
        <f t="shared" si="297"/>
        <v>2026-22</v>
      </c>
      <c r="F4785" s="2" t="str">
        <f t="shared" si="298"/>
        <v>Week 22</v>
      </c>
      <c r="G4785" s="2" t="str">
        <f t="shared" si="299"/>
        <v>Week 22-2026</v>
      </c>
      <c r="O4785"/>
      <c r="Q4785"/>
    </row>
    <row r="4786" spans="1:17" hidden="1" x14ac:dyDescent="0.2">
      <c r="A4786" s="3">
        <v>46168</v>
      </c>
      <c r="B4786" s="2" t="s">
        <v>3</v>
      </c>
      <c r="C4786" s="2">
        <v>49</v>
      </c>
      <c r="D4786" s="2">
        <f t="shared" si="296"/>
        <v>2026</v>
      </c>
      <c r="E4786" s="2" t="str">
        <f t="shared" si="297"/>
        <v>2026-22</v>
      </c>
      <c r="F4786" s="2" t="str">
        <f t="shared" si="298"/>
        <v>Week 22</v>
      </c>
      <c r="G4786" s="2" t="str">
        <f t="shared" si="299"/>
        <v>Week 22-2026</v>
      </c>
      <c r="O4786"/>
      <c r="Q4786"/>
    </row>
    <row r="4787" spans="1:17" hidden="1" x14ac:dyDescent="0.2">
      <c r="A4787" s="3">
        <v>46168</v>
      </c>
      <c r="B4787" s="2" t="s">
        <v>7</v>
      </c>
      <c r="C4787" s="2">
        <v>30</v>
      </c>
      <c r="D4787" s="2">
        <f t="shared" si="296"/>
        <v>2026</v>
      </c>
      <c r="E4787" s="2" t="str">
        <f t="shared" si="297"/>
        <v>2026-22</v>
      </c>
      <c r="F4787" s="2" t="str">
        <f t="shared" si="298"/>
        <v>Week 22</v>
      </c>
      <c r="G4787" s="2" t="str">
        <f t="shared" si="299"/>
        <v>Week 22-2026</v>
      </c>
      <c r="O4787"/>
      <c r="Q4787"/>
    </row>
    <row r="4788" spans="1:17" hidden="1" x14ac:dyDescent="0.2">
      <c r="A4788" s="3">
        <v>46168</v>
      </c>
      <c r="B4788" s="2" t="s">
        <v>13</v>
      </c>
      <c r="C4788" s="2">
        <v>36</v>
      </c>
      <c r="D4788" s="2">
        <f t="shared" si="296"/>
        <v>2026</v>
      </c>
      <c r="E4788" s="2" t="str">
        <f t="shared" si="297"/>
        <v>2026-22</v>
      </c>
      <c r="F4788" s="2" t="str">
        <f t="shared" si="298"/>
        <v>Week 22</v>
      </c>
      <c r="G4788" s="2" t="str">
        <f t="shared" si="299"/>
        <v>Week 22-2026</v>
      </c>
      <c r="O4788"/>
      <c r="Q4788"/>
    </row>
    <row r="4789" spans="1:17" hidden="1" x14ac:dyDescent="0.2">
      <c r="A4789" s="3">
        <v>46168</v>
      </c>
      <c r="B4789" s="2" t="s">
        <v>14</v>
      </c>
      <c r="C4789" s="2">
        <v>30</v>
      </c>
      <c r="D4789" s="2">
        <f t="shared" si="296"/>
        <v>2026</v>
      </c>
      <c r="E4789" s="2" t="str">
        <f t="shared" si="297"/>
        <v>2026-22</v>
      </c>
      <c r="F4789" s="2" t="str">
        <f t="shared" si="298"/>
        <v>Week 22</v>
      </c>
      <c r="G4789" s="2" t="str">
        <f t="shared" si="299"/>
        <v>Week 22-2026</v>
      </c>
      <c r="O4789"/>
      <c r="Q4789"/>
    </row>
    <row r="4790" spans="1:17" hidden="1" x14ac:dyDescent="0.2">
      <c r="A4790" s="3">
        <v>46168</v>
      </c>
      <c r="B4790" s="2" t="s">
        <v>34</v>
      </c>
      <c r="C4790" s="2">
        <v>24</v>
      </c>
      <c r="D4790" s="2">
        <f t="shared" si="296"/>
        <v>2026</v>
      </c>
      <c r="E4790" s="2" t="str">
        <f t="shared" si="297"/>
        <v>2026-22</v>
      </c>
      <c r="F4790" s="2" t="str">
        <f t="shared" si="298"/>
        <v>Week 22</v>
      </c>
      <c r="G4790" s="2" t="str">
        <f t="shared" si="299"/>
        <v>Week 22-2026</v>
      </c>
      <c r="O4790"/>
      <c r="Q4790"/>
    </row>
    <row r="4791" spans="1:17" hidden="1" x14ac:dyDescent="0.2">
      <c r="A4791" s="3">
        <v>46168</v>
      </c>
      <c r="B4791" s="2" t="s">
        <v>4</v>
      </c>
      <c r="C4791" s="2">
        <v>12</v>
      </c>
      <c r="D4791" s="2">
        <f t="shared" si="296"/>
        <v>2026</v>
      </c>
      <c r="E4791" s="2" t="str">
        <f t="shared" si="297"/>
        <v>2026-22</v>
      </c>
      <c r="F4791" s="2" t="str">
        <f t="shared" si="298"/>
        <v>Week 22</v>
      </c>
      <c r="G4791" s="2" t="str">
        <f t="shared" si="299"/>
        <v>Week 22-2026</v>
      </c>
      <c r="O4791"/>
      <c r="Q4791"/>
    </row>
    <row r="4792" spans="1:17" hidden="1" x14ac:dyDescent="0.2">
      <c r="A4792" s="3">
        <v>46168</v>
      </c>
      <c r="B4792" s="2" t="s">
        <v>4</v>
      </c>
      <c r="C4792" s="2">
        <v>12</v>
      </c>
      <c r="D4792" s="2">
        <f t="shared" si="296"/>
        <v>2026</v>
      </c>
      <c r="E4792" s="2" t="str">
        <f t="shared" si="297"/>
        <v>2026-22</v>
      </c>
      <c r="F4792" s="2" t="str">
        <f t="shared" si="298"/>
        <v>Week 22</v>
      </c>
      <c r="G4792" s="2" t="str">
        <f t="shared" si="299"/>
        <v>Week 22-2026</v>
      </c>
      <c r="O4792"/>
      <c r="Q4792"/>
    </row>
    <row r="4793" spans="1:17" hidden="1" x14ac:dyDescent="0.2">
      <c r="A4793" s="3">
        <v>46168</v>
      </c>
      <c r="B4793" s="2" t="s">
        <v>3</v>
      </c>
      <c r="C4793" s="2">
        <v>14</v>
      </c>
      <c r="D4793" s="2">
        <f t="shared" si="296"/>
        <v>2026</v>
      </c>
      <c r="E4793" s="2" t="str">
        <f t="shared" si="297"/>
        <v>2026-22</v>
      </c>
      <c r="F4793" s="2" t="str">
        <f t="shared" si="298"/>
        <v>Week 22</v>
      </c>
      <c r="G4793" s="2" t="str">
        <f t="shared" si="299"/>
        <v>Week 22-2026</v>
      </c>
      <c r="O4793"/>
      <c r="Q4793"/>
    </row>
    <row r="4794" spans="1:17" hidden="1" x14ac:dyDescent="0.2">
      <c r="A4794" s="3">
        <v>46168</v>
      </c>
      <c r="B4794" s="2" t="s">
        <v>18</v>
      </c>
      <c r="C4794" s="2">
        <v>7</v>
      </c>
      <c r="D4794" s="2">
        <f t="shared" si="296"/>
        <v>2026</v>
      </c>
      <c r="E4794" s="2" t="str">
        <f t="shared" si="297"/>
        <v>2026-22</v>
      </c>
      <c r="F4794" s="2" t="str">
        <f t="shared" si="298"/>
        <v>Week 22</v>
      </c>
      <c r="G4794" s="2" t="str">
        <f t="shared" si="299"/>
        <v>Week 22-2026</v>
      </c>
      <c r="O4794"/>
      <c r="Q4794"/>
    </row>
    <row r="4795" spans="1:17" hidden="1" x14ac:dyDescent="0.2">
      <c r="A4795" s="3">
        <v>46168</v>
      </c>
      <c r="B4795" s="2" t="s">
        <v>17</v>
      </c>
      <c r="C4795" s="2">
        <v>12</v>
      </c>
      <c r="D4795" s="2">
        <f t="shared" si="296"/>
        <v>2026</v>
      </c>
      <c r="E4795" s="2" t="str">
        <f t="shared" si="297"/>
        <v>2026-22</v>
      </c>
      <c r="F4795" s="2" t="str">
        <f t="shared" si="298"/>
        <v>Week 22</v>
      </c>
      <c r="G4795" s="2" t="str">
        <f t="shared" si="299"/>
        <v>Week 22-2026</v>
      </c>
      <c r="O4795"/>
      <c r="Q4795"/>
    </row>
    <row r="4796" spans="1:17" hidden="1" x14ac:dyDescent="0.2">
      <c r="A4796" s="3">
        <v>46168</v>
      </c>
      <c r="B4796" s="2" t="s">
        <v>19</v>
      </c>
      <c r="C4796" s="2">
        <v>6</v>
      </c>
      <c r="D4796" s="2">
        <f t="shared" si="296"/>
        <v>2026</v>
      </c>
      <c r="E4796" s="2" t="str">
        <f t="shared" si="297"/>
        <v>2026-22</v>
      </c>
      <c r="F4796" s="2" t="str">
        <f t="shared" si="298"/>
        <v>Week 22</v>
      </c>
      <c r="G4796" s="2" t="str">
        <f t="shared" si="299"/>
        <v>Week 22-2026</v>
      </c>
      <c r="O4796"/>
      <c r="Q4796"/>
    </row>
    <row r="4797" spans="1:17" hidden="1" x14ac:dyDescent="0.2">
      <c r="A4797" s="3">
        <v>46168</v>
      </c>
      <c r="B4797" s="2" t="s">
        <v>6</v>
      </c>
      <c r="C4797" s="2">
        <v>5</v>
      </c>
      <c r="D4797" s="2">
        <f t="shared" si="296"/>
        <v>2026</v>
      </c>
      <c r="E4797" s="2" t="str">
        <f t="shared" si="297"/>
        <v>2026-22</v>
      </c>
      <c r="F4797" s="2" t="str">
        <f t="shared" si="298"/>
        <v>Week 22</v>
      </c>
      <c r="G4797" s="2" t="str">
        <f t="shared" si="299"/>
        <v>Week 22-2026</v>
      </c>
      <c r="O4797"/>
      <c r="Q4797"/>
    </row>
    <row r="4798" spans="1:17" hidden="1" x14ac:dyDescent="0.2">
      <c r="A4798" s="3">
        <v>46168</v>
      </c>
      <c r="B4798" s="2" t="s">
        <v>3</v>
      </c>
      <c r="C4798" s="2">
        <v>7</v>
      </c>
      <c r="D4798" s="2">
        <f t="shared" si="296"/>
        <v>2026</v>
      </c>
      <c r="E4798" s="2" t="str">
        <f t="shared" si="297"/>
        <v>2026-22</v>
      </c>
      <c r="F4798" s="2" t="str">
        <f t="shared" si="298"/>
        <v>Week 22</v>
      </c>
      <c r="G4798" s="2" t="str">
        <f t="shared" si="299"/>
        <v>Week 22-2026</v>
      </c>
      <c r="O4798"/>
      <c r="Q4798"/>
    </row>
    <row r="4799" spans="1:17" hidden="1" x14ac:dyDescent="0.2">
      <c r="A4799" s="3">
        <v>46168</v>
      </c>
      <c r="B4799" s="2" t="s">
        <v>3</v>
      </c>
      <c r="C4799" s="2">
        <v>8</v>
      </c>
      <c r="D4799" s="2">
        <f t="shared" si="296"/>
        <v>2026</v>
      </c>
      <c r="E4799" s="2" t="str">
        <f t="shared" si="297"/>
        <v>2026-22</v>
      </c>
      <c r="F4799" s="2" t="str">
        <f t="shared" si="298"/>
        <v>Week 22</v>
      </c>
      <c r="G4799" s="2" t="str">
        <f t="shared" si="299"/>
        <v>Week 22-2026</v>
      </c>
      <c r="O4799"/>
      <c r="Q4799"/>
    </row>
    <row r="4800" spans="1:17" hidden="1" x14ac:dyDescent="0.2">
      <c r="A4800" s="3">
        <v>46168</v>
      </c>
      <c r="B4800" s="2" t="s">
        <v>28</v>
      </c>
      <c r="C4800" s="2">
        <v>10</v>
      </c>
      <c r="D4800" s="2">
        <f t="shared" si="296"/>
        <v>2026</v>
      </c>
      <c r="E4800" s="2" t="str">
        <f t="shared" si="297"/>
        <v>2026-22</v>
      </c>
      <c r="F4800" s="2" t="str">
        <f t="shared" si="298"/>
        <v>Week 22</v>
      </c>
      <c r="G4800" s="2" t="str">
        <f t="shared" si="299"/>
        <v>Week 22-2026</v>
      </c>
      <c r="O4800"/>
      <c r="Q4800"/>
    </row>
    <row r="4801" spans="1:17" hidden="1" x14ac:dyDescent="0.2">
      <c r="A4801" s="3">
        <v>46168</v>
      </c>
      <c r="B4801" s="2" t="s">
        <v>14</v>
      </c>
      <c r="C4801" s="2">
        <v>6</v>
      </c>
      <c r="D4801" s="2">
        <f t="shared" si="296"/>
        <v>2026</v>
      </c>
      <c r="E4801" s="2" t="str">
        <f t="shared" si="297"/>
        <v>2026-22</v>
      </c>
      <c r="F4801" s="2" t="str">
        <f t="shared" si="298"/>
        <v>Week 22</v>
      </c>
      <c r="G4801" s="2" t="str">
        <f t="shared" si="299"/>
        <v>Week 22-2026</v>
      </c>
      <c r="O4801"/>
      <c r="Q4801"/>
    </row>
    <row r="4802" spans="1:17" hidden="1" x14ac:dyDescent="0.2">
      <c r="A4802" s="3">
        <v>46168</v>
      </c>
      <c r="B4802" s="2" t="s">
        <v>6</v>
      </c>
      <c r="C4802" s="2">
        <v>2</v>
      </c>
      <c r="D4802" s="2">
        <f t="shared" ref="D4802:D4818" si="300">YEAR(A4802)</f>
        <v>2026</v>
      </c>
      <c r="E4802" s="2" t="str">
        <f t="shared" ref="E4802:E4818" si="301">YEAR(A4802)&amp;"-"&amp;_xlfn.ISOWEEKNUM(A4802)</f>
        <v>2026-22</v>
      </c>
      <c r="F4802" s="2" t="str">
        <f t="shared" ref="F4802:F4818" si="302">_xlfn.CONCAT("Week "&amp;WEEKNUM(A4802))</f>
        <v>Week 22</v>
      </c>
      <c r="G4802" s="2" t="str">
        <f t="shared" ref="G4802:G4818" si="303">_xlfn.CONCAT(F4802,"-",D4802)</f>
        <v>Week 22-2026</v>
      </c>
      <c r="O4802"/>
      <c r="Q4802"/>
    </row>
    <row r="4803" spans="1:17" hidden="1" x14ac:dyDescent="0.2">
      <c r="A4803" s="3">
        <v>46168</v>
      </c>
      <c r="B4803" s="2" t="s">
        <v>3</v>
      </c>
      <c r="C4803" s="2">
        <v>1</v>
      </c>
      <c r="D4803" s="2">
        <f t="shared" si="300"/>
        <v>2026</v>
      </c>
      <c r="E4803" s="2" t="str">
        <f t="shared" si="301"/>
        <v>2026-22</v>
      </c>
      <c r="F4803" s="2" t="str">
        <f t="shared" si="302"/>
        <v>Week 22</v>
      </c>
      <c r="G4803" s="2" t="str">
        <f t="shared" si="303"/>
        <v>Week 22-2026</v>
      </c>
      <c r="O4803"/>
      <c r="Q4803"/>
    </row>
    <row r="4804" spans="1:17" hidden="1" x14ac:dyDescent="0.2">
      <c r="A4804" s="3">
        <v>46168</v>
      </c>
      <c r="B4804" s="2" t="s">
        <v>29</v>
      </c>
      <c r="C4804" s="2">
        <v>1</v>
      </c>
      <c r="D4804" s="2">
        <f t="shared" si="300"/>
        <v>2026</v>
      </c>
      <c r="E4804" s="2" t="str">
        <f t="shared" si="301"/>
        <v>2026-22</v>
      </c>
      <c r="F4804" s="2" t="str">
        <f t="shared" si="302"/>
        <v>Week 22</v>
      </c>
      <c r="G4804" s="2" t="str">
        <f t="shared" si="303"/>
        <v>Week 22-2026</v>
      </c>
      <c r="O4804"/>
      <c r="Q4804"/>
    </row>
    <row r="4805" spans="1:17" hidden="1" x14ac:dyDescent="0.2">
      <c r="A4805" s="3">
        <v>46169</v>
      </c>
      <c r="B4805" s="2" t="s">
        <v>28</v>
      </c>
      <c r="C4805" s="2">
        <v>4</v>
      </c>
      <c r="D4805" s="2">
        <f t="shared" si="300"/>
        <v>2026</v>
      </c>
      <c r="E4805" s="2" t="str">
        <f t="shared" si="301"/>
        <v>2026-22</v>
      </c>
      <c r="F4805" s="2" t="str">
        <f t="shared" si="302"/>
        <v>Week 22</v>
      </c>
      <c r="G4805" s="2" t="str">
        <f t="shared" si="303"/>
        <v>Week 22-2026</v>
      </c>
      <c r="O4805"/>
      <c r="Q4805"/>
    </row>
    <row r="4806" spans="1:17" hidden="1" x14ac:dyDescent="0.2">
      <c r="A4806" s="3">
        <v>46169</v>
      </c>
      <c r="B4806" s="2" t="s">
        <v>35</v>
      </c>
      <c r="C4806" s="2">
        <v>1</v>
      </c>
      <c r="D4806" s="2">
        <f t="shared" si="300"/>
        <v>2026</v>
      </c>
      <c r="E4806" s="2" t="str">
        <f t="shared" si="301"/>
        <v>2026-22</v>
      </c>
      <c r="F4806" s="2" t="str">
        <f t="shared" si="302"/>
        <v>Week 22</v>
      </c>
      <c r="G4806" s="2" t="str">
        <f t="shared" si="303"/>
        <v>Week 22-2026</v>
      </c>
      <c r="O4806"/>
      <c r="Q4806"/>
    </row>
    <row r="4807" spans="1:17" hidden="1" x14ac:dyDescent="0.2">
      <c r="A4807" s="3">
        <v>46170</v>
      </c>
      <c r="B4807" s="2" t="s">
        <v>12</v>
      </c>
      <c r="C4807" s="2">
        <v>12</v>
      </c>
      <c r="D4807" s="2">
        <f t="shared" si="300"/>
        <v>2026</v>
      </c>
      <c r="E4807" s="2" t="str">
        <f t="shared" si="301"/>
        <v>2026-22</v>
      </c>
      <c r="F4807" s="2" t="str">
        <f t="shared" si="302"/>
        <v>Week 22</v>
      </c>
      <c r="G4807" s="2" t="str">
        <f t="shared" si="303"/>
        <v>Week 22-2026</v>
      </c>
      <c r="O4807"/>
      <c r="Q4807"/>
    </row>
    <row r="4808" spans="1:17" hidden="1" x14ac:dyDescent="0.2">
      <c r="A4808" s="3">
        <v>46170</v>
      </c>
      <c r="B4808" s="2" t="s">
        <v>7</v>
      </c>
      <c r="C4808" s="2">
        <v>12</v>
      </c>
      <c r="D4808" s="2">
        <f t="shared" si="300"/>
        <v>2026</v>
      </c>
      <c r="E4808" s="2" t="str">
        <f t="shared" si="301"/>
        <v>2026-22</v>
      </c>
      <c r="F4808" s="2" t="str">
        <f t="shared" si="302"/>
        <v>Week 22</v>
      </c>
      <c r="G4808" s="2" t="str">
        <f t="shared" si="303"/>
        <v>Week 22-2026</v>
      </c>
      <c r="O4808"/>
      <c r="Q4808"/>
    </row>
    <row r="4809" spans="1:17" hidden="1" x14ac:dyDescent="0.2">
      <c r="A4809" s="3">
        <v>46170</v>
      </c>
      <c r="B4809" s="2" t="s">
        <v>17</v>
      </c>
      <c r="C4809" s="2">
        <v>5</v>
      </c>
      <c r="D4809" s="2">
        <f t="shared" si="300"/>
        <v>2026</v>
      </c>
      <c r="E4809" s="2" t="str">
        <f t="shared" si="301"/>
        <v>2026-22</v>
      </c>
      <c r="F4809" s="2" t="str">
        <f t="shared" si="302"/>
        <v>Week 22</v>
      </c>
      <c r="G4809" s="2" t="str">
        <f t="shared" si="303"/>
        <v>Week 22-2026</v>
      </c>
      <c r="O4809"/>
    </row>
    <row r="4810" spans="1:17" hidden="1" x14ac:dyDescent="0.2">
      <c r="A4810" s="3">
        <v>46170</v>
      </c>
      <c r="B4810" s="2" t="s">
        <v>17</v>
      </c>
      <c r="C4810" s="2">
        <v>4</v>
      </c>
      <c r="D4810" s="2">
        <f t="shared" si="300"/>
        <v>2026</v>
      </c>
      <c r="E4810" s="2" t="str">
        <f t="shared" si="301"/>
        <v>2026-22</v>
      </c>
      <c r="F4810" s="2" t="str">
        <f t="shared" si="302"/>
        <v>Week 22</v>
      </c>
      <c r="G4810" s="2" t="str">
        <f t="shared" si="303"/>
        <v>Week 22-2026</v>
      </c>
      <c r="O4810"/>
    </row>
    <row r="4811" spans="1:17" hidden="1" x14ac:dyDescent="0.2">
      <c r="A4811" s="3">
        <v>46170</v>
      </c>
      <c r="B4811" s="2" t="s">
        <v>12</v>
      </c>
      <c r="C4811" s="2">
        <v>1</v>
      </c>
      <c r="D4811" s="2">
        <f t="shared" si="300"/>
        <v>2026</v>
      </c>
      <c r="E4811" s="2" t="str">
        <f t="shared" si="301"/>
        <v>2026-22</v>
      </c>
      <c r="F4811" s="2" t="str">
        <f t="shared" si="302"/>
        <v>Week 22</v>
      </c>
      <c r="G4811" s="2" t="str">
        <f t="shared" si="303"/>
        <v>Week 22-2026</v>
      </c>
      <c r="O4811"/>
    </row>
    <row r="4812" spans="1:17" hidden="1" x14ac:dyDescent="0.2">
      <c r="A4812" s="3">
        <v>46171</v>
      </c>
      <c r="B4812" s="2" t="s">
        <v>4</v>
      </c>
      <c r="C4812" s="2">
        <v>11</v>
      </c>
      <c r="D4812" s="2">
        <f t="shared" si="300"/>
        <v>2026</v>
      </c>
      <c r="E4812" s="2" t="str">
        <f t="shared" si="301"/>
        <v>2026-22</v>
      </c>
      <c r="F4812" s="2" t="str">
        <f t="shared" si="302"/>
        <v>Week 22</v>
      </c>
      <c r="G4812" s="2" t="str">
        <f t="shared" si="303"/>
        <v>Week 22-2026</v>
      </c>
      <c r="O4812"/>
    </row>
    <row r="4813" spans="1:17" hidden="1" x14ac:dyDescent="0.2">
      <c r="A4813" s="3">
        <v>46171</v>
      </c>
      <c r="B4813" s="2" t="s">
        <v>7</v>
      </c>
      <c r="C4813" s="2">
        <v>8</v>
      </c>
      <c r="D4813" s="2">
        <f t="shared" si="300"/>
        <v>2026</v>
      </c>
      <c r="E4813" s="2" t="str">
        <f t="shared" si="301"/>
        <v>2026-22</v>
      </c>
      <c r="F4813" s="2" t="str">
        <f t="shared" si="302"/>
        <v>Week 22</v>
      </c>
      <c r="G4813" s="2" t="str">
        <f t="shared" si="303"/>
        <v>Week 22-2026</v>
      </c>
      <c r="O4813"/>
    </row>
    <row r="4814" spans="1:17" hidden="1" x14ac:dyDescent="0.2">
      <c r="A4814" s="3">
        <v>46171</v>
      </c>
      <c r="B4814" s="2" t="s">
        <v>7</v>
      </c>
      <c r="C4814" s="2">
        <v>3</v>
      </c>
      <c r="D4814" s="2">
        <f t="shared" si="300"/>
        <v>2026</v>
      </c>
      <c r="E4814" s="2" t="str">
        <f t="shared" si="301"/>
        <v>2026-22</v>
      </c>
      <c r="F4814" s="2" t="str">
        <f t="shared" si="302"/>
        <v>Week 22</v>
      </c>
      <c r="G4814" s="2" t="str">
        <f t="shared" si="303"/>
        <v>Week 22-2026</v>
      </c>
      <c r="O4814"/>
    </row>
    <row r="4815" spans="1:17" hidden="1" x14ac:dyDescent="0.2">
      <c r="A4815" s="3">
        <v>46171</v>
      </c>
      <c r="B4815" s="2" t="s">
        <v>7</v>
      </c>
      <c r="C4815" s="2">
        <v>3</v>
      </c>
      <c r="D4815" s="2">
        <f t="shared" si="300"/>
        <v>2026</v>
      </c>
      <c r="E4815" s="2" t="str">
        <f t="shared" si="301"/>
        <v>2026-22</v>
      </c>
      <c r="F4815" s="2" t="str">
        <f t="shared" si="302"/>
        <v>Week 22</v>
      </c>
      <c r="G4815" s="2" t="str">
        <f t="shared" si="303"/>
        <v>Week 22-2026</v>
      </c>
      <c r="O4815"/>
    </row>
    <row r="4816" spans="1:17" hidden="1" x14ac:dyDescent="0.2">
      <c r="A4816" s="3">
        <v>46171</v>
      </c>
      <c r="B4816" s="2" t="s">
        <v>7</v>
      </c>
      <c r="C4816" s="2">
        <v>3</v>
      </c>
      <c r="D4816" s="2">
        <f t="shared" si="300"/>
        <v>2026</v>
      </c>
      <c r="E4816" s="2" t="str">
        <f t="shared" si="301"/>
        <v>2026-22</v>
      </c>
      <c r="F4816" s="2" t="str">
        <f t="shared" si="302"/>
        <v>Week 22</v>
      </c>
      <c r="G4816" s="2" t="str">
        <f t="shared" si="303"/>
        <v>Week 22-2026</v>
      </c>
      <c r="O4816"/>
    </row>
    <row r="4817" spans="1:15" hidden="1" x14ac:dyDescent="0.2">
      <c r="A4817" s="3">
        <v>46171</v>
      </c>
      <c r="B4817" s="2" t="s">
        <v>17</v>
      </c>
      <c r="C4817" s="2">
        <v>2</v>
      </c>
      <c r="D4817" s="2">
        <f t="shared" si="300"/>
        <v>2026</v>
      </c>
      <c r="E4817" s="2" t="str">
        <f t="shared" si="301"/>
        <v>2026-22</v>
      </c>
      <c r="F4817" s="2" t="str">
        <f t="shared" si="302"/>
        <v>Week 22</v>
      </c>
      <c r="G4817" s="2" t="str">
        <f t="shared" si="303"/>
        <v>Week 22-2026</v>
      </c>
      <c r="O4817"/>
    </row>
    <row r="4818" spans="1:15" hidden="1" x14ac:dyDescent="0.2">
      <c r="A4818" s="3">
        <v>46172</v>
      </c>
      <c r="B4818" s="2" t="s">
        <v>4</v>
      </c>
      <c r="C4818" s="2">
        <v>11</v>
      </c>
      <c r="D4818" s="2">
        <f t="shared" si="300"/>
        <v>2026</v>
      </c>
      <c r="E4818" s="2" t="str">
        <f t="shared" si="301"/>
        <v>2026-22</v>
      </c>
      <c r="F4818" s="2" t="str">
        <f t="shared" si="302"/>
        <v>Week 22</v>
      </c>
      <c r="G4818" s="2" t="str">
        <f t="shared" si="303"/>
        <v>Week 22-2026</v>
      </c>
      <c r="O4818"/>
    </row>
    <row r="4819" spans="1:15" hidden="1" x14ac:dyDescent="0.2">
      <c r="A4819" s="3"/>
      <c r="B4819" s="2"/>
      <c r="C4819" s="2"/>
      <c r="D4819" s="2"/>
      <c r="E4819" s="2"/>
      <c r="F4819" s="2"/>
      <c r="G4819" s="2"/>
      <c r="O4819"/>
    </row>
    <row r="4820" spans="1:15" hidden="1" x14ac:dyDescent="0.2">
      <c r="A4820" s="3"/>
      <c r="B4820" s="2"/>
      <c r="C4820" s="2"/>
      <c r="D4820" s="2"/>
      <c r="E4820" s="2"/>
      <c r="F4820" s="2"/>
      <c r="G4820" s="2"/>
      <c r="O4820"/>
    </row>
    <row r="4821" spans="1:15" hidden="1" x14ac:dyDescent="0.2">
      <c r="A4821" s="3"/>
      <c r="B4821" s="2"/>
      <c r="C4821" s="2"/>
      <c r="D4821" s="2"/>
      <c r="E4821" s="2"/>
      <c r="F4821" s="2"/>
      <c r="G4821" s="2"/>
      <c r="O4821"/>
    </row>
    <row r="4822" spans="1:15" hidden="1" x14ac:dyDescent="0.2">
      <c r="A4822" s="3"/>
      <c r="B4822" s="2"/>
      <c r="C4822" s="2"/>
      <c r="D4822" s="2"/>
      <c r="E4822" s="2"/>
      <c r="F4822" s="2"/>
      <c r="G4822" s="2"/>
      <c r="O4822"/>
    </row>
    <row r="4823" spans="1:15" hidden="1" x14ac:dyDescent="0.2">
      <c r="A4823" s="3"/>
      <c r="B4823" s="2"/>
      <c r="C4823" s="2"/>
      <c r="D4823" s="2"/>
      <c r="E4823" s="2"/>
      <c r="F4823" s="2"/>
      <c r="G4823" s="2"/>
      <c r="O4823"/>
    </row>
    <row r="4824" spans="1:15" hidden="1" x14ac:dyDescent="0.2">
      <c r="A4824" s="3"/>
      <c r="B4824" s="2"/>
      <c r="C4824" s="2"/>
      <c r="D4824" s="2"/>
      <c r="E4824" s="2"/>
      <c r="F4824" s="2"/>
      <c r="G4824" s="2"/>
      <c r="O4824"/>
    </row>
    <row r="4825" spans="1:15" hidden="1" x14ac:dyDescent="0.2">
      <c r="A4825" s="3"/>
      <c r="B4825" s="2"/>
      <c r="C4825" s="2"/>
      <c r="D4825" s="2"/>
      <c r="E4825" s="2"/>
      <c r="F4825" s="2"/>
      <c r="G4825" s="2"/>
      <c r="O4825"/>
    </row>
    <row r="4826" spans="1:15" hidden="1" x14ac:dyDescent="0.2">
      <c r="A4826" s="3"/>
      <c r="B4826" s="2"/>
      <c r="C4826" s="2"/>
      <c r="D4826" s="2"/>
      <c r="E4826" s="2"/>
      <c r="F4826" s="2"/>
      <c r="G4826" s="2"/>
      <c r="O4826"/>
    </row>
    <row r="4827" spans="1:15" hidden="1" x14ac:dyDescent="0.2">
      <c r="A4827" s="3"/>
      <c r="B4827" s="2"/>
      <c r="C4827" s="2"/>
      <c r="D4827" s="2"/>
      <c r="E4827" s="2"/>
      <c r="F4827" s="2"/>
      <c r="G4827" s="2"/>
      <c r="O4827"/>
    </row>
    <row r="4828" spans="1:15" hidden="1" x14ac:dyDescent="0.2">
      <c r="A4828" s="3"/>
      <c r="B4828" s="2"/>
      <c r="C4828" s="2"/>
      <c r="D4828" s="2"/>
      <c r="E4828" s="2"/>
      <c r="F4828" s="2"/>
      <c r="G4828" s="2"/>
      <c r="O4828"/>
    </row>
    <row r="4829" spans="1:15" hidden="1" x14ac:dyDescent="0.2">
      <c r="A4829" s="3"/>
      <c r="B4829" s="2"/>
      <c r="C4829" s="2"/>
      <c r="D4829" s="2"/>
      <c r="E4829" s="2"/>
      <c r="F4829" s="2"/>
      <c r="G4829" s="2"/>
      <c r="O4829"/>
    </row>
    <row r="4830" spans="1:15" hidden="1" x14ac:dyDescent="0.2">
      <c r="A4830" s="3"/>
      <c r="B4830" s="2"/>
      <c r="C4830" s="2"/>
      <c r="D4830" s="2"/>
      <c r="E4830" s="2"/>
      <c r="F4830" s="2"/>
      <c r="G4830" s="2"/>
      <c r="O4830"/>
    </row>
    <row r="4831" spans="1:15" hidden="1" x14ac:dyDescent="0.2">
      <c r="A4831" s="3"/>
      <c r="B4831" s="2"/>
      <c r="C4831" s="2"/>
      <c r="D4831" s="2"/>
      <c r="E4831" s="2"/>
      <c r="F4831" s="2"/>
      <c r="G4831" s="2"/>
      <c r="O4831"/>
    </row>
    <row r="4832" spans="1:15" hidden="1" x14ac:dyDescent="0.2">
      <c r="A4832" s="3"/>
      <c r="B4832" s="2"/>
      <c r="C4832" s="2"/>
      <c r="D4832" s="2"/>
      <c r="E4832" s="2"/>
      <c r="F4832" s="2"/>
      <c r="G4832" s="2"/>
      <c r="O4832"/>
    </row>
    <row r="4833" spans="1:15" hidden="1" x14ac:dyDescent="0.2">
      <c r="A4833" s="3"/>
      <c r="B4833" s="2"/>
      <c r="C4833" s="2"/>
      <c r="D4833" s="2"/>
      <c r="E4833" s="2"/>
      <c r="F4833" s="2"/>
      <c r="G4833" s="2"/>
      <c r="O4833"/>
    </row>
    <row r="4834" spans="1:15" hidden="1" x14ac:dyDescent="0.2">
      <c r="A4834" s="3"/>
      <c r="B4834" s="2"/>
      <c r="C4834" s="2"/>
      <c r="D4834" s="2"/>
      <c r="E4834" s="2"/>
      <c r="F4834" s="2"/>
      <c r="G4834" s="2"/>
      <c r="O4834"/>
    </row>
    <row r="4835" spans="1:15" hidden="1" x14ac:dyDescent="0.2">
      <c r="A4835" s="3"/>
      <c r="B4835" s="2"/>
      <c r="C4835" s="2"/>
      <c r="D4835" s="2"/>
      <c r="E4835" s="2"/>
      <c r="F4835" s="2"/>
      <c r="G4835" s="2"/>
      <c r="O4835"/>
    </row>
    <row r="4836" spans="1:15" hidden="1" x14ac:dyDescent="0.2">
      <c r="A4836" s="3"/>
      <c r="B4836" s="2"/>
      <c r="C4836" s="2"/>
      <c r="D4836" s="2"/>
      <c r="E4836" s="2"/>
      <c r="F4836" s="2"/>
      <c r="G4836" s="2"/>
      <c r="O4836"/>
    </row>
    <row r="4837" spans="1:15" hidden="1" x14ac:dyDescent="0.2">
      <c r="A4837" s="3"/>
      <c r="B4837" s="2"/>
      <c r="C4837" s="2"/>
      <c r="D4837" s="2"/>
      <c r="E4837" s="2"/>
      <c r="F4837" s="2"/>
      <c r="G4837" s="2"/>
      <c r="O4837"/>
    </row>
    <row r="4838" spans="1:15" hidden="1" x14ac:dyDescent="0.2">
      <c r="A4838" s="3"/>
      <c r="B4838" s="2"/>
      <c r="C4838" s="2"/>
      <c r="D4838" s="2"/>
      <c r="E4838" s="2"/>
      <c r="F4838" s="2"/>
      <c r="G4838" s="2"/>
      <c r="O4838"/>
    </row>
    <row r="4839" spans="1:15" hidden="1" x14ac:dyDescent="0.2">
      <c r="A4839" s="3"/>
      <c r="B4839" s="2"/>
      <c r="C4839" s="2"/>
      <c r="D4839" s="2"/>
      <c r="E4839" s="2"/>
      <c r="F4839" s="2"/>
      <c r="G4839" s="2"/>
      <c r="O4839"/>
    </row>
    <row r="4840" spans="1:15" hidden="1" x14ac:dyDescent="0.2">
      <c r="A4840" s="3"/>
      <c r="B4840" s="2"/>
      <c r="C4840" s="2"/>
      <c r="D4840" s="2"/>
      <c r="E4840" s="2"/>
      <c r="F4840" s="2"/>
      <c r="G4840" s="2"/>
      <c r="O4840"/>
    </row>
    <row r="4841" spans="1:15" hidden="1" x14ac:dyDescent="0.2">
      <c r="A4841" s="3"/>
      <c r="B4841" s="2"/>
      <c r="C4841" s="2"/>
      <c r="D4841" s="2"/>
      <c r="E4841" s="2"/>
      <c r="F4841" s="2"/>
      <c r="G4841" s="2"/>
      <c r="O4841"/>
    </row>
    <row r="4842" spans="1:15" hidden="1" x14ac:dyDescent="0.2">
      <c r="A4842" s="3"/>
      <c r="B4842" s="2"/>
      <c r="C4842" s="2"/>
      <c r="D4842" s="2"/>
      <c r="E4842" s="2"/>
      <c r="F4842" s="2"/>
      <c r="G4842" s="2"/>
      <c r="O4842"/>
    </row>
    <row r="4843" spans="1:15" hidden="1" x14ac:dyDescent="0.2">
      <c r="A4843" s="3"/>
      <c r="B4843" s="2"/>
      <c r="C4843" s="2"/>
      <c r="D4843" s="2"/>
      <c r="E4843" s="2"/>
      <c r="F4843" s="2"/>
      <c r="G4843" s="2"/>
      <c r="O4843"/>
    </row>
    <row r="4844" spans="1:15" hidden="1" x14ac:dyDescent="0.2">
      <c r="A4844" s="3"/>
      <c r="B4844" s="2"/>
      <c r="C4844" s="2"/>
      <c r="D4844" s="2"/>
      <c r="E4844" s="2"/>
      <c r="F4844" s="2"/>
      <c r="G4844" s="2"/>
      <c r="O4844"/>
    </row>
    <row r="4845" spans="1:15" hidden="1" x14ac:dyDescent="0.2">
      <c r="A4845" s="3"/>
      <c r="B4845" s="2"/>
      <c r="C4845" s="2"/>
      <c r="D4845" s="2"/>
      <c r="E4845" s="2"/>
      <c r="F4845" s="2"/>
      <c r="G4845" s="2"/>
      <c r="O4845"/>
    </row>
    <row r="4846" spans="1:15" hidden="1" x14ac:dyDescent="0.2">
      <c r="A4846" s="3"/>
      <c r="B4846" s="2"/>
      <c r="C4846" s="2"/>
      <c r="D4846" s="2"/>
      <c r="E4846" s="2"/>
      <c r="F4846" s="2"/>
      <c r="G4846" s="2"/>
      <c r="O4846"/>
    </row>
    <row r="4847" spans="1:15" hidden="1" x14ac:dyDescent="0.2">
      <c r="A4847" s="3"/>
      <c r="B4847" s="2"/>
      <c r="C4847" s="2"/>
      <c r="D4847" s="2"/>
      <c r="E4847" s="2"/>
      <c r="F4847" s="2"/>
      <c r="G4847" s="2"/>
      <c r="O4847"/>
    </row>
    <row r="4848" spans="1:15" hidden="1" x14ac:dyDescent="0.2">
      <c r="A4848" s="3"/>
      <c r="B4848" s="2"/>
      <c r="C4848" s="2"/>
      <c r="D4848" s="2"/>
      <c r="E4848" s="2"/>
      <c r="F4848" s="2"/>
      <c r="G4848" s="2"/>
      <c r="O4848"/>
    </row>
    <row r="4849" spans="1:15" hidden="1" x14ac:dyDescent="0.2">
      <c r="A4849" s="3"/>
      <c r="B4849" s="2"/>
      <c r="C4849" s="2"/>
      <c r="D4849" s="2"/>
      <c r="E4849" s="2"/>
      <c r="F4849" s="2"/>
      <c r="G4849" s="2"/>
      <c r="O4849"/>
    </row>
    <row r="4850" spans="1:15" hidden="1" x14ac:dyDescent="0.2">
      <c r="A4850" s="3"/>
      <c r="B4850" s="2"/>
      <c r="C4850" s="2"/>
      <c r="D4850" s="2"/>
      <c r="E4850" s="2"/>
      <c r="F4850" s="2"/>
      <c r="G4850" s="2"/>
      <c r="O4850"/>
    </row>
    <row r="4851" spans="1:15" hidden="1" x14ac:dyDescent="0.2">
      <c r="A4851" s="3"/>
      <c r="B4851" s="2"/>
      <c r="C4851" s="2"/>
      <c r="D4851" s="2"/>
      <c r="E4851" s="2"/>
      <c r="F4851" s="2"/>
      <c r="G4851" s="2"/>
      <c r="O4851"/>
    </row>
    <row r="4852" spans="1:15" hidden="1" x14ac:dyDescent="0.2">
      <c r="A4852" s="3"/>
      <c r="B4852" s="2"/>
      <c r="C4852" s="2"/>
      <c r="D4852" s="2"/>
      <c r="E4852" s="2"/>
      <c r="F4852" s="2"/>
      <c r="G4852" s="2"/>
      <c r="O4852"/>
    </row>
    <row r="4853" spans="1:15" hidden="1" x14ac:dyDescent="0.2">
      <c r="A4853" s="3"/>
      <c r="B4853" s="2"/>
      <c r="C4853" s="2"/>
      <c r="D4853" s="2"/>
      <c r="E4853" s="2"/>
      <c r="F4853" s="2"/>
      <c r="G4853" s="2"/>
      <c r="O4853"/>
    </row>
    <row r="4854" spans="1:15" hidden="1" x14ac:dyDescent="0.2">
      <c r="A4854" s="3"/>
      <c r="B4854" s="2"/>
      <c r="C4854" s="2"/>
      <c r="D4854" s="2"/>
      <c r="E4854" s="2"/>
      <c r="F4854" s="2"/>
      <c r="G4854" s="2"/>
      <c r="O4854"/>
    </row>
    <row r="4855" spans="1:15" hidden="1" x14ac:dyDescent="0.2">
      <c r="A4855" s="3"/>
      <c r="B4855" s="2"/>
      <c r="C4855" s="2"/>
      <c r="D4855" s="2"/>
      <c r="E4855" s="2"/>
      <c r="F4855" s="2"/>
      <c r="G4855" s="2"/>
      <c r="O4855"/>
    </row>
    <row r="4856" spans="1:15" hidden="1" x14ac:dyDescent="0.2">
      <c r="A4856" s="3"/>
      <c r="B4856" s="2"/>
      <c r="C4856" s="2"/>
      <c r="D4856" s="2"/>
      <c r="E4856" s="2"/>
      <c r="F4856" s="2"/>
      <c r="G4856" s="2"/>
      <c r="O4856"/>
    </row>
    <row r="4857" spans="1:15" hidden="1" x14ac:dyDescent="0.2">
      <c r="A4857" s="3"/>
      <c r="B4857" s="2"/>
      <c r="C4857" s="2"/>
      <c r="D4857" s="2"/>
      <c r="E4857" s="2"/>
      <c r="F4857" s="2"/>
      <c r="G4857" s="2"/>
      <c r="O4857"/>
    </row>
    <row r="4858" spans="1:15" hidden="1" x14ac:dyDescent="0.2">
      <c r="A4858" s="3"/>
      <c r="B4858" s="2"/>
      <c r="C4858" s="2"/>
      <c r="D4858" s="2"/>
      <c r="E4858" s="2"/>
      <c r="F4858" s="2"/>
      <c r="G4858" s="2"/>
      <c r="O4858"/>
    </row>
    <row r="4859" spans="1:15" hidden="1" x14ac:dyDescent="0.2">
      <c r="A4859" s="3"/>
      <c r="B4859" s="2"/>
      <c r="C4859" s="2"/>
      <c r="D4859" s="2"/>
      <c r="E4859" s="2"/>
      <c r="F4859" s="2"/>
      <c r="G4859" s="2"/>
      <c r="O4859"/>
    </row>
    <row r="4860" spans="1:15" hidden="1" x14ac:dyDescent="0.2">
      <c r="A4860" s="3"/>
      <c r="B4860" s="2"/>
      <c r="C4860" s="2"/>
      <c r="D4860" s="2"/>
      <c r="E4860" s="2"/>
      <c r="F4860" s="2"/>
      <c r="G4860" s="2"/>
      <c r="O4860"/>
    </row>
    <row r="4861" spans="1:15" hidden="1" x14ac:dyDescent="0.2">
      <c r="A4861" s="3"/>
      <c r="B4861" s="2"/>
      <c r="C4861" s="2"/>
      <c r="D4861" s="2"/>
      <c r="E4861" s="2"/>
      <c r="F4861" s="2"/>
      <c r="G4861" s="2"/>
      <c r="O4861"/>
    </row>
    <row r="4862" spans="1:15" hidden="1" x14ac:dyDescent="0.2">
      <c r="A4862" s="3"/>
      <c r="B4862" s="2"/>
      <c r="C4862" s="2"/>
      <c r="D4862" s="2"/>
      <c r="E4862" s="2"/>
      <c r="F4862" s="2"/>
      <c r="G4862" s="2"/>
      <c r="O4862"/>
    </row>
    <row r="4863" spans="1:15" hidden="1" x14ac:dyDescent="0.2">
      <c r="A4863" s="3"/>
      <c r="B4863" s="2"/>
      <c r="C4863" s="2"/>
      <c r="D4863" s="2"/>
      <c r="E4863" s="2"/>
      <c r="F4863" s="2"/>
      <c r="G4863" s="2"/>
      <c r="O4863"/>
    </row>
    <row r="4864" spans="1:15" hidden="1" x14ac:dyDescent="0.2">
      <c r="A4864" s="3"/>
      <c r="B4864" s="2"/>
      <c r="C4864" s="2"/>
      <c r="D4864" s="2"/>
      <c r="E4864" s="2"/>
      <c r="F4864" s="2"/>
      <c r="G4864" s="2"/>
      <c r="O4864"/>
    </row>
    <row r="4865" spans="1:15" hidden="1" x14ac:dyDescent="0.2">
      <c r="A4865" s="3"/>
      <c r="B4865" s="2"/>
      <c r="C4865" s="2"/>
      <c r="D4865" s="2"/>
      <c r="E4865" s="2"/>
      <c r="F4865" s="2"/>
      <c r="G4865" s="2"/>
      <c r="O4865"/>
    </row>
    <row r="4866" spans="1:15" hidden="1" x14ac:dyDescent="0.2">
      <c r="A4866" s="3"/>
      <c r="B4866" s="2"/>
      <c r="C4866" s="2"/>
      <c r="D4866" s="2"/>
      <c r="E4866" s="2"/>
      <c r="F4866" s="2"/>
      <c r="G4866" s="2"/>
      <c r="O4866"/>
    </row>
    <row r="4867" spans="1:15" hidden="1" x14ac:dyDescent="0.2">
      <c r="A4867" s="3"/>
      <c r="B4867" s="2"/>
      <c r="C4867" s="2"/>
      <c r="D4867" s="2"/>
      <c r="E4867" s="2"/>
      <c r="F4867" s="2"/>
      <c r="G4867" s="2"/>
      <c r="O4867"/>
    </row>
    <row r="4868" spans="1:15" hidden="1" x14ac:dyDescent="0.2">
      <c r="A4868" s="3"/>
      <c r="B4868" s="2"/>
      <c r="C4868" s="2"/>
      <c r="D4868" s="2"/>
      <c r="E4868" s="2"/>
      <c r="F4868" s="2"/>
      <c r="G4868" s="2"/>
      <c r="O4868"/>
    </row>
    <row r="4869" spans="1:15" hidden="1" x14ac:dyDescent="0.2">
      <c r="A4869" s="3"/>
      <c r="B4869" s="2"/>
      <c r="C4869" s="2"/>
      <c r="D4869" s="2"/>
      <c r="E4869" s="2"/>
      <c r="F4869" s="2"/>
      <c r="G4869" s="2"/>
      <c r="O4869"/>
    </row>
    <row r="4870" spans="1:15" hidden="1" x14ac:dyDescent="0.2">
      <c r="A4870" s="3"/>
      <c r="B4870" s="2"/>
      <c r="C4870" s="2"/>
      <c r="D4870" s="2"/>
      <c r="E4870" s="2"/>
      <c r="F4870" s="2"/>
      <c r="G4870" s="2"/>
      <c r="O4870"/>
    </row>
    <row r="4871" spans="1:15" hidden="1" x14ac:dyDescent="0.2">
      <c r="A4871" s="3"/>
      <c r="B4871" s="2"/>
      <c r="C4871" s="2"/>
      <c r="D4871" s="2"/>
      <c r="E4871" s="2"/>
      <c r="F4871" s="2"/>
      <c r="G4871" s="2"/>
      <c r="O4871"/>
    </row>
    <row r="4872" spans="1:15" hidden="1" x14ac:dyDescent="0.2">
      <c r="A4872" s="3"/>
      <c r="B4872" s="2"/>
      <c r="C4872" s="2"/>
      <c r="D4872" s="2"/>
      <c r="E4872" s="2"/>
      <c r="F4872" s="2"/>
      <c r="G4872" s="2"/>
      <c r="O4872"/>
    </row>
    <row r="4873" spans="1:15" hidden="1" x14ac:dyDescent="0.2">
      <c r="A4873" s="3"/>
      <c r="B4873" s="2"/>
      <c r="C4873" s="2"/>
      <c r="D4873" s="2"/>
      <c r="E4873" s="2"/>
      <c r="F4873" s="2"/>
      <c r="G4873" s="2"/>
      <c r="O4873"/>
    </row>
    <row r="4874" spans="1:15" hidden="1" x14ac:dyDescent="0.2">
      <c r="A4874" s="3"/>
      <c r="B4874" s="2"/>
      <c r="C4874" s="2"/>
      <c r="D4874" s="2"/>
      <c r="E4874" s="2"/>
      <c r="F4874" s="2"/>
      <c r="G4874" s="2"/>
      <c r="O4874"/>
    </row>
    <row r="4875" spans="1:15" hidden="1" x14ac:dyDescent="0.2">
      <c r="A4875" s="3"/>
      <c r="B4875" s="2"/>
      <c r="C4875" s="2"/>
      <c r="D4875" s="2"/>
      <c r="E4875" s="2"/>
      <c r="F4875" s="2"/>
      <c r="G4875" s="2"/>
      <c r="O4875"/>
    </row>
    <row r="4876" spans="1:15" hidden="1" x14ac:dyDescent="0.2">
      <c r="A4876" s="3"/>
      <c r="B4876" s="2"/>
      <c r="C4876" s="2"/>
      <c r="D4876" s="2"/>
      <c r="E4876" s="2"/>
      <c r="F4876" s="2"/>
      <c r="G4876" s="2"/>
      <c r="O4876"/>
    </row>
    <row r="4877" spans="1:15" hidden="1" x14ac:dyDescent="0.2">
      <c r="A4877" s="3"/>
      <c r="B4877" s="2"/>
      <c r="C4877" s="2"/>
      <c r="D4877" s="2"/>
      <c r="E4877" s="2"/>
      <c r="F4877" s="2"/>
      <c r="G4877" s="2"/>
      <c r="O4877"/>
    </row>
    <row r="4878" spans="1:15" hidden="1" x14ac:dyDescent="0.2">
      <c r="A4878" s="3"/>
      <c r="B4878" s="2"/>
      <c r="C4878" s="2"/>
      <c r="D4878" s="2"/>
      <c r="E4878" s="2"/>
      <c r="F4878" s="2"/>
      <c r="G4878" s="2"/>
      <c r="O4878"/>
    </row>
    <row r="4879" spans="1:15" hidden="1" x14ac:dyDescent="0.2">
      <c r="A4879" s="3"/>
      <c r="B4879" s="2"/>
      <c r="C4879" s="2"/>
      <c r="D4879" s="2"/>
      <c r="E4879" s="2"/>
      <c r="F4879" s="2"/>
      <c r="G4879" s="2"/>
      <c r="O4879"/>
    </row>
    <row r="4880" spans="1:15" hidden="1" x14ac:dyDescent="0.2">
      <c r="A4880" s="3"/>
      <c r="B4880" s="2"/>
      <c r="C4880" s="2"/>
      <c r="D4880" s="2"/>
      <c r="E4880" s="2"/>
      <c r="F4880" s="2"/>
      <c r="G4880" s="2"/>
      <c r="O4880"/>
    </row>
    <row r="4881" spans="1:15" hidden="1" x14ac:dyDescent="0.2">
      <c r="A4881" s="3"/>
      <c r="B4881" s="2"/>
      <c r="C4881" s="2"/>
      <c r="D4881" s="2"/>
      <c r="E4881" s="2"/>
      <c r="F4881" s="2"/>
      <c r="G4881" s="2"/>
      <c r="O4881"/>
    </row>
    <row r="4882" spans="1:15" hidden="1" x14ac:dyDescent="0.2">
      <c r="A4882" s="3"/>
      <c r="B4882" s="2"/>
      <c r="C4882" s="2"/>
      <c r="D4882" s="2"/>
      <c r="E4882" s="2"/>
      <c r="F4882" s="2"/>
      <c r="G4882" s="2"/>
      <c r="O4882"/>
    </row>
    <row r="4883" spans="1:15" hidden="1" x14ac:dyDescent="0.2">
      <c r="A4883" s="3"/>
      <c r="B4883" s="2"/>
      <c r="C4883" s="2"/>
      <c r="D4883" s="2"/>
      <c r="E4883" s="2"/>
      <c r="F4883" s="2"/>
      <c r="G4883" s="2"/>
      <c r="O4883"/>
    </row>
    <row r="4884" spans="1:15" hidden="1" x14ac:dyDescent="0.2">
      <c r="A4884" s="3"/>
      <c r="B4884" s="2"/>
      <c r="C4884" s="2"/>
      <c r="D4884" s="2"/>
      <c r="E4884" s="2"/>
      <c r="F4884" s="2"/>
      <c r="G4884" s="2"/>
      <c r="O4884"/>
    </row>
    <row r="4885" spans="1:15" hidden="1" x14ac:dyDescent="0.2">
      <c r="A4885" s="3"/>
      <c r="B4885" s="2"/>
      <c r="C4885" s="2"/>
      <c r="D4885" s="2"/>
      <c r="E4885" s="2"/>
      <c r="F4885" s="2"/>
      <c r="G4885" s="2"/>
      <c r="O4885"/>
    </row>
    <row r="4886" spans="1:15" hidden="1" x14ac:dyDescent="0.2">
      <c r="A4886" s="3"/>
      <c r="B4886" s="2"/>
      <c r="C4886" s="2"/>
      <c r="D4886" s="2"/>
      <c r="E4886" s="2"/>
      <c r="F4886" s="2"/>
      <c r="G4886" s="2"/>
      <c r="O4886"/>
    </row>
    <row r="4887" spans="1:15" hidden="1" x14ac:dyDescent="0.2">
      <c r="A4887" s="3"/>
      <c r="B4887" s="2"/>
      <c r="C4887" s="2"/>
      <c r="D4887" s="2"/>
      <c r="E4887" s="2"/>
      <c r="F4887" s="2"/>
      <c r="G4887" s="2"/>
      <c r="O4887"/>
    </row>
    <row r="4888" spans="1:15" hidden="1" x14ac:dyDescent="0.2">
      <c r="A4888" s="3"/>
      <c r="B4888" s="2"/>
      <c r="C4888" s="2"/>
      <c r="D4888" s="2"/>
      <c r="E4888" s="2"/>
      <c r="F4888" s="2"/>
      <c r="G4888" s="2"/>
      <c r="O4888"/>
    </row>
    <row r="4889" spans="1:15" hidden="1" x14ac:dyDescent="0.2">
      <c r="A4889" s="3"/>
      <c r="B4889" s="2"/>
      <c r="C4889" s="2"/>
      <c r="D4889" s="2"/>
      <c r="E4889" s="2"/>
      <c r="F4889" s="2"/>
      <c r="G4889" s="2"/>
      <c r="O4889"/>
    </row>
    <row r="4890" spans="1:15" hidden="1" x14ac:dyDescent="0.2">
      <c r="A4890" s="3"/>
      <c r="B4890" s="2"/>
      <c r="C4890" s="2"/>
      <c r="D4890" s="2"/>
      <c r="E4890" s="2"/>
      <c r="F4890" s="2"/>
      <c r="G4890" s="2"/>
      <c r="O4890"/>
    </row>
    <row r="4891" spans="1:15" hidden="1" x14ac:dyDescent="0.2">
      <c r="A4891" s="3"/>
      <c r="B4891" s="2"/>
      <c r="C4891" s="2"/>
      <c r="D4891" s="2"/>
      <c r="E4891" s="2"/>
      <c r="F4891" s="2"/>
      <c r="G4891" s="2"/>
      <c r="O4891"/>
    </row>
    <row r="4892" spans="1:15" hidden="1" x14ac:dyDescent="0.2">
      <c r="A4892" s="3"/>
      <c r="B4892" s="2"/>
      <c r="C4892" s="2"/>
      <c r="D4892" s="2"/>
      <c r="E4892" s="2"/>
      <c r="F4892" s="2"/>
      <c r="G4892" s="2"/>
      <c r="O4892"/>
    </row>
    <row r="4893" spans="1:15" hidden="1" x14ac:dyDescent="0.2">
      <c r="A4893" s="3"/>
      <c r="B4893" s="2"/>
      <c r="C4893" s="2"/>
      <c r="D4893" s="2"/>
      <c r="E4893" s="2"/>
      <c r="F4893" s="2"/>
      <c r="G4893" s="2"/>
      <c r="O4893"/>
    </row>
    <row r="4894" spans="1:15" hidden="1" x14ac:dyDescent="0.2">
      <c r="A4894" s="3"/>
      <c r="B4894" s="2"/>
      <c r="C4894" s="2"/>
      <c r="D4894" s="2"/>
      <c r="E4894" s="2"/>
      <c r="F4894" s="2"/>
      <c r="G4894" s="2"/>
      <c r="O4894"/>
    </row>
    <row r="4895" spans="1:15" hidden="1" x14ac:dyDescent="0.2">
      <c r="A4895" s="3"/>
      <c r="B4895" s="2"/>
      <c r="C4895" s="2"/>
      <c r="D4895" s="2"/>
      <c r="E4895" s="2"/>
      <c r="F4895" s="2"/>
      <c r="G4895" s="2"/>
      <c r="O4895"/>
    </row>
    <row r="4896" spans="1:15" hidden="1" x14ac:dyDescent="0.2">
      <c r="A4896" s="3"/>
      <c r="B4896" s="2"/>
      <c r="C4896" s="2"/>
      <c r="D4896" s="2"/>
      <c r="E4896" s="2"/>
      <c r="F4896" s="2"/>
      <c r="G4896" s="2"/>
      <c r="O4896"/>
    </row>
    <row r="4897" spans="1:15" hidden="1" x14ac:dyDescent="0.2">
      <c r="A4897" s="3"/>
      <c r="B4897" s="2"/>
      <c r="C4897" s="2"/>
      <c r="D4897" s="2"/>
      <c r="E4897" s="2"/>
      <c r="F4897" s="2"/>
      <c r="G4897" s="2"/>
      <c r="O4897"/>
    </row>
    <row r="4898" spans="1:15" hidden="1" x14ac:dyDescent="0.2">
      <c r="A4898" s="3"/>
      <c r="B4898" s="2"/>
      <c r="C4898" s="2"/>
      <c r="D4898" s="2"/>
      <c r="E4898" s="2"/>
      <c r="F4898" s="2"/>
      <c r="G4898" s="2"/>
      <c r="O4898"/>
    </row>
    <row r="4899" spans="1:15" hidden="1" x14ac:dyDescent="0.2">
      <c r="A4899" s="3"/>
      <c r="B4899" s="2"/>
      <c r="C4899" s="2"/>
      <c r="D4899" s="2"/>
      <c r="E4899" s="2"/>
      <c r="F4899" s="2"/>
      <c r="G4899" s="2"/>
      <c r="O4899"/>
    </row>
    <row r="4900" spans="1:15" hidden="1" x14ac:dyDescent="0.2">
      <c r="A4900" s="3"/>
      <c r="B4900" s="2"/>
      <c r="C4900" s="2"/>
      <c r="D4900" s="2"/>
      <c r="E4900" s="2"/>
      <c r="F4900" s="2"/>
      <c r="G4900" s="2"/>
      <c r="O4900"/>
    </row>
    <row r="4901" spans="1:15" hidden="1" x14ac:dyDescent="0.2">
      <c r="A4901" s="3"/>
      <c r="B4901" s="2"/>
      <c r="C4901" s="2"/>
      <c r="D4901" s="2"/>
      <c r="E4901" s="2"/>
      <c r="F4901" s="2"/>
      <c r="G4901" s="2"/>
      <c r="O4901"/>
    </row>
    <row r="4902" spans="1:15" hidden="1" x14ac:dyDescent="0.2">
      <c r="A4902" s="3"/>
      <c r="B4902" s="2"/>
      <c r="C4902" s="2"/>
      <c r="D4902" s="2"/>
      <c r="E4902" s="2"/>
      <c r="F4902" s="2"/>
      <c r="G4902" s="2"/>
      <c r="O4902"/>
    </row>
    <row r="4903" spans="1:15" hidden="1" x14ac:dyDescent="0.2">
      <c r="A4903" s="3"/>
      <c r="B4903" s="2"/>
      <c r="C4903" s="2"/>
      <c r="D4903" s="2"/>
      <c r="E4903" s="2"/>
      <c r="F4903" s="2"/>
      <c r="G4903" s="2"/>
      <c r="O4903"/>
    </row>
    <row r="4904" spans="1:15" hidden="1" x14ac:dyDescent="0.2">
      <c r="A4904" s="3"/>
      <c r="B4904" s="2"/>
      <c r="C4904" s="2"/>
      <c r="D4904" s="2"/>
      <c r="E4904" s="2"/>
      <c r="F4904" s="2"/>
      <c r="G4904" s="2"/>
      <c r="O4904"/>
    </row>
    <row r="4905" spans="1:15" hidden="1" x14ac:dyDescent="0.2">
      <c r="A4905" s="3"/>
      <c r="B4905" s="2"/>
      <c r="C4905" s="2"/>
      <c r="D4905" s="2"/>
      <c r="E4905" s="2"/>
      <c r="F4905" s="2"/>
      <c r="G4905" s="2"/>
      <c r="O4905"/>
    </row>
    <row r="4906" spans="1:15" hidden="1" x14ac:dyDescent="0.2">
      <c r="A4906" s="3"/>
      <c r="B4906" s="2"/>
      <c r="C4906" s="2"/>
      <c r="D4906" s="2"/>
      <c r="E4906" s="2"/>
      <c r="F4906" s="2"/>
      <c r="G4906" s="2"/>
      <c r="O4906"/>
    </row>
    <row r="4907" spans="1:15" hidden="1" x14ac:dyDescent="0.2">
      <c r="A4907" s="3"/>
      <c r="B4907" s="2"/>
      <c r="C4907" s="2"/>
      <c r="D4907" s="2"/>
      <c r="E4907" s="2"/>
      <c r="F4907" s="2"/>
      <c r="G4907" s="2"/>
      <c r="O4907"/>
    </row>
    <row r="4908" spans="1:15" hidden="1" x14ac:dyDescent="0.2">
      <c r="A4908" s="3"/>
      <c r="B4908" s="2"/>
      <c r="C4908" s="2"/>
      <c r="D4908" s="2"/>
      <c r="E4908" s="2"/>
      <c r="F4908" s="2"/>
      <c r="G4908" s="2"/>
      <c r="O4908"/>
    </row>
    <row r="4909" spans="1:15" hidden="1" x14ac:dyDescent="0.2">
      <c r="A4909" s="3"/>
      <c r="B4909" s="2"/>
      <c r="C4909" s="2"/>
      <c r="D4909" s="2"/>
      <c r="E4909" s="2"/>
      <c r="F4909" s="2"/>
      <c r="G4909" s="2"/>
      <c r="O4909"/>
    </row>
    <row r="4910" spans="1:15" hidden="1" x14ac:dyDescent="0.2">
      <c r="A4910" s="3"/>
      <c r="B4910" s="2"/>
      <c r="C4910" s="2"/>
      <c r="D4910" s="2"/>
      <c r="E4910" s="2"/>
      <c r="F4910" s="2"/>
      <c r="G4910" s="2"/>
      <c r="O4910"/>
    </row>
    <row r="4911" spans="1:15" hidden="1" x14ac:dyDescent="0.2">
      <c r="A4911" s="3"/>
      <c r="B4911" s="2"/>
      <c r="C4911" s="2"/>
      <c r="D4911" s="2"/>
      <c r="E4911" s="2"/>
      <c r="F4911" s="2"/>
      <c r="G4911" s="2"/>
      <c r="O4911"/>
    </row>
    <row r="4912" spans="1:15" hidden="1" x14ac:dyDescent="0.2">
      <c r="A4912" s="3"/>
      <c r="B4912" s="2"/>
      <c r="C4912" s="2"/>
      <c r="D4912" s="2"/>
      <c r="E4912" s="2"/>
      <c r="F4912" s="2"/>
      <c r="G4912" s="2"/>
      <c r="O4912"/>
    </row>
    <row r="4913" spans="1:15" hidden="1" x14ac:dyDescent="0.2">
      <c r="A4913" s="3"/>
      <c r="B4913" s="2"/>
      <c r="C4913" s="2"/>
      <c r="D4913" s="2"/>
      <c r="E4913" s="2"/>
      <c r="F4913" s="2"/>
      <c r="G4913" s="2"/>
      <c r="O4913"/>
    </row>
    <row r="4914" spans="1:15" hidden="1" x14ac:dyDescent="0.2">
      <c r="A4914" s="3"/>
      <c r="B4914" s="2"/>
      <c r="C4914" s="2"/>
      <c r="D4914" s="2"/>
      <c r="E4914" s="2"/>
      <c r="F4914" s="2"/>
      <c r="G4914" s="2"/>
      <c r="O4914"/>
    </row>
    <row r="4915" spans="1:15" hidden="1" x14ac:dyDescent="0.2">
      <c r="A4915" s="3"/>
      <c r="B4915" s="2"/>
      <c r="C4915" s="2"/>
      <c r="D4915" s="2"/>
      <c r="E4915" s="2"/>
      <c r="F4915" s="2"/>
      <c r="G4915" s="2"/>
      <c r="O4915"/>
    </row>
    <row r="4916" spans="1:15" hidden="1" x14ac:dyDescent="0.2">
      <c r="A4916" s="3"/>
      <c r="B4916" s="2"/>
      <c r="C4916" s="2"/>
      <c r="D4916" s="2"/>
      <c r="E4916" s="2"/>
      <c r="F4916" s="2"/>
      <c r="G4916" s="2"/>
      <c r="O4916"/>
    </row>
    <row r="4917" spans="1:15" hidden="1" x14ac:dyDescent="0.2">
      <c r="A4917" s="3"/>
      <c r="B4917" s="2"/>
      <c r="C4917" s="2"/>
      <c r="D4917" s="2"/>
      <c r="E4917" s="2"/>
      <c r="F4917" s="2"/>
      <c r="G4917" s="2"/>
      <c r="O4917"/>
    </row>
    <row r="4918" spans="1:15" hidden="1" x14ac:dyDescent="0.2">
      <c r="A4918" s="3"/>
      <c r="B4918" s="2"/>
      <c r="C4918" s="2"/>
      <c r="D4918" s="2"/>
      <c r="E4918" s="2"/>
      <c r="F4918" s="2"/>
      <c r="G4918" s="2"/>
      <c r="O4918"/>
    </row>
    <row r="4919" spans="1:15" hidden="1" x14ac:dyDescent="0.2">
      <c r="A4919" s="3"/>
      <c r="B4919" s="2"/>
      <c r="C4919" s="2"/>
      <c r="D4919" s="2"/>
      <c r="E4919" s="2"/>
      <c r="F4919" s="2"/>
      <c r="G4919" s="2"/>
      <c r="O4919"/>
    </row>
    <row r="4920" spans="1:15" hidden="1" x14ac:dyDescent="0.2">
      <c r="A4920" s="3"/>
      <c r="B4920" s="2"/>
      <c r="C4920" s="2"/>
      <c r="D4920" s="2"/>
      <c r="E4920" s="2"/>
      <c r="F4920" s="2"/>
      <c r="G4920" s="2"/>
      <c r="O4920"/>
    </row>
    <row r="4921" spans="1:15" hidden="1" x14ac:dyDescent="0.2">
      <c r="A4921" s="3"/>
      <c r="B4921" s="2"/>
      <c r="C4921" s="2"/>
      <c r="D4921" s="2"/>
      <c r="E4921" s="2"/>
      <c r="F4921" s="2"/>
      <c r="G4921" s="2"/>
      <c r="O4921"/>
    </row>
    <row r="4922" spans="1:15" hidden="1" x14ac:dyDescent="0.2">
      <c r="A4922" s="3"/>
      <c r="B4922" s="2"/>
      <c r="C4922" s="2"/>
      <c r="D4922" s="2"/>
      <c r="E4922" s="2"/>
      <c r="F4922" s="2"/>
      <c r="G4922" s="2"/>
      <c r="O4922"/>
    </row>
    <row r="4923" spans="1:15" hidden="1" x14ac:dyDescent="0.2">
      <c r="A4923" s="3"/>
      <c r="B4923" s="2"/>
      <c r="C4923" s="2"/>
      <c r="D4923" s="2"/>
      <c r="E4923" s="2"/>
      <c r="F4923" s="2"/>
      <c r="G4923" s="2"/>
      <c r="O4923"/>
    </row>
    <row r="4924" spans="1:15" hidden="1" x14ac:dyDescent="0.2">
      <c r="A4924" s="3"/>
      <c r="B4924" s="2"/>
      <c r="C4924" s="2"/>
      <c r="D4924" s="2"/>
      <c r="E4924" s="2"/>
      <c r="F4924" s="2"/>
      <c r="G4924" s="2"/>
      <c r="O4924"/>
    </row>
    <row r="4925" spans="1:15" hidden="1" x14ac:dyDescent="0.2">
      <c r="A4925" s="3"/>
      <c r="B4925" s="2"/>
      <c r="C4925" s="2"/>
      <c r="D4925" s="2"/>
      <c r="E4925" s="2"/>
      <c r="F4925" s="2"/>
      <c r="G4925" s="2"/>
      <c r="O4925"/>
    </row>
    <row r="4926" spans="1:15" hidden="1" x14ac:dyDescent="0.2">
      <c r="A4926" s="3"/>
      <c r="B4926" s="2"/>
      <c r="C4926" s="2"/>
      <c r="D4926" s="2"/>
      <c r="E4926" s="2"/>
      <c r="F4926" s="2"/>
      <c r="G4926" s="2"/>
      <c r="O4926"/>
    </row>
    <row r="4927" spans="1:15" hidden="1" x14ac:dyDescent="0.2">
      <c r="A4927" s="3"/>
      <c r="B4927" s="2"/>
      <c r="C4927" s="2"/>
      <c r="D4927" s="2"/>
      <c r="E4927" s="2"/>
      <c r="F4927" s="2"/>
      <c r="G4927" s="2"/>
      <c r="O4927"/>
    </row>
    <row r="4928" spans="1:15" hidden="1" x14ac:dyDescent="0.2">
      <c r="A4928" s="3"/>
      <c r="B4928" s="2"/>
      <c r="C4928" s="2"/>
      <c r="D4928" s="2"/>
      <c r="E4928" s="2"/>
      <c r="F4928" s="2"/>
      <c r="G4928" s="2"/>
      <c r="O4928"/>
    </row>
    <row r="4929" spans="1:15" hidden="1" x14ac:dyDescent="0.2">
      <c r="A4929" s="3"/>
      <c r="B4929" s="2"/>
      <c r="C4929" s="2"/>
      <c r="D4929" s="2"/>
      <c r="E4929" s="2"/>
      <c r="F4929" s="2"/>
      <c r="G4929" s="2"/>
      <c r="O4929"/>
    </row>
    <row r="4930" spans="1:15" hidden="1" x14ac:dyDescent="0.2">
      <c r="A4930" s="3"/>
      <c r="B4930" s="2"/>
      <c r="C4930" s="2"/>
      <c r="D4930" s="2"/>
      <c r="E4930" s="2"/>
      <c r="F4930" s="2"/>
      <c r="G4930" s="2"/>
      <c r="O4930"/>
    </row>
    <row r="4931" spans="1:15" hidden="1" x14ac:dyDescent="0.2">
      <c r="A4931" s="3"/>
      <c r="B4931" s="2"/>
      <c r="C4931" s="2"/>
      <c r="D4931" s="2"/>
      <c r="E4931" s="2"/>
      <c r="F4931" s="2"/>
      <c r="G4931" s="2"/>
      <c r="O4931"/>
    </row>
    <row r="4932" spans="1:15" hidden="1" x14ac:dyDescent="0.2">
      <c r="A4932" s="3"/>
      <c r="B4932" s="2"/>
      <c r="C4932" s="2"/>
      <c r="D4932" s="2"/>
      <c r="E4932" s="2"/>
      <c r="F4932" s="2"/>
      <c r="G4932" s="2"/>
      <c r="O4932"/>
    </row>
    <row r="4933" spans="1:15" hidden="1" x14ac:dyDescent="0.2">
      <c r="A4933" s="3"/>
      <c r="B4933" s="2"/>
      <c r="C4933" s="2"/>
      <c r="D4933" s="2"/>
      <c r="E4933" s="2"/>
      <c r="F4933" s="2"/>
      <c r="G4933" s="2"/>
      <c r="O4933"/>
    </row>
    <row r="4934" spans="1:15" hidden="1" x14ac:dyDescent="0.2">
      <c r="A4934" s="3"/>
      <c r="B4934" s="2"/>
      <c r="C4934" s="2"/>
      <c r="D4934" s="2"/>
      <c r="E4934" s="2"/>
      <c r="F4934" s="2"/>
      <c r="G4934" s="2"/>
      <c r="O4934"/>
    </row>
    <row r="4935" spans="1:15" hidden="1" x14ac:dyDescent="0.2">
      <c r="A4935" s="3"/>
      <c r="B4935" s="2"/>
      <c r="C4935" s="2"/>
      <c r="D4935" s="2"/>
      <c r="E4935" s="2"/>
      <c r="F4935" s="2"/>
      <c r="G4935" s="2"/>
      <c r="O4935"/>
    </row>
    <row r="4936" spans="1:15" hidden="1" x14ac:dyDescent="0.2">
      <c r="A4936" s="3"/>
      <c r="B4936" s="2"/>
      <c r="C4936" s="2"/>
      <c r="D4936" s="2"/>
      <c r="E4936" s="2"/>
      <c r="F4936" s="2"/>
      <c r="G4936" s="2"/>
      <c r="O4936"/>
    </row>
    <row r="4937" spans="1:15" hidden="1" x14ac:dyDescent="0.2">
      <c r="A4937" s="3"/>
      <c r="B4937" s="2"/>
      <c r="C4937" s="2"/>
      <c r="D4937" s="2"/>
      <c r="E4937" s="2"/>
      <c r="F4937" s="2"/>
      <c r="G4937" s="2"/>
      <c r="O4937"/>
    </row>
    <row r="4938" spans="1:15" hidden="1" x14ac:dyDescent="0.2">
      <c r="A4938" s="3"/>
      <c r="B4938" s="2"/>
      <c r="C4938" s="2"/>
      <c r="D4938" s="2"/>
      <c r="E4938" s="2"/>
      <c r="F4938" s="2"/>
      <c r="G4938" s="2"/>
      <c r="O4938"/>
    </row>
    <row r="4939" spans="1:15" hidden="1" x14ac:dyDescent="0.2">
      <c r="A4939" s="3"/>
      <c r="B4939" s="2"/>
      <c r="C4939" s="2"/>
      <c r="D4939" s="2"/>
      <c r="E4939" s="2"/>
      <c r="F4939" s="2"/>
      <c r="G4939" s="2"/>
      <c r="O4939"/>
    </row>
    <row r="4940" spans="1:15" hidden="1" x14ac:dyDescent="0.2">
      <c r="A4940" s="3"/>
      <c r="B4940" s="2"/>
      <c r="C4940" s="2"/>
      <c r="D4940" s="2"/>
      <c r="E4940" s="2"/>
      <c r="F4940" s="2"/>
      <c r="G4940" s="2"/>
      <c r="O4940"/>
    </row>
    <row r="4941" spans="1:15" hidden="1" x14ac:dyDescent="0.2">
      <c r="A4941" s="3"/>
      <c r="B4941" s="2"/>
      <c r="C4941" s="2"/>
      <c r="D4941" s="2"/>
      <c r="E4941" s="2"/>
      <c r="F4941" s="2"/>
      <c r="G4941" s="2"/>
      <c r="O4941"/>
    </row>
    <row r="4942" spans="1:15" hidden="1" x14ac:dyDescent="0.2">
      <c r="A4942" s="3"/>
      <c r="B4942" s="2"/>
      <c r="C4942" s="2"/>
      <c r="D4942" s="2"/>
      <c r="E4942" s="2"/>
      <c r="F4942" s="2"/>
      <c r="G4942" s="2"/>
      <c r="O4942"/>
    </row>
    <row r="4943" spans="1:15" hidden="1" x14ac:dyDescent="0.2">
      <c r="A4943" s="3"/>
      <c r="B4943" s="2"/>
      <c r="C4943" s="2"/>
      <c r="D4943" s="2"/>
      <c r="E4943" s="2"/>
      <c r="F4943" s="2"/>
      <c r="G4943" s="2"/>
      <c r="O4943"/>
    </row>
    <row r="4944" spans="1:15" hidden="1" x14ac:dyDescent="0.2">
      <c r="A4944" s="3"/>
      <c r="B4944" s="2"/>
      <c r="C4944" s="2"/>
      <c r="D4944" s="2"/>
      <c r="E4944" s="2"/>
      <c r="F4944" s="2"/>
      <c r="G4944" s="2"/>
      <c r="O4944"/>
    </row>
    <row r="4945" spans="1:15" hidden="1" x14ac:dyDescent="0.2">
      <c r="A4945" s="3"/>
      <c r="B4945" s="2"/>
      <c r="C4945" s="2"/>
      <c r="D4945" s="2"/>
      <c r="E4945" s="2"/>
      <c r="F4945" s="2"/>
      <c r="G4945" s="2"/>
      <c r="O4945"/>
    </row>
    <row r="4946" spans="1:15" hidden="1" x14ac:dyDescent="0.2">
      <c r="A4946" s="3"/>
      <c r="B4946" s="2"/>
      <c r="C4946" s="2"/>
      <c r="D4946" s="2"/>
      <c r="E4946" s="2"/>
      <c r="F4946" s="2"/>
      <c r="G4946" s="2"/>
      <c r="O4946"/>
    </row>
    <row r="4947" spans="1:15" hidden="1" x14ac:dyDescent="0.2">
      <c r="A4947" s="3"/>
      <c r="B4947" s="2"/>
      <c r="C4947" s="2"/>
      <c r="D4947" s="2"/>
      <c r="E4947" s="2"/>
      <c r="F4947" s="2"/>
      <c r="G4947" s="2"/>
      <c r="O4947"/>
    </row>
    <row r="4948" spans="1:15" hidden="1" x14ac:dyDescent="0.2">
      <c r="A4948" s="3"/>
      <c r="B4948" s="2"/>
      <c r="C4948" s="2"/>
      <c r="D4948" s="2"/>
      <c r="E4948" s="2"/>
      <c r="F4948" s="2"/>
      <c r="G4948" s="2"/>
      <c r="O4948"/>
    </row>
    <row r="4949" spans="1:15" hidden="1" x14ac:dyDescent="0.2">
      <c r="A4949" s="3"/>
      <c r="B4949" s="2"/>
      <c r="C4949" s="2"/>
      <c r="D4949" s="2"/>
      <c r="E4949" s="2"/>
      <c r="F4949" s="2"/>
      <c r="G4949" s="2"/>
      <c r="O4949"/>
    </row>
    <row r="4950" spans="1:15" hidden="1" x14ac:dyDescent="0.2">
      <c r="A4950" s="3"/>
      <c r="B4950" s="2"/>
      <c r="C4950" s="2"/>
      <c r="D4950" s="2"/>
      <c r="E4950" s="2"/>
      <c r="F4950" s="2"/>
      <c r="G4950" s="2"/>
      <c r="O4950"/>
    </row>
    <row r="4951" spans="1:15" hidden="1" x14ac:dyDescent="0.2">
      <c r="A4951" s="3"/>
      <c r="B4951" s="2"/>
      <c r="C4951" s="2"/>
      <c r="D4951" s="2"/>
      <c r="E4951" s="2"/>
      <c r="F4951" s="2"/>
      <c r="G4951" s="2"/>
      <c r="O4951"/>
    </row>
    <row r="4952" spans="1:15" hidden="1" x14ac:dyDescent="0.2">
      <c r="A4952" s="3"/>
      <c r="B4952" s="2"/>
      <c r="C4952" s="2"/>
      <c r="D4952" s="2"/>
      <c r="E4952" s="2"/>
      <c r="F4952" s="2"/>
      <c r="G4952" s="2"/>
      <c r="O4952"/>
    </row>
    <row r="4953" spans="1:15" hidden="1" x14ac:dyDescent="0.2">
      <c r="A4953" s="3"/>
      <c r="B4953" s="2"/>
      <c r="C4953" s="2"/>
      <c r="D4953" s="2"/>
      <c r="E4953" s="2"/>
      <c r="F4953" s="2"/>
      <c r="G4953" s="2"/>
      <c r="O4953"/>
    </row>
    <row r="4954" spans="1:15" hidden="1" x14ac:dyDescent="0.2">
      <c r="A4954" s="3"/>
      <c r="B4954" s="2"/>
      <c r="C4954" s="2"/>
      <c r="D4954" s="2"/>
      <c r="E4954" s="2"/>
      <c r="F4954" s="2"/>
      <c r="G4954" s="2"/>
      <c r="O4954"/>
    </row>
    <row r="4955" spans="1:15" hidden="1" x14ac:dyDescent="0.2">
      <c r="A4955" s="3"/>
      <c r="B4955" s="2"/>
      <c r="C4955" s="2"/>
      <c r="D4955" s="2"/>
      <c r="E4955" s="2"/>
      <c r="F4955" s="2"/>
      <c r="G4955" s="2"/>
      <c r="O4955"/>
    </row>
    <row r="4956" spans="1:15" hidden="1" x14ac:dyDescent="0.2">
      <c r="A4956" s="3"/>
      <c r="B4956" s="2"/>
      <c r="C4956" s="2"/>
      <c r="D4956" s="2"/>
      <c r="E4956" s="2"/>
      <c r="F4956" s="2"/>
      <c r="G4956" s="2"/>
      <c r="O4956"/>
    </row>
    <row r="4957" spans="1:15" hidden="1" x14ac:dyDescent="0.2">
      <c r="A4957" s="3"/>
      <c r="B4957" s="2"/>
      <c r="C4957" s="2"/>
      <c r="D4957" s="2"/>
      <c r="E4957" s="2"/>
      <c r="F4957" s="2"/>
      <c r="G4957" s="2"/>
      <c r="O4957"/>
    </row>
    <row r="4958" spans="1:15" hidden="1" x14ac:dyDescent="0.2">
      <c r="A4958" s="3"/>
      <c r="B4958" s="2"/>
      <c r="C4958" s="2"/>
      <c r="D4958" s="2"/>
      <c r="E4958" s="2"/>
      <c r="F4958" s="2"/>
      <c r="G4958" s="2"/>
      <c r="O4958"/>
    </row>
    <row r="4959" spans="1:15" hidden="1" x14ac:dyDescent="0.2">
      <c r="A4959" s="3"/>
      <c r="B4959" s="2"/>
      <c r="C4959" s="2"/>
      <c r="D4959" s="2"/>
      <c r="E4959" s="2"/>
      <c r="F4959" s="2"/>
      <c r="G4959" s="2"/>
      <c r="O4959"/>
    </row>
    <row r="4960" spans="1:15" hidden="1" x14ac:dyDescent="0.2">
      <c r="A4960" s="3"/>
      <c r="B4960" s="2"/>
      <c r="C4960" s="2"/>
      <c r="D4960" s="2"/>
      <c r="E4960" s="2"/>
      <c r="F4960" s="2"/>
      <c r="G4960" s="2"/>
      <c r="O4960"/>
    </row>
    <row r="4961" spans="1:15" hidden="1" x14ac:dyDescent="0.2">
      <c r="A4961" s="3"/>
      <c r="B4961" s="2"/>
      <c r="C4961" s="2"/>
      <c r="D4961" s="2"/>
      <c r="E4961" s="2"/>
      <c r="F4961" s="2"/>
      <c r="G4961" s="2"/>
      <c r="O4961"/>
    </row>
    <row r="4962" spans="1:15" hidden="1" x14ac:dyDescent="0.2">
      <c r="A4962" s="3"/>
      <c r="B4962" s="2"/>
      <c r="C4962" s="2"/>
      <c r="D4962" s="2"/>
      <c r="E4962" s="2"/>
      <c r="F4962" s="2"/>
      <c r="G4962" s="2"/>
      <c r="O4962"/>
    </row>
    <row r="4963" spans="1:15" hidden="1" x14ac:dyDescent="0.2">
      <c r="A4963" s="3"/>
      <c r="B4963" s="2"/>
      <c r="C4963" s="2"/>
      <c r="D4963" s="2"/>
      <c r="E4963" s="2"/>
      <c r="F4963" s="2"/>
      <c r="G4963" s="2"/>
      <c r="O4963"/>
    </row>
    <row r="4964" spans="1:15" hidden="1" x14ac:dyDescent="0.2">
      <c r="A4964" s="3"/>
      <c r="B4964" s="2"/>
      <c r="C4964" s="2"/>
      <c r="D4964" s="2"/>
      <c r="E4964" s="2"/>
      <c r="F4964" s="2"/>
      <c r="G4964" s="2"/>
      <c r="O4964"/>
    </row>
    <row r="4965" spans="1:15" hidden="1" x14ac:dyDescent="0.2">
      <c r="A4965" s="3"/>
      <c r="B4965" s="2"/>
      <c r="C4965" s="2"/>
      <c r="D4965" s="2"/>
      <c r="E4965" s="2"/>
      <c r="F4965" s="2"/>
      <c r="G4965" s="2"/>
      <c r="O4965"/>
    </row>
    <row r="4966" spans="1:15" hidden="1" x14ac:dyDescent="0.2">
      <c r="A4966" s="3"/>
      <c r="B4966" s="2"/>
      <c r="C4966" s="2"/>
      <c r="D4966" s="2"/>
      <c r="E4966" s="2"/>
      <c r="F4966" s="2"/>
      <c r="G4966" s="2"/>
      <c r="O4966"/>
    </row>
    <row r="4967" spans="1:15" hidden="1" x14ac:dyDescent="0.2">
      <c r="A4967" s="3"/>
      <c r="B4967" s="2"/>
      <c r="C4967" s="2"/>
      <c r="D4967" s="2"/>
      <c r="E4967" s="2"/>
      <c r="F4967" s="2"/>
      <c r="G4967" s="2"/>
      <c r="O4967"/>
    </row>
    <row r="4968" spans="1:15" hidden="1" x14ac:dyDescent="0.2">
      <c r="A4968" s="3"/>
      <c r="B4968" s="2"/>
      <c r="C4968" s="2"/>
      <c r="D4968" s="2"/>
      <c r="E4968" s="2"/>
      <c r="F4968" s="2"/>
      <c r="G4968" s="2"/>
      <c r="O4968"/>
    </row>
    <row r="4969" spans="1:15" hidden="1" x14ac:dyDescent="0.2">
      <c r="A4969" s="3"/>
      <c r="B4969" s="2"/>
      <c r="C4969" s="2"/>
      <c r="D4969" s="2"/>
      <c r="E4969" s="2"/>
      <c r="F4969" s="2"/>
      <c r="G4969" s="2"/>
      <c r="O4969"/>
    </row>
    <row r="4970" spans="1:15" hidden="1" x14ac:dyDescent="0.2">
      <c r="A4970" s="3"/>
      <c r="B4970" s="2"/>
      <c r="C4970" s="2"/>
      <c r="D4970" s="2"/>
      <c r="E4970" s="2"/>
      <c r="F4970" s="2"/>
      <c r="G4970" s="2"/>
      <c r="O4970"/>
    </row>
    <row r="4971" spans="1:15" hidden="1" x14ac:dyDescent="0.2">
      <c r="A4971" s="3"/>
      <c r="B4971" s="2"/>
      <c r="C4971" s="2"/>
      <c r="D4971" s="2"/>
      <c r="E4971" s="2"/>
      <c r="F4971" s="2"/>
      <c r="G4971" s="2"/>
      <c r="O4971"/>
    </row>
    <row r="4972" spans="1:15" hidden="1" x14ac:dyDescent="0.2">
      <c r="A4972" s="3"/>
      <c r="B4972" s="2"/>
      <c r="C4972" s="2"/>
      <c r="D4972" s="2"/>
      <c r="E4972" s="2"/>
      <c r="F4972" s="2"/>
      <c r="G4972" s="2"/>
      <c r="O4972"/>
    </row>
    <row r="4973" spans="1:15" hidden="1" x14ac:dyDescent="0.2">
      <c r="A4973" s="3"/>
      <c r="B4973" s="2"/>
      <c r="C4973" s="2"/>
      <c r="D4973" s="2"/>
      <c r="E4973" s="2"/>
      <c r="F4973" s="2"/>
      <c r="G4973" s="2"/>
      <c r="O4973"/>
    </row>
    <row r="4974" spans="1:15" hidden="1" x14ac:dyDescent="0.2">
      <c r="A4974" s="3"/>
      <c r="B4974" s="2"/>
      <c r="C4974" s="2"/>
      <c r="D4974" s="2"/>
      <c r="E4974" s="2"/>
      <c r="F4974" s="2"/>
      <c r="G4974" s="2"/>
      <c r="O4974"/>
    </row>
    <row r="4975" spans="1:15" hidden="1" x14ac:dyDescent="0.2">
      <c r="A4975" s="3"/>
      <c r="B4975" s="2"/>
      <c r="C4975" s="2"/>
      <c r="D4975" s="2"/>
      <c r="E4975" s="2"/>
      <c r="F4975" s="2"/>
      <c r="G4975" s="2"/>
      <c r="O4975"/>
    </row>
    <row r="4976" spans="1:15" hidden="1" x14ac:dyDescent="0.2">
      <c r="A4976" s="3"/>
      <c r="B4976" s="2"/>
      <c r="C4976" s="2"/>
      <c r="D4976" s="2"/>
      <c r="E4976" s="2"/>
      <c r="F4976" s="2"/>
      <c r="G4976" s="2"/>
      <c r="O4976"/>
    </row>
    <row r="4977" spans="1:15" hidden="1" x14ac:dyDescent="0.2">
      <c r="A4977" s="3"/>
      <c r="B4977" s="2"/>
      <c r="C4977" s="2"/>
      <c r="D4977" s="2"/>
      <c r="E4977" s="2"/>
      <c r="F4977" s="2"/>
      <c r="G4977" s="2"/>
      <c r="O4977"/>
    </row>
    <row r="4978" spans="1:15" hidden="1" x14ac:dyDescent="0.2">
      <c r="A4978" s="3"/>
      <c r="B4978" s="2"/>
      <c r="C4978" s="2"/>
      <c r="D4978" s="2"/>
      <c r="E4978" s="2"/>
      <c r="F4978" s="2"/>
      <c r="G4978" s="2"/>
      <c r="O4978"/>
    </row>
    <row r="4979" spans="1:15" hidden="1" x14ac:dyDescent="0.2">
      <c r="A4979" s="3"/>
      <c r="B4979" s="2"/>
      <c r="C4979" s="2"/>
      <c r="D4979" s="2"/>
      <c r="E4979" s="2"/>
      <c r="F4979" s="2"/>
      <c r="G4979" s="2"/>
      <c r="O4979"/>
    </row>
    <row r="4980" spans="1:15" hidden="1" x14ac:dyDescent="0.2">
      <c r="A4980" s="3"/>
      <c r="B4980" s="2"/>
      <c r="C4980" s="2"/>
      <c r="D4980" s="2"/>
      <c r="E4980" s="2"/>
      <c r="F4980" s="2"/>
      <c r="G4980" s="2"/>
      <c r="O4980"/>
    </row>
    <row r="4981" spans="1:15" hidden="1" x14ac:dyDescent="0.2">
      <c r="A4981" s="3"/>
      <c r="B4981" s="2"/>
      <c r="C4981" s="2"/>
      <c r="D4981" s="2"/>
      <c r="E4981" s="2"/>
      <c r="F4981" s="2"/>
      <c r="G4981" s="2"/>
      <c r="O4981"/>
    </row>
    <row r="4982" spans="1:15" hidden="1" x14ac:dyDescent="0.2">
      <c r="A4982" s="3"/>
      <c r="B4982" s="2"/>
      <c r="C4982" s="2"/>
      <c r="D4982" s="2"/>
      <c r="E4982" s="2"/>
      <c r="F4982" s="2"/>
      <c r="G4982" s="2"/>
      <c r="O4982"/>
    </row>
    <row r="4983" spans="1:15" hidden="1" x14ac:dyDescent="0.2">
      <c r="A4983" s="3"/>
      <c r="B4983" s="2"/>
      <c r="C4983" s="2"/>
      <c r="D4983" s="2"/>
      <c r="E4983" s="2"/>
      <c r="F4983" s="2"/>
      <c r="G4983" s="2"/>
      <c r="O4983"/>
    </row>
    <row r="4984" spans="1:15" hidden="1" x14ac:dyDescent="0.2">
      <c r="A4984" s="3"/>
      <c r="B4984" s="2"/>
      <c r="C4984" s="2"/>
      <c r="D4984" s="2"/>
      <c r="E4984" s="2"/>
      <c r="F4984" s="2"/>
      <c r="G4984" s="2"/>
      <c r="O4984"/>
    </row>
    <row r="4985" spans="1:15" hidden="1" x14ac:dyDescent="0.2">
      <c r="A4985" s="3"/>
      <c r="B4985" s="2"/>
      <c r="C4985" s="2"/>
      <c r="D4985" s="2"/>
      <c r="E4985" s="2"/>
      <c r="F4985" s="2"/>
      <c r="G4985" s="2"/>
      <c r="O4985"/>
    </row>
    <row r="4986" spans="1:15" hidden="1" x14ac:dyDescent="0.2">
      <c r="A4986" s="3"/>
      <c r="B4986" s="2"/>
      <c r="C4986" s="2"/>
      <c r="D4986" s="2"/>
      <c r="E4986" s="2"/>
      <c r="F4986" s="2"/>
      <c r="G4986" s="2"/>
      <c r="O4986"/>
    </row>
    <row r="4987" spans="1:15" hidden="1" x14ac:dyDescent="0.2">
      <c r="A4987" s="3"/>
      <c r="B4987" s="2"/>
      <c r="C4987" s="2"/>
      <c r="D4987" s="2"/>
      <c r="E4987" s="2"/>
      <c r="F4987" s="2"/>
      <c r="G4987" s="2"/>
      <c r="O4987"/>
    </row>
    <row r="4988" spans="1:15" hidden="1" x14ac:dyDescent="0.2">
      <c r="A4988" s="3"/>
      <c r="B4988" s="2"/>
      <c r="C4988" s="2"/>
      <c r="D4988" s="2"/>
      <c r="E4988" s="2"/>
      <c r="F4988" s="2"/>
      <c r="G4988" s="2"/>
      <c r="O4988"/>
    </row>
    <row r="4989" spans="1:15" hidden="1" x14ac:dyDescent="0.2">
      <c r="A4989" s="3"/>
      <c r="B4989" s="2"/>
      <c r="C4989" s="2"/>
      <c r="D4989" s="2"/>
      <c r="E4989" s="2"/>
      <c r="F4989" s="2"/>
      <c r="G4989" s="2"/>
      <c r="O4989"/>
    </row>
    <row r="4990" spans="1:15" hidden="1" x14ac:dyDescent="0.2">
      <c r="A4990" s="3"/>
      <c r="B4990" s="2"/>
      <c r="C4990" s="2"/>
      <c r="D4990" s="2"/>
      <c r="E4990" s="2"/>
      <c r="F4990" s="2"/>
      <c r="G4990" s="2"/>
      <c r="O4990"/>
    </row>
    <row r="4991" spans="1:15" hidden="1" x14ac:dyDescent="0.2">
      <c r="A4991" s="3"/>
      <c r="B4991" s="2"/>
      <c r="C4991" s="2"/>
      <c r="D4991" s="2"/>
      <c r="E4991" s="2"/>
      <c r="F4991" s="2"/>
      <c r="G4991" s="2"/>
      <c r="O4991"/>
    </row>
    <row r="4992" spans="1:15" hidden="1" x14ac:dyDescent="0.2">
      <c r="A4992" s="3"/>
      <c r="B4992" s="2"/>
      <c r="C4992" s="2"/>
      <c r="D4992" s="2"/>
      <c r="E4992" s="2"/>
      <c r="F4992" s="2"/>
      <c r="G4992" s="2"/>
      <c r="O4992"/>
    </row>
    <row r="4993" spans="1:15" hidden="1" x14ac:dyDescent="0.2">
      <c r="A4993" s="3"/>
      <c r="B4993" s="2"/>
      <c r="C4993" s="2"/>
      <c r="D4993" s="2"/>
      <c r="E4993" s="2"/>
      <c r="F4993" s="2"/>
      <c r="G4993" s="2"/>
      <c r="O4993"/>
    </row>
    <row r="4994" spans="1:15" hidden="1" x14ac:dyDescent="0.2">
      <c r="A4994" s="3"/>
      <c r="B4994" s="2"/>
      <c r="C4994" s="2"/>
      <c r="D4994" s="2"/>
      <c r="E4994" s="2"/>
      <c r="F4994" s="2"/>
      <c r="G4994" s="2"/>
      <c r="O4994"/>
    </row>
    <row r="4995" spans="1:15" hidden="1" x14ac:dyDescent="0.2">
      <c r="A4995" s="3"/>
      <c r="B4995" s="2"/>
      <c r="C4995" s="2"/>
      <c r="D4995" s="2"/>
      <c r="E4995" s="2"/>
      <c r="F4995" s="2"/>
      <c r="G4995" s="2"/>
      <c r="O4995"/>
    </row>
    <row r="4996" spans="1:15" hidden="1" x14ac:dyDescent="0.2">
      <c r="A4996" s="3"/>
      <c r="B4996" s="2"/>
      <c r="C4996" s="2"/>
      <c r="D4996" s="2"/>
      <c r="E4996" s="2"/>
      <c r="F4996" s="2"/>
      <c r="G4996" s="2"/>
      <c r="O4996"/>
    </row>
    <row r="4997" spans="1:15" hidden="1" x14ac:dyDescent="0.2">
      <c r="A4997" s="3"/>
      <c r="B4997" s="2"/>
      <c r="C4997" s="2"/>
      <c r="D4997" s="2"/>
      <c r="E4997" s="2"/>
      <c r="F4997" s="2"/>
      <c r="G4997" s="2"/>
      <c r="O4997"/>
    </row>
    <row r="4998" spans="1:15" hidden="1" x14ac:dyDescent="0.2">
      <c r="A4998" s="3"/>
      <c r="B4998" s="2"/>
      <c r="C4998" s="2"/>
      <c r="D4998" s="2"/>
      <c r="E4998" s="2"/>
      <c r="F4998" s="2"/>
      <c r="G4998" s="2"/>
      <c r="O4998"/>
    </row>
    <row r="4999" spans="1:15" hidden="1" x14ac:dyDescent="0.2">
      <c r="A4999" s="3"/>
      <c r="B4999" s="2"/>
      <c r="C4999" s="2"/>
      <c r="D4999" s="2"/>
      <c r="E4999" s="2"/>
      <c r="F4999" s="2"/>
      <c r="G4999" s="2"/>
      <c r="O4999"/>
    </row>
    <row r="5000" spans="1:15" hidden="1" x14ac:dyDescent="0.2">
      <c r="A5000" s="3"/>
      <c r="B5000" s="2"/>
      <c r="C5000" s="2"/>
      <c r="D5000" s="2"/>
      <c r="E5000" s="2"/>
      <c r="F5000" s="2"/>
      <c r="G5000" s="2"/>
      <c r="O5000"/>
    </row>
    <row r="5001" spans="1:15" hidden="1" x14ac:dyDescent="0.2">
      <c r="A5001" s="3"/>
      <c r="B5001" s="2"/>
      <c r="C5001" s="2"/>
      <c r="D5001" s="2"/>
      <c r="E5001" s="2"/>
      <c r="F5001" s="2"/>
      <c r="G5001" s="2"/>
      <c r="O5001"/>
    </row>
    <row r="5002" spans="1:15" hidden="1" x14ac:dyDescent="0.2">
      <c r="A5002" s="3"/>
      <c r="B5002" s="2"/>
      <c r="C5002" s="2"/>
      <c r="D5002" s="2"/>
      <c r="E5002" s="2"/>
      <c r="F5002" s="2"/>
      <c r="G5002" s="2"/>
      <c r="O5002"/>
    </row>
    <row r="5003" spans="1:15" hidden="1" x14ac:dyDescent="0.2">
      <c r="A5003" s="3"/>
      <c r="B5003" s="2"/>
      <c r="C5003" s="2"/>
      <c r="D5003" s="2"/>
      <c r="E5003" s="2"/>
      <c r="F5003" s="2"/>
      <c r="G5003" s="2"/>
      <c r="O5003"/>
    </row>
    <row r="5004" spans="1:15" hidden="1" x14ac:dyDescent="0.2">
      <c r="A5004" s="3"/>
      <c r="B5004" s="2"/>
      <c r="C5004" s="2"/>
      <c r="D5004" s="2"/>
      <c r="E5004" s="2"/>
      <c r="F5004" s="2"/>
      <c r="G5004" s="2"/>
      <c r="O5004"/>
    </row>
    <row r="5005" spans="1:15" hidden="1" x14ac:dyDescent="0.2">
      <c r="A5005" s="3"/>
      <c r="B5005" s="2"/>
      <c r="C5005" s="2"/>
      <c r="D5005" s="2"/>
      <c r="E5005" s="2"/>
      <c r="F5005" s="2"/>
      <c r="G5005" s="2"/>
      <c r="O5005"/>
    </row>
    <row r="5006" spans="1:15" hidden="1" x14ac:dyDescent="0.2">
      <c r="A5006" s="3"/>
      <c r="B5006" s="2"/>
      <c r="C5006" s="2"/>
      <c r="D5006" s="2"/>
      <c r="E5006" s="2"/>
      <c r="F5006" s="2"/>
      <c r="G5006" s="2"/>
      <c r="O5006"/>
    </row>
    <row r="5007" spans="1:15" hidden="1" x14ac:dyDescent="0.2">
      <c r="A5007" s="3"/>
      <c r="B5007" s="2"/>
      <c r="C5007" s="2"/>
      <c r="D5007" s="2"/>
      <c r="E5007" s="2"/>
      <c r="F5007" s="2"/>
      <c r="G5007" s="2"/>
      <c r="O5007"/>
    </row>
    <row r="5008" spans="1:15" hidden="1" x14ac:dyDescent="0.2">
      <c r="A5008" s="3"/>
      <c r="B5008" s="2"/>
      <c r="C5008" s="2"/>
      <c r="D5008" s="2"/>
      <c r="E5008" s="2"/>
      <c r="F5008" s="2"/>
      <c r="G5008" s="2"/>
      <c r="O5008"/>
    </row>
    <row r="5009" spans="1:15" hidden="1" x14ac:dyDescent="0.2">
      <c r="A5009" s="3"/>
      <c r="B5009" s="2"/>
      <c r="C5009" s="2"/>
      <c r="D5009" s="2"/>
      <c r="E5009" s="2"/>
      <c r="F5009" s="2"/>
      <c r="G5009" s="2"/>
      <c r="O5009"/>
    </row>
    <row r="5010" spans="1:15" hidden="1" x14ac:dyDescent="0.2">
      <c r="A5010" s="3"/>
      <c r="B5010" s="2"/>
      <c r="C5010" s="2"/>
      <c r="D5010" s="2"/>
      <c r="E5010" s="2"/>
      <c r="F5010" s="2"/>
      <c r="G5010" s="2"/>
      <c r="O5010"/>
    </row>
    <row r="5011" spans="1:15" hidden="1" x14ac:dyDescent="0.2">
      <c r="A5011" s="3"/>
      <c r="B5011" s="2"/>
      <c r="C5011" s="2"/>
      <c r="D5011" s="2"/>
      <c r="E5011" s="2"/>
      <c r="F5011" s="2"/>
      <c r="G5011" s="2"/>
      <c r="O5011"/>
    </row>
    <row r="5012" spans="1:15" hidden="1" x14ac:dyDescent="0.2">
      <c r="A5012" s="3"/>
      <c r="B5012" s="2"/>
      <c r="C5012" s="2"/>
      <c r="D5012" s="2"/>
      <c r="E5012" s="2"/>
      <c r="F5012" s="2"/>
      <c r="G5012" s="2"/>
      <c r="O5012"/>
    </row>
    <row r="5013" spans="1:15" hidden="1" x14ac:dyDescent="0.2">
      <c r="A5013" s="3"/>
      <c r="B5013" s="2"/>
      <c r="C5013" s="2"/>
      <c r="D5013" s="2"/>
      <c r="E5013" s="2"/>
      <c r="F5013" s="2"/>
      <c r="G5013" s="2"/>
      <c r="O5013"/>
    </row>
    <row r="5014" spans="1:15" hidden="1" x14ac:dyDescent="0.2">
      <c r="A5014" s="3"/>
      <c r="B5014" s="2"/>
      <c r="C5014" s="2"/>
      <c r="D5014" s="2"/>
      <c r="E5014" s="2"/>
      <c r="F5014" s="2"/>
      <c r="G5014" s="2"/>
      <c r="O5014"/>
    </row>
    <row r="5015" spans="1:15" hidden="1" x14ac:dyDescent="0.2">
      <c r="A5015" s="3"/>
      <c r="B5015" s="2"/>
      <c r="C5015" s="2"/>
      <c r="D5015" s="2"/>
      <c r="E5015" s="2"/>
      <c r="F5015" s="2"/>
      <c r="G5015" s="2"/>
      <c r="O5015"/>
    </row>
    <row r="5016" spans="1:15" hidden="1" x14ac:dyDescent="0.2">
      <c r="A5016" s="3"/>
      <c r="B5016" s="2"/>
      <c r="C5016" s="2"/>
      <c r="D5016" s="2"/>
      <c r="E5016" s="2"/>
      <c r="F5016" s="2"/>
      <c r="G5016" s="2"/>
      <c r="O5016"/>
    </row>
    <row r="5017" spans="1:15" hidden="1" x14ac:dyDescent="0.2">
      <c r="A5017" s="3"/>
      <c r="B5017" s="2"/>
      <c r="C5017" s="2"/>
      <c r="D5017" s="2"/>
      <c r="E5017" s="2"/>
      <c r="F5017" s="2"/>
      <c r="G5017" s="2"/>
      <c r="O5017"/>
    </row>
    <row r="5018" spans="1:15" hidden="1" x14ac:dyDescent="0.2">
      <c r="A5018" s="3"/>
      <c r="B5018" s="2"/>
      <c r="C5018" s="2"/>
      <c r="D5018" s="2"/>
      <c r="E5018" s="2"/>
      <c r="F5018" s="2"/>
      <c r="G5018" s="2"/>
      <c r="O5018"/>
    </row>
    <row r="5019" spans="1:15" hidden="1" x14ac:dyDescent="0.2">
      <c r="A5019" s="3"/>
      <c r="B5019" s="2"/>
      <c r="C5019" s="2"/>
      <c r="D5019" s="2"/>
      <c r="E5019" s="2"/>
      <c r="F5019" s="2"/>
      <c r="G5019" s="2"/>
      <c r="O5019"/>
    </row>
    <row r="5020" spans="1:15" hidden="1" x14ac:dyDescent="0.2">
      <c r="A5020" s="3"/>
      <c r="B5020" s="2"/>
      <c r="C5020" s="2"/>
      <c r="D5020" s="2"/>
      <c r="E5020" s="2"/>
      <c r="F5020" s="2"/>
      <c r="G5020" s="2"/>
      <c r="O5020"/>
    </row>
    <row r="5021" spans="1:15" hidden="1" x14ac:dyDescent="0.2">
      <c r="A5021" s="3"/>
      <c r="B5021" s="2"/>
      <c r="C5021" s="2"/>
      <c r="D5021" s="2"/>
      <c r="E5021" s="2"/>
      <c r="F5021" s="2"/>
      <c r="G5021" s="2"/>
      <c r="O5021"/>
    </row>
    <row r="5022" spans="1:15" hidden="1" x14ac:dyDescent="0.2">
      <c r="A5022" s="3"/>
      <c r="B5022" s="2"/>
      <c r="C5022" s="2"/>
      <c r="D5022" s="2"/>
      <c r="E5022" s="2"/>
      <c r="F5022" s="2"/>
      <c r="G5022" s="2"/>
      <c r="O5022"/>
    </row>
    <row r="5023" spans="1:15" hidden="1" x14ac:dyDescent="0.2">
      <c r="A5023" s="3"/>
      <c r="B5023" s="2"/>
      <c r="C5023" s="2"/>
      <c r="D5023" s="2"/>
      <c r="E5023" s="2"/>
      <c r="F5023" s="2"/>
      <c r="G5023" s="2"/>
      <c r="O5023"/>
    </row>
    <row r="5024" spans="1:15" hidden="1" x14ac:dyDescent="0.2">
      <c r="A5024" s="3"/>
      <c r="B5024" s="2"/>
      <c r="C5024" s="2"/>
      <c r="D5024" s="2"/>
      <c r="E5024" s="2"/>
      <c r="F5024" s="2"/>
      <c r="G5024" s="2"/>
      <c r="O5024"/>
    </row>
    <row r="5025" spans="1:15" hidden="1" x14ac:dyDescent="0.2">
      <c r="A5025" s="3"/>
      <c r="B5025" s="2"/>
      <c r="C5025" s="2"/>
      <c r="D5025" s="2"/>
      <c r="E5025" s="2"/>
      <c r="F5025" s="2"/>
      <c r="G5025" s="2"/>
      <c r="O5025"/>
    </row>
    <row r="5026" spans="1:15" hidden="1" x14ac:dyDescent="0.2">
      <c r="A5026" s="3"/>
      <c r="B5026" s="2"/>
      <c r="C5026" s="2"/>
      <c r="D5026" s="2"/>
      <c r="E5026" s="2"/>
      <c r="F5026" s="2"/>
      <c r="G5026" s="2"/>
      <c r="O5026"/>
    </row>
    <row r="5027" spans="1:15" hidden="1" x14ac:dyDescent="0.2">
      <c r="A5027" s="3"/>
      <c r="B5027" s="2"/>
      <c r="C5027" s="2"/>
      <c r="D5027" s="2"/>
      <c r="E5027" s="2"/>
      <c r="F5027" s="2"/>
      <c r="G5027" s="2"/>
      <c r="O5027"/>
    </row>
    <row r="5028" spans="1:15" hidden="1" x14ac:dyDescent="0.2">
      <c r="A5028" s="3"/>
      <c r="B5028" s="2"/>
      <c r="C5028" s="2"/>
      <c r="D5028" s="2"/>
      <c r="E5028" s="2"/>
      <c r="F5028" s="2"/>
      <c r="G5028" s="2"/>
      <c r="O5028"/>
    </row>
    <row r="5029" spans="1:15" hidden="1" x14ac:dyDescent="0.2">
      <c r="A5029" s="3"/>
      <c r="B5029" s="2"/>
      <c r="C5029" s="2"/>
      <c r="D5029" s="2"/>
      <c r="E5029" s="2"/>
      <c r="F5029" s="2"/>
      <c r="G5029" s="2"/>
      <c r="O5029"/>
    </row>
    <row r="5030" spans="1:15" hidden="1" x14ac:dyDescent="0.2">
      <c r="A5030" s="3"/>
      <c r="B5030" s="2"/>
      <c r="C5030" s="2"/>
      <c r="D5030" s="2"/>
      <c r="E5030" s="2"/>
      <c r="F5030" s="2"/>
      <c r="G5030" s="2"/>
      <c r="O5030"/>
    </row>
    <row r="5031" spans="1:15" hidden="1" x14ac:dyDescent="0.2">
      <c r="A5031" s="3"/>
      <c r="B5031" s="2"/>
      <c r="C5031" s="2"/>
      <c r="D5031" s="2"/>
      <c r="E5031" s="2"/>
      <c r="F5031" s="2"/>
      <c r="G5031" s="2"/>
      <c r="O5031"/>
    </row>
    <row r="5032" spans="1:15" hidden="1" x14ac:dyDescent="0.2">
      <c r="A5032" s="3"/>
      <c r="B5032" s="2"/>
      <c r="C5032" s="2"/>
      <c r="D5032" s="2"/>
      <c r="E5032" s="2"/>
      <c r="F5032" s="2"/>
      <c r="G5032" s="2"/>
      <c r="O5032"/>
    </row>
    <row r="5033" spans="1:15" hidden="1" x14ac:dyDescent="0.2">
      <c r="A5033" s="3"/>
      <c r="B5033" s="2"/>
      <c r="C5033" s="2"/>
      <c r="D5033" s="2"/>
      <c r="E5033" s="2"/>
      <c r="F5033" s="2"/>
      <c r="G5033" s="2"/>
      <c r="O5033"/>
    </row>
    <row r="5034" spans="1:15" hidden="1" x14ac:dyDescent="0.2">
      <c r="A5034" s="3"/>
      <c r="B5034" s="2"/>
      <c r="C5034" s="2"/>
      <c r="D5034" s="2"/>
      <c r="E5034" s="2"/>
      <c r="F5034" s="2"/>
      <c r="G5034" s="2"/>
      <c r="O5034"/>
    </row>
    <row r="5035" spans="1:15" hidden="1" x14ac:dyDescent="0.2">
      <c r="A5035" s="3"/>
      <c r="B5035" s="2"/>
      <c r="C5035" s="2"/>
      <c r="D5035" s="2"/>
      <c r="E5035" s="2"/>
      <c r="F5035" s="2"/>
      <c r="G5035" s="2"/>
      <c r="O5035"/>
    </row>
    <row r="5036" spans="1:15" hidden="1" x14ac:dyDescent="0.2">
      <c r="A5036" s="3"/>
      <c r="B5036" s="2"/>
      <c r="C5036" s="2"/>
      <c r="D5036" s="2"/>
      <c r="E5036" s="2"/>
      <c r="F5036" s="2"/>
      <c r="G5036" s="2"/>
      <c r="O5036"/>
    </row>
    <row r="5037" spans="1:15" hidden="1" x14ac:dyDescent="0.2">
      <c r="A5037" s="3"/>
      <c r="B5037" s="2"/>
      <c r="C5037" s="2"/>
      <c r="D5037" s="2"/>
      <c r="E5037" s="2"/>
      <c r="F5037" s="2"/>
      <c r="G5037" s="2"/>
      <c r="O5037"/>
    </row>
    <row r="5038" spans="1:15" hidden="1" x14ac:dyDescent="0.2">
      <c r="A5038" s="3"/>
      <c r="B5038" s="2"/>
      <c r="C5038" s="2"/>
      <c r="D5038" s="2"/>
      <c r="E5038" s="2"/>
      <c r="F5038" s="2"/>
      <c r="G5038" s="2"/>
      <c r="O5038"/>
    </row>
    <row r="5039" spans="1:15" hidden="1" x14ac:dyDescent="0.2">
      <c r="A5039" s="3"/>
      <c r="B5039" s="2"/>
      <c r="C5039" s="2"/>
      <c r="D5039" s="2"/>
      <c r="E5039" s="2"/>
      <c r="F5039" s="2"/>
      <c r="G5039" s="2"/>
      <c r="O5039"/>
    </row>
    <row r="5040" spans="1:15" hidden="1" x14ac:dyDescent="0.2">
      <c r="A5040" s="3"/>
      <c r="B5040" s="2"/>
      <c r="C5040" s="2"/>
      <c r="D5040" s="2"/>
      <c r="E5040" s="2"/>
      <c r="F5040" s="2"/>
      <c r="G5040" s="2"/>
      <c r="O5040"/>
    </row>
    <row r="5041" spans="1:15" hidden="1" x14ac:dyDescent="0.2">
      <c r="A5041" s="3"/>
      <c r="B5041" s="2"/>
      <c r="C5041" s="2"/>
      <c r="D5041" s="2"/>
      <c r="E5041" s="2"/>
      <c r="F5041" s="2"/>
      <c r="G5041" s="2"/>
      <c r="O5041"/>
    </row>
    <row r="5042" spans="1:15" hidden="1" x14ac:dyDescent="0.2">
      <c r="A5042" s="3"/>
      <c r="B5042" s="2"/>
      <c r="C5042" s="2"/>
      <c r="D5042" s="2"/>
      <c r="E5042" s="2"/>
      <c r="F5042" s="2"/>
      <c r="G5042" s="2"/>
      <c r="O5042"/>
    </row>
    <row r="5043" spans="1:15" hidden="1" x14ac:dyDescent="0.2">
      <c r="A5043" s="3"/>
      <c r="B5043" s="2"/>
      <c r="C5043" s="2"/>
      <c r="D5043" s="2"/>
      <c r="E5043" s="2"/>
      <c r="F5043" s="2"/>
      <c r="G5043" s="2"/>
      <c r="O5043"/>
    </row>
    <row r="5044" spans="1:15" hidden="1" x14ac:dyDescent="0.2">
      <c r="A5044" s="3"/>
      <c r="B5044" s="2"/>
      <c r="C5044" s="2"/>
      <c r="D5044" s="2"/>
      <c r="E5044" s="2"/>
      <c r="F5044" s="2"/>
      <c r="G5044" s="2"/>
      <c r="O5044"/>
    </row>
    <row r="5045" spans="1:15" hidden="1" x14ac:dyDescent="0.2">
      <c r="A5045" s="3"/>
      <c r="B5045" s="2"/>
      <c r="C5045" s="2"/>
      <c r="D5045" s="2"/>
      <c r="E5045" s="2"/>
      <c r="F5045" s="2"/>
      <c r="G5045" s="2"/>
      <c r="O5045"/>
    </row>
    <row r="5046" spans="1:15" hidden="1" x14ac:dyDescent="0.2">
      <c r="A5046" s="3"/>
      <c r="B5046" s="2"/>
      <c r="C5046" s="2"/>
      <c r="D5046" s="2"/>
      <c r="E5046" s="2"/>
      <c r="F5046" s="2"/>
      <c r="G5046" s="2"/>
      <c r="O5046"/>
    </row>
    <row r="5047" spans="1:15" hidden="1" x14ac:dyDescent="0.2">
      <c r="A5047" s="3"/>
      <c r="B5047" s="2"/>
      <c r="C5047" s="2"/>
      <c r="D5047" s="2"/>
      <c r="E5047" s="2"/>
      <c r="F5047" s="2"/>
      <c r="G5047" s="2"/>
      <c r="O5047"/>
    </row>
    <row r="5048" spans="1:15" hidden="1" x14ac:dyDescent="0.2">
      <c r="A5048" s="3"/>
      <c r="B5048" s="2"/>
      <c r="C5048" s="2"/>
      <c r="D5048" s="2"/>
      <c r="E5048" s="2"/>
      <c r="F5048" s="2"/>
      <c r="G5048" s="2"/>
      <c r="O5048"/>
    </row>
    <row r="5049" spans="1:15" hidden="1" x14ac:dyDescent="0.2">
      <c r="A5049" s="3"/>
      <c r="B5049" s="2"/>
      <c r="C5049" s="2"/>
      <c r="D5049" s="2"/>
      <c r="E5049" s="2"/>
      <c r="F5049" s="2"/>
      <c r="G5049" s="2"/>
      <c r="O5049"/>
    </row>
    <row r="5050" spans="1:15" hidden="1" x14ac:dyDescent="0.2">
      <c r="A5050" s="3"/>
      <c r="B5050" s="2"/>
      <c r="C5050" s="2"/>
      <c r="D5050" s="2"/>
      <c r="E5050" s="2"/>
      <c r="F5050" s="2"/>
      <c r="G5050" s="2"/>
      <c r="O5050"/>
    </row>
    <row r="5051" spans="1:15" hidden="1" x14ac:dyDescent="0.2">
      <c r="A5051" s="3"/>
      <c r="B5051" s="2"/>
      <c r="C5051" s="2"/>
      <c r="D5051" s="2"/>
      <c r="E5051" s="2"/>
      <c r="F5051" s="2"/>
      <c r="G5051" s="2"/>
      <c r="O5051"/>
    </row>
    <row r="5052" spans="1:15" hidden="1" x14ac:dyDescent="0.2">
      <c r="A5052" s="3"/>
      <c r="B5052" s="2"/>
      <c r="C5052" s="2"/>
      <c r="D5052" s="2"/>
      <c r="E5052" s="2"/>
      <c r="F5052" s="2"/>
      <c r="G5052" s="2"/>
      <c r="O5052"/>
    </row>
    <row r="5053" spans="1:15" hidden="1" x14ac:dyDescent="0.2">
      <c r="A5053" s="3"/>
      <c r="B5053" s="2"/>
      <c r="C5053" s="2"/>
      <c r="D5053" s="2"/>
      <c r="E5053" s="2"/>
      <c r="F5053" s="2"/>
      <c r="G5053" s="2"/>
      <c r="O5053"/>
    </row>
    <row r="5054" spans="1:15" hidden="1" x14ac:dyDescent="0.2">
      <c r="A5054" s="3"/>
      <c r="B5054" s="2"/>
      <c r="C5054" s="2"/>
      <c r="D5054" s="2"/>
      <c r="E5054" s="2"/>
      <c r="F5054" s="2"/>
      <c r="G5054" s="2"/>
      <c r="O5054"/>
    </row>
    <row r="5055" spans="1:15" hidden="1" x14ac:dyDescent="0.2">
      <c r="A5055" s="3"/>
      <c r="B5055" s="2"/>
      <c r="C5055" s="2"/>
      <c r="D5055" s="2"/>
      <c r="E5055" s="2"/>
      <c r="F5055" s="2"/>
      <c r="G5055" s="2"/>
      <c r="O5055"/>
    </row>
    <row r="5056" spans="1:15" hidden="1" x14ac:dyDescent="0.2">
      <c r="A5056" s="3"/>
      <c r="B5056" s="2"/>
      <c r="C5056" s="2"/>
      <c r="D5056" s="2"/>
      <c r="E5056" s="2"/>
      <c r="F5056" s="2"/>
      <c r="G5056" s="2"/>
      <c r="O5056"/>
    </row>
    <row r="5057" spans="1:15" hidden="1" x14ac:dyDescent="0.2">
      <c r="A5057" s="3"/>
      <c r="B5057" s="2"/>
      <c r="C5057" s="2"/>
      <c r="D5057" s="2"/>
      <c r="E5057" s="2"/>
      <c r="F5057" s="2"/>
      <c r="G5057" s="2"/>
      <c r="O5057"/>
    </row>
    <row r="5058" spans="1:15" hidden="1" x14ac:dyDescent="0.2">
      <c r="A5058" s="3"/>
      <c r="B5058" s="2"/>
      <c r="C5058" s="2"/>
      <c r="D5058" s="2"/>
      <c r="E5058" s="2"/>
      <c r="F5058" s="2"/>
      <c r="G5058" s="2"/>
      <c r="O5058"/>
    </row>
    <row r="5059" spans="1:15" hidden="1" x14ac:dyDescent="0.2">
      <c r="A5059" s="3"/>
      <c r="B5059" s="2"/>
      <c r="C5059" s="2"/>
      <c r="D5059" s="2"/>
      <c r="E5059" s="2"/>
      <c r="F5059" s="2"/>
      <c r="G5059" s="2"/>
      <c r="O5059"/>
    </row>
    <row r="5060" spans="1:15" hidden="1" x14ac:dyDescent="0.2">
      <c r="A5060" s="3"/>
      <c r="B5060" s="2"/>
      <c r="C5060" s="2"/>
      <c r="D5060" s="2"/>
      <c r="E5060" s="2"/>
      <c r="F5060" s="2"/>
      <c r="G5060" s="2"/>
      <c r="O5060"/>
    </row>
    <row r="5061" spans="1:15" hidden="1" x14ac:dyDescent="0.2">
      <c r="A5061" s="3"/>
      <c r="B5061" s="2"/>
      <c r="C5061" s="2"/>
      <c r="D5061" s="2"/>
      <c r="E5061" s="2"/>
      <c r="F5061" s="2"/>
      <c r="G5061" s="2"/>
      <c r="O5061"/>
    </row>
    <row r="5062" spans="1:15" hidden="1" x14ac:dyDescent="0.2">
      <c r="A5062" s="3"/>
      <c r="B5062" s="2"/>
      <c r="C5062" s="2"/>
      <c r="D5062" s="2"/>
      <c r="E5062" s="2"/>
      <c r="F5062" s="2"/>
      <c r="G5062" s="2"/>
      <c r="O5062"/>
    </row>
    <row r="5063" spans="1:15" hidden="1" x14ac:dyDescent="0.2">
      <c r="A5063" s="3"/>
      <c r="B5063" s="2"/>
      <c r="C5063" s="2"/>
      <c r="D5063" s="2"/>
      <c r="E5063" s="2"/>
      <c r="F5063" s="2"/>
      <c r="G5063" s="2"/>
      <c r="O5063"/>
    </row>
    <row r="5064" spans="1:15" hidden="1" x14ac:dyDescent="0.2">
      <c r="A5064" s="3"/>
      <c r="B5064" s="2"/>
      <c r="C5064" s="2"/>
      <c r="D5064" s="2"/>
      <c r="E5064" s="2"/>
      <c r="F5064" s="2"/>
      <c r="G5064" s="2"/>
      <c r="O5064"/>
    </row>
    <row r="5065" spans="1:15" hidden="1" x14ac:dyDescent="0.2">
      <c r="A5065" s="3"/>
      <c r="B5065" s="2"/>
      <c r="C5065" s="2"/>
      <c r="D5065" s="2"/>
      <c r="E5065" s="2"/>
      <c r="F5065" s="2"/>
      <c r="G5065" s="2"/>
      <c r="O5065"/>
    </row>
    <row r="5066" spans="1:15" hidden="1" x14ac:dyDescent="0.2">
      <c r="A5066" s="3"/>
      <c r="B5066" s="2"/>
      <c r="C5066" s="2"/>
      <c r="D5066" s="2"/>
      <c r="E5066" s="2"/>
      <c r="F5066" s="2"/>
      <c r="G5066" s="2"/>
      <c r="O5066"/>
    </row>
    <row r="5067" spans="1:15" hidden="1" x14ac:dyDescent="0.2">
      <c r="A5067" s="3"/>
      <c r="B5067" s="2"/>
      <c r="C5067" s="2"/>
      <c r="D5067" s="2"/>
      <c r="E5067" s="2"/>
      <c r="F5067" s="2"/>
      <c r="G5067" s="2"/>
      <c r="O5067"/>
    </row>
    <row r="5068" spans="1:15" hidden="1" x14ac:dyDescent="0.2">
      <c r="A5068" s="3"/>
      <c r="B5068" s="2"/>
      <c r="C5068" s="2"/>
      <c r="D5068" s="2"/>
      <c r="E5068" s="2"/>
      <c r="F5068" s="2"/>
      <c r="G5068" s="2"/>
      <c r="O5068"/>
    </row>
    <row r="5069" spans="1:15" hidden="1" x14ac:dyDescent="0.2">
      <c r="A5069" s="3"/>
      <c r="B5069" s="2"/>
      <c r="C5069" s="2"/>
      <c r="D5069" s="2"/>
      <c r="E5069" s="2"/>
      <c r="F5069" s="2"/>
      <c r="G5069" s="2"/>
      <c r="O5069"/>
    </row>
    <row r="5070" spans="1:15" hidden="1" x14ac:dyDescent="0.2">
      <c r="A5070" s="3"/>
      <c r="B5070" s="2"/>
      <c r="C5070" s="2"/>
      <c r="D5070" s="2"/>
      <c r="E5070" s="2"/>
      <c r="F5070" s="2"/>
      <c r="G5070" s="2"/>
      <c r="O5070"/>
    </row>
    <row r="5071" spans="1:15" hidden="1" x14ac:dyDescent="0.2">
      <c r="A5071" s="3"/>
      <c r="B5071" s="2"/>
      <c r="C5071" s="2"/>
      <c r="D5071" s="2"/>
      <c r="E5071" s="2"/>
      <c r="F5071" s="2"/>
      <c r="G5071" s="2"/>
      <c r="O5071"/>
    </row>
    <row r="5072" spans="1:15" hidden="1" x14ac:dyDescent="0.2">
      <c r="A5072" s="3"/>
      <c r="B5072" s="2"/>
      <c r="C5072" s="2"/>
      <c r="D5072" s="2"/>
      <c r="E5072" s="2"/>
      <c r="F5072" s="2"/>
      <c r="G5072" s="2"/>
      <c r="O5072"/>
    </row>
    <row r="5073" spans="1:15" hidden="1" x14ac:dyDescent="0.2">
      <c r="A5073" s="3"/>
      <c r="B5073" s="2"/>
      <c r="C5073" s="2"/>
      <c r="D5073" s="2"/>
      <c r="E5073" s="2"/>
      <c r="F5073" s="2"/>
      <c r="G5073" s="2"/>
      <c r="O5073"/>
    </row>
    <row r="5074" spans="1:15" hidden="1" x14ac:dyDescent="0.2">
      <c r="A5074" s="3"/>
      <c r="B5074" s="2"/>
      <c r="C5074" s="2"/>
      <c r="D5074" s="2"/>
      <c r="E5074" s="2"/>
      <c r="F5074" s="2"/>
      <c r="G5074" s="2"/>
      <c r="O5074"/>
    </row>
    <row r="5075" spans="1:15" hidden="1" x14ac:dyDescent="0.2">
      <c r="A5075" s="3"/>
      <c r="B5075" s="2"/>
      <c r="C5075" s="2"/>
      <c r="D5075" s="2"/>
      <c r="E5075" s="2"/>
      <c r="F5075" s="2"/>
      <c r="G5075" s="2"/>
      <c r="O5075"/>
    </row>
    <row r="5076" spans="1:15" hidden="1" x14ac:dyDescent="0.2">
      <c r="A5076" s="3"/>
      <c r="B5076" s="2"/>
      <c r="C5076" s="2"/>
      <c r="D5076" s="2"/>
      <c r="E5076" s="2"/>
      <c r="F5076" s="2"/>
      <c r="G5076" s="2"/>
      <c r="O5076"/>
    </row>
    <row r="5077" spans="1:15" hidden="1" x14ac:dyDescent="0.2">
      <c r="A5077" s="3"/>
      <c r="B5077" s="2"/>
      <c r="C5077" s="2"/>
      <c r="D5077" s="2"/>
      <c r="E5077" s="2"/>
      <c r="F5077" s="2"/>
      <c r="G5077" s="2"/>
      <c r="O5077"/>
    </row>
    <row r="5078" spans="1:15" hidden="1" x14ac:dyDescent="0.2">
      <c r="A5078" s="3"/>
      <c r="B5078" s="2"/>
      <c r="C5078" s="2"/>
      <c r="D5078" s="2"/>
      <c r="E5078" s="2"/>
      <c r="F5078" s="2"/>
      <c r="G5078" s="2"/>
      <c r="O5078"/>
    </row>
    <row r="5079" spans="1:15" hidden="1" x14ac:dyDescent="0.2">
      <c r="A5079" s="3"/>
      <c r="B5079" s="2"/>
      <c r="C5079" s="2"/>
      <c r="D5079" s="2"/>
      <c r="E5079" s="2"/>
      <c r="F5079" s="2"/>
      <c r="G5079" s="2"/>
      <c r="O5079"/>
    </row>
    <row r="5080" spans="1:15" hidden="1" x14ac:dyDescent="0.2">
      <c r="A5080" s="3"/>
      <c r="B5080" s="2"/>
      <c r="C5080" s="2"/>
      <c r="D5080" s="2"/>
      <c r="E5080" s="2"/>
      <c r="F5080" s="2"/>
      <c r="G5080" s="2"/>
      <c r="O5080"/>
    </row>
    <row r="5081" spans="1:15" hidden="1" x14ac:dyDescent="0.2">
      <c r="A5081" s="3"/>
      <c r="B5081" s="2"/>
      <c r="C5081" s="2"/>
      <c r="D5081" s="2"/>
      <c r="E5081" s="2"/>
      <c r="F5081" s="2"/>
      <c r="G5081" s="2"/>
      <c r="O5081"/>
    </row>
    <row r="5082" spans="1:15" hidden="1" x14ac:dyDescent="0.2">
      <c r="A5082" s="3"/>
      <c r="B5082" s="2"/>
      <c r="C5082" s="2"/>
      <c r="D5082" s="2"/>
      <c r="E5082" s="2"/>
      <c r="F5082" s="2"/>
      <c r="G5082" s="2"/>
      <c r="O5082"/>
    </row>
    <row r="5083" spans="1:15" hidden="1" x14ac:dyDescent="0.2">
      <c r="A5083" s="3"/>
      <c r="B5083" s="2"/>
      <c r="C5083" s="2"/>
      <c r="D5083" s="2"/>
      <c r="E5083" s="2"/>
      <c r="F5083" s="2"/>
      <c r="G5083" s="2"/>
      <c r="O5083"/>
    </row>
    <row r="5084" spans="1:15" hidden="1" x14ac:dyDescent="0.2">
      <c r="A5084" s="3"/>
      <c r="B5084" s="2"/>
      <c r="C5084" s="2"/>
      <c r="D5084" s="2"/>
      <c r="E5084" s="2"/>
      <c r="F5084" s="2"/>
      <c r="G5084" s="2"/>
      <c r="O5084"/>
    </row>
    <row r="5085" spans="1:15" hidden="1" x14ac:dyDescent="0.2">
      <c r="A5085" s="3"/>
      <c r="B5085" s="2"/>
      <c r="C5085" s="2"/>
      <c r="D5085" s="2"/>
      <c r="E5085" s="2"/>
      <c r="F5085" s="2"/>
      <c r="G5085" s="2"/>
      <c r="O5085"/>
    </row>
    <row r="5086" spans="1:15" hidden="1" x14ac:dyDescent="0.2">
      <c r="A5086" s="3"/>
      <c r="B5086" s="2"/>
      <c r="C5086" s="2"/>
      <c r="D5086" s="2"/>
      <c r="E5086" s="2"/>
      <c r="F5086" s="2"/>
      <c r="G5086" s="2"/>
      <c r="O5086"/>
    </row>
    <row r="5087" spans="1:15" hidden="1" x14ac:dyDescent="0.2">
      <c r="A5087" s="3"/>
      <c r="B5087" s="2"/>
      <c r="C5087" s="2"/>
      <c r="D5087" s="2"/>
      <c r="E5087" s="2"/>
      <c r="F5087" s="2"/>
      <c r="G5087" s="2"/>
      <c r="O5087"/>
    </row>
    <row r="5088" spans="1:15" hidden="1" x14ac:dyDescent="0.2">
      <c r="A5088" s="3"/>
      <c r="B5088" s="2"/>
      <c r="C5088" s="2"/>
      <c r="D5088" s="2"/>
      <c r="E5088" s="2"/>
      <c r="F5088" s="2"/>
      <c r="G5088" s="2"/>
      <c r="O5088"/>
    </row>
    <row r="5089" spans="1:15" hidden="1" x14ac:dyDescent="0.2">
      <c r="A5089" s="3"/>
      <c r="B5089" s="2"/>
      <c r="C5089" s="2"/>
      <c r="D5089" s="2"/>
      <c r="E5089" s="2"/>
      <c r="F5089" s="2"/>
      <c r="G5089" s="2"/>
      <c r="O5089"/>
    </row>
    <row r="5090" spans="1:15" hidden="1" x14ac:dyDescent="0.2">
      <c r="A5090" s="3"/>
      <c r="B5090" s="2"/>
      <c r="C5090" s="2"/>
      <c r="D5090" s="2"/>
      <c r="E5090" s="2"/>
      <c r="F5090" s="2"/>
      <c r="G5090" s="2"/>
      <c r="O5090"/>
    </row>
    <row r="5091" spans="1:15" hidden="1" x14ac:dyDescent="0.2">
      <c r="A5091" s="3"/>
      <c r="B5091" s="2"/>
      <c r="C5091" s="2"/>
      <c r="D5091" s="2"/>
      <c r="E5091" s="2"/>
      <c r="F5091" s="2"/>
      <c r="G5091" s="2"/>
      <c r="O5091"/>
    </row>
    <row r="5092" spans="1:15" hidden="1" x14ac:dyDescent="0.2">
      <c r="A5092" s="3"/>
      <c r="B5092" s="2"/>
      <c r="C5092" s="2"/>
      <c r="D5092" s="2"/>
      <c r="E5092" s="2"/>
      <c r="F5092" s="2"/>
      <c r="G5092" s="2"/>
      <c r="O5092"/>
    </row>
    <row r="5093" spans="1:15" hidden="1" x14ac:dyDescent="0.2">
      <c r="A5093" s="3"/>
      <c r="B5093" s="2"/>
      <c r="C5093" s="2"/>
      <c r="D5093" s="2"/>
      <c r="E5093" s="2"/>
      <c r="F5093" s="2"/>
      <c r="G5093" s="2"/>
      <c r="O5093"/>
    </row>
    <row r="5094" spans="1:15" hidden="1" x14ac:dyDescent="0.2">
      <c r="A5094" s="3"/>
      <c r="B5094" s="2"/>
      <c r="C5094" s="2"/>
      <c r="D5094" s="2"/>
      <c r="E5094" s="2"/>
      <c r="F5094" s="2"/>
      <c r="G5094" s="2"/>
      <c r="O5094"/>
    </row>
    <row r="5095" spans="1:15" hidden="1" x14ac:dyDescent="0.2">
      <c r="A5095" s="3"/>
      <c r="B5095" s="2"/>
      <c r="C5095" s="2"/>
      <c r="D5095" s="2"/>
      <c r="E5095" s="2"/>
      <c r="F5095" s="2"/>
      <c r="G5095" s="2"/>
      <c r="O5095"/>
    </row>
    <row r="5096" spans="1:15" hidden="1" x14ac:dyDescent="0.2">
      <c r="A5096" s="3"/>
      <c r="B5096" s="2"/>
      <c r="C5096" s="2"/>
      <c r="D5096" s="2"/>
      <c r="E5096" s="2"/>
      <c r="F5096" s="2"/>
      <c r="G5096" s="2"/>
      <c r="O5096"/>
    </row>
    <row r="5097" spans="1:15" hidden="1" x14ac:dyDescent="0.2">
      <c r="A5097" s="3"/>
      <c r="B5097" s="2"/>
      <c r="C5097" s="2"/>
      <c r="D5097" s="2"/>
      <c r="E5097" s="2"/>
      <c r="F5097" s="2"/>
      <c r="G5097" s="2"/>
      <c r="O5097"/>
    </row>
    <row r="5098" spans="1:15" hidden="1" x14ac:dyDescent="0.2">
      <c r="A5098" s="3"/>
      <c r="B5098" s="2"/>
      <c r="C5098" s="2"/>
      <c r="D5098" s="2"/>
      <c r="E5098" s="2"/>
      <c r="F5098" s="2"/>
      <c r="G5098" s="2"/>
      <c r="O5098"/>
    </row>
    <row r="5099" spans="1:15" hidden="1" x14ac:dyDescent="0.2">
      <c r="A5099" s="3"/>
      <c r="B5099" s="2"/>
      <c r="C5099" s="2"/>
      <c r="D5099" s="2"/>
      <c r="E5099" s="2"/>
      <c r="F5099" s="2"/>
      <c r="G5099" s="2"/>
      <c r="O5099"/>
    </row>
    <row r="5100" spans="1:15" hidden="1" x14ac:dyDescent="0.2">
      <c r="A5100" s="3"/>
      <c r="B5100" s="2"/>
      <c r="C5100" s="2"/>
      <c r="D5100" s="2"/>
      <c r="E5100" s="2"/>
      <c r="F5100" s="2"/>
      <c r="G5100" s="2"/>
      <c r="O5100"/>
    </row>
    <row r="5101" spans="1:15" hidden="1" x14ac:dyDescent="0.2">
      <c r="A5101" s="3"/>
      <c r="B5101" s="2"/>
      <c r="C5101" s="2"/>
      <c r="D5101" s="2"/>
      <c r="E5101" s="2"/>
      <c r="F5101" s="2"/>
      <c r="G5101" s="2"/>
      <c r="O5101"/>
    </row>
    <row r="5102" spans="1:15" hidden="1" x14ac:dyDescent="0.2">
      <c r="A5102" s="3"/>
      <c r="B5102" s="2"/>
      <c r="C5102" s="2"/>
      <c r="D5102" s="2"/>
      <c r="E5102" s="2"/>
      <c r="F5102" s="2"/>
      <c r="G5102" s="2"/>
      <c r="O5102"/>
    </row>
    <row r="5103" spans="1:15" hidden="1" x14ac:dyDescent="0.2">
      <c r="A5103" s="3"/>
      <c r="B5103" s="2"/>
      <c r="C5103" s="2"/>
      <c r="D5103" s="2"/>
      <c r="E5103" s="2"/>
      <c r="F5103" s="2"/>
      <c r="G5103" s="2"/>
      <c r="O5103"/>
    </row>
    <row r="5104" spans="1:15" hidden="1" x14ac:dyDescent="0.2">
      <c r="A5104" s="3"/>
      <c r="B5104" s="2"/>
      <c r="C5104" s="2"/>
      <c r="D5104" s="2"/>
      <c r="E5104" s="2"/>
      <c r="F5104" s="2"/>
      <c r="G5104" s="2"/>
      <c r="O5104"/>
    </row>
    <row r="5105" spans="1:15" hidden="1" x14ac:dyDescent="0.2">
      <c r="A5105" s="3"/>
      <c r="B5105" s="2"/>
      <c r="C5105" s="2"/>
      <c r="D5105" s="2"/>
      <c r="E5105" s="2"/>
      <c r="F5105" s="2"/>
      <c r="G5105" s="2"/>
      <c r="O5105"/>
    </row>
    <row r="5106" spans="1:15" hidden="1" x14ac:dyDescent="0.2">
      <c r="A5106" s="3"/>
      <c r="B5106" s="2"/>
      <c r="C5106" s="2"/>
      <c r="D5106" s="2"/>
      <c r="E5106" s="2"/>
      <c r="F5106" s="2"/>
      <c r="G5106" s="2"/>
      <c r="O5106"/>
    </row>
    <row r="5107" spans="1:15" hidden="1" x14ac:dyDescent="0.2">
      <c r="A5107" s="3"/>
      <c r="B5107" s="2"/>
      <c r="C5107" s="2"/>
      <c r="D5107" s="2"/>
      <c r="E5107" s="2"/>
      <c r="F5107" s="2"/>
      <c r="G5107" s="2"/>
      <c r="O5107"/>
    </row>
    <row r="5108" spans="1:15" hidden="1" x14ac:dyDescent="0.2">
      <c r="A5108" s="3"/>
      <c r="B5108" s="2"/>
      <c r="C5108" s="2"/>
      <c r="D5108" s="2"/>
      <c r="E5108" s="2"/>
      <c r="F5108" s="2"/>
      <c r="G5108" s="2"/>
      <c r="O5108"/>
    </row>
    <row r="5109" spans="1:15" hidden="1" x14ac:dyDescent="0.2">
      <c r="A5109" s="3"/>
      <c r="B5109" s="2"/>
      <c r="C5109" s="2"/>
      <c r="D5109" s="2"/>
      <c r="E5109" s="2"/>
      <c r="F5109" s="2"/>
      <c r="G5109" s="2"/>
      <c r="O5109"/>
    </row>
    <row r="5110" spans="1:15" hidden="1" x14ac:dyDescent="0.2">
      <c r="A5110" s="3"/>
      <c r="B5110" s="2"/>
      <c r="C5110" s="2"/>
      <c r="D5110" s="2"/>
      <c r="E5110" s="2"/>
      <c r="F5110" s="2"/>
      <c r="G5110" s="2"/>
      <c r="O5110"/>
    </row>
    <row r="5111" spans="1:15" hidden="1" x14ac:dyDescent="0.2">
      <c r="A5111" s="3"/>
      <c r="B5111" s="2"/>
      <c r="C5111" s="2"/>
      <c r="D5111" s="2"/>
      <c r="E5111" s="2"/>
      <c r="F5111" s="2"/>
      <c r="G5111" s="2"/>
      <c r="O5111"/>
    </row>
    <row r="5112" spans="1:15" hidden="1" x14ac:dyDescent="0.2">
      <c r="A5112" s="3"/>
      <c r="B5112" s="2"/>
      <c r="C5112" s="2"/>
      <c r="D5112" s="2"/>
      <c r="E5112" s="2"/>
      <c r="F5112" s="2"/>
      <c r="G5112" s="2"/>
      <c r="O5112"/>
    </row>
    <row r="5113" spans="1:15" hidden="1" x14ac:dyDescent="0.2">
      <c r="A5113" s="3"/>
      <c r="B5113" s="2"/>
      <c r="C5113" s="2"/>
      <c r="D5113" s="2"/>
      <c r="E5113" s="2"/>
      <c r="F5113" s="2"/>
      <c r="G5113" s="2"/>
      <c r="O5113"/>
    </row>
    <row r="5114" spans="1:15" hidden="1" x14ac:dyDescent="0.2">
      <c r="A5114" s="3"/>
      <c r="B5114" s="2"/>
      <c r="C5114" s="2"/>
      <c r="D5114" s="2"/>
      <c r="E5114" s="2"/>
      <c r="F5114" s="2"/>
      <c r="G5114" s="2"/>
      <c r="O5114"/>
    </row>
    <row r="5115" spans="1:15" hidden="1" x14ac:dyDescent="0.2">
      <c r="A5115" s="3"/>
      <c r="B5115" s="2"/>
      <c r="C5115" s="2"/>
      <c r="D5115" s="2"/>
      <c r="E5115" s="2"/>
      <c r="F5115" s="2"/>
      <c r="G5115" s="2"/>
      <c r="O5115"/>
    </row>
    <row r="5116" spans="1:15" hidden="1" x14ac:dyDescent="0.2">
      <c r="A5116" s="3"/>
      <c r="B5116" s="2"/>
      <c r="C5116" s="2"/>
      <c r="D5116" s="2"/>
      <c r="E5116" s="2"/>
      <c r="F5116" s="2"/>
      <c r="G5116" s="2"/>
      <c r="O5116"/>
    </row>
    <row r="5117" spans="1:15" hidden="1" x14ac:dyDescent="0.2">
      <c r="A5117" s="3"/>
      <c r="B5117" s="2"/>
      <c r="C5117" s="2"/>
      <c r="D5117" s="2"/>
      <c r="E5117" s="2"/>
      <c r="F5117" s="2"/>
      <c r="G5117" s="2"/>
      <c r="O5117"/>
    </row>
    <row r="5118" spans="1:15" hidden="1" x14ac:dyDescent="0.2">
      <c r="A5118" s="3"/>
      <c r="B5118" s="2"/>
      <c r="C5118" s="2"/>
      <c r="D5118" s="2"/>
      <c r="E5118" s="2"/>
      <c r="F5118" s="2"/>
      <c r="G5118" s="2"/>
      <c r="O5118"/>
    </row>
    <row r="5119" spans="1:15" hidden="1" x14ac:dyDescent="0.2">
      <c r="A5119" s="3"/>
      <c r="B5119" s="2"/>
      <c r="C5119" s="2"/>
      <c r="D5119" s="2"/>
      <c r="E5119" s="2"/>
      <c r="F5119" s="2"/>
      <c r="G5119" s="2"/>
      <c r="O5119"/>
    </row>
    <row r="5120" spans="1:15" hidden="1" x14ac:dyDescent="0.2">
      <c r="A5120" s="3"/>
      <c r="B5120" s="2"/>
      <c r="C5120" s="2"/>
      <c r="D5120" s="2"/>
      <c r="E5120" s="2"/>
      <c r="F5120" s="2"/>
      <c r="G5120" s="2"/>
      <c r="O5120"/>
    </row>
    <row r="5121" spans="1:15" hidden="1" x14ac:dyDescent="0.2">
      <c r="A5121" s="3"/>
      <c r="B5121" s="2"/>
      <c r="C5121" s="2"/>
      <c r="D5121" s="2"/>
      <c r="E5121" s="2"/>
      <c r="F5121" s="2"/>
      <c r="G5121" s="2"/>
      <c r="O5121"/>
    </row>
    <row r="5122" spans="1:15" hidden="1" x14ac:dyDescent="0.2">
      <c r="A5122" s="3"/>
      <c r="B5122" s="2"/>
      <c r="C5122" s="2"/>
      <c r="D5122" s="2"/>
      <c r="E5122" s="2"/>
      <c r="F5122" s="2"/>
      <c r="G5122" s="2"/>
      <c r="O5122"/>
    </row>
    <row r="5123" spans="1:15" hidden="1" x14ac:dyDescent="0.2">
      <c r="A5123" s="3"/>
      <c r="B5123" s="2"/>
      <c r="C5123" s="2"/>
      <c r="D5123" s="2"/>
      <c r="E5123" s="2"/>
      <c r="F5123" s="2"/>
      <c r="G5123" s="2"/>
      <c r="O5123"/>
    </row>
    <row r="5124" spans="1:15" hidden="1" x14ac:dyDescent="0.2">
      <c r="A5124" s="3"/>
      <c r="B5124" s="2"/>
      <c r="C5124" s="2"/>
      <c r="D5124" s="2"/>
      <c r="E5124" s="2"/>
      <c r="F5124" s="2"/>
      <c r="G5124" s="2"/>
      <c r="O5124"/>
    </row>
    <row r="5125" spans="1:15" hidden="1" x14ac:dyDescent="0.2">
      <c r="A5125" s="3"/>
      <c r="B5125" s="2"/>
      <c r="C5125" s="2"/>
      <c r="D5125" s="2"/>
      <c r="E5125" s="2"/>
      <c r="F5125" s="2"/>
      <c r="G5125" s="2"/>
      <c r="O5125"/>
    </row>
    <row r="5126" spans="1:15" hidden="1" x14ac:dyDescent="0.2">
      <c r="A5126" s="3"/>
      <c r="B5126" s="2"/>
      <c r="C5126" s="2"/>
      <c r="D5126" s="2"/>
      <c r="E5126" s="2"/>
      <c r="F5126" s="2"/>
      <c r="G5126" s="2"/>
      <c r="O5126"/>
    </row>
    <row r="5127" spans="1:15" hidden="1" x14ac:dyDescent="0.2">
      <c r="A5127" s="3"/>
      <c r="B5127" s="2"/>
      <c r="C5127" s="2"/>
      <c r="D5127" s="2"/>
      <c r="E5127" s="2"/>
      <c r="F5127" s="2"/>
      <c r="G5127" s="2"/>
      <c r="O5127"/>
    </row>
    <row r="5128" spans="1:15" hidden="1" x14ac:dyDescent="0.2">
      <c r="A5128" s="3"/>
      <c r="B5128" s="2"/>
      <c r="C5128" s="2"/>
      <c r="D5128" s="2"/>
      <c r="E5128" s="2"/>
      <c r="F5128" s="2"/>
      <c r="G5128" s="2"/>
      <c r="O5128"/>
    </row>
    <row r="5129" spans="1:15" hidden="1" x14ac:dyDescent="0.2">
      <c r="A5129" s="3"/>
      <c r="B5129" s="2"/>
      <c r="C5129" s="2"/>
      <c r="D5129" s="2"/>
      <c r="E5129" s="2"/>
      <c r="F5129" s="2"/>
      <c r="G5129" s="2"/>
      <c r="O5129"/>
    </row>
    <row r="5130" spans="1:15" hidden="1" x14ac:dyDescent="0.2">
      <c r="A5130" s="3"/>
      <c r="B5130" s="2"/>
      <c r="C5130" s="2"/>
      <c r="D5130" s="2"/>
      <c r="E5130" s="2"/>
      <c r="F5130" s="2"/>
      <c r="G5130" s="2"/>
      <c r="O5130"/>
    </row>
    <row r="5131" spans="1:15" hidden="1" x14ac:dyDescent="0.2">
      <c r="A5131" s="3"/>
      <c r="B5131" s="2"/>
      <c r="C5131" s="2"/>
      <c r="D5131" s="2"/>
      <c r="E5131" s="2"/>
      <c r="F5131" s="2"/>
      <c r="G5131" s="2"/>
      <c r="O5131"/>
    </row>
    <row r="5132" spans="1:15" hidden="1" x14ac:dyDescent="0.2">
      <c r="A5132" s="3"/>
      <c r="B5132" s="2"/>
      <c r="C5132" s="2"/>
      <c r="D5132" s="2"/>
      <c r="E5132" s="2"/>
      <c r="F5132" s="2"/>
      <c r="G5132" s="2"/>
      <c r="O5132"/>
    </row>
    <row r="5133" spans="1:15" hidden="1" x14ac:dyDescent="0.2">
      <c r="A5133" s="3"/>
      <c r="B5133" s="2"/>
      <c r="C5133" s="2"/>
      <c r="D5133" s="2"/>
      <c r="E5133" s="2"/>
      <c r="F5133" s="2"/>
      <c r="G5133" s="2"/>
      <c r="O5133"/>
    </row>
    <row r="5134" spans="1:15" hidden="1" x14ac:dyDescent="0.2">
      <c r="A5134" s="3"/>
      <c r="B5134" s="2"/>
      <c r="C5134" s="2"/>
      <c r="D5134" s="2"/>
      <c r="E5134" s="2"/>
      <c r="F5134" s="2"/>
      <c r="G5134" s="2"/>
      <c r="O5134"/>
    </row>
    <row r="5135" spans="1:15" hidden="1" x14ac:dyDescent="0.2">
      <c r="A5135" s="3"/>
      <c r="B5135" s="2"/>
      <c r="C5135" s="2"/>
      <c r="D5135" s="2"/>
      <c r="E5135" s="2"/>
      <c r="F5135" s="2"/>
      <c r="G5135" s="2"/>
      <c r="O5135"/>
    </row>
    <row r="5136" spans="1:15" hidden="1" x14ac:dyDescent="0.2">
      <c r="A5136" s="3"/>
      <c r="B5136" s="2"/>
      <c r="C5136" s="2"/>
      <c r="D5136" s="2"/>
      <c r="E5136" s="2"/>
      <c r="F5136" s="2"/>
      <c r="G5136" s="2"/>
      <c r="O5136"/>
    </row>
    <row r="5137" spans="1:15" hidden="1" x14ac:dyDescent="0.2">
      <c r="A5137" s="3"/>
      <c r="B5137" s="2"/>
      <c r="C5137" s="2"/>
      <c r="D5137" s="2"/>
      <c r="E5137" s="2"/>
      <c r="F5137" s="2"/>
      <c r="G5137" s="2"/>
      <c r="O5137"/>
    </row>
    <row r="5138" spans="1:15" hidden="1" x14ac:dyDescent="0.2">
      <c r="A5138" s="3"/>
      <c r="B5138" s="2"/>
      <c r="C5138" s="2"/>
      <c r="D5138" s="2"/>
      <c r="E5138" s="2"/>
      <c r="F5138" s="2"/>
      <c r="G5138" s="2"/>
      <c r="O5138"/>
    </row>
    <row r="5139" spans="1:15" hidden="1" x14ac:dyDescent="0.2">
      <c r="A5139" s="3"/>
      <c r="B5139" s="2"/>
      <c r="C5139" s="2"/>
      <c r="D5139" s="2"/>
      <c r="E5139" s="2"/>
      <c r="F5139" s="2"/>
      <c r="G5139" s="2"/>
      <c r="O5139"/>
    </row>
    <row r="5140" spans="1:15" hidden="1" x14ac:dyDescent="0.2">
      <c r="A5140" s="3"/>
      <c r="B5140" s="2"/>
      <c r="C5140" s="2"/>
      <c r="D5140" s="2"/>
      <c r="E5140" s="2"/>
      <c r="F5140" s="2"/>
      <c r="G5140" s="2"/>
      <c r="O5140"/>
    </row>
    <row r="5141" spans="1:15" hidden="1" x14ac:dyDescent="0.2">
      <c r="A5141" s="3"/>
      <c r="B5141" s="2"/>
      <c r="C5141" s="2"/>
      <c r="D5141" s="2"/>
      <c r="E5141" s="2"/>
      <c r="F5141" s="2"/>
      <c r="G5141" s="2"/>
      <c r="O5141"/>
    </row>
    <row r="5142" spans="1:15" hidden="1" x14ac:dyDescent="0.2">
      <c r="A5142" s="3"/>
      <c r="B5142" s="2"/>
      <c r="C5142" s="2"/>
      <c r="D5142" s="2"/>
      <c r="E5142" s="2"/>
      <c r="F5142" s="2"/>
      <c r="G5142" s="2"/>
      <c r="O5142"/>
    </row>
    <row r="5143" spans="1:15" hidden="1" x14ac:dyDescent="0.2">
      <c r="A5143" s="3"/>
      <c r="B5143" s="2"/>
      <c r="C5143" s="2"/>
      <c r="D5143" s="2"/>
      <c r="E5143" s="2"/>
      <c r="F5143" s="2"/>
      <c r="G5143" s="2"/>
      <c r="O5143"/>
    </row>
    <row r="5144" spans="1:15" hidden="1" x14ac:dyDescent="0.2">
      <c r="A5144" s="3"/>
      <c r="B5144" s="2"/>
      <c r="C5144" s="2"/>
      <c r="D5144" s="2"/>
      <c r="E5144" s="2"/>
      <c r="F5144" s="2"/>
      <c r="G5144" s="2"/>
      <c r="O5144"/>
    </row>
    <row r="5145" spans="1:15" hidden="1" x14ac:dyDescent="0.2">
      <c r="A5145" s="3"/>
      <c r="B5145" s="2"/>
      <c r="C5145" s="2"/>
      <c r="D5145" s="2"/>
      <c r="E5145" s="2"/>
      <c r="F5145" s="2"/>
      <c r="G5145" s="2"/>
      <c r="O5145"/>
    </row>
    <row r="5146" spans="1:15" hidden="1" x14ac:dyDescent="0.2">
      <c r="A5146" s="3"/>
      <c r="B5146" s="2"/>
      <c r="C5146" s="2"/>
      <c r="D5146" s="2"/>
      <c r="E5146" s="2"/>
      <c r="F5146" s="2"/>
      <c r="G5146" s="2"/>
      <c r="O5146"/>
    </row>
    <row r="5147" spans="1:15" hidden="1" x14ac:dyDescent="0.2">
      <c r="A5147" s="3"/>
      <c r="B5147" s="2"/>
      <c r="C5147" s="2"/>
      <c r="D5147" s="2"/>
      <c r="E5147" s="2"/>
      <c r="F5147" s="2"/>
      <c r="G5147" s="2"/>
      <c r="O5147"/>
    </row>
    <row r="5148" spans="1:15" hidden="1" x14ac:dyDescent="0.2">
      <c r="A5148" s="3"/>
      <c r="B5148" s="2"/>
      <c r="C5148" s="2"/>
      <c r="D5148" s="2"/>
      <c r="E5148" s="2"/>
      <c r="F5148" s="2"/>
      <c r="G5148" s="2"/>
      <c r="O5148"/>
    </row>
    <row r="5149" spans="1:15" hidden="1" x14ac:dyDescent="0.2">
      <c r="A5149" s="3"/>
      <c r="B5149" s="2"/>
      <c r="C5149" s="2"/>
      <c r="D5149" s="2"/>
      <c r="E5149" s="2"/>
      <c r="F5149" s="2"/>
      <c r="G5149" s="2"/>
      <c r="O5149"/>
    </row>
    <row r="5150" spans="1:15" hidden="1" x14ac:dyDescent="0.2">
      <c r="A5150" s="3"/>
      <c r="B5150" s="2"/>
      <c r="C5150" s="2"/>
      <c r="D5150" s="2"/>
      <c r="E5150" s="2"/>
      <c r="F5150" s="2"/>
      <c r="G5150" s="2"/>
      <c r="O5150"/>
    </row>
    <row r="5151" spans="1:15" hidden="1" x14ac:dyDescent="0.2">
      <c r="A5151" s="3"/>
      <c r="B5151" s="2"/>
      <c r="C5151" s="2"/>
      <c r="D5151" s="2"/>
      <c r="E5151" s="2"/>
      <c r="F5151" s="2"/>
      <c r="G5151" s="2"/>
      <c r="O5151"/>
    </row>
    <row r="5152" spans="1:15" hidden="1" x14ac:dyDescent="0.2">
      <c r="A5152" s="3"/>
      <c r="B5152" s="2"/>
      <c r="C5152" s="2"/>
      <c r="D5152" s="2"/>
      <c r="E5152" s="2"/>
      <c r="F5152" s="2"/>
      <c r="G5152" s="2"/>
      <c r="O5152"/>
    </row>
    <row r="5153" spans="1:15" hidden="1" x14ac:dyDescent="0.2">
      <c r="A5153" s="3"/>
      <c r="B5153" s="2"/>
      <c r="C5153" s="2"/>
      <c r="D5153" s="2"/>
      <c r="E5153" s="2"/>
      <c r="F5153" s="2"/>
      <c r="G5153" s="2"/>
      <c r="O5153"/>
    </row>
    <row r="5154" spans="1:15" hidden="1" x14ac:dyDescent="0.2">
      <c r="A5154" s="3"/>
      <c r="B5154" s="2"/>
      <c r="C5154" s="2"/>
      <c r="D5154" s="2"/>
      <c r="E5154" s="2"/>
      <c r="F5154" s="2"/>
      <c r="G5154" s="2"/>
      <c r="O5154"/>
    </row>
    <row r="5155" spans="1:15" hidden="1" x14ac:dyDescent="0.2">
      <c r="A5155" s="3"/>
      <c r="B5155" s="2"/>
      <c r="C5155" s="2"/>
      <c r="D5155" s="2"/>
      <c r="E5155" s="2"/>
      <c r="F5155" s="2"/>
      <c r="G5155" s="2"/>
      <c r="O5155"/>
    </row>
    <row r="5156" spans="1:15" hidden="1" x14ac:dyDescent="0.2">
      <c r="A5156" s="3"/>
      <c r="B5156" s="2"/>
      <c r="C5156" s="2"/>
      <c r="D5156" s="2"/>
      <c r="E5156" s="2"/>
      <c r="F5156" s="2"/>
      <c r="G5156" s="2"/>
      <c r="O5156"/>
    </row>
    <row r="5157" spans="1:15" hidden="1" x14ac:dyDescent="0.2">
      <c r="A5157" s="3"/>
      <c r="B5157" s="2"/>
      <c r="C5157" s="2"/>
      <c r="D5157" s="2"/>
      <c r="E5157" s="2"/>
      <c r="F5157" s="2"/>
      <c r="G5157" s="2"/>
      <c r="O5157"/>
    </row>
    <row r="5158" spans="1:15" hidden="1" x14ac:dyDescent="0.2">
      <c r="A5158" s="3"/>
      <c r="B5158" s="2"/>
      <c r="C5158" s="2"/>
      <c r="D5158" s="2"/>
      <c r="E5158" s="2"/>
      <c r="F5158" s="2"/>
      <c r="G5158" s="2"/>
      <c r="O5158"/>
    </row>
    <row r="5159" spans="1:15" hidden="1" x14ac:dyDescent="0.2">
      <c r="A5159" s="3"/>
      <c r="B5159" s="2"/>
      <c r="C5159" s="2"/>
      <c r="D5159" s="2"/>
      <c r="E5159" s="2"/>
      <c r="F5159" s="2"/>
      <c r="G5159" s="2"/>
      <c r="O5159"/>
    </row>
    <row r="5160" spans="1:15" hidden="1" x14ac:dyDescent="0.2">
      <c r="A5160" s="3"/>
      <c r="B5160" s="2"/>
      <c r="C5160" s="2"/>
      <c r="D5160" s="2"/>
      <c r="E5160" s="2"/>
      <c r="F5160" s="2"/>
      <c r="G5160" s="2"/>
      <c r="O5160"/>
    </row>
    <row r="5161" spans="1:15" hidden="1" x14ac:dyDescent="0.2">
      <c r="A5161" s="3"/>
      <c r="B5161" s="2"/>
      <c r="C5161" s="2"/>
      <c r="D5161" s="2"/>
      <c r="E5161" s="2"/>
      <c r="F5161" s="2"/>
      <c r="G5161" s="2"/>
      <c r="O5161"/>
    </row>
    <row r="5162" spans="1:15" hidden="1" x14ac:dyDescent="0.2">
      <c r="A5162" s="3"/>
      <c r="B5162" s="2"/>
      <c r="C5162" s="2"/>
      <c r="D5162" s="2"/>
      <c r="E5162" s="2"/>
      <c r="F5162" s="2"/>
      <c r="G5162" s="2"/>
      <c r="O5162"/>
    </row>
    <row r="5163" spans="1:15" hidden="1" x14ac:dyDescent="0.2">
      <c r="A5163" s="3"/>
      <c r="B5163" s="2"/>
      <c r="C5163" s="2"/>
      <c r="D5163" s="2"/>
      <c r="E5163" s="2"/>
      <c r="F5163" s="2"/>
      <c r="G5163" s="2"/>
      <c r="O5163"/>
    </row>
    <row r="5164" spans="1:15" hidden="1" x14ac:dyDescent="0.2">
      <c r="A5164" s="3"/>
      <c r="B5164" s="2"/>
      <c r="C5164" s="2"/>
      <c r="D5164" s="2"/>
      <c r="E5164" s="2"/>
      <c r="F5164" s="2"/>
      <c r="G5164" s="2"/>
      <c r="O5164"/>
    </row>
    <row r="5165" spans="1:15" hidden="1" x14ac:dyDescent="0.2">
      <c r="A5165" s="3"/>
      <c r="B5165" s="2"/>
      <c r="C5165" s="2"/>
      <c r="D5165" s="2"/>
      <c r="E5165" s="2"/>
      <c r="F5165" s="2"/>
      <c r="G5165" s="2"/>
      <c r="O5165"/>
    </row>
    <row r="5166" spans="1:15" hidden="1" x14ac:dyDescent="0.2">
      <c r="A5166" s="3"/>
      <c r="B5166" s="2"/>
      <c r="C5166" s="2"/>
      <c r="D5166" s="2"/>
      <c r="E5166" s="2"/>
      <c r="F5166" s="2"/>
      <c r="G5166" s="2"/>
      <c r="O5166"/>
    </row>
    <row r="5167" spans="1:15" hidden="1" x14ac:dyDescent="0.2">
      <c r="A5167" s="3"/>
      <c r="B5167" s="2"/>
      <c r="C5167" s="2"/>
      <c r="D5167" s="2"/>
      <c r="E5167" s="2"/>
      <c r="F5167" s="2"/>
      <c r="G5167" s="2"/>
      <c r="O5167"/>
    </row>
    <row r="5168" spans="1:15" hidden="1" x14ac:dyDescent="0.2">
      <c r="A5168" s="3"/>
      <c r="B5168" s="2"/>
      <c r="C5168" s="2"/>
      <c r="D5168" s="2"/>
      <c r="E5168" s="2"/>
      <c r="F5168" s="2"/>
      <c r="G5168" s="2"/>
      <c r="O5168"/>
    </row>
    <row r="5169" spans="1:15" hidden="1" x14ac:dyDescent="0.2">
      <c r="A5169" s="3"/>
      <c r="B5169" s="2"/>
      <c r="C5169" s="2"/>
      <c r="D5169" s="2"/>
      <c r="E5169" s="2"/>
      <c r="F5169" s="2"/>
      <c r="G5169" s="2"/>
      <c r="O5169"/>
    </row>
    <row r="5170" spans="1:15" hidden="1" x14ac:dyDescent="0.2">
      <c r="A5170" s="3"/>
      <c r="B5170" s="2"/>
      <c r="C5170" s="2"/>
      <c r="D5170" s="2"/>
      <c r="E5170" s="2"/>
      <c r="F5170" s="2"/>
      <c r="G5170" s="2"/>
      <c r="O5170"/>
    </row>
    <row r="5171" spans="1:15" hidden="1" x14ac:dyDescent="0.2">
      <c r="A5171" s="3"/>
      <c r="B5171" s="2"/>
      <c r="C5171" s="2"/>
      <c r="D5171" s="2"/>
      <c r="E5171" s="2"/>
      <c r="F5171" s="2"/>
      <c r="G5171" s="2"/>
      <c r="O5171"/>
    </row>
    <row r="5172" spans="1:15" hidden="1" x14ac:dyDescent="0.2">
      <c r="A5172" s="3"/>
      <c r="B5172" s="2"/>
      <c r="C5172" s="2"/>
      <c r="D5172" s="2"/>
      <c r="E5172" s="2"/>
      <c r="F5172" s="2"/>
      <c r="G5172" s="2"/>
      <c r="O5172"/>
    </row>
    <row r="5173" spans="1:15" hidden="1" x14ac:dyDescent="0.2">
      <c r="A5173" s="3"/>
      <c r="B5173" s="2"/>
      <c r="C5173" s="2"/>
      <c r="D5173" s="2"/>
      <c r="E5173" s="2"/>
      <c r="F5173" s="2"/>
      <c r="G5173" s="2"/>
      <c r="O5173"/>
    </row>
    <row r="5174" spans="1:15" hidden="1" x14ac:dyDescent="0.2">
      <c r="A5174" s="3"/>
      <c r="B5174" s="2"/>
      <c r="C5174" s="2"/>
      <c r="D5174" s="2"/>
      <c r="E5174" s="2"/>
      <c r="F5174" s="2"/>
      <c r="G5174" s="2"/>
      <c r="O5174"/>
    </row>
    <row r="5175" spans="1:15" hidden="1" x14ac:dyDescent="0.2">
      <c r="A5175" s="3"/>
      <c r="B5175" s="2"/>
      <c r="C5175" s="2"/>
      <c r="D5175" s="2"/>
      <c r="E5175" s="2"/>
      <c r="F5175" s="2"/>
      <c r="G5175" s="2"/>
      <c r="O5175"/>
    </row>
    <row r="5176" spans="1:15" hidden="1" x14ac:dyDescent="0.2">
      <c r="A5176" s="3"/>
      <c r="B5176" s="2"/>
      <c r="C5176" s="2"/>
      <c r="D5176" s="2"/>
      <c r="E5176" s="2"/>
      <c r="F5176" s="2"/>
      <c r="G5176" s="2"/>
      <c r="O5176"/>
    </row>
    <row r="5177" spans="1:15" hidden="1" x14ac:dyDescent="0.2">
      <c r="A5177" s="3"/>
      <c r="B5177" s="2"/>
      <c r="C5177" s="2"/>
      <c r="D5177" s="2"/>
      <c r="E5177" s="2"/>
      <c r="F5177" s="2"/>
      <c r="G5177" s="2"/>
      <c r="O5177"/>
    </row>
    <row r="5178" spans="1:15" hidden="1" x14ac:dyDescent="0.2">
      <c r="A5178" s="3"/>
      <c r="B5178" s="2"/>
      <c r="C5178" s="2"/>
      <c r="D5178" s="2"/>
      <c r="E5178" s="2"/>
      <c r="F5178" s="2"/>
      <c r="G5178" s="2"/>
      <c r="O5178"/>
    </row>
    <row r="5179" spans="1:15" hidden="1" x14ac:dyDescent="0.2">
      <c r="A5179" s="3"/>
      <c r="B5179" s="2"/>
      <c r="C5179" s="2"/>
      <c r="D5179" s="2"/>
      <c r="E5179" s="2"/>
      <c r="F5179" s="2"/>
      <c r="G5179" s="2"/>
      <c r="O5179"/>
    </row>
    <row r="5180" spans="1:15" hidden="1" x14ac:dyDescent="0.2">
      <c r="A5180" s="3"/>
      <c r="B5180" s="2"/>
      <c r="C5180" s="2"/>
      <c r="D5180" s="2"/>
      <c r="E5180" s="2"/>
      <c r="F5180" s="2"/>
      <c r="G5180" s="2"/>
      <c r="O5180"/>
    </row>
    <row r="5181" spans="1:15" hidden="1" x14ac:dyDescent="0.2">
      <c r="A5181" s="3"/>
      <c r="B5181" s="2"/>
      <c r="C5181" s="2"/>
      <c r="D5181" s="2"/>
      <c r="E5181" s="2"/>
      <c r="F5181" s="2"/>
      <c r="G5181" s="2"/>
      <c r="O5181"/>
    </row>
    <row r="5182" spans="1:15" hidden="1" x14ac:dyDescent="0.2">
      <c r="A5182" s="3"/>
      <c r="B5182" s="2"/>
      <c r="C5182" s="2"/>
      <c r="D5182" s="2"/>
      <c r="E5182" s="2"/>
      <c r="F5182" s="2"/>
      <c r="G5182" s="2"/>
      <c r="O5182"/>
    </row>
    <row r="5183" spans="1:15" hidden="1" x14ac:dyDescent="0.2">
      <c r="A5183" s="3"/>
      <c r="B5183" s="2"/>
      <c r="C5183" s="2"/>
      <c r="D5183" s="2"/>
      <c r="E5183" s="2"/>
      <c r="F5183" s="2"/>
      <c r="G5183" s="2"/>
      <c r="O5183"/>
    </row>
    <row r="5184" spans="1:15" hidden="1" x14ac:dyDescent="0.2">
      <c r="A5184" s="3"/>
      <c r="B5184" s="2"/>
      <c r="C5184" s="2"/>
      <c r="D5184" s="2"/>
      <c r="E5184" s="2"/>
      <c r="F5184" s="2"/>
      <c r="G5184" s="2"/>
      <c r="O5184"/>
    </row>
    <row r="5185" spans="1:15" hidden="1" x14ac:dyDescent="0.2">
      <c r="A5185" s="3"/>
      <c r="B5185" s="2"/>
      <c r="C5185" s="2"/>
      <c r="D5185" s="2"/>
      <c r="E5185" s="2"/>
      <c r="F5185" s="2"/>
      <c r="G5185" s="2"/>
      <c r="O5185"/>
    </row>
    <row r="5186" spans="1:15" hidden="1" x14ac:dyDescent="0.2">
      <c r="A5186" s="3"/>
      <c r="B5186" s="2"/>
      <c r="C5186" s="2"/>
      <c r="D5186" s="2"/>
      <c r="E5186" s="2"/>
      <c r="F5186" s="2"/>
      <c r="G5186" s="2"/>
      <c r="O5186"/>
    </row>
    <row r="5187" spans="1:15" hidden="1" x14ac:dyDescent="0.2">
      <c r="A5187" s="3"/>
      <c r="B5187" s="2"/>
      <c r="C5187" s="2"/>
      <c r="D5187" s="2"/>
      <c r="E5187" s="2"/>
      <c r="F5187" s="2"/>
      <c r="G5187" s="2"/>
      <c r="O5187"/>
    </row>
    <row r="5188" spans="1:15" hidden="1" x14ac:dyDescent="0.2">
      <c r="A5188" s="3"/>
      <c r="B5188" s="2"/>
      <c r="C5188" s="2"/>
      <c r="D5188" s="2"/>
      <c r="E5188" s="2"/>
      <c r="F5188" s="2"/>
      <c r="G5188" s="2"/>
      <c r="O5188"/>
    </row>
    <row r="5189" spans="1:15" hidden="1" x14ac:dyDescent="0.2">
      <c r="A5189" s="3"/>
      <c r="B5189" s="2"/>
      <c r="C5189" s="2"/>
      <c r="D5189" s="2"/>
      <c r="E5189" s="2"/>
      <c r="F5189" s="2"/>
      <c r="G5189" s="2"/>
      <c r="O5189"/>
    </row>
    <row r="5190" spans="1:15" hidden="1" x14ac:dyDescent="0.2">
      <c r="A5190" s="3"/>
      <c r="B5190" s="2"/>
      <c r="C5190" s="2"/>
      <c r="D5190" s="2"/>
      <c r="E5190" s="2"/>
      <c r="F5190" s="2"/>
      <c r="G5190" s="2"/>
      <c r="O5190"/>
    </row>
    <row r="5191" spans="1:15" hidden="1" x14ac:dyDescent="0.2">
      <c r="A5191" s="3"/>
      <c r="B5191" s="2"/>
      <c r="C5191" s="2"/>
      <c r="D5191" s="2"/>
      <c r="E5191" s="2"/>
      <c r="F5191" s="2"/>
      <c r="G5191" s="2"/>
      <c r="O5191"/>
    </row>
    <row r="5192" spans="1:15" hidden="1" x14ac:dyDescent="0.2">
      <c r="A5192" s="3"/>
      <c r="B5192" s="2"/>
      <c r="C5192" s="2"/>
      <c r="D5192" s="2"/>
      <c r="E5192" s="2"/>
      <c r="F5192" s="2"/>
      <c r="G5192" s="2"/>
      <c r="O5192"/>
    </row>
    <row r="5193" spans="1:15" hidden="1" x14ac:dyDescent="0.2">
      <c r="A5193" s="3"/>
      <c r="B5193" s="2"/>
      <c r="C5193" s="2"/>
      <c r="D5193" s="2"/>
      <c r="E5193" s="2"/>
      <c r="F5193" s="2"/>
      <c r="G5193" s="2"/>
      <c r="O5193"/>
    </row>
    <row r="5194" spans="1:15" hidden="1" x14ac:dyDescent="0.2">
      <c r="A5194" s="3"/>
      <c r="B5194" s="2"/>
      <c r="C5194" s="2"/>
      <c r="D5194" s="2"/>
      <c r="E5194" s="2"/>
      <c r="F5194" s="2"/>
      <c r="G5194" s="2"/>
      <c r="O5194"/>
    </row>
    <row r="5195" spans="1:15" hidden="1" x14ac:dyDescent="0.2">
      <c r="A5195" s="3"/>
      <c r="B5195" s="2"/>
      <c r="C5195" s="2"/>
      <c r="D5195" s="2"/>
      <c r="E5195" s="2"/>
      <c r="F5195" s="2"/>
      <c r="G5195" s="2"/>
      <c r="O5195"/>
    </row>
    <row r="5196" spans="1:15" hidden="1" x14ac:dyDescent="0.2">
      <c r="A5196" s="3"/>
      <c r="B5196" s="2"/>
      <c r="C5196" s="2"/>
      <c r="D5196" s="2"/>
      <c r="E5196" s="2"/>
      <c r="F5196" s="2"/>
      <c r="G5196" s="2"/>
      <c r="O5196"/>
    </row>
    <row r="5197" spans="1:15" hidden="1" x14ac:dyDescent="0.2">
      <c r="A5197" s="3"/>
      <c r="B5197" s="2"/>
      <c r="C5197" s="2"/>
      <c r="D5197" s="2"/>
      <c r="E5197" s="2"/>
      <c r="F5197" s="2"/>
      <c r="G5197" s="2"/>
      <c r="O5197"/>
    </row>
    <row r="5198" spans="1:15" hidden="1" x14ac:dyDescent="0.2">
      <c r="A5198" s="3"/>
      <c r="B5198" s="2"/>
      <c r="C5198" s="2"/>
      <c r="D5198" s="2"/>
      <c r="E5198" s="2"/>
      <c r="F5198" s="2"/>
      <c r="G5198" s="2"/>
      <c r="O5198"/>
    </row>
    <row r="5199" spans="1:15" hidden="1" x14ac:dyDescent="0.2">
      <c r="A5199" s="3"/>
      <c r="B5199" s="2"/>
      <c r="C5199" s="2"/>
      <c r="D5199" s="2"/>
      <c r="E5199" s="2"/>
      <c r="F5199" s="2"/>
      <c r="G5199" s="2"/>
      <c r="O5199"/>
    </row>
    <row r="5200" spans="1:15" hidden="1" x14ac:dyDescent="0.2">
      <c r="A5200" s="3"/>
      <c r="B5200" s="2"/>
      <c r="C5200" s="2"/>
      <c r="D5200" s="2"/>
      <c r="E5200" s="2"/>
      <c r="F5200" s="2"/>
      <c r="G5200" s="2"/>
      <c r="O5200"/>
    </row>
    <row r="5201" spans="1:15" hidden="1" x14ac:dyDescent="0.2">
      <c r="A5201" s="3"/>
      <c r="B5201" s="2"/>
      <c r="C5201" s="2"/>
      <c r="D5201" s="2"/>
      <c r="E5201" s="2"/>
      <c r="F5201" s="2"/>
      <c r="G5201" s="2"/>
      <c r="O5201"/>
    </row>
    <row r="5202" spans="1:15" hidden="1" x14ac:dyDescent="0.2">
      <c r="A5202" s="3"/>
      <c r="B5202" s="2"/>
      <c r="C5202" s="2"/>
      <c r="D5202" s="2"/>
      <c r="E5202" s="2"/>
      <c r="F5202" s="2"/>
      <c r="G5202" s="2"/>
      <c r="O5202"/>
    </row>
    <row r="5203" spans="1:15" hidden="1" x14ac:dyDescent="0.2">
      <c r="A5203" s="3"/>
      <c r="B5203" s="2"/>
      <c r="C5203" s="2"/>
      <c r="D5203" s="2"/>
      <c r="E5203" s="2"/>
      <c r="F5203" s="2"/>
      <c r="G5203" s="2"/>
      <c r="O5203"/>
    </row>
    <row r="5204" spans="1:15" hidden="1" x14ac:dyDescent="0.2">
      <c r="A5204" s="3"/>
      <c r="B5204" s="2"/>
      <c r="C5204" s="2"/>
      <c r="D5204" s="2"/>
      <c r="E5204" s="2"/>
      <c r="F5204" s="2"/>
      <c r="G5204" s="2"/>
      <c r="O5204"/>
    </row>
    <row r="5205" spans="1:15" hidden="1" x14ac:dyDescent="0.2">
      <c r="A5205" s="3"/>
      <c r="B5205" s="2"/>
      <c r="C5205" s="2"/>
      <c r="D5205" s="2"/>
      <c r="E5205" s="2"/>
      <c r="F5205" s="2"/>
      <c r="G5205" s="2"/>
      <c r="O5205"/>
    </row>
    <row r="5206" spans="1:15" hidden="1" x14ac:dyDescent="0.2">
      <c r="A5206" s="3"/>
      <c r="B5206" s="2"/>
      <c r="C5206" s="2"/>
      <c r="D5206" s="2"/>
      <c r="E5206" s="2"/>
      <c r="F5206" s="2"/>
      <c r="G5206" s="2"/>
      <c r="O5206"/>
    </row>
    <row r="5207" spans="1:15" hidden="1" x14ac:dyDescent="0.2">
      <c r="A5207" s="3"/>
      <c r="B5207" s="2"/>
      <c r="C5207" s="2"/>
      <c r="D5207" s="2"/>
      <c r="E5207" s="2"/>
      <c r="F5207" s="2"/>
      <c r="G5207" s="2"/>
      <c r="O5207"/>
    </row>
    <row r="5208" spans="1:15" hidden="1" x14ac:dyDescent="0.2">
      <c r="A5208" s="3"/>
      <c r="B5208" s="2"/>
      <c r="C5208" s="2"/>
      <c r="D5208" s="2"/>
      <c r="E5208" s="2"/>
      <c r="F5208" s="2"/>
      <c r="G5208" s="2"/>
      <c r="O5208"/>
    </row>
    <row r="5209" spans="1:15" hidden="1" x14ac:dyDescent="0.2">
      <c r="A5209" s="3"/>
      <c r="B5209" s="2"/>
      <c r="C5209" s="2"/>
      <c r="D5209" s="2"/>
      <c r="E5209" s="2"/>
      <c r="F5209" s="2"/>
      <c r="G5209" s="2"/>
      <c r="O5209"/>
    </row>
    <row r="5210" spans="1:15" hidden="1" x14ac:dyDescent="0.2">
      <c r="A5210" s="3"/>
      <c r="B5210" s="2"/>
      <c r="C5210" s="2"/>
      <c r="D5210" s="2"/>
      <c r="E5210" s="2"/>
      <c r="F5210" s="2"/>
      <c r="G5210" s="2"/>
      <c r="O5210"/>
    </row>
    <row r="5211" spans="1:15" hidden="1" x14ac:dyDescent="0.2">
      <c r="A5211" s="3"/>
      <c r="B5211" s="2"/>
      <c r="C5211" s="2"/>
      <c r="D5211" s="2"/>
      <c r="E5211" s="2"/>
      <c r="F5211" s="2"/>
      <c r="G5211" s="2"/>
      <c r="O5211"/>
    </row>
    <row r="5212" spans="1:15" hidden="1" x14ac:dyDescent="0.2">
      <c r="A5212" s="3"/>
      <c r="B5212" s="2"/>
      <c r="C5212" s="2"/>
      <c r="D5212" s="2"/>
      <c r="E5212" s="2"/>
      <c r="F5212" s="2"/>
      <c r="G5212" s="2"/>
      <c r="O5212"/>
    </row>
    <row r="5213" spans="1:15" hidden="1" x14ac:dyDescent="0.2">
      <c r="A5213" s="3"/>
      <c r="B5213" s="2"/>
      <c r="C5213" s="2"/>
      <c r="D5213" s="2"/>
      <c r="E5213" s="2"/>
      <c r="F5213" s="2"/>
      <c r="G5213" s="2"/>
      <c r="O5213"/>
    </row>
    <row r="5214" spans="1:15" hidden="1" x14ac:dyDescent="0.2">
      <c r="A5214" s="3"/>
      <c r="B5214" s="2"/>
      <c r="C5214" s="2"/>
      <c r="D5214" s="2"/>
      <c r="E5214" s="2"/>
      <c r="F5214" s="2"/>
      <c r="G5214" s="2"/>
      <c r="O5214"/>
    </row>
    <row r="5215" spans="1:15" hidden="1" x14ac:dyDescent="0.2">
      <c r="A5215" s="3"/>
      <c r="B5215" s="2"/>
      <c r="C5215" s="2"/>
      <c r="D5215" s="2"/>
      <c r="E5215" s="2"/>
      <c r="F5215" s="2"/>
      <c r="G5215" s="2"/>
      <c r="O5215"/>
    </row>
    <row r="5216" spans="1:15" hidden="1" x14ac:dyDescent="0.2">
      <c r="A5216" s="3"/>
      <c r="B5216" s="2"/>
      <c r="C5216" s="2"/>
      <c r="D5216" s="2"/>
      <c r="E5216" s="2"/>
      <c r="F5216" s="2"/>
      <c r="G5216" s="2"/>
      <c r="O5216"/>
    </row>
    <row r="5217" spans="1:15" hidden="1" x14ac:dyDescent="0.2">
      <c r="A5217" s="3"/>
      <c r="B5217" s="2"/>
      <c r="C5217" s="2"/>
      <c r="D5217" s="2"/>
      <c r="E5217" s="2"/>
      <c r="F5217" s="2"/>
      <c r="G5217" s="2"/>
      <c r="O5217"/>
    </row>
    <row r="5218" spans="1:15" hidden="1" x14ac:dyDescent="0.2">
      <c r="A5218" s="3"/>
      <c r="B5218" s="2"/>
      <c r="C5218" s="2"/>
      <c r="D5218" s="2"/>
      <c r="E5218" s="2"/>
      <c r="F5218" s="2"/>
      <c r="G5218" s="2"/>
      <c r="O5218"/>
    </row>
    <row r="5219" spans="1:15" hidden="1" x14ac:dyDescent="0.2">
      <c r="A5219" s="3"/>
      <c r="B5219" s="2"/>
      <c r="C5219" s="2"/>
      <c r="D5219" s="2"/>
      <c r="E5219" s="2"/>
      <c r="F5219" s="2"/>
      <c r="G5219" s="2"/>
      <c r="O5219"/>
    </row>
    <row r="5220" spans="1:15" hidden="1" x14ac:dyDescent="0.2">
      <c r="A5220" s="3"/>
      <c r="B5220" s="2"/>
      <c r="C5220" s="2"/>
      <c r="D5220" s="2"/>
      <c r="E5220" s="2"/>
      <c r="F5220" s="2"/>
      <c r="G5220" s="2"/>
      <c r="O5220"/>
    </row>
    <row r="5221" spans="1:15" hidden="1" x14ac:dyDescent="0.2">
      <c r="A5221" s="3"/>
      <c r="B5221" s="2"/>
      <c r="C5221" s="2"/>
      <c r="D5221" s="2"/>
      <c r="E5221" s="2"/>
      <c r="F5221" s="2"/>
      <c r="G5221" s="2"/>
      <c r="O5221"/>
    </row>
    <row r="5222" spans="1:15" hidden="1" x14ac:dyDescent="0.2">
      <c r="A5222" s="3"/>
      <c r="B5222" s="2"/>
      <c r="C5222" s="2"/>
      <c r="D5222" s="2"/>
      <c r="E5222" s="2"/>
      <c r="F5222" s="2"/>
      <c r="G5222" s="2"/>
      <c r="O5222"/>
    </row>
    <row r="5223" spans="1:15" hidden="1" x14ac:dyDescent="0.2">
      <c r="A5223" s="3"/>
      <c r="B5223" s="2"/>
      <c r="C5223" s="2"/>
      <c r="D5223" s="2"/>
      <c r="E5223" s="2"/>
      <c r="F5223" s="2"/>
      <c r="G5223" s="2"/>
      <c r="O5223"/>
    </row>
    <row r="5224" spans="1:15" hidden="1" x14ac:dyDescent="0.2">
      <c r="A5224" s="3"/>
      <c r="B5224" s="2"/>
      <c r="C5224" s="2"/>
      <c r="D5224" s="2"/>
      <c r="E5224" s="2"/>
      <c r="F5224" s="2"/>
      <c r="G5224" s="2"/>
      <c r="O5224"/>
    </row>
    <row r="5225" spans="1:15" hidden="1" x14ac:dyDescent="0.2">
      <c r="A5225" s="3"/>
      <c r="B5225" s="2"/>
      <c r="C5225" s="2"/>
      <c r="D5225" s="2"/>
      <c r="E5225" s="2"/>
      <c r="F5225" s="2"/>
      <c r="G5225" s="2"/>
      <c r="O5225"/>
    </row>
    <row r="5226" spans="1:15" hidden="1" x14ac:dyDescent="0.2">
      <c r="A5226" s="3"/>
      <c r="B5226" s="2"/>
      <c r="C5226" s="2"/>
      <c r="D5226" s="2"/>
      <c r="E5226" s="2"/>
      <c r="F5226" s="2"/>
      <c r="G5226" s="2"/>
      <c r="O5226"/>
    </row>
    <row r="5227" spans="1:15" hidden="1" x14ac:dyDescent="0.2">
      <c r="A5227" s="3"/>
      <c r="B5227" s="2"/>
      <c r="C5227" s="2"/>
      <c r="D5227" s="2"/>
      <c r="E5227" s="2"/>
      <c r="F5227" s="2"/>
      <c r="G5227" s="2"/>
      <c r="O5227"/>
    </row>
    <row r="5228" spans="1:15" hidden="1" x14ac:dyDescent="0.2">
      <c r="A5228" s="3"/>
      <c r="B5228" s="2"/>
      <c r="C5228" s="2"/>
      <c r="D5228" s="2"/>
      <c r="E5228" s="2"/>
      <c r="F5228" s="2"/>
      <c r="G5228" s="2"/>
      <c r="O5228"/>
    </row>
    <row r="5229" spans="1:15" hidden="1" x14ac:dyDescent="0.2">
      <c r="A5229" s="3"/>
      <c r="B5229" s="2"/>
      <c r="C5229" s="2"/>
      <c r="D5229" s="2"/>
      <c r="E5229" s="2"/>
      <c r="F5229" s="2"/>
      <c r="G5229" s="2"/>
      <c r="O5229"/>
    </row>
    <row r="5230" spans="1:15" hidden="1" x14ac:dyDescent="0.2">
      <c r="A5230" s="3"/>
      <c r="B5230" s="2"/>
      <c r="C5230" s="2"/>
      <c r="D5230" s="2"/>
      <c r="E5230" s="2"/>
      <c r="F5230" s="2"/>
      <c r="G5230" s="2"/>
      <c r="O5230"/>
    </row>
    <row r="5231" spans="1:15" hidden="1" x14ac:dyDescent="0.2">
      <c r="A5231" s="3"/>
      <c r="B5231" s="2"/>
      <c r="C5231" s="2"/>
      <c r="D5231" s="2"/>
      <c r="E5231" s="2"/>
      <c r="F5231" s="2"/>
      <c r="G5231" s="2"/>
      <c r="O5231"/>
    </row>
    <row r="5232" spans="1:15" hidden="1" x14ac:dyDescent="0.2">
      <c r="A5232" s="3"/>
      <c r="B5232" s="2"/>
      <c r="C5232" s="2"/>
      <c r="D5232" s="2"/>
      <c r="E5232" s="2"/>
      <c r="F5232" s="2"/>
      <c r="G5232" s="2"/>
      <c r="O5232"/>
    </row>
    <row r="5233" spans="1:15" hidden="1" x14ac:dyDescent="0.2">
      <c r="A5233" s="3"/>
      <c r="B5233" s="2"/>
      <c r="C5233" s="2"/>
      <c r="D5233" s="2"/>
      <c r="E5233" s="2"/>
      <c r="F5233" s="2"/>
      <c r="G5233" s="2"/>
      <c r="O5233"/>
    </row>
    <row r="5234" spans="1:15" hidden="1" x14ac:dyDescent="0.2">
      <c r="A5234" s="3"/>
      <c r="B5234" s="2"/>
      <c r="C5234" s="2"/>
      <c r="D5234" s="2"/>
      <c r="E5234" s="2"/>
      <c r="F5234" s="2"/>
      <c r="G5234" s="2"/>
      <c r="O5234"/>
    </row>
    <row r="5235" spans="1:15" hidden="1" x14ac:dyDescent="0.2">
      <c r="A5235" s="3"/>
      <c r="B5235" s="2"/>
      <c r="C5235" s="2"/>
      <c r="D5235" s="2"/>
      <c r="E5235" s="2"/>
      <c r="F5235" s="2"/>
      <c r="G5235" s="2"/>
      <c r="O5235"/>
    </row>
    <row r="5236" spans="1:15" hidden="1" x14ac:dyDescent="0.2">
      <c r="A5236" s="3"/>
      <c r="B5236" s="2"/>
      <c r="C5236" s="2"/>
      <c r="D5236" s="2"/>
      <c r="E5236" s="2"/>
      <c r="F5236" s="2"/>
      <c r="G5236" s="2"/>
      <c r="O5236"/>
    </row>
    <row r="5237" spans="1:15" hidden="1" x14ac:dyDescent="0.2">
      <c r="A5237" s="3"/>
      <c r="B5237" s="2"/>
      <c r="C5237" s="2"/>
      <c r="D5237" s="2"/>
      <c r="E5237" s="2"/>
      <c r="F5237" s="2"/>
      <c r="G5237" s="2"/>
      <c r="O5237"/>
    </row>
    <row r="5238" spans="1:15" hidden="1" x14ac:dyDescent="0.2">
      <c r="A5238" s="3"/>
      <c r="B5238" s="2"/>
      <c r="C5238" s="2"/>
      <c r="D5238" s="2"/>
      <c r="E5238" s="2"/>
      <c r="F5238" s="2"/>
      <c r="G5238" s="2"/>
      <c r="O5238"/>
    </row>
    <row r="5239" spans="1:15" hidden="1" x14ac:dyDescent="0.2">
      <c r="A5239" s="3"/>
      <c r="B5239" s="2"/>
      <c r="C5239" s="2"/>
      <c r="D5239" s="2"/>
      <c r="E5239" s="2"/>
      <c r="F5239" s="2"/>
      <c r="G5239" s="2"/>
      <c r="O5239"/>
    </row>
    <row r="5240" spans="1:15" hidden="1" x14ac:dyDescent="0.2">
      <c r="A5240" s="3"/>
      <c r="B5240" s="2"/>
      <c r="C5240" s="2"/>
      <c r="D5240" s="2"/>
      <c r="E5240" s="2"/>
      <c r="F5240" s="2"/>
      <c r="G5240" s="2"/>
      <c r="O5240"/>
    </row>
    <row r="5241" spans="1:15" hidden="1" x14ac:dyDescent="0.2">
      <c r="A5241" s="3"/>
      <c r="B5241" s="2"/>
      <c r="C5241" s="2"/>
      <c r="D5241" s="2"/>
      <c r="E5241" s="2"/>
      <c r="F5241" s="2"/>
      <c r="G5241" s="2"/>
      <c r="O5241"/>
    </row>
    <row r="5242" spans="1:15" hidden="1" x14ac:dyDescent="0.2">
      <c r="A5242" s="3"/>
      <c r="B5242" s="2"/>
      <c r="C5242" s="2"/>
      <c r="D5242" s="2"/>
      <c r="E5242" s="2"/>
      <c r="F5242" s="2"/>
      <c r="G5242" s="2"/>
      <c r="O5242"/>
    </row>
    <row r="5243" spans="1:15" hidden="1" x14ac:dyDescent="0.2">
      <c r="A5243" s="3"/>
      <c r="B5243" s="2"/>
      <c r="C5243" s="2"/>
      <c r="D5243" s="2"/>
      <c r="E5243" s="2"/>
      <c r="F5243" s="2"/>
      <c r="G5243" s="2"/>
      <c r="O5243"/>
    </row>
    <row r="5244" spans="1:15" hidden="1" x14ac:dyDescent="0.2">
      <c r="A5244" s="3"/>
      <c r="B5244" s="2"/>
      <c r="C5244" s="2"/>
      <c r="D5244" s="2"/>
      <c r="E5244" s="2"/>
      <c r="F5244" s="2"/>
      <c r="G5244" s="2"/>
      <c r="O5244"/>
    </row>
    <row r="5245" spans="1:15" hidden="1" x14ac:dyDescent="0.2">
      <c r="A5245" s="3"/>
      <c r="B5245" s="2"/>
      <c r="C5245" s="2"/>
      <c r="D5245" s="2"/>
      <c r="E5245" s="2"/>
      <c r="F5245" s="2"/>
      <c r="G5245" s="2"/>
      <c r="O5245"/>
    </row>
    <row r="5246" spans="1:15" hidden="1" x14ac:dyDescent="0.2">
      <c r="A5246" s="3"/>
      <c r="B5246" s="2"/>
      <c r="C5246" s="2"/>
      <c r="D5246" s="2"/>
      <c r="E5246" s="2"/>
      <c r="F5246" s="2"/>
      <c r="G5246" s="2"/>
      <c r="O5246"/>
    </row>
    <row r="5247" spans="1:15" hidden="1" x14ac:dyDescent="0.2">
      <c r="A5247" s="3"/>
      <c r="B5247" s="2"/>
      <c r="C5247" s="2"/>
      <c r="D5247" s="2"/>
      <c r="E5247" s="2"/>
      <c r="F5247" s="2"/>
      <c r="G5247" s="2"/>
      <c r="O5247"/>
    </row>
    <row r="5248" spans="1:15" hidden="1" x14ac:dyDescent="0.2">
      <c r="A5248" s="3"/>
      <c r="B5248" s="2"/>
      <c r="C5248" s="2"/>
      <c r="D5248" s="2"/>
      <c r="E5248" s="2"/>
      <c r="F5248" s="2"/>
      <c r="G5248" s="2"/>
      <c r="O5248"/>
    </row>
    <row r="5249" spans="1:15" hidden="1" x14ac:dyDescent="0.2">
      <c r="A5249" s="3"/>
      <c r="B5249" s="2"/>
      <c r="C5249" s="2"/>
      <c r="D5249" s="2"/>
      <c r="E5249" s="2"/>
      <c r="F5249" s="2"/>
      <c r="G5249" s="2"/>
      <c r="O5249"/>
    </row>
    <row r="5250" spans="1:15" hidden="1" x14ac:dyDescent="0.2">
      <c r="A5250" s="3"/>
      <c r="B5250" s="2"/>
      <c r="C5250" s="2"/>
      <c r="D5250" s="2"/>
      <c r="E5250" s="2"/>
      <c r="F5250" s="2"/>
      <c r="G5250" s="2"/>
      <c r="O5250"/>
    </row>
    <row r="5251" spans="1:15" hidden="1" x14ac:dyDescent="0.2">
      <c r="A5251" s="3"/>
      <c r="B5251" s="2"/>
      <c r="C5251" s="2"/>
      <c r="D5251" s="2"/>
      <c r="E5251" s="2"/>
      <c r="F5251" s="2"/>
      <c r="G5251" s="2"/>
      <c r="O5251"/>
    </row>
    <row r="5252" spans="1:15" hidden="1" x14ac:dyDescent="0.2">
      <c r="A5252" s="3"/>
      <c r="B5252" s="2"/>
      <c r="C5252" s="2"/>
      <c r="D5252" s="2"/>
      <c r="E5252" s="2"/>
      <c r="F5252" s="2"/>
      <c r="G5252" s="2"/>
      <c r="O5252"/>
    </row>
    <row r="5253" spans="1:15" hidden="1" x14ac:dyDescent="0.2">
      <c r="A5253" s="3"/>
      <c r="B5253" s="2"/>
      <c r="C5253" s="2"/>
      <c r="D5253" s="2"/>
      <c r="E5253" s="2"/>
      <c r="F5253" s="2"/>
      <c r="G5253" s="2"/>
      <c r="O5253"/>
    </row>
    <row r="5254" spans="1:15" hidden="1" x14ac:dyDescent="0.2">
      <c r="A5254" s="3"/>
      <c r="B5254" s="2"/>
      <c r="C5254" s="2"/>
      <c r="D5254" s="2"/>
      <c r="E5254" s="2"/>
      <c r="F5254" s="2"/>
      <c r="G5254" s="2"/>
      <c r="O5254"/>
    </row>
    <row r="5255" spans="1:15" hidden="1" x14ac:dyDescent="0.2">
      <c r="A5255" s="3"/>
      <c r="B5255" s="2"/>
      <c r="C5255" s="2"/>
      <c r="D5255" s="2"/>
      <c r="E5255" s="2"/>
      <c r="F5255" s="2"/>
      <c r="G5255" s="2"/>
      <c r="O5255"/>
    </row>
    <row r="5256" spans="1:15" hidden="1" x14ac:dyDescent="0.2">
      <c r="A5256" s="3"/>
      <c r="B5256" s="2"/>
      <c r="C5256" s="2"/>
      <c r="D5256" s="2"/>
      <c r="E5256" s="2"/>
      <c r="F5256" s="2"/>
      <c r="G5256" s="2"/>
      <c r="O5256"/>
    </row>
    <row r="5257" spans="1:15" hidden="1" x14ac:dyDescent="0.2">
      <c r="A5257" s="3"/>
      <c r="B5257" s="2"/>
      <c r="C5257" s="2"/>
      <c r="D5257" s="2"/>
      <c r="E5257" s="2"/>
      <c r="F5257" s="2"/>
      <c r="G5257" s="2"/>
      <c r="O5257"/>
    </row>
    <row r="5258" spans="1:15" hidden="1" x14ac:dyDescent="0.2">
      <c r="A5258" s="3"/>
      <c r="B5258" s="2"/>
      <c r="C5258" s="2"/>
      <c r="D5258" s="2"/>
      <c r="E5258" s="2"/>
      <c r="F5258" s="2"/>
      <c r="G5258" s="2"/>
      <c r="O5258"/>
    </row>
    <row r="5259" spans="1:15" hidden="1" x14ac:dyDescent="0.2">
      <c r="A5259" s="3"/>
      <c r="B5259" s="2"/>
      <c r="C5259" s="2"/>
      <c r="D5259" s="2"/>
      <c r="E5259" s="2"/>
      <c r="F5259" s="2"/>
      <c r="G5259" s="2"/>
      <c r="O5259"/>
    </row>
    <row r="5260" spans="1:15" hidden="1" x14ac:dyDescent="0.2">
      <c r="A5260" s="3"/>
      <c r="B5260" s="2"/>
      <c r="C5260" s="2"/>
      <c r="D5260" s="2"/>
      <c r="E5260" s="2"/>
      <c r="F5260" s="2"/>
      <c r="G5260" s="2"/>
      <c r="O5260"/>
    </row>
    <row r="5261" spans="1:15" hidden="1" x14ac:dyDescent="0.2">
      <c r="A5261" s="3"/>
      <c r="B5261" s="2"/>
      <c r="C5261" s="2"/>
      <c r="D5261" s="2"/>
      <c r="E5261" s="2"/>
      <c r="F5261" s="2"/>
      <c r="G5261" s="2"/>
      <c r="O5261"/>
    </row>
    <row r="5262" spans="1:15" hidden="1" x14ac:dyDescent="0.2">
      <c r="A5262" s="3"/>
      <c r="B5262" s="2"/>
      <c r="C5262" s="2"/>
      <c r="D5262" s="2"/>
      <c r="E5262" s="2"/>
      <c r="F5262" s="2"/>
      <c r="G5262" s="2"/>
      <c r="O5262"/>
    </row>
    <row r="5263" spans="1:15" hidden="1" x14ac:dyDescent="0.2">
      <c r="A5263" s="3"/>
      <c r="B5263" s="2"/>
      <c r="C5263" s="2"/>
      <c r="D5263" s="2"/>
      <c r="E5263" s="2"/>
      <c r="F5263" s="2"/>
      <c r="G5263" s="2"/>
      <c r="O5263"/>
    </row>
    <row r="5264" spans="1:15" hidden="1" x14ac:dyDescent="0.2">
      <c r="A5264" s="3"/>
      <c r="B5264" s="2"/>
      <c r="C5264" s="2"/>
      <c r="D5264" s="2"/>
      <c r="E5264" s="2"/>
      <c r="F5264" s="2"/>
      <c r="G5264" s="2"/>
      <c r="O5264"/>
    </row>
    <row r="5265" spans="1:15" hidden="1" x14ac:dyDescent="0.2">
      <c r="A5265" s="3"/>
      <c r="B5265" s="2"/>
      <c r="C5265" s="2"/>
      <c r="D5265" s="2"/>
      <c r="E5265" s="2"/>
      <c r="F5265" s="2"/>
      <c r="G5265" s="2"/>
      <c r="O5265"/>
    </row>
    <row r="5266" spans="1:15" hidden="1" x14ac:dyDescent="0.2">
      <c r="A5266" s="3"/>
      <c r="B5266" s="2"/>
      <c r="C5266" s="2"/>
      <c r="D5266" s="2"/>
      <c r="E5266" s="2"/>
      <c r="F5266" s="2"/>
      <c r="G5266" s="2"/>
      <c r="O5266"/>
    </row>
    <row r="5267" spans="1:15" hidden="1" x14ac:dyDescent="0.2">
      <c r="A5267" s="3"/>
      <c r="B5267" s="2"/>
      <c r="C5267" s="2"/>
      <c r="D5267" s="2"/>
      <c r="E5267" s="2"/>
      <c r="F5267" s="2"/>
      <c r="G5267" s="2"/>
      <c r="O5267"/>
    </row>
    <row r="5268" spans="1:15" hidden="1" x14ac:dyDescent="0.2">
      <c r="A5268" s="3"/>
      <c r="B5268" s="2"/>
      <c r="C5268" s="2"/>
      <c r="D5268" s="2"/>
      <c r="E5268" s="2"/>
      <c r="F5268" s="2"/>
      <c r="G5268" s="2"/>
      <c r="O5268"/>
    </row>
    <row r="5269" spans="1:15" hidden="1" x14ac:dyDescent="0.2">
      <c r="A5269" s="3"/>
      <c r="B5269" s="2"/>
      <c r="C5269" s="2"/>
      <c r="D5269" s="2"/>
      <c r="E5269" s="2"/>
      <c r="F5269" s="2"/>
      <c r="G5269" s="2"/>
      <c r="O5269"/>
    </row>
    <row r="5270" spans="1:15" hidden="1" x14ac:dyDescent="0.2">
      <c r="A5270" s="3"/>
      <c r="B5270" s="2"/>
      <c r="C5270" s="2"/>
      <c r="D5270" s="2"/>
      <c r="E5270" s="2"/>
      <c r="F5270" s="2"/>
      <c r="G5270" s="2"/>
      <c r="O5270"/>
    </row>
    <row r="5271" spans="1:15" hidden="1" x14ac:dyDescent="0.2">
      <c r="A5271" s="3"/>
      <c r="B5271" s="2"/>
      <c r="C5271" s="2"/>
      <c r="D5271" s="2"/>
      <c r="E5271" s="2"/>
      <c r="F5271" s="2"/>
      <c r="G5271" s="2"/>
      <c r="O5271"/>
    </row>
    <row r="5272" spans="1:15" hidden="1" x14ac:dyDescent="0.2">
      <c r="A5272" s="3"/>
      <c r="B5272" s="2"/>
      <c r="C5272" s="2"/>
      <c r="D5272" s="2"/>
      <c r="E5272" s="2"/>
      <c r="F5272" s="2"/>
      <c r="G5272" s="2"/>
      <c r="O5272"/>
    </row>
    <row r="5273" spans="1:15" hidden="1" x14ac:dyDescent="0.2">
      <c r="A5273" s="3"/>
      <c r="B5273" s="2"/>
      <c r="C5273" s="2"/>
      <c r="D5273" s="2"/>
      <c r="E5273" s="2"/>
      <c r="F5273" s="2"/>
      <c r="G5273" s="2"/>
      <c r="O5273"/>
    </row>
    <row r="5274" spans="1:15" hidden="1" x14ac:dyDescent="0.2">
      <c r="A5274" s="3"/>
      <c r="B5274" s="2"/>
      <c r="C5274" s="2"/>
      <c r="D5274" s="2"/>
      <c r="E5274" s="2"/>
      <c r="F5274" s="2"/>
      <c r="G5274" s="2"/>
      <c r="O5274"/>
    </row>
    <row r="5275" spans="1:15" hidden="1" x14ac:dyDescent="0.2">
      <c r="A5275" s="3"/>
      <c r="B5275" s="2"/>
      <c r="C5275" s="2"/>
      <c r="D5275" s="2"/>
      <c r="E5275" s="2"/>
      <c r="F5275" s="2"/>
      <c r="G5275" s="2"/>
      <c r="O5275"/>
    </row>
    <row r="5276" spans="1:15" hidden="1" x14ac:dyDescent="0.2">
      <c r="A5276" s="3"/>
      <c r="B5276" s="2"/>
      <c r="C5276" s="2"/>
      <c r="D5276" s="2"/>
      <c r="E5276" s="2"/>
      <c r="F5276" s="2"/>
      <c r="G5276" s="2"/>
      <c r="O5276"/>
    </row>
    <row r="5277" spans="1:15" hidden="1" x14ac:dyDescent="0.2">
      <c r="A5277" s="3"/>
      <c r="B5277" s="2"/>
      <c r="C5277" s="2"/>
      <c r="D5277" s="2"/>
      <c r="E5277" s="2"/>
      <c r="F5277" s="2"/>
      <c r="G5277" s="2"/>
      <c r="O5277"/>
    </row>
    <row r="5278" spans="1:15" hidden="1" x14ac:dyDescent="0.2">
      <c r="A5278" s="3"/>
      <c r="B5278" s="2"/>
      <c r="C5278" s="2"/>
      <c r="D5278" s="2"/>
      <c r="E5278" s="2"/>
      <c r="F5278" s="2"/>
      <c r="G5278" s="2"/>
      <c r="O5278"/>
    </row>
    <row r="5279" spans="1:15" hidden="1" x14ac:dyDescent="0.2">
      <c r="A5279" s="3"/>
      <c r="B5279" s="2"/>
      <c r="C5279" s="2"/>
      <c r="D5279" s="2"/>
      <c r="E5279" s="2"/>
      <c r="F5279" s="2"/>
      <c r="G5279" s="2"/>
      <c r="O5279"/>
    </row>
    <row r="5280" spans="1:15" hidden="1" x14ac:dyDescent="0.2">
      <c r="A5280" s="3"/>
      <c r="B5280" s="2"/>
      <c r="C5280" s="2"/>
      <c r="D5280" s="2"/>
      <c r="E5280" s="2"/>
      <c r="F5280" s="2"/>
      <c r="G5280" s="2"/>
      <c r="O5280"/>
    </row>
    <row r="5281" spans="1:15" hidden="1" x14ac:dyDescent="0.2">
      <c r="A5281" s="3"/>
      <c r="B5281" s="2"/>
      <c r="C5281" s="2"/>
      <c r="D5281" s="2"/>
      <c r="E5281" s="2"/>
      <c r="F5281" s="2"/>
      <c r="G5281" s="2"/>
      <c r="O5281"/>
    </row>
    <row r="5282" spans="1:15" hidden="1" x14ac:dyDescent="0.2">
      <c r="A5282" s="3"/>
      <c r="B5282" s="2"/>
      <c r="C5282" s="2"/>
      <c r="D5282" s="2"/>
      <c r="E5282" s="2"/>
      <c r="F5282" s="2"/>
      <c r="G5282" s="2"/>
      <c r="O5282"/>
    </row>
    <row r="5283" spans="1:15" hidden="1" x14ac:dyDescent="0.2">
      <c r="A5283" s="3"/>
      <c r="B5283" s="2"/>
      <c r="C5283" s="2"/>
      <c r="D5283" s="2"/>
      <c r="E5283" s="2"/>
      <c r="F5283" s="2"/>
      <c r="G5283" s="2"/>
      <c r="O5283"/>
    </row>
    <row r="5284" spans="1:15" hidden="1" x14ac:dyDescent="0.2">
      <c r="A5284" s="3"/>
      <c r="B5284" s="2"/>
      <c r="C5284" s="2"/>
      <c r="D5284" s="2"/>
      <c r="E5284" s="2"/>
      <c r="F5284" s="2"/>
      <c r="G5284" s="2"/>
      <c r="O5284"/>
    </row>
    <row r="5285" spans="1:15" hidden="1" x14ac:dyDescent="0.2">
      <c r="A5285" s="3"/>
      <c r="B5285" s="2"/>
      <c r="C5285" s="2"/>
      <c r="D5285" s="2"/>
      <c r="E5285" s="2"/>
      <c r="F5285" s="2"/>
      <c r="G5285" s="2"/>
      <c r="O5285"/>
    </row>
    <row r="5286" spans="1:15" hidden="1" x14ac:dyDescent="0.2">
      <c r="A5286" s="3"/>
      <c r="B5286" s="2"/>
      <c r="C5286" s="2"/>
      <c r="D5286" s="2"/>
      <c r="E5286" s="2"/>
      <c r="F5286" s="2"/>
      <c r="G5286" s="2"/>
      <c r="O5286"/>
    </row>
    <row r="5287" spans="1:15" hidden="1" x14ac:dyDescent="0.2">
      <c r="A5287" s="3"/>
      <c r="B5287" s="2"/>
      <c r="C5287" s="2"/>
      <c r="D5287" s="2"/>
      <c r="E5287" s="2"/>
      <c r="F5287" s="2"/>
      <c r="G5287" s="2"/>
      <c r="O5287"/>
    </row>
    <row r="5288" spans="1:15" hidden="1" x14ac:dyDescent="0.2">
      <c r="A5288" s="3"/>
      <c r="B5288" s="2"/>
      <c r="C5288" s="2"/>
      <c r="D5288" s="2"/>
      <c r="E5288" s="2"/>
      <c r="F5288" s="2"/>
      <c r="G5288" s="2"/>
      <c r="O5288"/>
    </row>
    <row r="5289" spans="1:15" hidden="1" x14ac:dyDescent="0.2">
      <c r="A5289" s="3"/>
      <c r="B5289" s="2"/>
      <c r="C5289" s="2"/>
      <c r="D5289" s="2"/>
      <c r="E5289" s="2"/>
      <c r="F5289" s="2"/>
      <c r="G5289" s="2"/>
      <c r="O5289"/>
    </row>
    <row r="5290" spans="1:15" hidden="1" x14ac:dyDescent="0.2">
      <c r="A5290" s="3"/>
      <c r="B5290" s="2"/>
      <c r="C5290" s="2"/>
      <c r="D5290" s="2"/>
      <c r="E5290" s="2"/>
      <c r="F5290" s="2"/>
      <c r="G5290" s="2"/>
      <c r="O5290"/>
    </row>
    <row r="5291" spans="1:15" hidden="1" x14ac:dyDescent="0.2">
      <c r="A5291" s="3"/>
      <c r="B5291" s="2"/>
      <c r="C5291" s="2"/>
      <c r="D5291" s="2"/>
      <c r="E5291" s="2"/>
      <c r="F5291" s="2"/>
      <c r="G5291" s="2"/>
      <c r="O5291"/>
    </row>
    <row r="5292" spans="1:15" hidden="1" x14ac:dyDescent="0.2">
      <c r="A5292" s="3"/>
      <c r="B5292" s="2"/>
      <c r="C5292" s="2"/>
      <c r="D5292" s="2"/>
      <c r="E5292" s="2"/>
      <c r="F5292" s="2"/>
      <c r="G5292" s="2"/>
      <c r="O5292"/>
    </row>
    <row r="5293" spans="1:15" hidden="1" x14ac:dyDescent="0.2">
      <c r="A5293" s="3"/>
      <c r="B5293" s="2"/>
      <c r="C5293" s="2"/>
      <c r="D5293" s="2"/>
      <c r="E5293" s="2"/>
      <c r="F5293" s="2"/>
      <c r="G5293" s="2"/>
      <c r="O5293"/>
    </row>
    <row r="5294" spans="1:15" hidden="1" x14ac:dyDescent="0.2">
      <c r="A5294" s="3"/>
      <c r="B5294" s="2"/>
      <c r="C5294" s="2"/>
      <c r="D5294" s="2"/>
      <c r="E5294" s="2"/>
      <c r="F5294" s="2"/>
      <c r="G5294" s="2"/>
      <c r="O5294"/>
    </row>
    <row r="5295" spans="1:15" hidden="1" x14ac:dyDescent="0.2">
      <c r="A5295" s="3"/>
      <c r="B5295" s="2"/>
      <c r="C5295" s="2"/>
      <c r="D5295" s="2"/>
      <c r="E5295" s="2"/>
      <c r="F5295" s="2"/>
      <c r="G5295" s="2"/>
      <c r="O5295"/>
    </row>
    <row r="5296" spans="1:15" hidden="1" x14ac:dyDescent="0.2">
      <c r="A5296" s="3"/>
      <c r="B5296" s="2"/>
      <c r="C5296" s="2"/>
      <c r="D5296" s="2"/>
      <c r="E5296" s="2"/>
      <c r="F5296" s="2"/>
      <c r="G5296" s="2"/>
      <c r="O5296"/>
    </row>
    <row r="5297" spans="1:15" hidden="1" x14ac:dyDescent="0.2">
      <c r="A5297" s="3"/>
      <c r="B5297" s="2"/>
      <c r="C5297" s="2"/>
      <c r="D5297" s="2"/>
      <c r="E5297" s="2"/>
      <c r="F5297" s="2"/>
      <c r="G5297" s="2"/>
      <c r="O5297"/>
    </row>
    <row r="5298" spans="1:15" hidden="1" x14ac:dyDescent="0.2">
      <c r="A5298" s="3"/>
      <c r="B5298" s="2"/>
      <c r="C5298" s="2"/>
      <c r="D5298" s="2"/>
      <c r="E5298" s="2"/>
      <c r="F5298" s="2"/>
      <c r="G5298" s="2"/>
      <c r="O5298"/>
    </row>
    <row r="5299" spans="1:15" hidden="1" x14ac:dyDescent="0.2">
      <c r="A5299" s="3"/>
      <c r="B5299" s="2"/>
      <c r="C5299" s="2"/>
      <c r="D5299" s="2"/>
      <c r="E5299" s="2"/>
      <c r="F5299" s="2"/>
      <c r="G5299" s="2"/>
      <c r="O5299"/>
    </row>
    <row r="5300" spans="1:15" hidden="1" x14ac:dyDescent="0.2">
      <c r="A5300" s="3"/>
      <c r="B5300" s="2"/>
      <c r="C5300" s="2"/>
      <c r="D5300" s="2"/>
      <c r="E5300" s="2"/>
      <c r="F5300" s="2"/>
      <c r="G5300" s="2"/>
      <c r="O5300"/>
    </row>
    <row r="5301" spans="1:15" hidden="1" x14ac:dyDescent="0.2">
      <c r="A5301" s="3"/>
      <c r="B5301" s="2"/>
      <c r="C5301" s="2"/>
      <c r="D5301" s="2"/>
      <c r="E5301" s="2"/>
      <c r="F5301" s="2"/>
      <c r="G5301" s="2"/>
      <c r="O5301"/>
    </row>
    <row r="5302" spans="1:15" hidden="1" x14ac:dyDescent="0.2">
      <c r="A5302" s="3"/>
      <c r="B5302" s="2"/>
      <c r="C5302" s="2"/>
      <c r="D5302" s="2"/>
      <c r="E5302" s="2"/>
      <c r="F5302" s="2"/>
      <c r="G5302" s="2"/>
      <c r="O5302"/>
    </row>
    <row r="5303" spans="1:15" hidden="1" x14ac:dyDescent="0.2">
      <c r="A5303" s="3"/>
      <c r="B5303" s="2"/>
      <c r="C5303" s="2"/>
      <c r="D5303" s="2"/>
      <c r="E5303" s="2"/>
      <c r="F5303" s="2"/>
      <c r="G5303" s="2"/>
      <c r="O5303"/>
    </row>
    <row r="5304" spans="1:15" hidden="1" x14ac:dyDescent="0.2">
      <c r="A5304" s="3"/>
      <c r="B5304" s="2"/>
      <c r="C5304" s="2"/>
      <c r="D5304" s="2"/>
      <c r="E5304" s="2"/>
      <c r="F5304" s="2"/>
      <c r="G5304" s="2"/>
      <c r="O5304"/>
    </row>
    <row r="5305" spans="1:15" hidden="1" x14ac:dyDescent="0.2">
      <c r="A5305" s="3"/>
      <c r="B5305" s="2"/>
      <c r="C5305" s="2"/>
      <c r="D5305" s="2"/>
      <c r="E5305" s="2"/>
      <c r="F5305" s="2"/>
      <c r="G5305" s="2"/>
      <c r="O5305"/>
    </row>
    <row r="5306" spans="1:15" hidden="1" x14ac:dyDescent="0.2">
      <c r="A5306" s="3"/>
      <c r="B5306" s="2"/>
      <c r="C5306" s="2"/>
      <c r="D5306" s="2"/>
      <c r="E5306" s="2"/>
      <c r="F5306" s="2"/>
      <c r="G5306" s="2"/>
      <c r="O5306"/>
    </row>
    <row r="5307" spans="1:15" hidden="1" x14ac:dyDescent="0.2">
      <c r="A5307" s="3"/>
      <c r="B5307" s="2"/>
      <c r="C5307" s="2"/>
      <c r="D5307" s="2"/>
      <c r="E5307" s="2"/>
      <c r="F5307" s="2"/>
      <c r="G5307" s="2"/>
      <c r="O5307"/>
    </row>
    <row r="5308" spans="1:15" hidden="1" x14ac:dyDescent="0.2">
      <c r="A5308" s="3"/>
      <c r="B5308" s="2"/>
      <c r="C5308" s="2"/>
      <c r="D5308" s="2"/>
      <c r="E5308" s="2"/>
      <c r="F5308" s="2"/>
      <c r="G5308" s="2"/>
      <c r="O5308"/>
    </row>
    <row r="5309" spans="1:15" hidden="1" x14ac:dyDescent="0.2">
      <c r="A5309" s="3"/>
      <c r="B5309" s="2"/>
      <c r="C5309" s="2"/>
      <c r="D5309" s="2"/>
      <c r="E5309" s="2"/>
      <c r="F5309" s="2"/>
      <c r="G5309" s="2"/>
      <c r="O5309"/>
    </row>
    <row r="5310" spans="1:15" hidden="1" x14ac:dyDescent="0.2">
      <c r="A5310" s="3"/>
      <c r="B5310" s="2"/>
      <c r="C5310" s="2"/>
      <c r="D5310" s="2"/>
      <c r="E5310" s="2"/>
      <c r="F5310" s="2"/>
      <c r="G5310" s="2"/>
      <c r="O5310"/>
    </row>
    <row r="5311" spans="1:15" hidden="1" x14ac:dyDescent="0.2">
      <c r="A5311" s="3"/>
      <c r="B5311" s="2"/>
      <c r="C5311" s="2"/>
      <c r="D5311" s="2"/>
      <c r="E5311" s="2"/>
      <c r="F5311" s="2"/>
      <c r="G5311" s="2"/>
      <c r="O5311"/>
    </row>
    <row r="5312" spans="1:15" hidden="1" x14ac:dyDescent="0.2">
      <c r="A5312" s="3"/>
      <c r="B5312" s="2"/>
      <c r="C5312" s="2"/>
      <c r="D5312" s="2"/>
      <c r="E5312" s="2"/>
      <c r="F5312" s="2"/>
      <c r="G5312" s="2"/>
      <c r="O5312"/>
    </row>
    <row r="5313" spans="1:15" hidden="1" x14ac:dyDescent="0.2">
      <c r="A5313" s="3"/>
      <c r="B5313" s="2"/>
      <c r="C5313" s="2"/>
      <c r="D5313" s="2"/>
      <c r="E5313" s="2"/>
      <c r="F5313" s="2"/>
      <c r="G5313" s="2"/>
      <c r="O5313"/>
    </row>
    <row r="5314" spans="1:15" hidden="1" x14ac:dyDescent="0.2">
      <c r="A5314" s="3"/>
      <c r="B5314" s="2"/>
      <c r="C5314" s="2"/>
      <c r="D5314" s="2"/>
      <c r="E5314" s="2"/>
      <c r="F5314" s="2"/>
      <c r="G5314" s="2"/>
      <c r="O5314"/>
    </row>
    <row r="5315" spans="1:15" hidden="1" x14ac:dyDescent="0.2">
      <c r="A5315" s="3"/>
      <c r="B5315" s="2"/>
      <c r="C5315" s="2"/>
      <c r="D5315" s="2"/>
      <c r="E5315" s="2"/>
      <c r="F5315" s="2"/>
      <c r="G5315" s="2"/>
      <c r="O5315"/>
    </row>
    <row r="5316" spans="1:15" hidden="1" x14ac:dyDescent="0.2">
      <c r="A5316" s="3"/>
      <c r="B5316" s="2"/>
      <c r="C5316" s="2"/>
      <c r="D5316" s="2"/>
      <c r="E5316" s="2"/>
      <c r="F5316" s="2"/>
      <c r="G5316" s="2"/>
      <c r="O5316"/>
    </row>
    <row r="5317" spans="1:15" hidden="1" x14ac:dyDescent="0.2">
      <c r="A5317" s="3"/>
      <c r="B5317" s="2"/>
      <c r="C5317" s="2"/>
      <c r="D5317" s="2"/>
      <c r="E5317" s="2"/>
      <c r="F5317" s="2"/>
      <c r="G5317" s="2"/>
      <c r="O5317"/>
    </row>
    <row r="5318" spans="1:15" hidden="1" x14ac:dyDescent="0.2">
      <c r="A5318" s="3"/>
      <c r="B5318" s="2"/>
      <c r="C5318" s="2"/>
      <c r="D5318" s="2"/>
      <c r="E5318" s="2"/>
      <c r="F5318" s="2"/>
      <c r="G5318" s="2"/>
      <c r="O5318"/>
    </row>
    <row r="5319" spans="1:15" hidden="1" x14ac:dyDescent="0.2">
      <c r="A5319" s="3"/>
      <c r="B5319" s="2"/>
      <c r="C5319" s="2"/>
      <c r="D5319" s="2"/>
      <c r="E5319" s="2"/>
      <c r="F5319" s="2"/>
      <c r="G5319" s="2"/>
      <c r="O5319"/>
    </row>
    <row r="5320" spans="1:15" hidden="1" x14ac:dyDescent="0.2">
      <c r="A5320" s="3"/>
      <c r="B5320" s="2"/>
      <c r="C5320" s="2"/>
      <c r="D5320" s="2"/>
      <c r="E5320" s="2"/>
      <c r="F5320" s="2"/>
      <c r="G5320" s="2"/>
      <c r="O5320"/>
    </row>
    <row r="5321" spans="1:15" hidden="1" x14ac:dyDescent="0.2">
      <c r="A5321" s="3"/>
      <c r="B5321" s="2"/>
      <c r="C5321" s="2"/>
      <c r="D5321" s="2"/>
      <c r="E5321" s="2"/>
      <c r="F5321" s="2"/>
      <c r="G5321" s="2"/>
      <c r="O5321"/>
    </row>
    <row r="5322" spans="1:15" hidden="1" x14ac:dyDescent="0.2">
      <c r="A5322" s="3"/>
      <c r="B5322" s="2"/>
      <c r="C5322" s="2"/>
      <c r="D5322" s="2"/>
      <c r="E5322" s="2"/>
      <c r="F5322" s="2"/>
      <c r="G5322" s="2"/>
      <c r="O5322"/>
    </row>
    <row r="5323" spans="1:15" hidden="1" x14ac:dyDescent="0.2">
      <c r="A5323" s="3"/>
      <c r="B5323" s="2"/>
      <c r="C5323" s="2"/>
      <c r="D5323" s="2"/>
      <c r="E5323" s="2"/>
      <c r="F5323" s="2"/>
      <c r="G5323" s="2"/>
      <c r="O5323"/>
    </row>
    <row r="5324" spans="1:15" hidden="1" x14ac:dyDescent="0.2">
      <c r="A5324" s="3"/>
      <c r="B5324" s="2"/>
      <c r="C5324" s="2"/>
      <c r="D5324" s="2"/>
      <c r="E5324" s="2"/>
      <c r="F5324" s="2"/>
      <c r="G5324" s="2"/>
      <c r="O5324"/>
    </row>
    <row r="5325" spans="1:15" hidden="1" x14ac:dyDescent="0.2">
      <c r="A5325" s="3"/>
      <c r="B5325" s="2"/>
      <c r="C5325" s="2"/>
      <c r="D5325" s="2"/>
      <c r="E5325" s="2"/>
      <c r="F5325" s="2"/>
      <c r="G5325" s="2"/>
      <c r="O5325"/>
    </row>
    <row r="5326" spans="1:15" hidden="1" x14ac:dyDescent="0.2">
      <c r="A5326" s="3"/>
      <c r="B5326" s="2"/>
      <c r="C5326" s="2"/>
      <c r="D5326" s="2"/>
      <c r="E5326" s="2"/>
      <c r="F5326" s="2"/>
      <c r="G5326" s="2"/>
      <c r="O5326"/>
    </row>
    <row r="5327" spans="1:15" hidden="1" x14ac:dyDescent="0.2">
      <c r="A5327" s="3"/>
      <c r="B5327" s="2"/>
      <c r="C5327" s="2"/>
      <c r="D5327" s="2"/>
      <c r="E5327" s="2"/>
      <c r="F5327" s="2"/>
      <c r="G5327" s="2"/>
      <c r="O5327"/>
    </row>
    <row r="5328" spans="1:15" hidden="1" x14ac:dyDescent="0.2">
      <c r="A5328" s="3"/>
      <c r="B5328" s="2"/>
      <c r="C5328" s="2"/>
      <c r="D5328" s="2"/>
      <c r="E5328" s="2"/>
      <c r="F5328" s="2"/>
      <c r="G5328" s="2"/>
      <c r="O5328"/>
    </row>
    <row r="5329" spans="1:15" hidden="1" x14ac:dyDescent="0.2">
      <c r="A5329" s="3"/>
      <c r="B5329" s="2"/>
      <c r="C5329" s="2"/>
      <c r="D5329" s="2"/>
      <c r="E5329" s="2"/>
      <c r="F5329" s="2"/>
      <c r="G5329" s="2"/>
      <c r="O5329"/>
    </row>
    <row r="5330" spans="1:15" hidden="1" x14ac:dyDescent="0.2">
      <c r="A5330" s="3"/>
      <c r="B5330" s="2"/>
      <c r="C5330" s="2"/>
      <c r="D5330" s="2"/>
      <c r="E5330" s="2"/>
      <c r="F5330" s="2"/>
      <c r="G5330" s="2"/>
      <c r="O5330"/>
    </row>
    <row r="5331" spans="1:15" hidden="1" x14ac:dyDescent="0.2">
      <c r="A5331" s="3"/>
      <c r="B5331" s="2"/>
      <c r="C5331" s="2"/>
      <c r="D5331" s="2"/>
      <c r="E5331" s="2"/>
      <c r="F5331" s="2"/>
      <c r="G5331" s="2"/>
      <c r="O5331"/>
    </row>
    <row r="5332" spans="1:15" hidden="1" x14ac:dyDescent="0.2">
      <c r="A5332" s="3"/>
      <c r="B5332" s="2"/>
      <c r="C5332" s="2"/>
      <c r="D5332" s="2"/>
      <c r="E5332" s="2"/>
      <c r="F5332" s="2"/>
      <c r="G5332" s="2"/>
      <c r="O5332"/>
    </row>
    <row r="5333" spans="1:15" hidden="1" x14ac:dyDescent="0.2">
      <c r="A5333" s="3"/>
      <c r="B5333" s="2"/>
      <c r="C5333" s="2"/>
      <c r="D5333" s="2"/>
      <c r="E5333" s="2"/>
      <c r="F5333" s="2"/>
      <c r="G5333" s="2"/>
      <c r="O5333"/>
    </row>
    <row r="5334" spans="1:15" hidden="1" x14ac:dyDescent="0.2">
      <c r="A5334" s="3"/>
      <c r="B5334" s="2"/>
      <c r="C5334" s="2"/>
      <c r="D5334" s="2"/>
      <c r="E5334" s="2"/>
      <c r="F5334" s="2"/>
      <c r="G5334" s="2"/>
      <c r="O5334"/>
    </row>
    <row r="5335" spans="1:15" hidden="1" x14ac:dyDescent="0.2">
      <c r="A5335" s="3"/>
      <c r="B5335" s="2"/>
      <c r="C5335" s="2"/>
      <c r="D5335" s="2"/>
      <c r="E5335" s="2"/>
      <c r="F5335" s="2"/>
      <c r="G5335" s="2"/>
      <c r="O5335"/>
    </row>
    <row r="5336" spans="1:15" hidden="1" x14ac:dyDescent="0.2">
      <c r="A5336" s="3"/>
      <c r="B5336" s="2"/>
      <c r="C5336" s="2"/>
      <c r="D5336" s="2"/>
      <c r="E5336" s="2"/>
      <c r="F5336" s="2"/>
      <c r="G5336" s="2"/>
      <c r="O5336"/>
    </row>
    <row r="5337" spans="1:15" hidden="1" x14ac:dyDescent="0.2">
      <c r="A5337" s="3"/>
      <c r="B5337" s="2"/>
      <c r="C5337" s="2"/>
      <c r="D5337" s="2"/>
      <c r="E5337" s="2"/>
      <c r="F5337" s="2"/>
      <c r="G5337" s="2"/>
      <c r="O5337"/>
    </row>
    <row r="5338" spans="1:15" hidden="1" x14ac:dyDescent="0.2">
      <c r="A5338" s="3"/>
      <c r="B5338" s="2"/>
      <c r="C5338" s="2"/>
      <c r="D5338" s="2"/>
      <c r="E5338" s="2"/>
      <c r="F5338" s="2"/>
      <c r="G5338" s="2"/>
      <c r="O5338"/>
    </row>
    <row r="5339" spans="1:15" hidden="1" x14ac:dyDescent="0.2">
      <c r="A5339" s="3"/>
      <c r="B5339" s="2"/>
      <c r="C5339" s="2"/>
      <c r="D5339" s="2"/>
      <c r="E5339" s="2"/>
      <c r="F5339" s="2"/>
      <c r="G5339" s="2"/>
      <c r="O5339"/>
    </row>
    <row r="5340" spans="1:15" hidden="1" x14ac:dyDescent="0.2">
      <c r="A5340" s="3"/>
      <c r="B5340" s="2"/>
      <c r="C5340" s="2"/>
      <c r="D5340" s="2"/>
      <c r="E5340" s="2"/>
      <c r="F5340" s="2"/>
      <c r="G5340" s="2"/>
      <c r="O5340"/>
    </row>
    <row r="5341" spans="1:15" hidden="1" x14ac:dyDescent="0.2">
      <c r="A5341" s="3"/>
      <c r="B5341" s="2"/>
      <c r="C5341" s="2"/>
      <c r="D5341" s="2"/>
      <c r="E5341" s="2"/>
      <c r="F5341" s="2"/>
      <c r="G5341" s="2"/>
      <c r="O5341"/>
    </row>
    <row r="5342" spans="1:15" hidden="1" x14ac:dyDescent="0.2">
      <c r="A5342" s="3"/>
      <c r="B5342" s="2"/>
      <c r="C5342" s="2"/>
      <c r="D5342" s="2"/>
      <c r="E5342" s="2"/>
      <c r="F5342" s="2"/>
      <c r="G5342" s="2"/>
      <c r="O5342"/>
    </row>
    <row r="5343" spans="1:15" hidden="1" x14ac:dyDescent="0.2">
      <c r="A5343" s="3"/>
      <c r="B5343" s="2"/>
      <c r="C5343" s="2"/>
      <c r="D5343" s="2"/>
      <c r="E5343" s="2"/>
      <c r="F5343" s="2"/>
      <c r="G5343" s="2"/>
      <c r="O5343"/>
    </row>
    <row r="5344" spans="1:15" hidden="1" x14ac:dyDescent="0.2">
      <c r="A5344" s="3"/>
      <c r="B5344" s="2"/>
      <c r="C5344" s="2"/>
      <c r="D5344" s="2"/>
      <c r="E5344" s="2"/>
      <c r="F5344" s="2"/>
      <c r="G5344" s="2"/>
      <c r="O5344"/>
    </row>
    <row r="5345" spans="1:15" hidden="1" x14ac:dyDescent="0.2">
      <c r="A5345" s="3"/>
      <c r="B5345" s="2"/>
      <c r="C5345" s="2"/>
      <c r="D5345" s="2"/>
      <c r="E5345" s="2"/>
      <c r="F5345" s="2"/>
      <c r="G5345" s="2"/>
      <c r="O5345"/>
    </row>
    <row r="5346" spans="1:15" hidden="1" x14ac:dyDescent="0.2">
      <c r="A5346" s="3"/>
      <c r="B5346" s="2"/>
      <c r="C5346" s="2"/>
      <c r="D5346" s="2"/>
      <c r="E5346" s="2"/>
      <c r="F5346" s="2"/>
      <c r="G5346" s="2"/>
      <c r="O5346"/>
    </row>
    <row r="5347" spans="1:15" hidden="1" x14ac:dyDescent="0.2">
      <c r="A5347" s="3"/>
      <c r="B5347" s="2"/>
      <c r="C5347" s="2"/>
      <c r="D5347" s="2"/>
      <c r="E5347" s="2"/>
      <c r="F5347" s="2"/>
      <c r="G5347" s="2"/>
      <c r="O5347"/>
    </row>
    <row r="5348" spans="1:15" hidden="1" x14ac:dyDescent="0.2">
      <c r="A5348" s="3"/>
      <c r="B5348" s="2"/>
      <c r="C5348" s="2"/>
      <c r="D5348" s="2"/>
      <c r="E5348" s="2"/>
      <c r="F5348" s="2"/>
      <c r="G5348" s="2"/>
      <c r="O5348"/>
    </row>
    <row r="5349" spans="1:15" hidden="1" x14ac:dyDescent="0.2">
      <c r="A5349" s="3"/>
      <c r="B5349" s="2"/>
      <c r="C5349" s="2"/>
      <c r="D5349" s="2"/>
      <c r="E5349" s="2"/>
      <c r="F5349" s="2"/>
      <c r="G5349" s="2"/>
      <c r="O5349"/>
    </row>
    <row r="5350" spans="1:15" hidden="1" x14ac:dyDescent="0.2">
      <c r="A5350" s="3"/>
      <c r="B5350" s="2"/>
      <c r="C5350" s="2"/>
      <c r="D5350" s="2"/>
      <c r="E5350" s="2"/>
      <c r="F5350" s="2"/>
      <c r="G5350" s="2"/>
      <c r="O5350"/>
    </row>
    <row r="5351" spans="1:15" hidden="1" x14ac:dyDescent="0.2">
      <c r="A5351" s="3"/>
      <c r="B5351" s="2"/>
      <c r="C5351" s="2"/>
      <c r="D5351" s="2"/>
      <c r="E5351" s="2"/>
      <c r="F5351" s="2"/>
      <c r="G5351" s="2"/>
      <c r="O5351"/>
    </row>
    <row r="5352" spans="1:15" hidden="1" x14ac:dyDescent="0.2">
      <c r="A5352" s="3"/>
      <c r="B5352" s="2"/>
      <c r="C5352" s="2"/>
      <c r="D5352" s="2"/>
      <c r="E5352" s="2"/>
      <c r="F5352" s="2"/>
      <c r="G5352" s="2"/>
      <c r="O5352"/>
    </row>
    <row r="5353" spans="1:15" hidden="1" x14ac:dyDescent="0.2">
      <c r="A5353" s="3"/>
      <c r="B5353" s="2"/>
      <c r="C5353" s="2"/>
      <c r="D5353" s="2"/>
      <c r="E5353" s="2"/>
      <c r="F5353" s="2"/>
      <c r="G5353" s="2"/>
      <c r="O5353"/>
    </row>
    <row r="5354" spans="1:15" hidden="1" x14ac:dyDescent="0.2">
      <c r="A5354" s="3"/>
      <c r="B5354" s="2"/>
      <c r="C5354" s="2"/>
      <c r="D5354" s="2"/>
      <c r="E5354" s="2"/>
      <c r="F5354" s="2"/>
      <c r="G5354" s="2"/>
      <c r="O5354"/>
    </row>
    <row r="5355" spans="1:15" hidden="1" x14ac:dyDescent="0.2">
      <c r="A5355" s="3"/>
      <c r="B5355" s="2"/>
      <c r="C5355" s="2"/>
      <c r="D5355" s="2"/>
      <c r="E5355" s="2"/>
      <c r="F5355" s="2"/>
      <c r="G5355" s="2"/>
      <c r="O5355"/>
    </row>
    <row r="5356" spans="1:15" hidden="1" x14ac:dyDescent="0.2">
      <c r="A5356" s="3"/>
      <c r="B5356" s="2"/>
      <c r="C5356" s="2"/>
      <c r="D5356" s="2"/>
      <c r="E5356" s="2"/>
      <c r="F5356" s="2"/>
      <c r="G5356" s="2"/>
      <c r="O5356"/>
    </row>
    <row r="5357" spans="1:15" hidden="1" x14ac:dyDescent="0.2">
      <c r="A5357" s="3"/>
      <c r="B5357" s="2"/>
      <c r="C5357" s="2"/>
      <c r="D5357" s="2"/>
      <c r="E5357" s="2"/>
      <c r="F5357" s="2"/>
      <c r="G5357" s="2"/>
      <c r="O5357"/>
    </row>
    <row r="5358" spans="1:15" hidden="1" x14ac:dyDescent="0.2">
      <c r="A5358" s="3"/>
      <c r="B5358" s="2"/>
      <c r="C5358" s="2"/>
      <c r="D5358" s="2"/>
      <c r="E5358" s="2"/>
      <c r="F5358" s="2"/>
      <c r="G5358" s="2"/>
      <c r="O5358"/>
    </row>
    <row r="5359" spans="1:15" hidden="1" x14ac:dyDescent="0.2">
      <c r="A5359" s="3"/>
      <c r="B5359" s="2"/>
      <c r="C5359" s="2"/>
      <c r="D5359" s="2"/>
      <c r="E5359" s="2"/>
      <c r="F5359" s="2"/>
      <c r="G5359" s="2"/>
      <c r="O5359"/>
    </row>
    <row r="5360" spans="1:15" hidden="1" x14ac:dyDescent="0.2">
      <c r="A5360" s="3"/>
      <c r="B5360" s="2"/>
      <c r="C5360" s="2"/>
      <c r="D5360" s="2"/>
      <c r="E5360" s="2"/>
      <c r="F5360" s="2"/>
      <c r="G5360" s="2"/>
      <c r="O5360"/>
    </row>
    <row r="5361" spans="1:15" hidden="1" x14ac:dyDescent="0.2">
      <c r="A5361" s="3"/>
      <c r="B5361" s="2"/>
      <c r="C5361" s="2"/>
      <c r="D5361" s="2"/>
      <c r="E5361" s="2"/>
      <c r="F5361" s="2"/>
      <c r="G5361" s="2"/>
      <c r="O5361"/>
    </row>
    <row r="5362" spans="1:15" hidden="1" x14ac:dyDescent="0.2">
      <c r="A5362" s="3"/>
      <c r="B5362" s="2"/>
      <c r="C5362" s="2"/>
      <c r="D5362" s="2"/>
      <c r="E5362" s="2"/>
      <c r="F5362" s="2"/>
      <c r="G5362" s="2"/>
      <c r="O5362"/>
    </row>
    <row r="5363" spans="1:15" hidden="1" x14ac:dyDescent="0.2">
      <c r="A5363" s="3"/>
      <c r="B5363" s="2"/>
      <c r="C5363" s="2"/>
      <c r="D5363" s="2"/>
      <c r="E5363" s="2"/>
      <c r="F5363" s="2"/>
      <c r="G5363" s="2"/>
      <c r="O5363"/>
    </row>
    <row r="5364" spans="1:15" hidden="1" x14ac:dyDescent="0.2">
      <c r="A5364" s="3"/>
      <c r="B5364" s="2"/>
      <c r="C5364" s="2"/>
      <c r="D5364" s="2"/>
      <c r="E5364" s="2"/>
      <c r="F5364" s="2"/>
      <c r="G5364" s="2"/>
      <c r="O5364"/>
    </row>
    <row r="5365" spans="1:15" hidden="1" x14ac:dyDescent="0.2">
      <c r="A5365" s="3"/>
      <c r="B5365" s="2"/>
      <c r="C5365" s="2"/>
      <c r="D5365" s="2"/>
      <c r="E5365" s="2"/>
      <c r="F5365" s="2"/>
      <c r="G5365" s="2"/>
      <c r="O5365"/>
    </row>
    <row r="5366" spans="1:15" hidden="1" x14ac:dyDescent="0.2">
      <c r="A5366" s="3"/>
      <c r="B5366" s="2"/>
      <c r="C5366" s="2"/>
      <c r="D5366" s="2"/>
      <c r="E5366" s="2"/>
      <c r="F5366" s="2"/>
      <c r="G5366" s="2"/>
      <c r="O5366"/>
    </row>
    <row r="5367" spans="1:15" hidden="1" x14ac:dyDescent="0.2">
      <c r="A5367" s="3"/>
      <c r="B5367" s="2"/>
      <c r="C5367" s="2"/>
      <c r="D5367" s="2"/>
      <c r="E5367" s="2"/>
      <c r="F5367" s="2"/>
      <c r="G5367" s="2"/>
      <c r="O5367"/>
    </row>
    <row r="5368" spans="1:15" hidden="1" x14ac:dyDescent="0.2">
      <c r="A5368" s="3"/>
      <c r="B5368" s="2"/>
      <c r="C5368" s="2"/>
      <c r="D5368" s="2"/>
      <c r="E5368" s="2"/>
      <c r="F5368" s="2"/>
      <c r="G5368" s="2"/>
      <c r="O5368"/>
    </row>
    <row r="5369" spans="1:15" hidden="1" x14ac:dyDescent="0.2">
      <c r="A5369" s="3"/>
      <c r="B5369" s="2"/>
      <c r="C5369" s="2"/>
      <c r="D5369" s="2"/>
      <c r="E5369" s="2"/>
      <c r="F5369" s="2"/>
      <c r="G5369" s="2"/>
      <c r="O5369"/>
    </row>
    <row r="5370" spans="1:15" hidden="1" x14ac:dyDescent="0.2">
      <c r="A5370" s="3"/>
      <c r="B5370" s="2"/>
      <c r="C5370" s="2"/>
      <c r="D5370" s="2"/>
      <c r="E5370" s="2"/>
      <c r="F5370" s="2"/>
      <c r="G5370" s="2"/>
      <c r="O5370"/>
    </row>
    <row r="5371" spans="1:15" hidden="1" x14ac:dyDescent="0.2">
      <c r="A5371" s="3"/>
      <c r="B5371" s="2"/>
      <c r="C5371" s="2"/>
      <c r="D5371" s="2"/>
      <c r="E5371" s="2"/>
      <c r="F5371" s="2"/>
      <c r="G5371" s="2"/>
      <c r="O5371"/>
    </row>
    <row r="5372" spans="1:15" hidden="1" x14ac:dyDescent="0.2">
      <c r="A5372" s="3"/>
      <c r="B5372" s="2"/>
      <c r="C5372" s="2"/>
      <c r="D5372" s="2"/>
      <c r="E5372" s="2"/>
      <c r="F5372" s="2"/>
      <c r="G5372" s="2"/>
      <c r="O5372"/>
    </row>
    <row r="5373" spans="1:15" hidden="1" x14ac:dyDescent="0.2">
      <c r="A5373" s="3"/>
      <c r="B5373" s="2"/>
      <c r="C5373" s="2"/>
      <c r="D5373" s="2"/>
      <c r="E5373" s="2"/>
      <c r="F5373" s="2"/>
      <c r="G5373" s="2"/>
      <c r="O5373"/>
    </row>
    <row r="5374" spans="1:15" hidden="1" x14ac:dyDescent="0.2">
      <c r="A5374" s="3"/>
      <c r="B5374" s="2"/>
      <c r="C5374" s="2"/>
      <c r="D5374" s="2"/>
      <c r="E5374" s="2"/>
      <c r="F5374" s="2"/>
      <c r="G5374" s="2"/>
      <c r="O5374"/>
    </row>
    <row r="5375" spans="1:15" hidden="1" x14ac:dyDescent="0.2">
      <c r="A5375" s="3"/>
      <c r="B5375" s="2"/>
      <c r="C5375" s="2"/>
      <c r="D5375" s="2"/>
      <c r="E5375" s="2"/>
      <c r="F5375" s="2"/>
      <c r="G5375" s="2"/>
      <c r="O5375"/>
    </row>
    <row r="5376" spans="1:15" hidden="1" x14ac:dyDescent="0.2">
      <c r="A5376" s="3"/>
      <c r="B5376" s="2"/>
      <c r="C5376" s="2"/>
      <c r="D5376" s="2"/>
      <c r="E5376" s="2"/>
      <c r="F5376" s="2"/>
      <c r="G5376" s="2"/>
      <c r="O5376"/>
    </row>
    <row r="5377" spans="1:15" hidden="1" x14ac:dyDescent="0.2">
      <c r="A5377" s="3"/>
      <c r="B5377" s="2"/>
      <c r="C5377" s="2"/>
      <c r="D5377" s="2"/>
      <c r="E5377" s="2"/>
      <c r="F5377" s="2"/>
      <c r="G5377" s="2"/>
      <c r="O5377"/>
    </row>
    <row r="5378" spans="1:15" hidden="1" x14ac:dyDescent="0.2">
      <c r="A5378" s="3"/>
      <c r="B5378" s="2"/>
      <c r="C5378" s="2"/>
      <c r="D5378" s="2"/>
      <c r="E5378" s="2"/>
      <c r="F5378" s="2"/>
      <c r="G5378" s="2"/>
      <c r="O5378"/>
    </row>
    <row r="5379" spans="1:15" hidden="1" x14ac:dyDescent="0.2">
      <c r="A5379" s="3"/>
      <c r="B5379" s="2"/>
      <c r="C5379" s="2"/>
      <c r="D5379" s="2"/>
      <c r="E5379" s="2"/>
      <c r="F5379" s="2"/>
      <c r="G5379" s="2"/>
      <c r="O5379"/>
    </row>
    <row r="5380" spans="1:15" hidden="1" x14ac:dyDescent="0.2">
      <c r="A5380" s="3"/>
      <c r="B5380" s="2"/>
      <c r="C5380" s="2"/>
      <c r="D5380" s="2"/>
      <c r="E5380" s="2"/>
      <c r="F5380" s="2"/>
      <c r="G5380" s="2"/>
      <c r="O5380"/>
    </row>
    <row r="5381" spans="1:15" hidden="1" x14ac:dyDescent="0.2">
      <c r="A5381" s="3"/>
      <c r="B5381" s="2"/>
      <c r="C5381" s="2"/>
      <c r="D5381" s="2"/>
      <c r="E5381" s="2"/>
      <c r="F5381" s="2"/>
      <c r="G5381" s="2"/>
      <c r="O5381"/>
    </row>
    <row r="5382" spans="1:15" hidden="1" x14ac:dyDescent="0.2">
      <c r="A5382" s="3"/>
      <c r="B5382" s="2"/>
      <c r="C5382" s="2"/>
      <c r="D5382" s="2"/>
      <c r="E5382" s="2"/>
      <c r="F5382" s="2"/>
      <c r="G5382" s="2"/>
      <c r="O5382"/>
    </row>
    <row r="5383" spans="1:15" hidden="1" x14ac:dyDescent="0.2">
      <c r="A5383" s="3"/>
      <c r="B5383" s="2"/>
      <c r="C5383" s="2"/>
      <c r="D5383" s="2"/>
      <c r="E5383" s="2"/>
      <c r="F5383" s="2"/>
      <c r="G5383" s="2"/>
      <c r="O5383"/>
    </row>
    <row r="5384" spans="1:15" hidden="1" x14ac:dyDescent="0.2">
      <c r="A5384" s="3"/>
      <c r="B5384" s="2"/>
      <c r="C5384" s="2"/>
      <c r="D5384" s="2"/>
      <c r="E5384" s="2"/>
      <c r="F5384" s="2"/>
      <c r="G5384" s="2"/>
      <c r="O5384"/>
    </row>
    <row r="5385" spans="1:15" hidden="1" x14ac:dyDescent="0.2">
      <c r="A5385" s="3"/>
      <c r="B5385" s="2"/>
      <c r="C5385" s="2"/>
      <c r="D5385" s="2"/>
      <c r="E5385" s="2"/>
      <c r="F5385" s="2"/>
      <c r="G5385" s="2"/>
      <c r="O5385"/>
    </row>
    <row r="5386" spans="1:15" hidden="1" x14ac:dyDescent="0.2">
      <c r="A5386" s="3"/>
      <c r="B5386" s="2"/>
      <c r="C5386" s="2"/>
      <c r="D5386" s="2"/>
      <c r="E5386" s="2"/>
      <c r="F5386" s="2"/>
      <c r="G5386" s="2"/>
      <c r="O5386"/>
    </row>
    <row r="5387" spans="1:15" hidden="1" x14ac:dyDescent="0.2">
      <c r="A5387" s="3"/>
      <c r="B5387" s="2"/>
      <c r="C5387" s="2"/>
      <c r="D5387" s="2"/>
      <c r="E5387" s="2"/>
      <c r="F5387" s="2"/>
      <c r="G5387" s="2"/>
      <c r="O5387"/>
    </row>
    <row r="5388" spans="1:15" hidden="1" x14ac:dyDescent="0.2">
      <c r="A5388" s="3"/>
      <c r="B5388" s="2"/>
      <c r="C5388" s="2"/>
      <c r="D5388" s="2"/>
      <c r="E5388" s="2"/>
      <c r="F5388" s="2"/>
      <c r="G5388" s="2"/>
      <c r="O5388"/>
    </row>
    <row r="5389" spans="1:15" hidden="1" x14ac:dyDescent="0.2">
      <c r="A5389" s="3"/>
      <c r="B5389" s="2"/>
      <c r="C5389" s="2"/>
      <c r="D5389" s="2"/>
      <c r="E5389" s="2"/>
      <c r="F5389" s="2"/>
      <c r="G5389" s="2"/>
      <c r="O5389"/>
    </row>
    <row r="5390" spans="1:15" hidden="1" x14ac:dyDescent="0.2">
      <c r="A5390" s="3"/>
      <c r="B5390" s="2"/>
      <c r="C5390" s="2"/>
      <c r="D5390" s="2"/>
      <c r="E5390" s="2"/>
      <c r="F5390" s="2"/>
      <c r="G5390" s="2"/>
      <c r="O5390"/>
    </row>
    <row r="5391" spans="1:15" hidden="1" x14ac:dyDescent="0.2">
      <c r="A5391" s="3"/>
      <c r="B5391" s="2"/>
      <c r="C5391" s="2"/>
      <c r="D5391" s="2"/>
      <c r="E5391" s="2"/>
      <c r="F5391" s="2"/>
      <c r="G5391" s="2"/>
      <c r="O5391"/>
    </row>
    <row r="5392" spans="1:15" hidden="1" x14ac:dyDescent="0.2">
      <c r="A5392" s="3"/>
      <c r="B5392" s="2"/>
      <c r="C5392" s="2"/>
      <c r="D5392" s="2"/>
      <c r="E5392" s="2"/>
      <c r="F5392" s="2"/>
      <c r="G5392" s="2"/>
      <c r="O5392"/>
    </row>
    <row r="5393" spans="1:15" hidden="1" x14ac:dyDescent="0.2">
      <c r="A5393" s="3"/>
      <c r="B5393" s="2"/>
      <c r="C5393" s="2"/>
      <c r="D5393" s="2"/>
      <c r="E5393" s="2"/>
      <c r="F5393" s="2"/>
      <c r="G5393" s="2"/>
      <c r="O5393"/>
    </row>
    <row r="5394" spans="1:15" hidden="1" x14ac:dyDescent="0.2">
      <c r="A5394" s="3"/>
      <c r="B5394" s="2"/>
      <c r="C5394" s="2"/>
      <c r="D5394" s="2"/>
      <c r="E5394" s="2"/>
      <c r="F5394" s="2"/>
      <c r="G5394" s="2"/>
      <c r="O5394"/>
    </row>
    <row r="5395" spans="1:15" hidden="1" x14ac:dyDescent="0.2">
      <c r="A5395" s="3"/>
      <c r="B5395" s="2"/>
      <c r="C5395" s="2"/>
      <c r="D5395" s="2"/>
      <c r="E5395" s="2"/>
      <c r="F5395" s="2"/>
      <c r="G5395" s="2"/>
      <c r="O5395"/>
    </row>
    <row r="5396" spans="1:15" hidden="1" x14ac:dyDescent="0.2">
      <c r="A5396" s="3"/>
      <c r="B5396" s="2"/>
      <c r="C5396" s="2"/>
      <c r="D5396" s="2"/>
      <c r="E5396" s="2"/>
      <c r="F5396" s="2"/>
      <c r="G5396" s="2"/>
      <c r="O5396"/>
    </row>
    <row r="5397" spans="1:15" hidden="1" x14ac:dyDescent="0.2">
      <c r="A5397" s="3"/>
      <c r="B5397" s="2"/>
      <c r="C5397" s="2"/>
      <c r="D5397" s="2"/>
      <c r="E5397" s="2"/>
      <c r="F5397" s="2"/>
      <c r="G5397" s="2"/>
      <c r="O5397"/>
    </row>
    <row r="5398" spans="1:15" hidden="1" x14ac:dyDescent="0.2">
      <c r="A5398" s="3"/>
      <c r="B5398" s="2"/>
      <c r="C5398" s="2"/>
      <c r="D5398" s="2"/>
      <c r="E5398" s="2"/>
      <c r="F5398" s="2"/>
      <c r="G5398" s="2"/>
      <c r="O5398"/>
    </row>
    <row r="5399" spans="1:15" hidden="1" x14ac:dyDescent="0.2">
      <c r="A5399" s="3"/>
      <c r="B5399" s="2"/>
      <c r="C5399" s="2"/>
      <c r="D5399" s="2"/>
      <c r="E5399" s="2"/>
      <c r="F5399" s="2"/>
      <c r="G5399" s="2"/>
      <c r="O5399"/>
    </row>
    <row r="5400" spans="1:15" hidden="1" x14ac:dyDescent="0.2">
      <c r="A5400" s="3"/>
      <c r="B5400" s="2"/>
      <c r="C5400" s="2"/>
      <c r="D5400" s="2"/>
      <c r="E5400" s="2"/>
      <c r="F5400" s="2"/>
      <c r="G5400" s="2"/>
      <c r="O5400"/>
    </row>
    <row r="5401" spans="1:15" hidden="1" x14ac:dyDescent="0.2">
      <c r="A5401" s="3"/>
      <c r="B5401" s="2"/>
      <c r="C5401" s="2"/>
      <c r="D5401" s="2"/>
      <c r="E5401" s="2"/>
      <c r="F5401" s="2"/>
      <c r="G5401" s="2"/>
      <c r="O5401"/>
    </row>
    <row r="5402" spans="1:15" hidden="1" x14ac:dyDescent="0.2">
      <c r="A5402" s="3"/>
      <c r="B5402" s="2"/>
      <c r="C5402" s="2"/>
      <c r="D5402" s="2"/>
      <c r="E5402" s="2"/>
      <c r="F5402" s="2"/>
      <c r="G5402" s="2"/>
      <c r="O5402"/>
    </row>
    <row r="5403" spans="1:15" hidden="1" x14ac:dyDescent="0.2">
      <c r="A5403" s="3"/>
      <c r="B5403" s="2"/>
      <c r="C5403" s="2"/>
      <c r="D5403" s="2"/>
      <c r="E5403" s="2"/>
      <c r="F5403" s="2"/>
      <c r="G5403" s="2"/>
      <c r="O5403"/>
    </row>
    <row r="5404" spans="1:15" hidden="1" x14ac:dyDescent="0.2">
      <c r="A5404" s="3"/>
      <c r="B5404" s="2"/>
      <c r="C5404" s="2"/>
      <c r="D5404" s="2"/>
      <c r="E5404" s="2"/>
      <c r="F5404" s="2"/>
      <c r="G5404" s="2"/>
      <c r="O5404"/>
    </row>
    <row r="5405" spans="1:15" hidden="1" x14ac:dyDescent="0.2">
      <c r="A5405" s="3"/>
      <c r="B5405" s="2"/>
      <c r="C5405" s="2"/>
      <c r="D5405" s="2"/>
      <c r="E5405" s="2"/>
      <c r="F5405" s="2"/>
      <c r="G5405" s="2"/>
      <c r="O5405"/>
    </row>
    <row r="5406" spans="1:15" hidden="1" x14ac:dyDescent="0.2">
      <c r="A5406" s="3"/>
      <c r="B5406" s="2"/>
      <c r="C5406" s="2"/>
      <c r="D5406" s="2"/>
      <c r="E5406" s="2"/>
      <c r="F5406" s="2"/>
      <c r="G5406" s="2"/>
      <c r="O5406"/>
    </row>
    <row r="5407" spans="1:15" hidden="1" x14ac:dyDescent="0.2">
      <c r="A5407" s="3"/>
      <c r="B5407" s="2"/>
      <c r="C5407" s="2"/>
      <c r="D5407" s="2"/>
      <c r="E5407" s="2"/>
      <c r="F5407" s="2"/>
      <c r="G5407" s="2"/>
      <c r="O5407"/>
    </row>
    <row r="5408" spans="1:15" hidden="1" x14ac:dyDescent="0.2">
      <c r="A5408" s="3"/>
      <c r="B5408" s="2"/>
      <c r="C5408" s="2"/>
      <c r="D5408" s="2"/>
      <c r="E5408" s="2"/>
      <c r="F5408" s="2"/>
      <c r="G5408" s="2"/>
      <c r="O5408"/>
    </row>
    <row r="5409" spans="1:15" hidden="1" x14ac:dyDescent="0.2">
      <c r="A5409" s="3"/>
      <c r="B5409" s="2"/>
      <c r="C5409" s="2"/>
      <c r="D5409" s="2"/>
      <c r="E5409" s="2"/>
      <c r="F5409" s="2"/>
      <c r="G5409" s="2"/>
      <c r="O5409"/>
    </row>
    <row r="5410" spans="1:15" hidden="1" x14ac:dyDescent="0.2">
      <c r="A5410" s="3"/>
      <c r="B5410" s="2"/>
      <c r="C5410" s="2"/>
      <c r="D5410" s="2"/>
      <c r="E5410" s="2"/>
      <c r="F5410" s="2"/>
      <c r="G5410" s="2"/>
      <c r="O5410"/>
    </row>
    <row r="5411" spans="1:15" hidden="1" x14ac:dyDescent="0.2">
      <c r="A5411" s="3"/>
      <c r="B5411" s="2"/>
      <c r="C5411" s="2"/>
      <c r="D5411" s="2"/>
      <c r="E5411" s="2"/>
      <c r="F5411" s="2"/>
      <c r="G5411" s="2"/>
      <c r="O5411"/>
    </row>
    <row r="5412" spans="1:15" hidden="1" x14ac:dyDescent="0.2">
      <c r="A5412" s="3"/>
      <c r="B5412" s="2"/>
      <c r="C5412" s="2"/>
      <c r="D5412" s="2"/>
      <c r="E5412" s="2"/>
      <c r="F5412" s="2"/>
      <c r="G5412" s="2"/>
      <c r="O5412"/>
    </row>
    <row r="5413" spans="1:15" hidden="1" x14ac:dyDescent="0.2">
      <c r="A5413" s="3"/>
      <c r="B5413" s="2"/>
      <c r="C5413" s="2"/>
      <c r="D5413" s="2"/>
      <c r="E5413" s="2"/>
      <c r="F5413" s="2"/>
      <c r="G5413" s="2"/>
      <c r="O5413"/>
    </row>
    <row r="5414" spans="1:15" hidden="1" x14ac:dyDescent="0.2">
      <c r="A5414" s="3"/>
      <c r="B5414" s="2"/>
      <c r="C5414" s="2"/>
      <c r="D5414" s="2"/>
      <c r="E5414" s="2"/>
      <c r="F5414" s="2"/>
      <c r="G5414" s="2"/>
      <c r="O5414"/>
    </row>
    <row r="5415" spans="1:15" hidden="1" x14ac:dyDescent="0.2">
      <c r="A5415" s="3"/>
      <c r="B5415" s="2"/>
      <c r="C5415" s="2"/>
      <c r="D5415" s="2"/>
      <c r="E5415" s="2"/>
      <c r="F5415" s="2"/>
      <c r="G5415" s="2"/>
      <c r="O5415"/>
    </row>
    <row r="5416" spans="1:15" hidden="1" x14ac:dyDescent="0.2">
      <c r="A5416" s="3"/>
      <c r="B5416" s="2"/>
      <c r="C5416" s="2"/>
      <c r="D5416" s="2"/>
      <c r="E5416" s="2"/>
      <c r="F5416" s="2"/>
      <c r="G5416" s="2"/>
      <c r="O5416"/>
    </row>
    <row r="5417" spans="1:15" hidden="1" x14ac:dyDescent="0.2">
      <c r="A5417" s="3"/>
      <c r="B5417" s="2"/>
      <c r="C5417" s="2"/>
      <c r="D5417" s="2"/>
      <c r="E5417" s="2"/>
      <c r="F5417" s="2"/>
      <c r="G5417" s="2"/>
      <c r="O5417"/>
    </row>
    <row r="5418" spans="1:15" hidden="1" x14ac:dyDescent="0.2">
      <c r="A5418" s="3"/>
      <c r="B5418" s="2"/>
      <c r="C5418" s="2"/>
      <c r="D5418" s="2"/>
      <c r="E5418" s="2"/>
      <c r="F5418" s="2"/>
      <c r="G5418" s="2"/>
      <c r="O5418"/>
    </row>
    <row r="5419" spans="1:15" hidden="1" x14ac:dyDescent="0.2">
      <c r="A5419" s="3"/>
      <c r="B5419" s="2"/>
      <c r="C5419" s="2"/>
      <c r="D5419" s="2"/>
      <c r="E5419" s="2"/>
      <c r="F5419" s="2"/>
      <c r="G5419" s="2"/>
      <c r="O5419"/>
    </row>
    <row r="5420" spans="1:15" hidden="1" x14ac:dyDescent="0.2">
      <c r="A5420" s="3"/>
      <c r="B5420" s="2"/>
      <c r="C5420" s="2"/>
      <c r="D5420" s="2"/>
      <c r="E5420" s="2"/>
      <c r="F5420" s="2"/>
      <c r="G5420" s="2"/>
      <c r="O5420"/>
    </row>
    <row r="5421" spans="1:15" hidden="1" x14ac:dyDescent="0.2">
      <c r="A5421" s="3"/>
      <c r="B5421" s="2"/>
      <c r="C5421" s="2"/>
      <c r="D5421" s="2"/>
      <c r="E5421" s="2"/>
      <c r="F5421" s="2"/>
      <c r="G5421" s="2"/>
      <c r="O5421"/>
    </row>
    <row r="5422" spans="1:15" hidden="1" x14ac:dyDescent="0.2">
      <c r="A5422" s="3"/>
      <c r="B5422" s="2"/>
      <c r="C5422" s="2"/>
      <c r="D5422" s="2"/>
      <c r="E5422" s="2"/>
      <c r="F5422" s="2"/>
      <c r="G5422" s="2"/>
      <c r="O5422"/>
    </row>
    <row r="5423" spans="1:15" hidden="1" x14ac:dyDescent="0.2">
      <c r="A5423" s="3"/>
      <c r="B5423" s="2"/>
      <c r="C5423" s="2"/>
      <c r="D5423" s="2"/>
      <c r="E5423" s="2"/>
      <c r="F5423" s="2"/>
      <c r="G5423" s="2"/>
      <c r="O5423"/>
    </row>
    <row r="5424" spans="1:15" hidden="1" x14ac:dyDescent="0.2">
      <c r="A5424" s="3"/>
      <c r="B5424" s="2"/>
      <c r="C5424" s="2"/>
      <c r="D5424" s="2"/>
      <c r="E5424" s="2"/>
      <c r="F5424" s="2"/>
      <c r="G5424" s="2"/>
      <c r="O5424"/>
    </row>
    <row r="5425" spans="1:15" hidden="1" x14ac:dyDescent="0.2">
      <c r="A5425" s="3"/>
      <c r="B5425" s="2"/>
      <c r="C5425" s="2"/>
      <c r="D5425" s="2"/>
      <c r="E5425" s="2"/>
      <c r="F5425" s="2"/>
      <c r="G5425" s="2"/>
      <c r="O5425"/>
    </row>
    <row r="5426" spans="1:15" hidden="1" x14ac:dyDescent="0.2">
      <c r="A5426" s="3"/>
      <c r="B5426" s="2"/>
      <c r="C5426" s="2"/>
      <c r="D5426" s="2"/>
      <c r="E5426" s="2"/>
      <c r="F5426" s="2"/>
      <c r="G5426" s="2"/>
      <c r="O5426"/>
    </row>
    <row r="5427" spans="1:15" hidden="1" x14ac:dyDescent="0.2">
      <c r="A5427" s="3"/>
      <c r="B5427" s="2"/>
      <c r="C5427" s="2"/>
      <c r="D5427" s="2"/>
      <c r="E5427" s="2"/>
      <c r="F5427" s="2"/>
      <c r="G5427" s="2"/>
      <c r="O5427"/>
    </row>
    <row r="5428" spans="1:15" hidden="1" x14ac:dyDescent="0.2">
      <c r="A5428" s="3"/>
      <c r="B5428" s="2"/>
      <c r="C5428" s="2"/>
      <c r="D5428" s="2"/>
      <c r="E5428" s="2"/>
      <c r="F5428" s="2"/>
      <c r="G5428" s="2"/>
      <c r="O5428"/>
    </row>
    <row r="5429" spans="1:15" hidden="1" x14ac:dyDescent="0.2">
      <c r="A5429" s="3"/>
      <c r="B5429" s="2"/>
      <c r="C5429" s="2"/>
      <c r="D5429" s="2"/>
      <c r="E5429" s="2"/>
      <c r="F5429" s="2"/>
      <c r="G5429" s="2"/>
      <c r="O5429"/>
    </row>
    <row r="5430" spans="1:15" hidden="1" x14ac:dyDescent="0.2">
      <c r="A5430" s="3"/>
      <c r="B5430" s="2"/>
      <c r="C5430" s="2"/>
      <c r="D5430" s="2"/>
      <c r="E5430" s="2"/>
      <c r="F5430" s="2"/>
      <c r="G5430" s="2"/>
      <c r="O5430"/>
    </row>
    <row r="5431" spans="1:15" hidden="1" x14ac:dyDescent="0.2">
      <c r="A5431" s="3"/>
      <c r="B5431" s="2"/>
      <c r="C5431" s="2"/>
      <c r="D5431" s="2"/>
      <c r="E5431" s="2"/>
      <c r="F5431" s="2"/>
      <c r="G5431" s="2"/>
      <c r="O5431"/>
    </row>
    <row r="5432" spans="1:15" hidden="1" x14ac:dyDescent="0.2">
      <c r="A5432" s="3"/>
      <c r="B5432" s="2"/>
      <c r="C5432" s="2"/>
      <c r="D5432" s="2"/>
      <c r="E5432" s="2"/>
      <c r="F5432" s="2"/>
      <c r="G5432" s="2"/>
      <c r="O5432"/>
    </row>
    <row r="5433" spans="1:15" hidden="1" x14ac:dyDescent="0.2">
      <c r="A5433" s="3"/>
      <c r="B5433" s="2"/>
      <c r="C5433" s="2"/>
      <c r="D5433" s="2"/>
      <c r="E5433" s="2"/>
      <c r="F5433" s="2"/>
      <c r="G5433" s="2"/>
      <c r="O5433"/>
    </row>
    <row r="5434" spans="1:15" hidden="1" x14ac:dyDescent="0.2">
      <c r="A5434" s="3"/>
      <c r="B5434" s="2"/>
      <c r="C5434" s="2"/>
      <c r="D5434" s="2"/>
      <c r="E5434" s="2"/>
      <c r="F5434" s="2"/>
      <c r="G5434" s="2"/>
      <c r="O5434"/>
    </row>
    <row r="5435" spans="1:15" hidden="1" x14ac:dyDescent="0.2">
      <c r="A5435" s="3"/>
      <c r="B5435" s="2"/>
      <c r="C5435" s="2"/>
      <c r="D5435" s="2"/>
      <c r="E5435" s="2"/>
      <c r="F5435" s="2"/>
      <c r="G5435" s="2"/>
      <c r="O5435"/>
    </row>
    <row r="5436" spans="1:15" hidden="1" x14ac:dyDescent="0.2">
      <c r="A5436" s="3"/>
      <c r="B5436" s="2"/>
      <c r="C5436" s="2"/>
      <c r="D5436" s="2"/>
      <c r="E5436" s="2"/>
      <c r="F5436" s="2"/>
      <c r="G5436" s="2"/>
      <c r="O5436"/>
    </row>
    <row r="5437" spans="1:15" hidden="1" x14ac:dyDescent="0.2">
      <c r="A5437" s="3"/>
      <c r="B5437" s="2"/>
      <c r="C5437" s="2"/>
      <c r="D5437" s="2"/>
      <c r="E5437" s="2"/>
      <c r="F5437" s="2"/>
      <c r="G5437" s="2"/>
      <c r="O5437"/>
    </row>
    <row r="5438" spans="1:15" hidden="1" x14ac:dyDescent="0.2">
      <c r="A5438" s="3"/>
      <c r="B5438" s="2"/>
      <c r="C5438" s="2"/>
      <c r="D5438" s="2"/>
      <c r="E5438" s="2"/>
      <c r="F5438" s="2"/>
      <c r="G5438" s="2"/>
      <c r="O5438"/>
    </row>
    <row r="5439" spans="1:15" hidden="1" x14ac:dyDescent="0.2">
      <c r="A5439" s="3"/>
      <c r="B5439" s="2"/>
      <c r="C5439" s="2"/>
      <c r="D5439" s="2"/>
      <c r="E5439" s="2"/>
      <c r="F5439" s="2"/>
      <c r="G5439" s="2"/>
      <c r="O5439"/>
    </row>
    <row r="5440" spans="1:15" hidden="1" x14ac:dyDescent="0.2">
      <c r="A5440" s="3"/>
      <c r="B5440" s="2"/>
      <c r="C5440" s="2"/>
      <c r="D5440" s="2"/>
      <c r="E5440" s="2"/>
      <c r="F5440" s="2"/>
      <c r="G5440" s="2"/>
      <c r="O5440"/>
    </row>
    <row r="5441" spans="1:15" hidden="1" x14ac:dyDescent="0.2">
      <c r="A5441" s="3"/>
      <c r="B5441" s="2"/>
      <c r="C5441" s="2"/>
      <c r="D5441" s="2"/>
      <c r="E5441" s="2"/>
      <c r="F5441" s="2"/>
      <c r="G5441" s="2"/>
      <c r="O5441"/>
    </row>
    <row r="5442" spans="1:15" hidden="1" x14ac:dyDescent="0.2">
      <c r="A5442" s="3"/>
      <c r="B5442" s="2"/>
      <c r="C5442" s="2"/>
      <c r="D5442" s="2"/>
      <c r="E5442" s="2"/>
      <c r="F5442" s="2"/>
      <c r="G5442" s="2"/>
      <c r="O5442"/>
    </row>
    <row r="5443" spans="1:15" hidden="1" x14ac:dyDescent="0.2">
      <c r="A5443" s="3"/>
      <c r="B5443" s="2"/>
      <c r="C5443" s="2"/>
      <c r="D5443" s="2"/>
      <c r="E5443" s="2"/>
      <c r="F5443" s="2"/>
      <c r="G5443" s="2"/>
      <c r="O5443"/>
    </row>
    <row r="5444" spans="1:15" hidden="1" x14ac:dyDescent="0.2">
      <c r="A5444" s="3"/>
      <c r="B5444" s="2"/>
      <c r="C5444" s="2"/>
      <c r="D5444" s="2"/>
      <c r="E5444" s="2"/>
      <c r="F5444" s="2"/>
      <c r="G5444" s="2"/>
      <c r="O5444"/>
    </row>
    <row r="5445" spans="1:15" hidden="1" x14ac:dyDescent="0.2">
      <c r="A5445" s="3"/>
      <c r="B5445" s="2"/>
      <c r="C5445" s="2"/>
      <c r="D5445" s="2"/>
      <c r="E5445" s="2"/>
      <c r="F5445" s="2"/>
      <c r="G5445" s="2"/>
      <c r="O5445"/>
    </row>
    <row r="5446" spans="1:15" hidden="1" x14ac:dyDescent="0.2">
      <c r="A5446" s="3"/>
      <c r="B5446" s="2"/>
      <c r="C5446" s="2"/>
      <c r="D5446" s="2"/>
      <c r="E5446" s="2"/>
      <c r="F5446" s="2"/>
      <c r="G5446" s="2"/>
      <c r="O5446"/>
    </row>
    <row r="5447" spans="1:15" hidden="1" x14ac:dyDescent="0.2">
      <c r="A5447" s="3"/>
      <c r="B5447" s="2"/>
      <c r="C5447" s="2"/>
      <c r="D5447" s="2"/>
      <c r="E5447" s="2"/>
      <c r="F5447" s="2"/>
      <c r="G5447" s="2"/>
      <c r="O5447"/>
    </row>
    <row r="5448" spans="1:15" hidden="1" x14ac:dyDescent="0.2">
      <c r="A5448" s="3"/>
      <c r="B5448" s="2"/>
      <c r="C5448" s="2"/>
      <c r="D5448" s="2"/>
      <c r="E5448" s="2"/>
      <c r="F5448" s="2"/>
      <c r="G5448" s="2"/>
      <c r="O5448"/>
    </row>
    <row r="5449" spans="1:15" hidden="1" x14ac:dyDescent="0.2">
      <c r="A5449" s="3"/>
      <c r="B5449" s="2"/>
      <c r="C5449" s="2"/>
      <c r="D5449" s="2"/>
      <c r="E5449" s="2"/>
      <c r="F5449" s="2"/>
      <c r="G5449" s="2"/>
      <c r="O5449"/>
    </row>
    <row r="5450" spans="1:15" hidden="1" x14ac:dyDescent="0.2">
      <c r="A5450" s="3"/>
      <c r="B5450" s="2"/>
      <c r="C5450" s="2"/>
      <c r="D5450" s="2"/>
      <c r="E5450" s="2"/>
      <c r="F5450" s="2"/>
      <c r="G5450" s="2"/>
      <c r="O5450"/>
    </row>
    <row r="5451" spans="1:15" hidden="1" x14ac:dyDescent="0.2">
      <c r="A5451" s="3"/>
      <c r="B5451" s="2"/>
      <c r="C5451" s="2"/>
      <c r="D5451" s="2"/>
      <c r="E5451" s="2"/>
      <c r="F5451" s="2"/>
      <c r="G5451" s="2"/>
      <c r="O5451"/>
    </row>
    <row r="5452" spans="1:15" hidden="1" x14ac:dyDescent="0.2">
      <c r="A5452" s="3"/>
      <c r="B5452" s="2"/>
      <c r="C5452" s="2"/>
      <c r="D5452" s="2"/>
      <c r="E5452" s="2"/>
      <c r="F5452" s="2"/>
      <c r="G5452" s="2"/>
      <c r="O5452"/>
    </row>
    <row r="5453" spans="1:15" hidden="1" x14ac:dyDescent="0.2">
      <c r="A5453" s="3"/>
      <c r="B5453" s="2"/>
      <c r="C5453" s="2"/>
      <c r="D5453" s="2"/>
      <c r="E5453" s="2"/>
      <c r="F5453" s="2"/>
      <c r="G5453" s="2"/>
      <c r="O5453"/>
    </row>
    <row r="5454" spans="1:15" hidden="1" x14ac:dyDescent="0.2">
      <c r="A5454" s="3"/>
      <c r="B5454" s="2"/>
      <c r="C5454" s="2"/>
      <c r="D5454" s="2"/>
      <c r="E5454" s="2"/>
      <c r="F5454" s="2"/>
      <c r="G5454" s="2"/>
      <c r="O5454"/>
    </row>
    <row r="5455" spans="1:15" hidden="1" x14ac:dyDescent="0.2">
      <c r="A5455" s="3"/>
      <c r="B5455" s="2"/>
      <c r="C5455" s="2"/>
      <c r="D5455" s="2"/>
      <c r="E5455" s="2"/>
      <c r="F5455" s="2"/>
      <c r="G5455" s="2"/>
      <c r="O5455"/>
    </row>
    <row r="5456" spans="1:15" hidden="1" x14ac:dyDescent="0.2">
      <c r="A5456" s="3"/>
      <c r="B5456" s="2"/>
      <c r="C5456" s="2"/>
      <c r="D5456" s="2"/>
      <c r="E5456" s="2"/>
      <c r="F5456" s="2"/>
      <c r="G5456" s="2"/>
      <c r="O5456"/>
    </row>
    <row r="5457" spans="1:15" hidden="1" x14ac:dyDescent="0.2">
      <c r="A5457" s="3"/>
      <c r="B5457" s="2"/>
      <c r="C5457" s="2"/>
      <c r="D5457" s="2"/>
      <c r="E5457" s="2"/>
      <c r="F5457" s="2"/>
      <c r="G5457" s="2"/>
      <c r="O5457"/>
    </row>
    <row r="5458" spans="1:15" hidden="1" x14ac:dyDescent="0.2">
      <c r="A5458" s="3"/>
      <c r="B5458" s="2"/>
      <c r="C5458" s="2"/>
      <c r="D5458" s="2"/>
      <c r="E5458" s="2"/>
      <c r="F5458" s="2"/>
      <c r="G5458" s="2"/>
      <c r="O5458"/>
    </row>
    <row r="5459" spans="1:15" hidden="1" x14ac:dyDescent="0.2">
      <c r="A5459" s="3"/>
      <c r="B5459" s="2"/>
      <c r="C5459" s="2"/>
      <c r="D5459" s="2"/>
      <c r="E5459" s="2"/>
      <c r="F5459" s="2"/>
      <c r="G5459" s="2"/>
      <c r="O5459"/>
    </row>
    <row r="5460" spans="1:15" hidden="1" x14ac:dyDescent="0.2">
      <c r="A5460" s="3"/>
      <c r="B5460" s="2"/>
      <c r="C5460" s="2"/>
      <c r="D5460" s="2"/>
      <c r="E5460" s="2"/>
      <c r="F5460" s="2"/>
      <c r="G5460" s="2"/>
      <c r="O5460"/>
    </row>
    <row r="5461" spans="1:15" hidden="1" x14ac:dyDescent="0.2">
      <c r="A5461" s="3"/>
      <c r="B5461" s="2"/>
      <c r="C5461" s="2"/>
      <c r="D5461" s="2"/>
      <c r="E5461" s="2"/>
      <c r="F5461" s="2"/>
      <c r="G5461" s="2"/>
      <c r="O5461"/>
    </row>
    <row r="5462" spans="1:15" hidden="1" x14ac:dyDescent="0.2">
      <c r="A5462" s="3"/>
      <c r="B5462" s="2"/>
      <c r="C5462" s="2"/>
      <c r="D5462" s="2"/>
      <c r="E5462" s="2"/>
      <c r="F5462" s="2"/>
      <c r="G5462" s="2"/>
      <c r="O5462"/>
    </row>
    <row r="5463" spans="1:15" hidden="1" x14ac:dyDescent="0.2">
      <c r="A5463" s="3"/>
      <c r="B5463" s="2"/>
      <c r="C5463" s="2"/>
      <c r="D5463" s="2"/>
      <c r="E5463" s="2"/>
      <c r="F5463" s="2"/>
      <c r="G5463" s="2"/>
      <c r="O5463"/>
    </row>
    <row r="5464" spans="1:15" hidden="1" x14ac:dyDescent="0.2">
      <c r="A5464" s="3"/>
      <c r="B5464" s="2"/>
      <c r="C5464" s="2"/>
      <c r="D5464" s="2"/>
      <c r="E5464" s="2"/>
      <c r="F5464" s="2"/>
      <c r="G5464" s="2"/>
      <c r="O5464"/>
    </row>
    <row r="5465" spans="1:15" hidden="1" x14ac:dyDescent="0.2">
      <c r="A5465" s="3"/>
      <c r="B5465" s="2"/>
      <c r="C5465" s="2"/>
      <c r="D5465" s="2"/>
      <c r="E5465" s="2"/>
      <c r="F5465" s="2"/>
      <c r="G5465" s="2"/>
      <c r="O5465"/>
    </row>
    <row r="5466" spans="1:15" hidden="1" x14ac:dyDescent="0.2">
      <c r="A5466" s="3"/>
      <c r="B5466" s="2"/>
      <c r="C5466" s="2"/>
      <c r="D5466" s="2"/>
      <c r="E5466" s="2"/>
      <c r="F5466" s="2"/>
      <c r="G5466" s="2"/>
      <c r="O5466"/>
    </row>
    <row r="5467" spans="1:15" hidden="1" x14ac:dyDescent="0.2">
      <c r="A5467" s="3"/>
      <c r="B5467" s="2"/>
      <c r="C5467" s="2"/>
      <c r="D5467" s="2"/>
      <c r="E5467" s="2"/>
      <c r="F5467" s="2"/>
      <c r="G5467" s="2"/>
      <c r="O5467"/>
    </row>
    <row r="5468" spans="1:15" hidden="1" x14ac:dyDescent="0.2">
      <c r="A5468" s="3"/>
      <c r="B5468" s="2"/>
      <c r="C5468" s="2"/>
      <c r="D5468" s="2"/>
      <c r="E5468" s="2"/>
      <c r="F5468" s="2"/>
      <c r="G5468" s="2"/>
      <c r="O5468"/>
    </row>
    <row r="5469" spans="1:15" hidden="1" x14ac:dyDescent="0.2">
      <c r="A5469" s="3"/>
      <c r="B5469" s="2"/>
      <c r="C5469" s="2"/>
      <c r="D5469" s="2"/>
      <c r="E5469" s="2"/>
      <c r="F5469" s="2"/>
      <c r="G5469" s="2"/>
      <c r="O5469"/>
    </row>
    <row r="5470" spans="1:15" hidden="1" x14ac:dyDescent="0.2">
      <c r="A5470" s="3"/>
      <c r="B5470" s="2"/>
      <c r="C5470" s="2"/>
      <c r="D5470" s="2"/>
      <c r="E5470" s="2"/>
      <c r="F5470" s="2"/>
      <c r="G5470" s="2"/>
      <c r="O5470"/>
    </row>
    <row r="5471" spans="1:15" hidden="1" x14ac:dyDescent="0.2">
      <c r="A5471" s="3"/>
      <c r="B5471" s="2"/>
      <c r="C5471" s="2"/>
      <c r="D5471" s="2"/>
      <c r="E5471" s="2"/>
      <c r="F5471" s="2"/>
      <c r="G5471" s="2"/>
      <c r="O5471"/>
    </row>
    <row r="5472" spans="1:15" hidden="1" x14ac:dyDescent="0.2">
      <c r="A5472" s="3"/>
      <c r="B5472" s="2"/>
      <c r="C5472" s="2"/>
      <c r="D5472" s="2"/>
      <c r="E5472" s="2"/>
      <c r="F5472" s="2"/>
      <c r="G5472" s="2"/>
      <c r="O5472"/>
    </row>
    <row r="5473" spans="1:15" hidden="1" x14ac:dyDescent="0.2">
      <c r="A5473" s="3"/>
      <c r="B5473" s="2"/>
      <c r="C5473" s="2"/>
      <c r="D5473" s="2"/>
      <c r="E5473" s="2"/>
      <c r="F5473" s="2"/>
      <c r="G5473" s="2"/>
      <c r="O5473"/>
    </row>
    <row r="5474" spans="1:15" hidden="1" x14ac:dyDescent="0.2">
      <c r="A5474" s="3"/>
      <c r="B5474" s="2"/>
      <c r="C5474" s="2"/>
      <c r="D5474" s="2"/>
      <c r="E5474" s="2"/>
      <c r="F5474" s="2"/>
      <c r="G5474" s="2"/>
      <c r="O5474"/>
    </row>
    <row r="5475" spans="1:15" hidden="1" x14ac:dyDescent="0.2">
      <c r="A5475" s="3"/>
      <c r="B5475" s="2"/>
      <c r="C5475" s="2"/>
      <c r="D5475" s="2"/>
      <c r="E5475" s="2"/>
      <c r="F5475" s="2"/>
      <c r="G5475" s="2"/>
      <c r="O5475"/>
    </row>
    <row r="5476" spans="1:15" hidden="1" x14ac:dyDescent="0.2">
      <c r="A5476" s="3"/>
      <c r="B5476" s="2"/>
      <c r="C5476" s="2"/>
      <c r="D5476" s="2"/>
      <c r="E5476" s="2"/>
      <c r="F5476" s="2"/>
      <c r="G5476" s="2"/>
      <c r="O5476"/>
    </row>
    <row r="5477" spans="1:15" hidden="1" x14ac:dyDescent="0.2">
      <c r="A5477" s="3"/>
      <c r="B5477" s="2"/>
      <c r="C5477" s="2"/>
      <c r="D5477" s="2"/>
      <c r="E5477" s="2"/>
      <c r="F5477" s="2"/>
      <c r="G5477" s="2"/>
      <c r="O5477"/>
    </row>
    <row r="5478" spans="1:15" hidden="1" x14ac:dyDescent="0.2">
      <c r="A5478" s="3"/>
      <c r="B5478" s="2"/>
      <c r="C5478" s="2"/>
      <c r="D5478" s="2"/>
      <c r="E5478" s="2"/>
      <c r="F5478" s="2"/>
      <c r="G5478" s="2"/>
      <c r="O5478"/>
    </row>
    <row r="5479" spans="1:15" hidden="1" x14ac:dyDescent="0.2">
      <c r="A5479" s="3"/>
      <c r="B5479" s="2"/>
      <c r="C5479" s="2"/>
      <c r="D5479" s="2"/>
      <c r="E5479" s="2"/>
      <c r="F5479" s="2"/>
      <c r="G5479" s="2"/>
      <c r="O5479"/>
    </row>
    <row r="5480" spans="1:15" hidden="1" x14ac:dyDescent="0.2">
      <c r="A5480" s="3"/>
      <c r="B5480" s="2"/>
      <c r="C5480" s="2"/>
      <c r="D5480" s="2"/>
      <c r="E5480" s="2"/>
      <c r="F5480" s="2"/>
      <c r="G5480" s="2"/>
      <c r="O5480"/>
    </row>
    <row r="5481" spans="1:15" hidden="1" x14ac:dyDescent="0.2">
      <c r="A5481" s="3"/>
      <c r="B5481" s="2"/>
      <c r="C5481" s="2"/>
      <c r="D5481" s="2"/>
      <c r="E5481" s="2"/>
      <c r="F5481" s="2"/>
      <c r="G5481" s="2"/>
      <c r="O5481"/>
    </row>
    <row r="5482" spans="1:15" hidden="1" x14ac:dyDescent="0.2">
      <c r="A5482" s="3"/>
      <c r="B5482" s="2"/>
      <c r="C5482" s="2"/>
      <c r="D5482" s="2"/>
      <c r="E5482" s="2"/>
      <c r="F5482" s="2"/>
      <c r="G5482" s="2"/>
      <c r="O5482"/>
    </row>
    <row r="5483" spans="1:15" hidden="1" x14ac:dyDescent="0.2">
      <c r="A5483" s="3"/>
      <c r="B5483" s="2"/>
      <c r="C5483" s="2"/>
      <c r="D5483" s="2"/>
      <c r="E5483" s="2"/>
      <c r="F5483" s="2"/>
      <c r="G5483" s="2"/>
      <c r="O5483"/>
    </row>
    <row r="5484" spans="1:15" hidden="1" x14ac:dyDescent="0.2">
      <c r="A5484" s="3"/>
      <c r="B5484" s="2"/>
      <c r="C5484" s="2"/>
      <c r="D5484" s="2"/>
      <c r="E5484" s="2"/>
      <c r="F5484" s="2"/>
      <c r="G5484" s="2"/>
      <c r="O5484"/>
    </row>
    <row r="5485" spans="1:15" hidden="1" x14ac:dyDescent="0.2">
      <c r="A5485" s="3"/>
      <c r="B5485" s="2"/>
      <c r="C5485" s="2"/>
      <c r="D5485" s="2"/>
      <c r="E5485" s="2"/>
      <c r="F5485" s="2"/>
      <c r="G5485" s="2"/>
      <c r="O5485"/>
    </row>
    <row r="5486" spans="1:15" hidden="1" x14ac:dyDescent="0.2">
      <c r="A5486" s="3"/>
      <c r="B5486" s="2"/>
      <c r="C5486" s="2"/>
      <c r="D5486" s="2"/>
      <c r="E5486" s="2"/>
      <c r="F5486" s="2"/>
      <c r="G5486" s="2"/>
      <c r="O5486"/>
    </row>
    <row r="5487" spans="1:15" hidden="1" x14ac:dyDescent="0.2">
      <c r="A5487" s="3"/>
      <c r="B5487" s="2"/>
      <c r="C5487" s="2"/>
      <c r="D5487" s="2"/>
      <c r="E5487" s="2"/>
      <c r="F5487" s="2"/>
      <c r="G5487" s="2"/>
      <c r="O5487"/>
    </row>
    <row r="5488" spans="1:15" hidden="1" x14ac:dyDescent="0.2">
      <c r="A5488" s="3"/>
      <c r="B5488" s="2"/>
      <c r="C5488" s="2"/>
      <c r="D5488" s="2"/>
      <c r="E5488" s="2"/>
      <c r="F5488" s="2"/>
      <c r="G5488" s="2"/>
      <c r="O5488"/>
    </row>
    <row r="5489" spans="1:15" hidden="1" x14ac:dyDescent="0.2">
      <c r="A5489" s="3"/>
      <c r="B5489" s="2"/>
      <c r="C5489" s="2"/>
      <c r="D5489" s="2"/>
      <c r="E5489" s="2"/>
      <c r="F5489" s="2"/>
      <c r="G5489" s="2"/>
      <c r="O5489"/>
    </row>
    <row r="5490" spans="1:15" hidden="1" x14ac:dyDescent="0.2">
      <c r="A5490" s="3"/>
      <c r="B5490" s="2"/>
      <c r="C5490" s="2"/>
      <c r="D5490" s="2"/>
      <c r="E5490" s="2"/>
      <c r="F5490" s="2"/>
      <c r="G5490" s="2"/>
      <c r="O5490"/>
    </row>
    <row r="5491" spans="1:15" hidden="1" x14ac:dyDescent="0.2">
      <c r="A5491" s="3"/>
      <c r="B5491" s="2"/>
      <c r="C5491" s="2"/>
      <c r="D5491" s="2"/>
      <c r="E5491" s="2"/>
      <c r="F5491" s="2"/>
      <c r="G5491" s="2"/>
      <c r="O5491"/>
    </row>
    <row r="5492" spans="1:15" hidden="1" x14ac:dyDescent="0.2">
      <c r="A5492" s="3"/>
      <c r="B5492" s="2"/>
      <c r="C5492" s="2"/>
      <c r="D5492" s="2"/>
      <c r="E5492" s="2"/>
      <c r="F5492" s="2"/>
      <c r="G5492" s="2"/>
      <c r="O5492"/>
    </row>
    <row r="5493" spans="1:15" hidden="1" x14ac:dyDescent="0.2">
      <c r="A5493" s="3"/>
      <c r="B5493" s="2"/>
      <c r="C5493" s="2"/>
      <c r="D5493" s="2"/>
      <c r="E5493" s="2"/>
      <c r="F5493" s="2"/>
      <c r="G5493" s="2"/>
      <c r="O5493"/>
    </row>
    <row r="5494" spans="1:15" hidden="1" x14ac:dyDescent="0.2">
      <c r="A5494" s="3"/>
      <c r="B5494" s="2"/>
      <c r="C5494" s="2"/>
      <c r="D5494" s="2"/>
      <c r="E5494" s="2"/>
      <c r="F5494" s="2"/>
      <c r="G5494" s="2"/>
      <c r="O5494"/>
    </row>
    <row r="5495" spans="1:15" hidden="1" x14ac:dyDescent="0.2">
      <c r="A5495" s="3"/>
      <c r="B5495" s="2"/>
      <c r="C5495" s="2"/>
      <c r="D5495" s="2"/>
      <c r="E5495" s="2"/>
      <c r="F5495" s="2"/>
      <c r="G5495" s="2"/>
      <c r="O5495"/>
    </row>
    <row r="5496" spans="1:15" hidden="1" x14ac:dyDescent="0.2">
      <c r="A5496" s="3"/>
      <c r="B5496" s="2"/>
      <c r="C5496" s="2"/>
      <c r="D5496" s="2"/>
      <c r="E5496" s="2"/>
      <c r="F5496" s="2"/>
      <c r="G5496" s="2"/>
      <c r="O5496"/>
    </row>
    <row r="5497" spans="1:15" hidden="1" x14ac:dyDescent="0.2">
      <c r="A5497" s="3"/>
      <c r="B5497" s="2"/>
      <c r="C5497" s="2"/>
      <c r="D5497" s="2"/>
      <c r="E5497" s="2"/>
      <c r="F5497" s="2"/>
      <c r="G5497" s="2"/>
      <c r="O5497"/>
    </row>
    <row r="5498" spans="1:15" hidden="1" x14ac:dyDescent="0.2">
      <c r="A5498" s="3"/>
      <c r="B5498" s="2"/>
      <c r="C5498" s="2"/>
      <c r="D5498" s="2"/>
      <c r="E5498" s="2"/>
      <c r="F5498" s="2"/>
      <c r="G5498" s="2"/>
      <c r="O5498"/>
    </row>
    <row r="5499" spans="1:15" hidden="1" x14ac:dyDescent="0.2">
      <c r="A5499" s="3"/>
      <c r="B5499" s="2"/>
      <c r="C5499" s="2"/>
      <c r="D5499" s="2"/>
      <c r="E5499" s="2"/>
      <c r="F5499" s="2"/>
      <c r="G5499" s="2"/>
      <c r="O5499"/>
    </row>
    <row r="5500" spans="1:15" hidden="1" x14ac:dyDescent="0.2">
      <c r="A5500" s="3"/>
      <c r="B5500" s="2"/>
      <c r="C5500" s="2"/>
      <c r="D5500" s="2"/>
      <c r="E5500" s="2"/>
      <c r="F5500" s="2"/>
      <c r="G5500" s="2"/>
      <c r="O5500"/>
    </row>
    <row r="5501" spans="1:15" hidden="1" x14ac:dyDescent="0.2">
      <c r="A5501" s="3"/>
      <c r="B5501" s="2"/>
      <c r="C5501" s="2"/>
      <c r="D5501" s="2"/>
      <c r="E5501" s="2"/>
      <c r="F5501" s="2"/>
      <c r="G5501" s="2"/>
      <c r="O5501"/>
    </row>
    <row r="5502" spans="1:15" hidden="1" x14ac:dyDescent="0.2">
      <c r="A5502" s="3"/>
      <c r="B5502" s="2"/>
      <c r="C5502" s="2"/>
      <c r="D5502" s="2"/>
      <c r="E5502" s="2"/>
      <c r="F5502" s="2"/>
      <c r="G5502" s="2"/>
      <c r="O5502"/>
    </row>
    <row r="5503" spans="1:15" hidden="1" x14ac:dyDescent="0.2">
      <c r="A5503" s="3"/>
      <c r="B5503" s="2"/>
      <c r="C5503" s="2"/>
      <c r="D5503" s="2"/>
      <c r="E5503" s="2"/>
      <c r="F5503" s="2"/>
      <c r="G5503" s="2"/>
      <c r="O5503"/>
    </row>
    <row r="5504" spans="1:15" hidden="1" x14ac:dyDescent="0.2">
      <c r="A5504" s="3"/>
      <c r="B5504" s="2"/>
      <c r="C5504" s="2"/>
      <c r="D5504" s="2"/>
      <c r="E5504" s="2"/>
      <c r="F5504" s="2"/>
      <c r="G5504" s="2"/>
      <c r="O5504"/>
    </row>
    <row r="5505" spans="1:15" hidden="1" x14ac:dyDescent="0.2">
      <c r="A5505" s="3"/>
      <c r="B5505" s="2"/>
      <c r="C5505" s="2"/>
      <c r="D5505" s="2"/>
      <c r="E5505" s="2"/>
      <c r="F5505" s="2"/>
      <c r="G5505" s="2"/>
      <c r="O5505"/>
    </row>
    <row r="5506" spans="1:15" hidden="1" x14ac:dyDescent="0.2">
      <c r="A5506" s="3"/>
      <c r="B5506" s="2"/>
      <c r="C5506" s="2"/>
      <c r="D5506" s="2"/>
      <c r="E5506" s="2"/>
      <c r="F5506" s="2"/>
      <c r="G5506" s="2"/>
      <c r="O5506"/>
    </row>
    <row r="5507" spans="1:15" hidden="1" x14ac:dyDescent="0.2">
      <c r="A5507" s="3"/>
      <c r="B5507" s="2"/>
      <c r="C5507" s="2"/>
      <c r="D5507" s="2"/>
      <c r="E5507" s="2"/>
      <c r="F5507" s="2"/>
      <c r="G5507" s="2"/>
      <c r="O5507"/>
    </row>
    <row r="5508" spans="1:15" hidden="1" x14ac:dyDescent="0.2">
      <c r="A5508" s="3"/>
      <c r="B5508" s="2"/>
      <c r="C5508" s="2"/>
      <c r="D5508" s="2"/>
      <c r="E5508" s="2"/>
      <c r="F5508" s="2"/>
      <c r="G5508" s="2"/>
      <c r="O5508"/>
    </row>
    <row r="5509" spans="1:15" hidden="1" x14ac:dyDescent="0.2">
      <c r="A5509" s="3"/>
      <c r="B5509" s="2"/>
      <c r="C5509" s="2"/>
      <c r="D5509" s="2"/>
      <c r="E5509" s="2"/>
      <c r="F5509" s="2"/>
      <c r="G5509" s="2"/>
      <c r="O5509"/>
    </row>
    <row r="5510" spans="1:15" hidden="1" x14ac:dyDescent="0.2">
      <c r="A5510" s="3"/>
      <c r="B5510" s="2"/>
      <c r="C5510" s="2"/>
      <c r="D5510" s="2"/>
      <c r="E5510" s="2"/>
      <c r="F5510" s="2"/>
      <c r="G5510" s="2"/>
      <c r="O5510"/>
    </row>
    <row r="5511" spans="1:15" hidden="1" x14ac:dyDescent="0.2">
      <c r="A5511" s="3"/>
      <c r="B5511" s="2"/>
      <c r="C5511" s="2"/>
      <c r="D5511" s="2"/>
      <c r="E5511" s="2"/>
      <c r="F5511" s="2"/>
      <c r="G5511" s="2"/>
      <c r="O5511"/>
    </row>
    <row r="5512" spans="1:15" hidden="1" x14ac:dyDescent="0.2">
      <c r="A5512" s="3"/>
      <c r="B5512" s="2"/>
      <c r="C5512" s="2"/>
      <c r="D5512" s="2"/>
      <c r="E5512" s="2"/>
      <c r="F5512" s="2"/>
      <c r="G5512" s="2"/>
      <c r="O5512"/>
    </row>
    <row r="5513" spans="1:15" hidden="1" x14ac:dyDescent="0.2">
      <c r="A5513" s="3"/>
      <c r="B5513" s="2"/>
      <c r="C5513" s="2"/>
      <c r="D5513" s="2"/>
      <c r="E5513" s="2"/>
      <c r="F5513" s="2"/>
      <c r="G5513" s="2"/>
      <c r="O5513"/>
    </row>
    <row r="5514" spans="1:15" hidden="1" x14ac:dyDescent="0.2">
      <c r="A5514" s="3"/>
      <c r="B5514" s="2"/>
      <c r="C5514" s="2"/>
      <c r="D5514" s="2"/>
      <c r="E5514" s="2"/>
      <c r="F5514" s="2"/>
      <c r="G5514" s="2"/>
      <c r="O5514"/>
    </row>
    <row r="5515" spans="1:15" hidden="1" x14ac:dyDescent="0.2">
      <c r="A5515" s="3"/>
      <c r="B5515" s="2"/>
      <c r="C5515" s="2"/>
      <c r="D5515" s="2"/>
      <c r="E5515" s="2"/>
      <c r="F5515" s="2"/>
      <c r="G5515" s="2"/>
      <c r="O5515"/>
    </row>
    <row r="5516" spans="1:15" hidden="1" x14ac:dyDescent="0.2">
      <c r="A5516" s="3"/>
      <c r="B5516" s="2"/>
      <c r="C5516" s="2"/>
      <c r="D5516" s="2"/>
      <c r="E5516" s="2"/>
      <c r="F5516" s="2"/>
      <c r="G5516" s="2"/>
      <c r="O5516"/>
    </row>
    <row r="5517" spans="1:15" hidden="1" x14ac:dyDescent="0.2">
      <c r="A5517" s="3"/>
      <c r="B5517" s="2"/>
      <c r="C5517" s="2"/>
      <c r="D5517" s="2"/>
      <c r="E5517" s="2"/>
      <c r="F5517" s="2"/>
      <c r="G5517" s="2"/>
      <c r="O5517"/>
    </row>
    <row r="5518" spans="1:15" hidden="1" x14ac:dyDescent="0.2">
      <c r="A5518" s="3"/>
      <c r="B5518" s="2"/>
      <c r="C5518" s="2"/>
      <c r="D5518" s="2"/>
      <c r="E5518" s="2"/>
      <c r="F5518" s="2"/>
      <c r="G5518" s="2"/>
      <c r="O5518"/>
    </row>
    <row r="5519" spans="1:15" hidden="1" x14ac:dyDescent="0.2">
      <c r="A5519" s="3"/>
      <c r="B5519" s="2"/>
      <c r="C5519" s="2"/>
      <c r="D5519" s="2"/>
      <c r="E5519" s="2"/>
      <c r="F5519" s="2"/>
      <c r="G5519" s="2"/>
      <c r="O5519"/>
    </row>
    <row r="5520" spans="1:15" hidden="1" x14ac:dyDescent="0.2">
      <c r="A5520" s="3"/>
      <c r="B5520" s="2"/>
      <c r="C5520" s="2"/>
      <c r="D5520" s="2"/>
      <c r="E5520" s="2"/>
      <c r="F5520" s="2"/>
      <c r="G5520" s="2"/>
      <c r="O5520"/>
    </row>
    <row r="5521" spans="1:15" hidden="1" x14ac:dyDescent="0.2">
      <c r="A5521" s="3"/>
      <c r="B5521" s="2"/>
      <c r="C5521" s="2"/>
      <c r="D5521" s="2"/>
      <c r="E5521" s="2"/>
      <c r="F5521" s="2"/>
      <c r="G5521" s="2"/>
      <c r="O5521"/>
    </row>
    <row r="5522" spans="1:15" hidden="1" x14ac:dyDescent="0.2">
      <c r="A5522" s="3"/>
      <c r="B5522" s="2"/>
      <c r="C5522" s="2"/>
      <c r="D5522" s="2"/>
      <c r="E5522" s="2"/>
      <c r="F5522" s="2"/>
      <c r="G5522" s="2"/>
      <c r="O5522"/>
    </row>
    <row r="5523" spans="1:15" hidden="1" x14ac:dyDescent="0.2">
      <c r="A5523" s="3"/>
      <c r="B5523" s="2"/>
      <c r="C5523" s="2"/>
      <c r="D5523" s="2"/>
      <c r="E5523" s="2"/>
      <c r="F5523" s="2"/>
      <c r="G5523" s="2"/>
      <c r="O5523"/>
    </row>
    <row r="5524" spans="1:15" hidden="1" x14ac:dyDescent="0.2">
      <c r="A5524" s="3"/>
      <c r="B5524" s="2"/>
      <c r="C5524" s="2"/>
      <c r="D5524" s="2"/>
      <c r="E5524" s="2"/>
      <c r="F5524" s="2"/>
      <c r="G5524" s="2"/>
      <c r="O5524"/>
    </row>
    <row r="5525" spans="1:15" hidden="1" x14ac:dyDescent="0.2">
      <c r="A5525" s="3"/>
      <c r="B5525" s="2"/>
      <c r="C5525" s="2"/>
      <c r="D5525" s="2"/>
      <c r="E5525" s="2"/>
      <c r="F5525" s="2"/>
      <c r="G5525" s="2"/>
      <c r="O5525"/>
    </row>
    <row r="5526" spans="1:15" hidden="1" x14ac:dyDescent="0.2">
      <c r="A5526" s="3"/>
      <c r="B5526" s="2"/>
      <c r="C5526" s="2"/>
      <c r="D5526" s="2"/>
      <c r="E5526" s="2"/>
      <c r="F5526" s="2"/>
      <c r="G5526" s="2"/>
      <c r="O5526"/>
    </row>
    <row r="5527" spans="1:15" hidden="1" x14ac:dyDescent="0.2">
      <c r="A5527" s="3"/>
      <c r="B5527" s="2"/>
      <c r="C5527" s="2"/>
      <c r="D5527" s="2"/>
      <c r="E5527" s="2"/>
      <c r="F5527" s="2"/>
      <c r="G5527" s="2"/>
      <c r="O5527"/>
    </row>
    <row r="5528" spans="1:15" hidden="1" x14ac:dyDescent="0.2">
      <c r="A5528" s="3"/>
      <c r="B5528" s="2"/>
      <c r="C5528" s="2"/>
      <c r="D5528" s="2"/>
      <c r="E5528" s="2"/>
      <c r="F5528" s="2"/>
      <c r="G5528" s="2"/>
      <c r="O5528"/>
    </row>
    <row r="5529" spans="1:15" hidden="1" x14ac:dyDescent="0.2">
      <c r="A5529" s="3"/>
      <c r="B5529" s="2"/>
      <c r="C5529" s="2"/>
      <c r="D5529" s="2"/>
      <c r="E5529" s="2"/>
      <c r="F5529" s="2"/>
      <c r="G5529" s="2"/>
      <c r="O5529"/>
    </row>
    <row r="5530" spans="1:15" hidden="1" x14ac:dyDescent="0.2">
      <c r="A5530" s="3"/>
      <c r="B5530" s="2"/>
      <c r="C5530" s="2"/>
      <c r="D5530" s="2"/>
      <c r="E5530" s="2"/>
      <c r="F5530" s="2"/>
      <c r="G5530" s="2"/>
      <c r="O5530"/>
    </row>
    <row r="5531" spans="1:15" hidden="1" x14ac:dyDescent="0.2">
      <c r="A5531" s="3"/>
      <c r="B5531" s="2"/>
      <c r="C5531" s="2"/>
      <c r="D5531" s="2"/>
      <c r="E5531" s="2"/>
      <c r="F5531" s="2"/>
      <c r="G5531" s="2"/>
      <c r="O5531"/>
    </row>
    <row r="5532" spans="1:15" hidden="1" x14ac:dyDescent="0.2">
      <c r="A5532" s="3"/>
      <c r="B5532" s="2"/>
      <c r="C5532" s="2"/>
      <c r="D5532" s="2"/>
      <c r="E5532" s="2"/>
      <c r="F5532" s="2"/>
      <c r="G5532" s="2"/>
      <c r="O5532"/>
    </row>
    <row r="5533" spans="1:15" hidden="1" x14ac:dyDescent="0.2">
      <c r="A5533" s="3"/>
      <c r="B5533" s="2"/>
      <c r="C5533" s="2"/>
      <c r="D5533" s="2"/>
      <c r="E5533" s="2"/>
      <c r="F5533" s="2"/>
      <c r="G5533" s="2"/>
      <c r="O5533"/>
    </row>
    <row r="5534" spans="1:15" hidden="1" x14ac:dyDescent="0.2">
      <c r="A5534" s="3"/>
      <c r="B5534" s="2"/>
      <c r="C5534" s="2"/>
      <c r="D5534" s="2"/>
      <c r="E5534" s="2"/>
      <c r="F5534" s="2"/>
      <c r="G5534" s="2"/>
      <c r="O5534"/>
    </row>
    <row r="5535" spans="1:15" hidden="1" x14ac:dyDescent="0.2">
      <c r="A5535" s="3"/>
      <c r="B5535" s="2"/>
      <c r="C5535" s="2"/>
      <c r="D5535" s="2"/>
      <c r="E5535" s="2"/>
      <c r="F5535" s="2"/>
      <c r="G5535" s="2"/>
      <c r="O5535"/>
    </row>
    <row r="5536" spans="1:15" hidden="1" x14ac:dyDescent="0.2">
      <c r="A5536" s="3"/>
      <c r="B5536" s="2"/>
      <c r="C5536" s="2"/>
      <c r="D5536" s="2"/>
      <c r="E5536" s="2"/>
      <c r="F5536" s="2"/>
      <c r="G5536" s="2"/>
      <c r="O5536"/>
    </row>
    <row r="5537" spans="1:15" hidden="1" x14ac:dyDescent="0.2">
      <c r="A5537" s="3"/>
      <c r="B5537" s="2"/>
      <c r="C5537" s="2"/>
      <c r="D5537" s="2"/>
      <c r="E5537" s="2"/>
      <c r="F5537" s="2"/>
      <c r="G5537" s="2"/>
      <c r="O5537"/>
    </row>
    <row r="5538" spans="1:15" hidden="1" x14ac:dyDescent="0.2">
      <c r="A5538" s="3"/>
      <c r="B5538" s="2"/>
      <c r="C5538" s="2"/>
      <c r="D5538" s="2"/>
      <c r="E5538" s="2"/>
      <c r="F5538" s="2"/>
      <c r="G5538" s="2"/>
      <c r="O5538"/>
    </row>
    <row r="5539" spans="1:15" hidden="1" x14ac:dyDescent="0.2">
      <c r="A5539" s="3"/>
      <c r="B5539" s="2"/>
      <c r="C5539" s="2"/>
      <c r="D5539" s="2"/>
      <c r="E5539" s="2"/>
      <c r="F5539" s="2"/>
      <c r="G5539" s="2"/>
      <c r="O5539"/>
    </row>
    <row r="5540" spans="1:15" hidden="1" x14ac:dyDescent="0.2">
      <c r="A5540" s="3"/>
      <c r="B5540" s="2"/>
      <c r="C5540" s="2"/>
      <c r="D5540" s="2"/>
      <c r="E5540" s="2"/>
      <c r="F5540" s="2"/>
      <c r="G5540" s="2"/>
      <c r="O5540"/>
    </row>
    <row r="5541" spans="1:15" hidden="1" x14ac:dyDescent="0.2">
      <c r="A5541" s="3"/>
      <c r="B5541" s="2"/>
      <c r="C5541" s="2"/>
      <c r="D5541" s="2"/>
      <c r="E5541" s="2"/>
      <c r="F5541" s="2"/>
      <c r="G5541" s="2"/>
      <c r="O5541"/>
    </row>
    <row r="5542" spans="1:15" hidden="1" x14ac:dyDescent="0.2">
      <c r="A5542" s="3"/>
      <c r="B5542" s="2"/>
      <c r="C5542" s="2"/>
      <c r="D5542" s="2"/>
      <c r="E5542" s="2"/>
      <c r="F5542" s="2"/>
      <c r="G5542" s="2"/>
      <c r="O5542"/>
    </row>
    <row r="5543" spans="1:15" hidden="1" x14ac:dyDescent="0.2">
      <c r="A5543" s="3"/>
      <c r="B5543" s="2"/>
      <c r="C5543" s="2"/>
      <c r="D5543" s="2"/>
      <c r="E5543" s="2"/>
      <c r="F5543" s="2"/>
      <c r="G5543" s="2"/>
      <c r="O5543"/>
    </row>
    <row r="5544" spans="1:15" hidden="1" x14ac:dyDescent="0.2">
      <c r="A5544" s="3"/>
      <c r="B5544" s="2"/>
      <c r="C5544" s="2"/>
      <c r="D5544" s="2"/>
      <c r="E5544" s="2"/>
      <c r="F5544" s="2"/>
      <c r="G5544" s="2"/>
      <c r="O5544"/>
    </row>
    <row r="5545" spans="1:15" hidden="1" x14ac:dyDescent="0.2">
      <c r="A5545" s="3"/>
      <c r="B5545" s="2"/>
      <c r="C5545" s="2"/>
      <c r="D5545" s="2"/>
      <c r="E5545" s="2"/>
      <c r="F5545" s="2"/>
      <c r="G5545" s="2"/>
      <c r="O5545"/>
    </row>
    <row r="5546" spans="1:15" hidden="1" x14ac:dyDescent="0.2">
      <c r="A5546" s="3"/>
      <c r="B5546" s="2"/>
      <c r="C5546" s="2"/>
      <c r="D5546" s="2"/>
      <c r="E5546" s="2"/>
      <c r="F5546" s="2"/>
      <c r="G5546" s="2"/>
      <c r="O5546"/>
    </row>
    <row r="5547" spans="1:15" hidden="1" x14ac:dyDescent="0.2">
      <c r="A5547" s="3"/>
      <c r="B5547" s="2"/>
      <c r="C5547" s="2"/>
      <c r="D5547" s="2"/>
      <c r="E5547" s="2"/>
      <c r="F5547" s="2"/>
      <c r="G5547" s="2"/>
      <c r="O5547"/>
    </row>
    <row r="5548" spans="1:15" hidden="1" x14ac:dyDescent="0.2">
      <c r="A5548" s="3"/>
      <c r="B5548" s="2"/>
      <c r="C5548" s="2"/>
      <c r="D5548" s="2"/>
      <c r="E5548" s="2"/>
      <c r="F5548" s="2"/>
      <c r="G5548" s="2"/>
      <c r="O5548"/>
    </row>
    <row r="5549" spans="1:15" hidden="1" x14ac:dyDescent="0.2">
      <c r="A5549" s="3"/>
      <c r="B5549" s="2"/>
      <c r="C5549" s="2"/>
      <c r="D5549" s="2"/>
      <c r="E5549" s="2"/>
      <c r="F5549" s="2"/>
      <c r="G5549" s="2"/>
      <c r="O5549"/>
    </row>
    <row r="5550" spans="1:15" hidden="1" x14ac:dyDescent="0.2">
      <c r="A5550" s="3"/>
      <c r="B5550" s="2"/>
      <c r="C5550" s="2"/>
      <c r="D5550" s="2"/>
      <c r="E5550" s="2"/>
      <c r="F5550" s="2"/>
      <c r="G5550" s="2"/>
      <c r="O5550"/>
    </row>
    <row r="5551" spans="1:15" hidden="1" x14ac:dyDescent="0.2">
      <c r="A5551" s="3"/>
      <c r="B5551" s="2"/>
      <c r="C5551" s="2"/>
      <c r="D5551" s="2"/>
      <c r="E5551" s="2"/>
      <c r="F5551" s="2"/>
      <c r="G5551" s="2"/>
      <c r="O5551"/>
    </row>
    <row r="5552" spans="1:15" hidden="1" x14ac:dyDescent="0.2">
      <c r="A5552" s="3"/>
      <c r="B5552" s="2"/>
      <c r="C5552" s="2"/>
      <c r="D5552" s="2"/>
      <c r="E5552" s="2"/>
      <c r="F5552" s="2"/>
      <c r="G5552" s="2"/>
      <c r="O5552"/>
    </row>
    <row r="5553" spans="1:15" hidden="1" x14ac:dyDescent="0.2">
      <c r="A5553" s="3"/>
      <c r="B5553" s="2"/>
      <c r="C5553" s="2"/>
      <c r="D5553" s="2"/>
      <c r="E5553" s="2"/>
      <c r="F5553" s="2"/>
      <c r="G5553" s="2"/>
      <c r="O5553"/>
    </row>
    <row r="5554" spans="1:15" hidden="1" x14ac:dyDescent="0.2">
      <c r="A5554" s="3"/>
      <c r="B5554" s="2"/>
      <c r="C5554" s="2"/>
      <c r="D5554" s="2"/>
      <c r="E5554" s="2"/>
      <c r="F5554" s="2"/>
      <c r="G5554" s="2"/>
      <c r="O5554"/>
    </row>
    <row r="5555" spans="1:15" hidden="1" x14ac:dyDescent="0.2">
      <c r="A5555" s="3"/>
      <c r="B5555" s="2"/>
      <c r="C5555" s="2"/>
      <c r="D5555" s="2"/>
      <c r="E5555" s="2"/>
      <c r="F5555" s="2"/>
      <c r="G5555" s="2"/>
      <c r="O5555"/>
    </row>
    <row r="5556" spans="1:15" hidden="1" x14ac:dyDescent="0.2">
      <c r="A5556" s="3"/>
      <c r="B5556" s="2"/>
      <c r="C5556" s="2"/>
      <c r="D5556" s="2"/>
      <c r="E5556" s="2"/>
      <c r="F5556" s="2"/>
      <c r="G5556" s="2"/>
      <c r="O5556"/>
    </row>
    <row r="5557" spans="1:15" hidden="1" x14ac:dyDescent="0.2">
      <c r="A5557" s="3"/>
      <c r="B5557" s="2"/>
      <c r="C5557" s="2"/>
      <c r="D5557" s="2"/>
      <c r="E5557" s="2"/>
      <c r="F5557" s="2"/>
      <c r="G5557" s="2"/>
      <c r="O5557"/>
    </row>
    <row r="5558" spans="1:15" hidden="1" x14ac:dyDescent="0.2">
      <c r="A5558" s="3"/>
      <c r="B5558" s="2"/>
      <c r="C5558" s="2"/>
      <c r="D5558" s="2"/>
      <c r="E5558" s="2"/>
      <c r="F5558" s="2"/>
      <c r="G5558" s="2"/>
      <c r="O5558"/>
    </row>
    <row r="5559" spans="1:15" hidden="1" x14ac:dyDescent="0.2">
      <c r="A5559" s="3"/>
      <c r="B5559" s="2"/>
      <c r="C5559" s="2"/>
      <c r="D5559" s="2"/>
      <c r="E5559" s="2"/>
      <c r="F5559" s="2"/>
      <c r="G5559" s="2"/>
      <c r="O5559"/>
    </row>
    <row r="5560" spans="1:15" hidden="1" x14ac:dyDescent="0.2">
      <c r="A5560" s="3"/>
      <c r="B5560" s="2"/>
      <c r="C5560" s="2"/>
      <c r="D5560" s="2"/>
      <c r="E5560" s="2"/>
      <c r="F5560" s="2"/>
      <c r="G5560" s="2"/>
      <c r="O5560"/>
    </row>
    <row r="5561" spans="1:15" hidden="1" x14ac:dyDescent="0.2">
      <c r="A5561" s="3"/>
      <c r="B5561" s="2"/>
      <c r="C5561" s="2"/>
      <c r="D5561" s="2"/>
      <c r="E5561" s="2"/>
      <c r="F5561" s="2"/>
      <c r="G5561" s="2"/>
      <c r="O5561"/>
    </row>
    <row r="5562" spans="1:15" hidden="1" x14ac:dyDescent="0.2">
      <c r="A5562" s="3"/>
      <c r="B5562" s="2"/>
      <c r="C5562" s="2"/>
      <c r="D5562" s="2"/>
      <c r="E5562" s="2"/>
      <c r="F5562" s="2"/>
      <c r="G5562" s="2"/>
      <c r="O5562"/>
    </row>
    <row r="5563" spans="1:15" hidden="1" x14ac:dyDescent="0.2">
      <c r="A5563" s="3"/>
      <c r="B5563" s="2"/>
      <c r="C5563" s="2"/>
      <c r="D5563" s="2"/>
      <c r="E5563" s="2"/>
      <c r="F5563" s="2"/>
      <c r="G5563" s="2"/>
      <c r="O5563"/>
    </row>
    <row r="5564" spans="1:15" hidden="1" x14ac:dyDescent="0.2">
      <c r="A5564" s="3"/>
      <c r="B5564" s="2"/>
      <c r="C5564" s="2"/>
      <c r="D5564" s="2"/>
      <c r="E5564" s="2"/>
      <c r="F5564" s="2"/>
      <c r="G5564" s="2"/>
      <c r="O5564"/>
    </row>
    <row r="5565" spans="1:15" hidden="1" x14ac:dyDescent="0.2">
      <c r="A5565" s="3"/>
      <c r="B5565" s="2"/>
      <c r="C5565" s="2"/>
      <c r="D5565" s="2"/>
      <c r="E5565" s="2"/>
      <c r="F5565" s="2"/>
      <c r="G5565" s="2"/>
      <c r="O5565"/>
    </row>
    <row r="5566" spans="1:15" hidden="1" x14ac:dyDescent="0.2">
      <c r="A5566" s="3"/>
      <c r="B5566" s="2"/>
      <c r="C5566" s="2"/>
      <c r="D5566" s="2"/>
      <c r="E5566" s="2"/>
      <c r="F5566" s="2"/>
      <c r="G5566" s="2"/>
      <c r="O5566"/>
    </row>
    <row r="5567" spans="1:15" hidden="1" x14ac:dyDescent="0.2">
      <c r="A5567" s="3"/>
      <c r="B5567" s="2"/>
      <c r="C5567" s="2"/>
      <c r="D5567" s="2"/>
      <c r="E5567" s="2"/>
      <c r="F5567" s="2"/>
      <c r="G5567" s="2"/>
      <c r="O5567"/>
    </row>
    <row r="5568" spans="1:15" hidden="1" x14ac:dyDescent="0.2">
      <c r="A5568" s="3"/>
      <c r="B5568" s="2"/>
      <c r="C5568" s="2"/>
      <c r="D5568" s="2"/>
      <c r="E5568" s="2"/>
      <c r="F5568" s="2"/>
      <c r="G5568" s="2"/>
      <c r="O5568"/>
    </row>
    <row r="5569" spans="1:15" hidden="1" x14ac:dyDescent="0.2">
      <c r="A5569" s="3"/>
      <c r="B5569" s="2"/>
      <c r="C5569" s="2"/>
      <c r="D5569" s="2"/>
      <c r="E5569" s="2"/>
      <c r="F5569" s="2"/>
      <c r="G5569" s="2"/>
      <c r="O5569"/>
    </row>
    <row r="5570" spans="1:15" hidden="1" x14ac:dyDescent="0.2">
      <c r="A5570" s="3"/>
      <c r="B5570" s="2"/>
      <c r="C5570" s="2"/>
      <c r="D5570" s="2"/>
      <c r="E5570" s="2"/>
      <c r="F5570" s="2"/>
      <c r="G5570" s="2"/>
      <c r="O5570"/>
    </row>
    <row r="5571" spans="1:15" hidden="1" x14ac:dyDescent="0.2">
      <c r="A5571" s="3"/>
      <c r="B5571" s="2"/>
      <c r="C5571" s="2"/>
      <c r="D5571" s="2"/>
      <c r="E5571" s="2"/>
      <c r="F5571" s="2"/>
      <c r="G5571" s="2"/>
      <c r="O5571"/>
    </row>
    <row r="5572" spans="1:15" hidden="1" x14ac:dyDescent="0.2">
      <c r="A5572" s="3"/>
      <c r="B5572" s="2"/>
      <c r="C5572" s="2"/>
      <c r="D5572" s="2"/>
      <c r="E5572" s="2"/>
      <c r="F5572" s="2"/>
      <c r="G5572" s="2"/>
      <c r="O5572"/>
    </row>
    <row r="5573" spans="1:15" hidden="1" x14ac:dyDescent="0.2">
      <c r="A5573" s="3"/>
      <c r="B5573" s="2"/>
      <c r="C5573" s="2"/>
      <c r="D5573" s="2"/>
      <c r="E5573" s="2"/>
      <c r="F5573" s="2"/>
      <c r="G5573" s="2"/>
      <c r="O5573"/>
    </row>
    <row r="5574" spans="1:15" hidden="1" x14ac:dyDescent="0.2">
      <c r="A5574" s="3"/>
      <c r="B5574" s="2"/>
      <c r="C5574" s="2"/>
      <c r="D5574" s="2"/>
      <c r="E5574" s="2"/>
      <c r="F5574" s="2"/>
      <c r="G5574" s="2"/>
      <c r="O5574"/>
    </row>
    <row r="5575" spans="1:15" hidden="1" x14ac:dyDescent="0.2">
      <c r="A5575" s="3"/>
      <c r="B5575" s="2"/>
      <c r="C5575" s="2"/>
      <c r="D5575" s="2"/>
      <c r="E5575" s="2"/>
      <c r="F5575" s="2"/>
      <c r="G5575" s="2"/>
      <c r="O5575"/>
    </row>
    <row r="5576" spans="1:15" hidden="1" x14ac:dyDescent="0.2">
      <c r="A5576" s="3"/>
      <c r="B5576" s="2"/>
      <c r="C5576" s="2"/>
      <c r="D5576" s="2"/>
      <c r="E5576" s="2"/>
      <c r="F5576" s="2"/>
      <c r="G5576" s="2"/>
      <c r="O5576"/>
    </row>
    <row r="5577" spans="1:15" hidden="1" x14ac:dyDescent="0.2">
      <c r="A5577" s="3"/>
      <c r="B5577" s="2"/>
      <c r="C5577" s="2"/>
      <c r="D5577" s="2"/>
      <c r="E5577" s="2"/>
      <c r="F5577" s="2"/>
      <c r="G5577" s="2"/>
      <c r="O5577"/>
    </row>
    <row r="5578" spans="1:15" hidden="1" x14ac:dyDescent="0.2">
      <c r="A5578" s="3"/>
      <c r="B5578" s="2"/>
      <c r="C5578" s="2"/>
      <c r="D5578" s="2"/>
      <c r="E5578" s="2"/>
      <c r="F5578" s="2"/>
      <c r="G5578" s="2"/>
      <c r="O5578"/>
    </row>
    <row r="5579" spans="1:15" hidden="1" x14ac:dyDescent="0.2">
      <c r="A5579" s="3"/>
      <c r="B5579" s="2"/>
      <c r="C5579" s="2"/>
      <c r="D5579" s="2"/>
      <c r="E5579" s="2"/>
      <c r="F5579" s="2"/>
      <c r="G5579" s="2"/>
      <c r="O5579"/>
    </row>
    <row r="5580" spans="1:15" hidden="1" x14ac:dyDescent="0.2">
      <c r="A5580" s="3"/>
      <c r="B5580" s="2"/>
      <c r="C5580" s="2"/>
      <c r="D5580" s="2"/>
      <c r="E5580" s="2"/>
      <c r="F5580" s="2"/>
      <c r="G5580" s="2"/>
      <c r="O5580"/>
    </row>
    <row r="5581" spans="1:15" hidden="1" x14ac:dyDescent="0.2">
      <c r="A5581" s="3"/>
      <c r="B5581" s="2"/>
      <c r="C5581" s="2"/>
      <c r="D5581" s="2"/>
      <c r="E5581" s="2"/>
      <c r="F5581" s="2"/>
      <c r="G5581" s="2"/>
      <c r="O5581"/>
    </row>
    <row r="5582" spans="1:15" hidden="1" x14ac:dyDescent="0.2">
      <c r="A5582" s="3"/>
      <c r="B5582" s="2"/>
      <c r="C5582" s="2"/>
      <c r="D5582" s="2"/>
      <c r="E5582" s="2"/>
      <c r="F5582" s="2"/>
      <c r="G5582" s="2"/>
      <c r="O5582"/>
    </row>
    <row r="5583" spans="1:15" hidden="1" x14ac:dyDescent="0.2">
      <c r="A5583" s="3"/>
      <c r="B5583" s="2"/>
      <c r="C5583" s="2"/>
      <c r="D5583" s="2"/>
      <c r="E5583" s="2"/>
      <c r="F5583" s="2"/>
      <c r="G5583" s="2"/>
      <c r="O5583"/>
    </row>
    <row r="5584" spans="1:15" hidden="1" x14ac:dyDescent="0.2">
      <c r="A5584" s="3"/>
      <c r="B5584" s="2"/>
      <c r="C5584" s="2"/>
      <c r="D5584" s="2"/>
      <c r="E5584" s="2"/>
      <c r="F5584" s="2"/>
      <c r="G5584" s="2"/>
      <c r="O5584"/>
    </row>
    <row r="5585" spans="1:15" hidden="1" x14ac:dyDescent="0.2">
      <c r="A5585" s="3"/>
      <c r="B5585" s="2"/>
      <c r="C5585" s="2"/>
      <c r="D5585" s="2"/>
      <c r="E5585" s="2"/>
      <c r="F5585" s="2"/>
      <c r="G5585" s="2"/>
      <c r="O5585"/>
    </row>
    <row r="5586" spans="1:15" hidden="1" x14ac:dyDescent="0.2">
      <c r="A5586" s="3"/>
      <c r="B5586" s="2"/>
      <c r="C5586" s="2"/>
      <c r="D5586" s="2"/>
      <c r="E5586" s="2"/>
      <c r="F5586" s="2"/>
      <c r="G5586" s="2"/>
      <c r="O5586"/>
    </row>
    <row r="5587" spans="1:15" hidden="1" x14ac:dyDescent="0.2">
      <c r="A5587" s="3"/>
      <c r="B5587" s="2"/>
      <c r="C5587" s="2"/>
      <c r="D5587" s="2"/>
      <c r="E5587" s="2"/>
      <c r="F5587" s="2"/>
      <c r="G5587" s="2"/>
      <c r="O5587"/>
    </row>
    <row r="5588" spans="1:15" hidden="1" x14ac:dyDescent="0.2">
      <c r="A5588" s="3"/>
      <c r="B5588" s="2"/>
      <c r="C5588" s="2"/>
      <c r="D5588" s="2"/>
      <c r="E5588" s="2"/>
      <c r="F5588" s="2"/>
      <c r="G5588" s="2"/>
      <c r="O5588"/>
    </row>
    <row r="5589" spans="1:15" hidden="1" x14ac:dyDescent="0.2">
      <c r="A5589" s="3"/>
      <c r="B5589" s="2"/>
      <c r="C5589" s="2"/>
      <c r="D5589" s="2"/>
      <c r="E5589" s="2"/>
      <c r="F5589" s="2"/>
      <c r="G5589" s="2"/>
      <c r="O5589"/>
    </row>
    <row r="5590" spans="1:15" hidden="1" x14ac:dyDescent="0.2">
      <c r="A5590" s="3"/>
      <c r="B5590" s="2"/>
      <c r="C5590" s="2"/>
      <c r="D5590" s="2"/>
      <c r="E5590" s="2"/>
      <c r="F5590" s="2"/>
      <c r="G5590" s="2"/>
      <c r="O5590"/>
    </row>
    <row r="5591" spans="1:15" hidden="1" x14ac:dyDescent="0.2">
      <c r="A5591" s="3"/>
      <c r="B5591" s="2"/>
      <c r="C5591" s="2"/>
      <c r="D5591" s="2"/>
      <c r="E5591" s="2"/>
      <c r="F5591" s="2"/>
      <c r="G5591" s="2"/>
      <c r="O5591"/>
    </row>
    <row r="5592" spans="1:15" hidden="1" x14ac:dyDescent="0.2">
      <c r="A5592" s="3"/>
      <c r="B5592" s="2"/>
      <c r="C5592" s="2"/>
      <c r="D5592" s="2"/>
      <c r="E5592" s="2"/>
      <c r="F5592" s="2"/>
      <c r="G5592" s="2"/>
      <c r="O5592"/>
    </row>
    <row r="5593" spans="1:15" hidden="1" x14ac:dyDescent="0.2">
      <c r="A5593" s="3"/>
      <c r="B5593" s="2"/>
      <c r="C5593" s="2"/>
      <c r="D5593" s="2"/>
      <c r="E5593" s="2"/>
      <c r="F5593" s="2"/>
      <c r="G5593" s="2"/>
      <c r="O5593"/>
    </row>
    <row r="5594" spans="1:15" hidden="1" x14ac:dyDescent="0.2">
      <c r="A5594" s="3"/>
      <c r="B5594" s="2"/>
      <c r="C5594" s="2"/>
      <c r="D5594" s="2"/>
      <c r="E5594" s="2"/>
      <c r="F5594" s="2"/>
      <c r="G5594" s="2"/>
      <c r="O5594"/>
    </row>
    <row r="5595" spans="1:15" hidden="1" x14ac:dyDescent="0.2">
      <c r="A5595" s="3"/>
      <c r="B5595" s="2"/>
      <c r="C5595" s="2"/>
      <c r="D5595" s="2"/>
      <c r="E5595" s="2"/>
      <c r="F5595" s="2"/>
      <c r="G5595" s="2"/>
      <c r="O5595"/>
    </row>
    <row r="5596" spans="1:15" hidden="1" x14ac:dyDescent="0.2">
      <c r="A5596" s="3"/>
      <c r="B5596" s="2"/>
      <c r="C5596" s="2"/>
      <c r="D5596" s="2"/>
      <c r="E5596" s="2"/>
      <c r="F5596" s="2"/>
      <c r="G5596" s="2"/>
      <c r="O5596"/>
    </row>
    <row r="5597" spans="1:15" hidden="1" x14ac:dyDescent="0.2">
      <c r="A5597" s="3"/>
      <c r="B5597" s="2"/>
      <c r="C5597" s="2"/>
      <c r="D5597" s="2"/>
      <c r="E5597" s="2"/>
      <c r="F5597" s="2"/>
      <c r="G5597" s="2"/>
      <c r="O5597"/>
    </row>
    <row r="5598" spans="1:15" hidden="1" x14ac:dyDescent="0.2">
      <c r="A5598" s="3"/>
      <c r="B5598" s="2"/>
      <c r="C5598" s="2"/>
      <c r="D5598" s="2"/>
      <c r="E5598" s="2"/>
      <c r="F5598" s="2"/>
      <c r="G5598" s="2"/>
      <c r="O5598"/>
    </row>
    <row r="5599" spans="1:15" hidden="1" x14ac:dyDescent="0.2">
      <c r="A5599" s="3"/>
      <c r="B5599" s="2"/>
      <c r="C5599" s="2"/>
      <c r="D5599" s="2"/>
      <c r="E5599" s="2"/>
      <c r="F5599" s="2"/>
      <c r="G5599" s="2"/>
      <c r="O5599"/>
    </row>
    <row r="5600" spans="1:15" hidden="1" x14ac:dyDescent="0.2">
      <c r="A5600" s="3"/>
      <c r="B5600" s="2"/>
      <c r="C5600" s="2"/>
      <c r="D5600" s="2"/>
      <c r="E5600" s="2"/>
      <c r="F5600" s="2"/>
      <c r="G5600" s="2"/>
      <c r="O5600"/>
    </row>
    <row r="5601" spans="1:15" hidden="1" x14ac:dyDescent="0.2">
      <c r="A5601" s="3"/>
      <c r="B5601" s="2"/>
      <c r="C5601" s="2"/>
      <c r="D5601" s="2"/>
      <c r="E5601" s="2"/>
      <c r="F5601" s="2"/>
      <c r="G5601" s="2"/>
      <c r="O5601"/>
    </row>
    <row r="5602" spans="1:15" hidden="1" x14ac:dyDescent="0.2">
      <c r="A5602" s="3"/>
      <c r="B5602" s="2"/>
      <c r="C5602" s="2"/>
      <c r="D5602" s="2"/>
      <c r="E5602" s="2"/>
      <c r="F5602" s="2"/>
      <c r="G5602" s="2"/>
      <c r="O5602"/>
    </row>
    <row r="5603" spans="1:15" hidden="1" x14ac:dyDescent="0.2">
      <c r="A5603" s="3"/>
      <c r="B5603" s="2"/>
      <c r="C5603" s="2"/>
      <c r="D5603" s="2"/>
      <c r="E5603" s="2"/>
      <c r="F5603" s="2"/>
      <c r="G5603" s="2"/>
      <c r="O5603"/>
    </row>
    <row r="5604" spans="1:15" hidden="1" x14ac:dyDescent="0.2">
      <c r="A5604" s="3"/>
      <c r="B5604" s="2"/>
      <c r="C5604" s="2"/>
      <c r="D5604" s="2"/>
      <c r="E5604" s="2"/>
      <c r="F5604" s="2"/>
      <c r="G5604" s="2"/>
      <c r="O5604"/>
    </row>
    <row r="5605" spans="1:15" hidden="1" x14ac:dyDescent="0.2">
      <c r="A5605" s="3"/>
      <c r="B5605" s="2"/>
      <c r="C5605" s="2"/>
      <c r="D5605" s="2"/>
      <c r="E5605" s="2"/>
      <c r="F5605" s="2"/>
      <c r="G5605" s="2"/>
      <c r="O5605"/>
    </row>
    <row r="5606" spans="1:15" hidden="1" x14ac:dyDescent="0.2">
      <c r="A5606" s="3"/>
      <c r="B5606" s="2"/>
      <c r="C5606" s="2"/>
      <c r="D5606" s="2"/>
      <c r="E5606" s="2"/>
      <c r="F5606" s="2"/>
      <c r="G5606" s="2"/>
      <c r="O5606"/>
    </row>
    <row r="5607" spans="1:15" hidden="1" x14ac:dyDescent="0.2">
      <c r="A5607" s="3"/>
      <c r="B5607" s="2"/>
      <c r="C5607" s="2"/>
      <c r="D5607" s="2"/>
      <c r="E5607" s="2"/>
      <c r="F5607" s="2"/>
      <c r="G5607" s="2"/>
      <c r="O5607"/>
    </row>
    <row r="5608" spans="1:15" hidden="1" x14ac:dyDescent="0.2">
      <c r="A5608" s="3"/>
      <c r="B5608" s="2"/>
      <c r="C5608" s="2"/>
      <c r="D5608" s="2"/>
      <c r="E5608" s="2"/>
      <c r="F5608" s="2"/>
      <c r="G5608" s="2"/>
      <c r="O5608"/>
    </row>
    <row r="5609" spans="1:15" hidden="1" x14ac:dyDescent="0.2">
      <c r="A5609" s="3"/>
      <c r="B5609" s="2"/>
      <c r="C5609" s="2"/>
      <c r="D5609" s="2"/>
      <c r="E5609" s="2"/>
      <c r="F5609" s="2"/>
      <c r="G5609" s="2"/>
      <c r="O5609"/>
    </row>
    <row r="5610" spans="1:15" hidden="1" x14ac:dyDescent="0.2">
      <c r="A5610" s="3"/>
      <c r="B5610" s="2"/>
      <c r="C5610" s="2"/>
      <c r="D5610" s="2"/>
      <c r="E5610" s="2"/>
      <c r="F5610" s="2"/>
      <c r="G5610" s="2"/>
      <c r="O5610"/>
    </row>
    <row r="5611" spans="1:15" hidden="1" x14ac:dyDescent="0.2">
      <c r="A5611" s="3"/>
      <c r="B5611" s="2"/>
      <c r="C5611" s="2"/>
      <c r="D5611" s="2"/>
      <c r="E5611" s="2"/>
      <c r="F5611" s="2"/>
      <c r="G5611" s="2"/>
      <c r="O5611"/>
    </row>
    <row r="5612" spans="1:15" hidden="1" x14ac:dyDescent="0.2">
      <c r="A5612" s="3"/>
      <c r="B5612" s="2"/>
      <c r="C5612" s="2"/>
      <c r="D5612" s="2"/>
      <c r="E5612" s="2"/>
      <c r="F5612" s="2"/>
      <c r="G5612" s="2"/>
      <c r="O5612"/>
    </row>
    <row r="5613" spans="1:15" hidden="1" x14ac:dyDescent="0.2">
      <c r="A5613" s="3"/>
      <c r="B5613" s="2"/>
      <c r="C5613" s="2"/>
      <c r="D5613" s="2"/>
      <c r="E5613" s="2"/>
      <c r="F5613" s="2"/>
      <c r="G5613" s="2"/>
      <c r="O5613"/>
    </row>
    <row r="5614" spans="1:15" hidden="1" x14ac:dyDescent="0.2">
      <c r="A5614" s="3"/>
      <c r="B5614" s="2"/>
      <c r="C5614" s="2"/>
      <c r="D5614" s="2"/>
      <c r="E5614" s="2"/>
      <c r="F5614" s="2"/>
      <c r="G5614" s="2"/>
      <c r="O5614"/>
    </row>
    <row r="5615" spans="1:15" hidden="1" x14ac:dyDescent="0.2">
      <c r="A5615" s="3"/>
      <c r="B5615" s="2"/>
      <c r="C5615" s="2"/>
      <c r="D5615" s="2"/>
      <c r="E5615" s="2"/>
      <c r="F5615" s="2"/>
      <c r="G5615" s="2"/>
      <c r="O5615"/>
    </row>
    <row r="5616" spans="1:15" hidden="1" x14ac:dyDescent="0.2">
      <c r="A5616" s="3"/>
      <c r="B5616" s="2"/>
      <c r="C5616" s="2"/>
      <c r="D5616" s="2"/>
      <c r="E5616" s="2"/>
      <c r="F5616" s="2"/>
      <c r="G5616" s="2"/>
      <c r="O5616"/>
    </row>
    <row r="5617" spans="1:15" hidden="1" x14ac:dyDescent="0.2">
      <c r="A5617" s="3"/>
      <c r="B5617" s="2"/>
      <c r="C5617" s="2"/>
      <c r="D5617" s="2"/>
      <c r="E5617" s="2"/>
      <c r="F5617" s="2"/>
      <c r="G5617" s="2"/>
      <c r="O5617"/>
    </row>
    <row r="5618" spans="1:15" hidden="1" x14ac:dyDescent="0.2">
      <c r="A5618" s="3"/>
      <c r="B5618" s="2"/>
      <c r="C5618" s="2"/>
      <c r="D5618" s="2"/>
      <c r="E5618" s="2"/>
      <c r="F5618" s="2"/>
      <c r="G5618" s="2"/>
      <c r="O5618"/>
    </row>
    <row r="5619" spans="1:15" hidden="1" x14ac:dyDescent="0.2">
      <c r="A5619" s="3"/>
      <c r="B5619" s="2"/>
      <c r="C5619" s="2"/>
      <c r="D5619" s="2"/>
      <c r="E5619" s="2"/>
      <c r="F5619" s="2"/>
      <c r="G5619" s="2"/>
      <c r="O5619"/>
    </row>
    <row r="5620" spans="1:15" hidden="1" x14ac:dyDescent="0.2">
      <c r="A5620" s="3"/>
      <c r="B5620" s="2"/>
      <c r="C5620" s="2"/>
      <c r="D5620" s="2"/>
      <c r="E5620" s="2"/>
      <c r="F5620" s="2"/>
      <c r="G5620" s="2"/>
      <c r="O5620"/>
    </row>
    <row r="5621" spans="1:15" hidden="1" x14ac:dyDescent="0.2">
      <c r="A5621" s="3"/>
      <c r="B5621" s="2"/>
      <c r="C5621" s="2"/>
      <c r="D5621" s="2"/>
      <c r="E5621" s="2"/>
      <c r="F5621" s="2"/>
      <c r="G5621" s="2"/>
      <c r="O5621"/>
    </row>
    <row r="5622" spans="1:15" hidden="1" x14ac:dyDescent="0.2">
      <c r="A5622" s="3"/>
      <c r="B5622" s="2"/>
      <c r="C5622" s="2"/>
      <c r="D5622" s="2"/>
      <c r="E5622" s="2"/>
      <c r="F5622" s="2"/>
      <c r="G5622" s="2"/>
      <c r="O5622"/>
    </row>
    <row r="5623" spans="1:15" hidden="1" x14ac:dyDescent="0.2">
      <c r="A5623" s="3"/>
      <c r="B5623" s="2"/>
      <c r="C5623" s="2"/>
      <c r="D5623" s="2"/>
      <c r="E5623" s="2"/>
      <c r="F5623" s="2"/>
      <c r="G5623" s="2"/>
      <c r="O5623"/>
    </row>
    <row r="5624" spans="1:15" hidden="1" x14ac:dyDescent="0.2">
      <c r="A5624" s="3"/>
      <c r="B5624" s="2"/>
      <c r="C5624" s="2"/>
      <c r="D5624" s="2"/>
      <c r="E5624" s="2"/>
      <c r="F5624" s="2"/>
      <c r="G5624" s="2"/>
      <c r="O5624"/>
    </row>
    <row r="5625" spans="1:15" hidden="1" x14ac:dyDescent="0.2">
      <c r="A5625" s="3"/>
      <c r="B5625" s="2"/>
      <c r="C5625" s="2"/>
      <c r="D5625" s="2"/>
      <c r="E5625" s="2"/>
      <c r="F5625" s="2"/>
      <c r="G5625" s="2"/>
      <c r="O5625"/>
    </row>
    <row r="5626" spans="1:15" hidden="1" x14ac:dyDescent="0.2">
      <c r="A5626" s="3"/>
      <c r="B5626" s="2"/>
      <c r="C5626" s="2"/>
      <c r="D5626" s="2"/>
      <c r="E5626" s="2"/>
      <c r="F5626" s="2"/>
      <c r="G5626" s="2"/>
      <c r="O5626"/>
    </row>
    <row r="5627" spans="1:15" hidden="1" x14ac:dyDescent="0.2">
      <c r="A5627" s="3"/>
      <c r="B5627" s="2"/>
      <c r="C5627" s="2"/>
      <c r="D5627" s="2"/>
      <c r="E5627" s="2"/>
      <c r="F5627" s="2"/>
      <c r="G5627" s="2"/>
      <c r="O5627"/>
    </row>
    <row r="5628" spans="1:15" hidden="1" x14ac:dyDescent="0.2">
      <c r="A5628" s="3"/>
      <c r="B5628" s="2"/>
      <c r="C5628" s="2"/>
      <c r="D5628" s="2"/>
      <c r="E5628" s="2"/>
      <c r="F5628" s="2"/>
      <c r="G5628" s="2"/>
      <c r="O5628"/>
    </row>
    <row r="5629" spans="1:15" hidden="1" x14ac:dyDescent="0.2">
      <c r="A5629" s="3"/>
      <c r="B5629" s="2"/>
      <c r="C5629" s="2"/>
      <c r="D5629" s="2"/>
      <c r="E5629" s="2"/>
      <c r="F5629" s="2"/>
      <c r="G5629" s="2"/>
      <c r="O5629"/>
    </row>
    <row r="5630" spans="1:15" hidden="1" x14ac:dyDescent="0.2">
      <c r="A5630" s="3"/>
      <c r="B5630" s="2"/>
      <c r="C5630" s="2"/>
      <c r="D5630" s="2"/>
      <c r="E5630" s="2"/>
      <c r="F5630" s="2"/>
      <c r="G5630" s="2"/>
      <c r="O5630"/>
    </row>
    <row r="5631" spans="1:15" hidden="1" x14ac:dyDescent="0.2">
      <c r="A5631" s="3"/>
      <c r="B5631" s="2"/>
      <c r="C5631" s="2"/>
      <c r="D5631" s="2"/>
      <c r="E5631" s="2"/>
      <c r="F5631" s="2"/>
      <c r="G5631" s="2"/>
      <c r="O5631"/>
    </row>
    <row r="5632" spans="1:15" hidden="1" x14ac:dyDescent="0.2">
      <c r="A5632" s="3"/>
      <c r="B5632" s="2"/>
      <c r="C5632" s="2"/>
      <c r="D5632" s="2"/>
      <c r="E5632" s="2"/>
      <c r="F5632" s="2"/>
      <c r="G5632" s="2"/>
      <c r="O5632"/>
    </row>
    <row r="5633" spans="1:15" hidden="1" x14ac:dyDescent="0.2">
      <c r="A5633" s="3"/>
      <c r="B5633" s="2"/>
      <c r="C5633" s="2"/>
      <c r="D5633" s="2"/>
      <c r="E5633" s="2"/>
      <c r="F5633" s="2"/>
      <c r="G5633" s="2"/>
      <c r="O5633"/>
    </row>
    <row r="5634" spans="1:15" hidden="1" x14ac:dyDescent="0.2">
      <c r="A5634" s="3"/>
      <c r="B5634" s="2"/>
      <c r="C5634" s="2"/>
      <c r="D5634" s="2"/>
      <c r="E5634" s="2"/>
      <c r="F5634" s="2"/>
      <c r="G5634" s="2"/>
      <c r="O5634"/>
    </row>
    <row r="5635" spans="1:15" hidden="1" x14ac:dyDescent="0.2">
      <c r="A5635" s="3"/>
      <c r="B5635" s="2"/>
      <c r="C5635" s="2"/>
      <c r="D5635" s="2"/>
      <c r="E5635" s="2"/>
      <c r="F5635" s="2"/>
      <c r="G5635" s="2"/>
      <c r="O5635"/>
    </row>
    <row r="5636" spans="1:15" hidden="1" x14ac:dyDescent="0.2">
      <c r="A5636" s="3"/>
      <c r="B5636" s="2"/>
      <c r="C5636" s="2"/>
      <c r="D5636" s="2"/>
      <c r="E5636" s="2"/>
      <c r="F5636" s="2"/>
      <c r="G5636" s="2"/>
      <c r="O5636"/>
    </row>
    <row r="5637" spans="1:15" hidden="1" x14ac:dyDescent="0.2">
      <c r="A5637" s="3"/>
      <c r="B5637" s="2"/>
      <c r="C5637" s="2"/>
      <c r="D5637" s="2"/>
      <c r="E5637" s="2"/>
      <c r="F5637" s="2"/>
      <c r="G5637" s="2"/>
      <c r="O5637"/>
    </row>
    <row r="5638" spans="1:15" hidden="1" x14ac:dyDescent="0.2">
      <c r="A5638" s="3"/>
      <c r="B5638" s="2"/>
      <c r="C5638" s="2"/>
      <c r="D5638" s="2"/>
      <c r="E5638" s="2"/>
      <c r="F5638" s="2"/>
      <c r="G5638" s="2"/>
      <c r="O5638"/>
    </row>
    <row r="5639" spans="1:15" hidden="1" x14ac:dyDescent="0.2">
      <c r="A5639" s="3"/>
      <c r="B5639" s="2"/>
      <c r="C5639" s="2"/>
      <c r="D5639" s="2"/>
      <c r="E5639" s="2"/>
      <c r="F5639" s="2"/>
      <c r="G5639" s="2"/>
      <c r="O5639"/>
    </row>
    <row r="5640" spans="1:15" hidden="1" x14ac:dyDescent="0.2">
      <c r="A5640" s="3"/>
      <c r="B5640" s="2"/>
      <c r="C5640" s="2"/>
      <c r="D5640" s="2"/>
      <c r="E5640" s="2"/>
      <c r="F5640" s="2"/>
      <c r="G5640" s="2"/>
      <c r="O5640"/>
    </row>
    <row r="5641" spans="1:15" hidden="1" x14ac:dyDescent="0.2">
      <c r="A5641" s="3"/>
      <c r="B5641" s="2"/>
      <c r="C5641" s="2"/>
      <c r="D5641" s="2"/>
      <c r="E5641" s="2"/>
      <c r="F5641" s="2"/>
      <c r="G5641" s="2"/>
      <c r="O5641"/>
    </row>
    <row r="5642" spans="1:15" hidden="1" x14ac:dyDescent="0.2">
      <c r="A5642" s="3"/>
      <c r="B5642" s="2"/>
      <c r="C5642" s="2"/>
      <c r="D5642" s="2"/>
      <c r="E5642" s="2"/>
      <c r="F5642" s="2"/>
      <c r="G5642" s="2"/>
      <c r="O5642"/>
    </row>
    <row r="5643" spans="1:15" hidden="1" x14ac:dyDescent="0.2">
      <c r="A5643" s="3"/>
      <c r="B5643" s="2"/>
      <c r="C5643" s="2"/>
      <c r="D5643" s="2"/>
      <c r="E5643" s="2"/>
      <c r="F5643" s="2"/>
      <c r="G5643" s="2"/>
      <c r="O5643"/>
    </row>
    <row r="5644" spans="1:15" hidden="1" x14ac:dyDescent="0.2">
      <c r="A5644" s="3"/>
      <c r="B5644" s="2"/>
      <c r="C5644" s="2"/>
      <c r="D5644" s="2"/>
      <c r="E5644" s="2"/>
      <c r="F5644" s="2"/>
      <c r="G5644" s="2"/>
      <c r="O5644"/>
    </row>
    <row r="5645" spans="1:15" hidden="1" x14ac:dyDescent="0.2">
      <c r="A5645" s="3"/>
      <c r="B5645" s="2"/>
      <c r="C5645" s="2"/>
      <c r="D5645" s="2"/>
      <c r="E5645" s="2"/>
      <c r="F5645" s="2"/>
      <c r="G5645" s="2"/>
      <c r="O5645"/>
    </row>
    <row r="5646" spans="1:15" hidden="1" x14ac:dyDescent="0.2">
      <c r="A5646" s="3"/>
      <c r="B5646" s="2"/>
      <c r="C5646" s="2"/>
      <c r="D5646" s="2"/>
      <c r="E5646" s="2"/>
      <c r="F5646" s="2"/>
      <c r="G5646" s="2"/>
      <c r="O5646"/>
    </row>
    <row r="5647" spans="1:15" hidden="1" x14ac:dyDescent="0.2">
      <c r="A5647" s="3"/>
      <c r="B5647" s="2"/>
      <c r="C5647" s="2"/>
      <c r="D5647" s="2"/>
      <c r="E5647" s="2"/>
      <c r="F5647" s="2"/>
      <c r="G5647" s="2"/>
      <c r="O5647"/>
    </row>
    <row r="5648" spans="1:15" hidden="1" x14ac:dyDescent="0.2">
      <c r="A5648" s="3"/>
      <c r="B5648" s="2"/>
      <c r="C5648" s="2"/>
      <c r="D5648" s="2"/>
      <c r="E5648" s="2"/>
      <c r="F5648" s="2"/>
      <c r="G5648" s="2"/>
      <c r="O5648"/>
    </row>
    <row r="5649" spans="1:15" hidden="1" x14ac:dyDescent="0.2">
      <c r="A5649" s="3"/>
      <c r="B5649" s="2"/>
      <c r="C5649" s="2"/>
      <c r="D5649" s="2"/>
      <c r="E5649" s="2"/>
      <c r="F5649" s="2"/>
      <c r="G5649" s="2"/>
      <c r="O5649"/>
    </row>
    <row r="5650" spans="1:15" hidden="1" x14ac:dyDescent="0.2">
      <c r="A5650" s="3"/>
      <c r="B5650" s="2"/>
      <c r="C5650" s="2"/>
      <c r="D5650" s="2"/>
      <c r="E5650" s="2"/>
      <c r="F5650" s="2"/>
      <c r="G5650" s="2"/>
      <c r="O5650"/>
    </row>
    <row r="5651" spans="1:15" hidden="1" x14ac:dyDescent="0.2">
      <c r="A5651" s="3"/>
      <c r="B5651" s="2"/>
      <c r="C5651" s="2"/>
      <c r="D5651" s="2"/>
      <c r="E5651" s="2"/>
      <c r="F5651" s="2"/>
      <c r="G5651" s="2"/>
      <c r="O5651"/>
    </row>
    <row r="5652" spans="1:15" hidden="1" x14ac:dyDescent="0.2">
      <c r="A5652" s="3"/>
      <c r="B5652" s="2"/>
      <c r="C5652" s="2"/>
      <c r="D5652" s="2"/>
      <c r="E5652" s="2"/>
      <c r="F5652" s="2"/>
      <c r="G5652" s="2"/>
      <c r="O5652"/>
    </row>
    <row r="5653" spans="1:15" hidden="1" x14ac:dyDescent="0.2">
      <c r="A5653" s="3"/>
      <c r="B5653" s="2"/>
      <c r="C5653" s="2"/>
      <c r="D5653" s="2"/>
      <c r="E5653" s="2"/>
      <c r="F5653" s="2"/>
      <c r="G5653" s="2"/>
      <c r="O5653"/>
    </row>
    <row r="5654" spans="1:15" hidden="1" x14ac:dyDescent="0.2">
      <c r="A5654" s="3"/>
      <c r="B5654" s="2"/>
      <c r="C5654" s="2"/>
      <c r="D5654" s="2"/>
      <c r="E5654" s="2"/>
      <c r="F5654" s="2"/>
      <c r="G5654" s="2"/>
      <c r="O5654"/>
    </row>
    <row r="5655" spans="1:15" hidden="1" x14ac:dyDescent="0.2">
      <c r="A5655" s="3"/>
      <c r="B5655" s="2"/>
      <c r="C5655" s="2"/>
      <c r="D5655" s="2"/>
      <c r="E5655" s="2"/>
      <c r="F5655" s="2"/>
      <c r="G5655" s="2"/>
      <c r="O5655"/>
    </row>
    <row r="5656" spans="1:15" hidden="1" x14ac:dyDescent="0.2">
      <c r="A5656" s="3"/>
      <c r="B5656" s="2"/>
      <c r="C5656" s="2"/>
      <c r="D5656" s="2"/>
      <c r="E5656" s="2"/>
      <c r="F5656" s="2"/>
      <c r="G5656" s="2"/>
      <c r="O5656"/>
    </row>
    <row r="5657" spans="1:15" hidden="1" x14ac:dyDescent="0.2">
      <c r="A5657" s="3"/>
      <c r="B5657" s="2"/>
      <c r="C5657" s="2"/>
      <c r="D5657" s="2"/>
      <c r="E5657" s="2"/>
      <c r="F5657" s="2"/>
      <c r="G5657" s="2"/>
      <c r="O5657"/>
    </row>
    <row r="5658" spans="1:15" hidden="1" x14ac:dyDescent="0.2">
      <c r="A5658" s="3"/>
      <c r="B5658" s="2"/>
      <c r="C5658" s="2"/>
      <c r="D5658" s="2"/>
      <c r="E5658" s="2"/>
      <c r="F5658" s="2"/>
      <c r="G5658" s="2"/>
      <c r="O5658"/>
    </row>
    <row r="5659" spans="1:15" hidden="1" x14ac:dyDescent="0.2">
      <c r="A5659" s="3"/>
      <c r="B5659" s="2"/>
      <c r="C5659" s="2"/>
      <c r="D5659" s="2"/>
      <c r="E5659" s="2"/>
      <c r="F5659" s="2"/>
      <c r="G5659" s="2"/>
      <c r="O5659"/>
    </row>
    <row r="5660" spans="1:15" hidden="1" x14ac:dyDescent="0.2">
      <c r="A5660" s="3"/>
      <c r="B5660" s="2"/>
      <c r="C5660" s="2"/>
      <c r="D5660" s="2"/>
      <c r="E5660" s="2"/>
      <c r="F5660" s="2"/>
      <c r="G5660" s="2"/>
      <c r="O5660"/>
    </row>
    <row r="5661" spans="1:15" hidden="1" x14ac:dyDescent="0.2">
      <c r="A5661" s="3"/>
      <c r="B5661" s="2"/>
      <c r="C5661" s="2"/>
      <c r="D5661" s="2"/>
      <c r="E5661" s="2"/>
      <c r="F5661" s="2"/>
      <c r="G5661" s="2"/>
      <c r="O5661"/>
    </row>
    <row r="5662" spans="1:15" hidden="1" x14ac:dyDescent="0.2">
      <c r="A5662" s="3"/>
      <c r="B5662" s="2"/>
      <c r="C5662" s="2"/>
      <c r="D5662" s="2"/>
      <c r="E5662" s="2"/>
      <c r="F5662" s="2"/>
      <c r="G5662" s="2"/>
      <c r="O5662"/>
    </row>
    <row r="5663" spans="1:15" hidden="1" x14ac:dyDescent="0.2">
      <c r="A5663" s="3"/>
      <c r="B5663" s="2"/>
      <c r="C5663" s="2"/>
      <c r="D5663" s="2"/>
      <c r="E5663" s="2"/>
      <c r="F5663" s="2"/>
      <c r="G5663" s="2"/>
      <c r="O5663"/>
    </row>
    <row r="5664" spans="1:15" hidden="1" x14ac:dyDescent="0.2">
      <c r="A5664" s="3"/>
      <c r="B5664" s="2"/>
      <c r="C5664" s="2"/>
      <c r="D5664" s="2"/>
      <c r="E5664" s="2"/>
      <c r="F5664" s="2"/>
      <c r="G5664" s="2"/>
      <c r="O5664"/>
    </row>
    <row r="5665" spans="1:15" hidden="1" x14ac:dyDescent="0.2">
      <c r="A5665" s="3"/>
      <c r="B5665" s="2"/>
      <c r="C5665" s="2"/>
      <c r="D5665" s="2"/>
      <c r="E5665" s="2"/>
      <c r="F5665" s="2"/>
      <c r="G5665" s="2"/>
      <c r="O5665"/>
    </row>
    <row r="5666" spans="1:15" hidden="1" x14ac:dyDescent="0.2">
      <c r="A5666" s="3"/>
      <c r="B5666" s="2"/>
      <c r="C5666" s="2"/>
      <c r="D5666" s="2"/>
      <c r="E5666" s="2"/>
      <c r="F5666" s="2"/>
      <c r="G5666" s="2"/>
      <c r="O5666"/>
    </row>
    <row r="5667" spans="1:15" hidden="1" x14ac:dyDescent="0.2">
      <c r="A5667" s="3"/>
      <c r="B5667" s="2"/>
      <c r="C5667" s="2"/>
      <c r="D5667" s="2"/>
      <c r="E5667" s="2"/>
      <c r="F5667" s="2"/>
      <c r="G5667" s="2"/>
      <c r="O5667"/>
    </row>
    <row r="5668" spans="1:15" hidden="1" x14ac:dyDescent="0.2">
      <c r="A5668" s="3"/>
      <c r="B5668" s="2"/>
      <c r="C5668" s="2"/>
      <c r="D5668" s="2"/>
      <c r="E5668" s="2"/>
      <c r="F5668" s="2"/>
      <c r="G5668" s="2"/>
      <c r="O5668"/>
    </row>
    <row r="5669" spans="1:15" hidden="1" x14ac:dyDescent="0.2">
      <c r="A5669" s="3"/>
      <c r="B5669" s="2"/>
      <c r="C5669" s="2"/>
      <c r="D5669" s="2"/>
      <c r="E5669" s="2"/>
      <c r="F5669" s="2"/>
      <c r="G5669" s="2"/>
      <c r="O5669"/>
    </row>
    <row r="5670" spans="1:15" hidden="1" x14ac:dyDescent="0.2">
      <c r="A5670" s="3"/>
      <c r="B5670" s="2"/>
      <c r="C5670" s="2"/>
      <c r="D5670" s="2"/>
      <c r="E5670" s="2"/>
      <c r="F5670" s="2"/>
      <c r="G5670" s="2"/>
      <c r="O5670"/>
    </row>
    <row r="5671" spans="1:15" hidden="1" x14ac:dyDescent="0.2">
      <c r="A5671" s="3"/>
      <c r="B5671" s="2"/>
      <c r="C5671" s="2"/>
      <c r="D5671" s="2"/>
      <c r="E5671" s="2"/>
      <c r="F5671" s="2"/>
      <c r="G5671" s="2"/>
      <c r="O5671"/>
    </row>
    <row r="5672" spans="1:15" hidden="1" x14ac:dyDescent="0.2">
      <c r="A5672" s="3"/>
      <c r="B5672" s="2"/>
      <c r="C5672" s="2"/>
      <c r="D5672" s="2"/>
      <c r="E5672" s="2"/>
      <c r="F5672" s="2"/>
      <c r="G5672" s="2"/>
      <c r="O5672"/>
    </row>
    <row r="5673" spans="1:15" hidden="1" x14ac:dyDescent="0.2">
      <c r="A5673" s="3"/>
      <c r="B5673" s="2"/>
      <c r="C5673" s="2"/>
      <c r="D5673" s="2"/>
      <c r="E5673" s="2"/>
      <c r="F5673" s="2"/>
      <c r="G5673" s="2"/>
      <c r="O5673"/>
    </row>
    <row r="5674" spans="1:15" hidden="1" x14ac:dyDescent="0.2">
      <c r="A5674" s="3"/>
      <c r="B5674" s="2"/>
      <c r="C5674" s="2"/>
      <c r="D5674" s="2"/>
      <c r="E5674" s="2"/>
      <c r="F5674" s="2"/>
      <c r="G5674" s="2"/>
      <c r="O5674"/>
    </row>
    <row r="5675" spans="1:15" hidden="1" x14ac:dyDescent="0.2">
      <c r="A5675" s="3"/>
      <c r="B5675" s="2"/>
      <c r="C5675" s="2"/>
      <c r="D5675" s="2"/>
      <c r="E5675" s="2"/>
      <c r="F5675" s="2"/>
      <c r="G5675" s="2"/>
      <c r="O5675"/>
    </row>
    <row r="5676" spans="1:15" hidden="1" x14ac:dyDescent="0.2">
      <c r="A5676" s="3"/>
      <c r="B5676" s="2"/>
      <c r="C5676" s="2"/>
      <c r="D5676" s="2"/>
      <c r="E5676" s="2"/>
      <c r="F5676" s="2"/>
      <c r="G5676" s="2"/>
      <c r="O5676"/>
    </row>
    <row r="5677" spans="1:15" hidden="1" x14ac:dyDescent="0.2">
      <c r="A5677" s="3"/>
      <c r="B5677" s="2"/>
      <c r="C5677" s="2"/>
      <c r="D5677" s="2"/>
      <c r="E5677" s="2"/>
      <c r="F5677" s="2"/>
      <c r="G5677" s="2"/>
      <c r="O5677"/>
    </row>
    <row r="5678" spans="1:15" hidden="1" x14ac:dyDescent="0.2">
      <c r="A5678" s="3"/>
      <c r="B5678" s="2"/>
      <c r="C5678" s="2"/>
      <c r="D5678" s="2"/>
      <c r="E5678" s="2"/>
      <c r="F5678" s="2"/>
      <c r="G5678" s="2"/>
      <c r="O5678"/>
    </row>
    <row r="5679" spans="1:15" hidden="1" x14ac:dyDescent="0.2">
      <c r="A5679" s="3"/>
      <c r="B5679" s="2"/>
      <c r="C5679" s="2"/>
      <c r="D5679" s="2"/>
      <c r="E5679" s="2"/>
      <c r="F5679" s="2"/>
      <c r="G5679" s="2"/>
      <c r="O5679"/>
    </row>
    <row r="5680" spans="1:15" hidden="1" x14ac:dyDescent="0.2">
      <c r="A5680" s="3"/>
      <c r="B5680" s="2"/>
      <c r="C5680" s="2"/>
      <c r="D5680" s="2"/>
      <c r="E5680" s="2"/>
      <c r="F5680" s="2"/>
      <c r="G5680" s="2"/>
      <c r="O5680"/>
    </row>
    <row r="5681" spans="1:15" hidden="1" x14ac:dyDescent="0.2">
      <c r="A5681" s="3"/>
      <c r="B5681" s="2"/>
      <c r="C5681" s="2"/>
      <c r="D5681" s="2"/>
      <c r="E5681" s="2"/>
      <c r="F5681" s="2"/>
      <c r="G5681" s="2"/>
      <c r="O5681"/>
    </row>
    <row r="5682" spans="1:15" hidden="1" x14ac:dyDescent="0.2">
      <c r="A5682" s="3"/>
      <c r="B5682" s="2"/>
      <c r="C5682" s="2"/>
      <c r="D5682" s="2"/>
      <c r="E5682" s="2"/>
      <c r="F5682" s="2"/>
      <c r="G5682" s="2"/>
      <c r="O5682"/>
    </row>
    <row r="5683" spans="1:15" hidden="1" x14ac:dyDescent="0.2">
      <c r="A5683" s="3"/>
      <c r="B5683" s="2"/>
      <c r="C5683" s="2"/>
      <c r="D5683" s="2"/>
      <c r="E5683" s="2"/>
      <c r="F5683" s="2"/>
      <c r="G5683" s="2"/>
      <c r="O5683"/>
    </row>
    <row r="5684" spans="1:15" hidden="1" x14ac:dyDescent="0.2">
      <c r="A5684" s="3"/>
      <c r="B5684" s="2"/>
      <c r="C5684" s="2"/>
      <c r="D5684" s="2"/>
      <c r="E5684" s="2"/>
      <c r="F5684" s="2"/>
      <c r="G5684" s="2"/>
      <c r="O5684"/>
    </row>
    <row r="5685" spans="1:15" hidden="1" x14ac:dyDescent="0.2">
      <c r="A5685" s="3"/>
      <c r="B5685" s="2"/>
      <c r="C5685" s="2"/>
      <c r="D5685" s="2"/>
      <c r="E5685" s="2"/>
      <c r="F5685" s="2"/>
      <c r="G5685" s="2"/>
      <c r="O5685"/>
    </row>
    <row r="5686" spans="1:15" hidden="1" x14ac:dyDescent="0.2">
      <c r="A5686" s="3"/>
      <c r="B5686" s="2"/>
      <c r="C5686" s="2"/>
      <c r="D5686" s="2"/>
      <c r="E5686" s="2"/>
      <c r="F5686" s="2"/>
      <c r="G5686" s="2"/>
      <c r="O5686"/>
    </row>
    <row r="5687" spans="1:15" hidden="1" x14ac:dyDescent="0.2">
      <c r="A5687" s="3"/>
      <c r="B5687" s="2"/>
      <c r="C5687" s="2"/>
      <c r="D5687" s="2"/>
      <c r="E5687" s="2"/>
      <c r="F5687" s="2"/>
      <c r="G5687" s="2"/>
      <c r="O5687"/>
    </row>
    <row r="5688" spans="1:15" hidden="1" x14ac:dyDescent="0.2">
      <c r="A5688" s="3"/>
      <c r="B5688" s="2"/>
      <c r="C5688" s="2"/>
      <c r="D5688" s="2"/>
      <c r="E5688" s="2"/>
      <c r="F5688" s="2"/>
      <c r="G5688" s="2"/>
      <c r="O5688"/>
    </row>
    <row r="5689" spans="1:15" hidden="1" x14ac:dyDescent="0.2">
      <c r="A5689" s="3"/>
      <c r="B5689" s="2"/>
      <c r="C5689" s="2"/>
      <c r="D5689" s="2"/>
      <c r="E5689" s="2"/>
      <c r="F5689" s="2"/>
      <c r="G5689" s="2"/>
      <c r="O5689"/>
    </row>
    <row r="5690" spans="1:15" hidden="1" x14ac:dyDescent="0.2">
      <c r="A5690" s="3"/>
      <c r="B5690" s="2"/>
      <c r="C5690" s="2"/>
      <c r="D5690" s="2"/>
      <c r="E5690" s="2"/>
      <c r="F5690" s="2"/>
      <c r="G5690" s="2"/>
      <c r="O5690"/>
    </row>
    <row r="5691" spans="1:15" hidden="1" x14ac:dyDescent="0.2">
      <c r="A5691" s="3"/>
      <c r="B5691" s="2"/>
      <c r="C5691" s="2"/>
      <c r="D5691" s="2"/>
      <c r="E5691" s="2"/>
      <c r="F5691" s="2"/>
      <c r="G5691" s="2"/>
      <c r="O5691"/>
    </row>
    <row r="5692" spans="1:15" hidden="1" x14ac:dyDescent="0.2">
      <c r="A5692" s="3"/>
      <c r="B5692" s="2"/>
      <c r="C5692" s="2"/>
      <c r="D5692" s="2"/>
      <c r="E5692" s="2"/>
      <c r="F5692" s="2"/>
      <c r="G5692" s="2"/>
      <c r="O5692"/>
    </row>
    <row r="5693" spans="1:15" hidden="1" x14ac:dyDescent="0.2">
      <c r="A5693" s="3"/>
      <c r="B5693" s="2"/>
      <c r="C5693" s="2"/>
      <c r="D5693" s="2"/>
      <c r="E5693" s="2"/>
      <c r="F5693" s="2"/>
      <c r="G5693" s="2"/>
      <c r="O5693"/>
    </row>
    <row r="5694" spans="1:15" hidden="1" x14ac:dyDescent="0.2">
      <c r="A5694" s="3"/>
      <c r="B5694" s="2"/>
      <c r="C5694" s="2"/>
      <c r="D5694" s="2"/>
      <c r="E5694" s="2"/>
      <c r="F5694" s="2"/>
      <c r="G5694" s="2"/>
      <c r="O5694"/>
    </row>
    <row r="5695" spans="1:15" hidden="1" x14ac:dyDescent="0.2">
      <c r="A5695" s="3"/>
      <c r="B5695" s="2"/>
      <c r="C5695" s="2"/>
      <c r="D5695" s="2"/>
      <c r="E5695" s="2"/>
      <c r="F5695" s="2"/>
      <c r="G5695" s="2"/>
      <c r="O5695"/>
    </row>
    <row r="5696" spans="1:15" hidden="1" x14ac:dyDescent="0.2">
      <c r="A5696" s="3"/>
      <c r="B5696" s="2"/>
      <c r="C5696" s="2"/>
      <c r="D5696" s="2"/>
      <c r="E5696" s="2"/>
      <c r="F5696" s="2"/>
      <c r="G5696" s="2"/>
      <c r="O5696"/>
    </row>
    <row r="5697" spans="1:15" hidden="1" x14ac:dyDescent="0.2">
      <c r="A5697" s="3"/>
      <c r="B5697" s="2"/>
      <c r="C5697" s="2"/>
      <c r="D5697" s="2"/>
      <c r="E5697" s="2"/>
      <c r="F5697" s="2"/>
      <c r="G5697" s="2"/>
      <c r="O5697"/>
    </row>
    <row r="5698" spans="1:15" hidden="1" x14ac:dyDescent="0.2">
      <c r="A5698" s="3"/>
      <c r="B5698" s="2"/>
      <c r="C5698" s="2"/>
      <c r="D5698" s="2"/>
      <c r="E5698" s="2"/>
      <c r="F5698" s="2"/>
      <c r="G5698" s="2"/>
      <c r="O5698"/>
    </row>
    <row r="5699" spans="1:15" hidden="1" x14ac:dyDescent="0.2">
      <c r="A5699" s="3"/>
      <c r="B5699" s="2"/>
      <c r="C5699" s="2"/>
      <c r="D5699" s="2"/>
      <c r="E5699" s="2"/>
      <c r="F5699" s="2"/>
      <c r="G5699" s="2"/>
      <c r="O5699"/>
    </row>
    <row r="5700" spans="1:15" hidden="1" x14ac:dyDescent="0.2">
      <c r="A5700" s="3"/>
      <c r="B5700" s="2"/>
      <c r="C5700" s="2"/>
      <c r="D5700" s="2"/>
      <c r="E5700" s="2"/>
      <c r="F5700" s="2"/>
      <c r="G5700" s="2"/>
      <c r="O5700"/>
    </row>
    <row r="5701" spans="1:15" hidden="1" x14ac:dyDescent="0.2">
      <c r="A5701" s="3"/>
      <c r="B5701" s="2"/>
      <c r="C5701" s="2"/>
      <c r="D5701" s="2"/>
      <c r="E5701" s="2"/>
      <c r="F5701" s="2"/>
      <c r="G5701" s="2"/>
      <c r="O5701"/>
    </row>
    <row r="5702" spans="1:15" hidden="1" x14ac:dyDescent="0.2">
      <c r="A5702" s="3"/>
      <c r="B5702" s="2"/>
      <c r="C5702" s="2"/>
      <c r="D5702" s="2"/>
      <c r="E5702" s="2"/>
      <c r="F5702" s="2"/>
      <c r="G5702" s="2"/>
      <c r="O5702"/>
    </row>
    <row r="5703" spans="1:15" hidden="1" x14ac:dyDescent="0.2">
      <c r="A5703" s="3"/>
      <c r="B5703" s="2"/>
      <c r="C5703" s="2"/>
      <c r="D5703" s="2"/>
      <c r="E5703" s="2"/>
      <c r="F5703" s="2"/>
      <c r="G5703" s="2"/>
      <c r="O5703"/>
    </row>
    <row r="5704" spans="1:15" hidden="1" x14ac:dyDescent="0.2">
      <c r="A5704" s="3"/>
      <c r="B5704" s="2"/>
      <c r="C5704" s="2"/>
      <c r="D5704" s="2"/>
      <c r="E5704" s="2"/>
      <c r="F5704" s="2"/>
      <c r="G5704" s="2"/>
      <c r="O5704"/>
    </row>
    <row r="5705" spans="1:15" hidden="1" x14ac:dyDescent="0.2">
      <c r="A5705" s="3"/>
      <c r="B5705" s="2"/>
      <c r="C5705" s="2"/>
      <c r="D5705" s="2"/>
      <c r="E5705" s="2"/>
      <c r="F5705" s="2"/>
      <c r="G5705" s="2"/>
      <c r="O5705"/>
    </row>
    <row r="5706" spans="1:15" hidden="1" x14ac:dyDescent="0.2">
      <c r="A5706" s="3"/>
      <c r="B5706" s="2"/>
      <c r="C5706" s="2"/>
      <c r="D5706" s="2"/>
      <c r="E5706" s="2"/>
      <c r="F5706" s="2"/>
      <c r="G5706" s="2"/>
      <c r="O5706"/>
    </row>
    <row r="5707" spans="1:15" hidden="1" x14ac:dyDescent="0.2">
      <c r="A5707" s="3"/>
      <c r="B5707" s="2"/>
      <c r="C5707" s="2"/>
      <c r="D5707" s="2"/>
      <c r="E5707" s="2"/>
      <c r="F5707" s="2"/>
      <c r="G5707" s="2"/>
      <c r="O5707"/>
    </row>
    <row r="5708" spans="1:15" hidden="1" x14ac:dyDescent="0.2">
      <c r="A5708" s="3"/>
      <c r="B5708" s="2"/>
      <c r="C5708" s="2"/>
      <c r="D5708" s="2"/>
      <c r="E5708" s="2"/>
      <c r="F5708" s="2"/>
      <c r="G5708" s="2"/>
      <c r="O5708"/>
    </row>
    <row r="5709" spans="1:15" hidden="1" x14ac:dyDescent="0.2">
      <c r="A5709" s="3"/>
      <c r="B5709" s="2"/>
      <c r="C5709" s="2"/>
      <c r="D5709" s="2"/>
      <c r="E5709" s="2"/>
      <c r="F5709" s="2"/>
      <c r="G5709" s="2"/>
      <c r="O5709"/>
    </row>
    <row r="5710" spans="1:15" hidden="1" x14ac:dyDescent="0.2">
      <c r="A5710" s="3"/>
      <c r="B5710" s="2"/>
      <c r="C5710" s="2"/>
      <c r="D5710" s="2"/>
      <c r="E5710" s="2"/>
      <c r="F5710" s="2"/>
      <c r="G5710" s="2"/>
      <c r="O5710"/>
    </row>
    <row r="5711" spans="1:15" hidden="1" x14ac:dyDescent="0.2">
      <c r="A5711" s="3"/>
      <c r="B5711" s="2"/>
      <c r="C5711" s="2"/>
      <c r="D5711" s="2"/>
      <c r="E5711" s="2"/>
      <c r="F5711" s="2"/>
      <c r="G5711" s="2"/>
      <c r="O5711"/>
    </row>
    <row r="5712" spans="1:15" hidden="1" x14ac:dyDescent="0.2">
      <c r="A5712" s="3"/>
      <c r="B5712" s="2"/>
      <c r="C5712" s="2"/>
      <c r="D5712" s="2"/>
      <c r="E5712" s="2"/>
      <c r="F5712" s="2"/>
      <c r="G5712" s="2"/>
      <c r="O5712"/>
    </row>
    <row r="5713" spans="1:15" hidden="1" x14ac:dyDescent="0.2">
      <c r="A5713" s="3"/>
      <c r="B5713" s="2"/>
      <c r="C5713" s="2"/>
      <c r="D5713" s="2"/>
      <c r="E5713" s="2"/>
      <c r="F5713" s="2"/>
      <c r="G5713" s="2"/>
      <c r="O5713"/>
    </row>
    <row r="5714" spans="1:15" hidden="1" x14ac:dyDescent="0.2">
      <c r="A5714" s="3"/>
      <c r="B5714" s="2"/>
      <c r="C5714" s="2"/>
      <c r="D5714" s="2"/>
      <c r="E5714" s="2"/>
      <c r="F5714" s="2"/>
      <c r="G5714" s="2"/>
      <c r="O5714"/>
    </row>
    <row r="5715" spans="1:15" hidden="1" x14ac:dyDescent="0.2">
      <c r="A5715" s="3"/>
      <c r="B5715" s="2"/>
      <c r="C5715" s="2"/>
      <c r="D5715" s="2"/>
      <c r="E5715" s="2"/>
      <c r="F5715" s="2"/>
      <c r="G5715" s="2"/>
      <c r="O5715"/>
    </row>
    <row r="5716" spans="1:15" hidden="1" x14ac:dyDescent="0.2">
      <c r="A5716" s="3"/>
      <c r="B5716" s="2"/>
      <c r="C5716" s="2"/>
      <c r="D5716" s="2"/>
      <c r="E5716" s="2"/>
      <c r="F5716" s="2"/>
      <c r="G5716" s="2"/>
      <c r="O5716"/>
    </row>
    <row r="5717" spans="1:15" hidden="1" x14ac:dyDescent="0.2">
      <c r="A5717" s="3"/>
      <c r="B5717" s="2"/>
      <c r="C5717" s="2"/>
      <c r="D5717" s="2"/>
      <c r="E5717" s="2"/>
      <c r="F5717" s="2"/>
      <c r="G5717" s="2"/>
      <c r="O5717"/>
    </row>
    <row r="5718" spans="1:15" hidden="1" x14ac:dyDescent="0.2">
      <c r="A5718" s="3"/>
      <c r="B5718" s="2"/>
      <c r="C5718" s="2"/>
      <c r="D5718" s="2"/>
      <c r="E5718" s="2"/>
      <c r="F5718" s="2"/>
      <c r="G5718" s="2"/>
      <c r="O5718"/>
    </row>
    <row r="5719" spans="1:15" hidden="1" x14ac:dyDescent="0.2">
      <c r="A5719" s="3"/>
      <c r="B5719" s="2"/>
      <c r="C5719" s="2"/>
      <c r="D5719" s="2"/>
      <c r="E5719" s="2"/>
      <c r="F5719" s="2"/>
      <c r="G5719" s="2"/>
      <c r="O5719"/>
    </row>
    <row r="5720" spans="1:15" hidden="1" x14ac:dyDescent="0.2">
      <c r="A5720" s="3"/>
      <c r="B5720" s="2"/>
      <c r="C5720" s="2"/>
      <c r="D5720" s="2"/>
      <c r="E5720" s="2"/>
      <c r="F5720" s="2"/>
      <c r="G5720" s="2"/>
      <c r="O5720"/>
    </row>
    <row r="5721" spans="1:15" hidden="1" x14ac:dyDescent="0.2">
      <c r="A5721" s="3"/>
      <c r="B5721" s="2"/>
      <c r="C5721" s="2"/>
      <c r="D5721" s="2"/>
      <c r="E5721" s="2"/>
      <c r="F5721" s="2"/>
      <c r="G5721" s="2"/>
      <c r="O5721"/>
    </row>
    <row r="5722" spans="1:15" hidden="1" x14ac:dyDescent="0.2">
      <c r="A5722" s="3"/>
      <c r="B5722" s="2"/>
      <c r="C5722" s="2"/>
      <c r="D5722" s="2"/>
      <c r="E5722" s="2"/>
      <c r="F5722" s="2"/>
      <c r="G5722" s="2"/>
      <c r="O5722"/>
    </row>
    <row r="5723" spans="1:15" hidden="1" x14ac:dyDescent="0.2">
      <c r="A5723" s="3"/>
      <c r="B5723" s="2"/>
      <c r="C5723" s="2"/>
      <c r="D5723" s="2"/>
      <c r="E5723" s="2"/>
      <c r="F5723" s="2"/>
      <c r="G5723" s="2"/>
      <c r="O5723"/>
    </row>
    <row r="5724" spans="1:15" hidden="1" x14ac:dyDescent="0.2">
      <c r="A5724" s="3"/>
      <c r="B5724" s="2"/>
      <c r="C5724" s="2"/>
      <c r="D5724" s="2"/>
      <c r="E5724" s="2"/>
      <c r="F5724" s="2"/>
      <c r="G5724" s="2"/>
      <c r="O5724"/>
    </row>
    <row r="5725" spans="1:15" hidden="1" x14ac:dyDescent="0.2">
      <c r="A5725" s="3"/>
      <c r="B5725" s="2"/>
      <c r="C5725" s="2"/>
      <c r="D5725" s="2"/>
      <c r="E5725" s="2"/>
      <c r="F5725" s="2"/>
      <c r="G5725" s="2"/>
      <c r="O5725"/>
    </row>
    <row r="5726" spans="1:15" hidden="1" x14ac:dyDescent="0.2">
      <c r="A5726" s="3"/>
      <c r="B5726" s="2"/>
      <c r="C5726" s="2"/>
      <c r="D5726" s="2"/>
      <c r="E5726" s="2"/>
      <c r="F5726" s="2"/>
      <c r="G5726" s="2"/>
      <c r="O5726"/>
    </row>
    <row r="5727" spans="1:15" hidden="1" x14ac:dyDescent="0.2">
      <c r="A5727" s="3"/>
      <c r="B5727" s="2"/>
      <c r="C5727" s="2"/>
      <c r="D5727" s="2"/>
      <c r="E5727" s="2"/>
      <c r="F5727" s="2"/>
      <c r="G5727" s="2"/>
      <c r="O5727"/>
    </row>
    <row r="5728" spans="1:15" hidden="1" x14ac:dyDescent="0.2">
      <c r="A5728" s="3"/>
      <c r="B5728" s="2"/>
      <c r="C5728" s="2"/>
      <c r="D5728" s="2"/>
      <c r="E5728" s="2"/>
      <c r="F5728" s="2"/>
      <c r="G5728" s="2"/>
      <c r="O5728"/>
    </row>
    <row r="5729" spans="1:15" hidden="1" x14ac:dyDescent="0.2">
      <c r="A5729" s="3"/>
      <c r="B5729" s="2"/>
      <c r="C5729" s="2"/>
      <c r="D5729" s="2"/>
      <c r="E5729" s="2"/>
      <c r="F5729" s="2"/>
      <c r="G5729" s="2"/>
      <c r="O5729"/>
    </row>
    <row r="5730" spans="1:15" hidden="1" x14ac:dyDescent="0.2">
      <c r="A5730" s="3"/>
      <c r="B5730" s="2"/>
      <c r="C5730" s="2"/>
      <c r="D5730" s="2"/>
      <c r="E5730" s="2"/>
      <c r="F5730" s="2"/>
      <c r="G5730" s="2"/>
      <c r="O5730"/>
    </row>
    <row r="5731" spans="1:15" hidden="1" x14ac:dyDescent="0.2">
      <c r="A5731" s="3"/>
      <c r="B5731" s="2"/>
      <c r="C5731" s="2"/>
      <c r="D5731" s="2"/>
      <c r="E5731" s="2"/>
      <c r="F5731" s="2"/>
      <c r="G5731" s="2"/>
      <c r="O5731"/>
    </row>
    <row r="5732" spans="1:15" hidden="1" x14ac:dyDescent="0.2">
      <c r="A5732" s="3"/>
      <c r="B5732" s="2"/>
      <c r="C5732" s="2"/>
      <c r="D5732" s="2"/>
      <c r="E5732" s="2"/>
      <c r="F5732" s="2"/>
      <c r="G5732" s="2"/>
      <c r="O5732"/>
    </row>
    <row r="5733" spans="1:15" hidden="1" x14ac:dyDescent="0.2">
      <c r="A5733" s="3"/>
      <c r="B5733" s="2"/>
      <c r="C5733" s="2"/>
      <c r="D5733" s="2"/>
      <c r="E5733" s="2"/>
      <c r="F5733" s="2"/>
      <c r="G5733" s="2"/>
      <c r="O5733"/>
    </row>
    <row r="5734" spans="1:15" hidden="1" x14ac:dyDescent="0.2">
      <c r="A5734" s="3"/>
      <c r="B5734" s="2"/>
      <c r="C5734" s="2"/>
      <c r="D5734" s="2"/>
      <c r="E5734" s="2"/>
      <c r="F5734" s="2"/>
      <c r="G5734" s="2"/>
      <c r="O5734"/>
    </row>
    <row r="5735" spans="1:15" hidden="1" x14ac:dyDescent="0.2">
      <c r="A5735" s="3"/>
      <c r="B5735" s="2"/>
      <c r="C5735" s="2"/>
      <c r="D5735" s="2"/>
      <c r="E5735" s="2"/>
      <c r="F5735" s="2"/>
      <c r="G5735" s="2"/>
      <c r="O5735"/>
    </row>
    <row r="5736" spans="1:15" hidden="1" x14ac:dyDescent="0.2">
      <c r="A5736" s="3"/>
      <c r="B5736" s="2"/>
      <c r="C5736" s="2"/>
      <c r="D5736" s="2"/>
      <c r="E5736" s="2"/>
      <c r="F5736" s="2"/>
      <c r="G5736" s="2"/>
      <c r="O5736"/>
    </row>
    <row r="5737" spans="1:15" hidden="1" x14ac:dyDescent="0.2">
      <c r="A5737" s="3"/>
      <c r="B5737" s="2"/>
      <c r="C5737" s="2"/>
      <c r="D5737" s="2"/>
      <c r="E5737" s="2"/>
      <c r="F5737" s="2"/>
      <c r="G5737" s="2"/>
      <c r="O5737"/>
    </row>
    <row r="5738" spans="1:15" hidden="1" x14ac:dyDescent="0.2">
      <c r="A5738" s="3"/>
      <c r="B5738" s="2"/>
      <c r="C5738" s="2"/>
      <c r="D5738" s="2"/>
      <c r="E5738" s="2"/>
      <c r="F5738" s="2"/>
      <c r="G5738" s="2"/>
      <c r="O5738"/>
    </row>
    <row r="5739" spans="1:15" hidden="1" x14ac:dyDescent="0.2">
      <c r="A5739" s="3"/>
      <c r="B5739" s="2"/>
      <c r="C5739" s="2"/>
      <c r="D5739" s="2"/>
      <c r="E5739" s="2"/>
      <c r="F5739" s="2"/>
      <c r="G5739" s="2"/>
      <c r="O5739"/>
    </row>
    <row r="5740" spans="1:15" hidden="1" x14ac:dyDescent="0.2">
      <c r="A5740" s="3"/>
      <c r="B5740" s="2"/>
      <c r="C5740" s="2"/>
      <c r="D5740" s="2"/>
      <c r="E5740" s="2"/>
      <c r="F5740" s="2"/>
      <c r="G5740" s="2"/>
      <c r="O5740"/>
    </row>
    <row r="5741" spans="1:15" hidden="1" x14ac:dyDescent="0.2">
      <c r="A5741" s="3"/>
      <c r="B5741" s="2"/>
      <c r="C5741" s="2"/>
      <c r="D5741" s="2"/>
      <c r="E5741" s="2"/>
      <c r="F5741" s="2"/>
      <c r="G5741" s="2"/>
      <c r="O5741"/>
    </row>
    <row r="5742" spans="1:15" hidden="1" x14ac:dyDescent="0.2">
      <c r="A5742" s="3"/>
      <c r="B5742" s="2"/>
      <c r="C5742" s="2"/>
      <c r="D5742" s="2"/>
      <c r="E5742" s="2"/>
      <c r="F5742" s="2"/>
      <c r="G5742" s="2"/>
      <c r="O5742"/>
    </row>
    <row r="5743" spans="1:15" hidden="1" x14ac:dyDescent="0.2">
      <c r="A5743" s="3"/>
      <c r="B5743" s="2"/>
      <c r="C5743" s="2"/>
      <c r="D5743" s="2"/>
      <c r="E5743" s="2"/>
      <c r="F5743" s="2"/>
      <c r="G5743" s="2"/>
      <c r="O5743"/>
    </row>
    <row r="5744" spans="1:15" hidden="1" x14ac:dyDescent="0.2">
      <c r="A5744" s="3"/>
      <c r="B5744" s="2"/>
      <c r="C5744" s="2"/>
      <c r="D5744" s="2"/>
      <c r="E5744" s="2"/>
      <c r="F5744" s="2"/>
      <c r="G5744" s="2"/>
      <c r="O5744"/>
    </row>
    <row r="5745" spans="1:15" hidden="1" x14ac:dyDescent="0.2">
      <c r="A5745" s="3"/>
      <c r="B5745" s="2"/>
      <c r="C5745" s="2"/>
      <c r="D5745" s="2"/>
      <c r="E5745" s="2"/>
      <c r="F5745" s="2"/>
      <c r="G5745" s="2"/>
      <c r="O5745"/>
    </row>
    <row r="5746" spans="1:15" hidden="1" x14ac:dyDescent="0.2">
      <c r="A5746" s="3"/>
      <c r="B5746" s="2"/>
      <c r="C5746" s="2"/>
      <c r="D5746" s="2"/>
      <c r="E5746" s="2"/>
      <c r="F5746" s="2"/>
      <c r="G5746" s="2"/>
      <c r="O5746"/>
    </row>
    <row r="5747" spans="1:15" hidden="1" x14ac:dyDescent="0.2">
      <c r="A5747" s="3"/>
      <c r="B5747" s="2"/>
      <c r="C5747" s="2"/>
      <c r="D5747" s="2"/>
      <c r="E5747" s="2"/>
      <c r="F5747" s="2"/>
      <c r="G5747" s="2"/>
      <c r="O5747"/>
    </row>
    <row r="5748" spans="1:15" hidden="1" x14ac:dyDescent="0.2">
      <c r="A5748" s="3"/>
      <c r="B5748" s="2"/>
      <c r="C5748" s="2"/>
      <c r="D5748" s="2"/>
      <c r="E5748" s="2"/>
      <c r="F5748" s="2"/>
      <c r="G5748" s="2"/>
      <c r="O5748"/>
    </row>
    <row r="5749" spans="1:15" hidden="1" x14ac:dyDescent="0.2">
      <c r="A5749" s="3"/>
      <c r="B5749" s="2"/>
      <c r="C5749" s="2"/>
      <c r="D5749" s="2"/>
      <c r="E5749" s="2"/>
      <c r="F5749" s="2"/>
      <c r="G5749" s="2"/>
      <c r="O5749"/>
    </row>
    <row r="5750" spans="1:15" hidden="1" x14ac:dyDescent="0.2">
      <c r="A5750" s="3"/>
      <c r="B5750" s="2"/>
      <c r="C5750" s="2"/>
      <c r="D5750" s="2"/>
      <c r="E5750" s="2"/>
      <c r="F5750" s="2"/>
      <c r="G5750" s="2"/>
      <c r="O5750"/>
    </row>
    <row r="5751" spans="1:15" hidden="1" x14ac:dyDescent="0.2">
      <c r="A5751" s="3"/>
      <c r="B5751" s="2"/>
      <c r="C5751" s="2"/>
      <c r="D5751" s="2"/>
      <c r="E5751" s="2"/>
      <c r="F5751" s="2"/>
      <c r="G5751" s="2"/>
      <c r="O5751"/>
    </row>
    <row r="5752" spans="1:15" hidden="1" x14ac:dyDescent="0.2">
      <c r="A5752" s="3"/>
      <c r="B5752" s="2"/>
      <c r="C5752" s="2"/>
      <c r="D5752" s="2"/>
      <c r="E5752" s="2"/>
      <c r="F5752" s="2"/>
      <c r="G5752" s="2"/>
      <c r="O5752"/>
    </row>
    <row r="5753" spans="1:15" hidden="1" x14ac:dyDescent="0.2">
      <c r="A5753" s="3"/>
      <c r="B5753" s="2"/>
      <c r="C5753" s="2"/>
      <c r="D5753" s="2"/>
      <c r="E5753" s="2"/>
      <c r="F5753" s="2"/>
      <c r="G5753" s="2"/>
      <c r="O5753"/>
    </row>
    <row r="5754" spans="1:15" hidden="1" x14ac:dyDescent="0.2">
      <c r="A5754" s="3"/>
      <c r="B5754" s="2"/>
      <c r="C5754" s="2"/>
      <c r="D5754" s="2"/>
      <c r="E5754" s="2"/>
      <c r="F5754" s="2"/>
      <c r="G5754" s="2"/>
      <c r="O5754"/>
    </row>
    <row r="5755" spans="1:15" hidden="1" x14ac:dyDescent="0.2">
      <c r="A5755" s="3"/>
      <c r="B5755" s="2"/>
      <c r="C5755" s="2"/>
      <c r="D5755" s="2"/>
      <c r="E5755" s="2"/>
      <c r="F5755" s="2"/>
      <c r="G5755" s="2"/>
      <c r="O5755"/>
    </row>
    <row r="5756" spans="1:15" hidden="1" x14ac:dyDescent="0.2">
      <c r="A5756" s="3"/>
      <c r="B5756" s="2"/>
      <c r="C5756" s="2"/>
      <c r="D5756" s="2"/>
      <c r="E5756" s="2"/>
      <c r="F5756" s="2"/>
      <c r="G5756" s="2"/>
      <c r="O5756"/>
    </row>
    <row r="5757" spans="1:15" hidden="1" x14ac:dyDescent="0.2">
      <c r="A5757" s="3"/>
      <c r="B5757" s="2"/>
      <c r="C5757" s="2"/>
      <c r="D5757" s="2"/>
      <c r="E5757" s="2"/>
      <c r="F5757" s="2"/>
      <c r="G5757" s="2"/>
      <c r="O5757"/>
    </row>
    <row r="5758" spans="1:15" hidden="1" x14ac:dyDescent="0.2">
      <c r="A5758" s="3"/>
      <c r="B5758" s="2"/>
      <c r="C5758" s="2"/>
      <c r="D5758" s="2"/>
      <c r="E5758" s="2"/>
      <c r="F5758" s="2"/>
      <c r="G5758" s="2"/>
      <c r="O5758"/>
    </row>
    <row r="5759" spans="1:15" hidden="1" x14ac:dyDescent="0.2">
      <c r="A5759" s="3"/>
      <c r="B5759" s="2"/>
      <c r="C5759" s="2"/>
      <c r="D5759" s="2"/>
      <c r="E5759" s="2"/>
      <c r="F5759" s="2"/>
      <c r="G5759" s="2"/>
      <c r="O5759"/>
    </row>
    <row r="5760" spans="1:15" hidden="1" x14ac:dyDescent="0.2">
      <c r="A5760" s="3"/>
      <c r="B5760" s="2"/>
      <c r="C5760" s="2"/>
      <c r="D5760" s="2"/>
      <c r="E5760" s="2"/>
      <c r="F5760" s="2"/>
      <c r="G5760" s="2"/>
      <c r="O5760"/>
    </row>
    <row r="5761" spans="1:15" hidden="1" x14ac:dyDescent="0.2">
      <c r="A5761" s="3"/>
      <c r="B5761" s="2"/>
      <c r="C5761" s="2"/>
      <c r="D5761" s="2"/>
      <c r="E5761" s="2"/>
      <c r="F5761" s="2"/>
      <c r="G5761" s="2"/>
      <c r="O5761"/>
    </row>
    <row r="5762" spans="1:15" hidden="1" x14ac:dyDescent="0.2">
      <c r="A5762" s="3"/>
      <c r="B5762" s="2"/>
      <c r="C5762" s="2"/>
      <c r="D5762" s="2"/>
      <c r="E5762" s="2"/>
      <c r="F5762" s="2"/>
      <c r="G5762" s="2"/>
      <c r="O5762"/>
    </row>
    <row r="5763" spans="1:15" hidden="1" x14ac:dyDescent="0.2">
      <c r="A5763" s="3"/>
      <c r="B5763" s="2"/>
      <c r="C5763" s="2"/>
      <c r="D5763" s="2"/>
      <c r="E5763" s="2"/>
      <c r="F5763" s="2"/>
      <c r="G5763" s="2"/>
      <c r="O5763"/>
    </row>
    <row r="5764" spans="1:15" hidden="1" x14ac:dyDescent="0.2">
      <c r="A5764" s="3"/>
      <c r="B5764" s="2"/>
      <c r="C5764" s="2"/>
      <c r="D5764" s="2"/>
      <c r="E5764" s="2"/>
      <c r="F5764" s="2"/>
      <c r="G5764" s="2"/>
      <c r="O5764"/>
    </row>
    <row r="5765" spans="1:15" hidden="1" x14ac:dyDescent="0.2">
      <c r="A5765" s="3"/>
      <c r="B5765" s="2"/>
      <c r="C5765" s="2"/>
      <c r="D5765" s="2"/>
      <c r="E5765" s="2"/>
      <c r="F5765" s="2"/>
      <c r="G5765" s="2"/>
      <c r="O5765"/>
    </row>
    <row r="5766" spans="1:15" hidden="1" x14ac:dyDescent="0.2">
      <c r="A5766" s="3"/>
      <c r="B5766" s="2"/>
      <c r="C5766" s="2"/>
      <c r="D5766" s="2"/>
      <c r="E5766" s="2"/>
      <c r="F5766" s="2"/>
      <c r="G5766" s="2"/>
      <c r="O5766"/>
    </row>
    <row r="5767" spans="1:15" hidden="1" x14ac:dyDescent="0.2">
      <c r="A5767" s="3"/>
      <c r="B5767" s="2"/>
      <c r="C5767" s="2"/>
      <c r="D5767" s="2"/>
      <c r="E5767" s="2"/>
      <c r="F5767" s="2"/>
      <c r="G5767" s="2"/>
      <c r="O5767"/>
    </row>
    <row r="5768" spans="1:15" hidden="1" x14ac:dyDescent="0.2">
      <c r="A5768" s="3"/>
      <c r="B5768" s="2"/>
      <c r="C5768" s="2"/>
      <c r="D5768" s="2"/>
      <c r="E5768" s="2"/>
      <c r="F5768" s="2"/>
      <c r="G5768" s="2"/>
      <c r="O5768"/>
    </row>
    <row r="5769" spans="1:15" hidden="1" x14ac:dyDescent="0.2">
      <c r="A5769" s="3"/>
      <c r="B5769" s="2"/>
      <c r="C5769" s="2"/>
      <c r="D5769" s="2"/>
      <c r="E5769" s="2"/>
      <c r="F5769" s="2"/>
      <c r="G5769" s="2"/>
      <c r="O5769"/>
    </row>
    <row r="5770" spans="1:15" hidden="1" x14ac:dyDescent="0.2">
      <c r="A5770" s="3"/>
      <c r="B5770" s="2"/>
      <c r="C5770" s="2"/>
      <c r="D5770" s="2"/>
      <c r="E5770" s="2"/>
      <c r="F5770" s="2"/>
      <c r="G5770" s="2"/>
      <c r="O5770"/>
    </row>
    <row r="5771" spans="1:15" hidden="1" x14ac:dyDescent="0.2">
      <c r="A5771" s="3"/>
      <c r="B5771" s="2"/>
      <c r="C5771" s="2"/>
      <c r="D5771" s="2"/>
      <c r="E5771" s="2"/>
      <c r="F5771" s="2"/>
      <c r="G5771" s="2"/>
      <c r="O5771"/>
    </row>
    <row r="5772" spans="1:15" hidden="1" x14ac:dyDescent="0.2">
      <c r="A5772" s="3"/>
      <c r="B5772" s="2"/>
      <c r="C5772" s="2"/>
      <c r="D5772" s="2"/>
      <c r="E5772" s="2"/>
      <c r="F5772" s="2"/>
      <c r="G5772" s="2"/>
      <c r="O5772"/>
    </row>
    <row r="5773" spans="1:15" hidden="1" x14ac:dyDescent="0.2">
      <c r="A5773" s="3"/>
      <c r="B5773" s="2"/>
      <c r="C5773" s="2"/>
      <c r="D5773" s="2"/>
      <c r="E5773" s="2"/>
      <c r="F5773" s="2"/>
      <c r="G5773" s="2"/>
      <c r="O5773"/>
    </row>
    <row r="5774" spans="1:15" hidden="1" x14ac:dyDescent="0.2">
      <c r="A5774" s="3"/>
      <c r="B5774" s="2"/>
      <c r="C5774" s="2"/>
      <c r="D5774" s="2"/>
      <c r="E5774" s="2"/>
      <c r="F5774" s="2"/>
      <c r="G5774" s="2"/>
      <c r="O5774"/>
    </row>
    <row r="5775" spans="1:15" hidden="1" x14ac:dyDescent="0.2">
      <c r="A5775" s="3"/>
      <c r="B5775" s="2"/>
      <c r="C5775" s="2"/>
      <c r="D5775" s="2"/>
      <c r="E5775" s="2"/>
      <c r="F5775" s="2"/>
      <c r="G5775" s="2"/>
      <c r="O5775"/>
    </row>
    <row r="5776" spans="1:15" hidden="1" x14ac:dyDescent="0.2">
      <c r="A5776" s="3"/>
      <c r="B5776" s="2"/>
      <c r="C5776" s="2"/>
      <c r="D5776" s="2"/>
      <c r="E5776" s="2"/>
      <c r="F5776" s="2"/>
      <c r="G5776" s="2"/>
      <c r="O5776"/>
    </row>
    <row r="5777" spans="1:15" hidden="1" x14ac:dyDescent="0.2">
      <c r="A5777" s="3"/>
      <c r="B5777" s="2"/>
      <c r="C5777" s="2"/>
      <c r="D5777" s="2"/>
      <c r="E5777" s="2"/>
      <c r="F5777" s="2"/>
      <c r="G5777" s="2"/>
      <c r="O5777"/>
    </row>
    <row r="5778" spans="1:15" hidden="1" x14ac:dyDescent="0.2">
      <c r="A5778" s="3"/>
      <c r="B5778" s="2"/>
      <c r="C5778" s="2"/>
      <c r="D5778" s="2"/>
      <c r="E5778" s="2"/>
      <c r="F5778" s="2"/>
      <c r="G5778" s="2"/>
      <c r="O5778"/>
    </row>
    <row r="5779" spans="1:15" hidden="1" x14ac:dyDescent="0.2">
      <c r="A5779" s="3"/>
      <c r="B5779" s="2"/>
      <c r="C5779" s="2"/>
      <c r="D5779" s="2"/>
      <c r="E5779" s="2"/>
      <c r="F5779" s="2"/>
      <c r="G5779" s="2"/>
      <c r="O5779"/>
    </row>
    <row r="5780" spans="1:15" hidden="1" x14ac:dyDescent="0.2">
      <c r="A5780" s="3"/>
      <c r="B5780" s="2"/>
      <c r="C5780" s="2"/>
      <c r="D5780" s="2"/>
      <c r="E5780" s="2"/>
      <c r="F5780" s="2"/>
      <c r="G5780" s="2"/>
      <c r="O5780"/>
    </row>
    <row r="5781" spans="1:15" hidden="1" x14ac:dyDescent="0.2">
      <c r="A5781" s="3"/>
      <c r="B5781" s="2"/>
      <c r="C5781" s="2"/>
      <c r="D5781" s="2"/>
      <c r="E5781" s="2"/>
      <c r="F5781" s="2"/>
      <c r="G5781" s="2"/>
      <c r="O5781"/>
    </row>
    <row r="5782" spans="1:15" hidden="1" x14ac:dyDescent="0.2">
      <c r="A5782" s="3"/>
      <c r="B5782" s="2"/>
      <c r="C5782" s="2"/>
      <c r="D5782" s="2"/>
      <c r="E5782" s="2"/>
      <c r="F5782" s="2"/>
      <c r="G5782" s="2"/>
      <c r="O5782"/>
    </row>
    <row r="5783" spans="1:15" hidden="1" x14ac:dyDescent="0.2">
      <c r="A5783" s="3"/>
      <c r="B5783" s="2"/>
      <c r="C5783" s="2"/>
      <c r="D5783" s="2"/>
      <c r="E5783" s="2"/>
      <c r="F5783" s="2"/>
      <c r="G5783" s="2"/>
      <c r="O5783"/>
    </row>
    <row r="5784" spans="1:15" hidden="1" x14ac:dyDescent="0.2">
      <c r="A5784" s="3"/>
      <c r="B5784" s="2"/>
      <c r="C5784" s="2"/>
      <c r="D5784" s="2"/>
      <c r="E5784" s="2"/>
      <c r="F5784" s="2"/>
      <c r="G5784" s="2"/>
      <c r="O5784"/>
    </row>
    <row r="5785" spans="1:15" hidden="1" x14ac:dyDescent="0.2">
      <c r="A5785" s="3"/>
      <c r="B5785" s="2"/>
      <c r="C5785" s="2"/>
      <c r="D5785" s="2"/>
      <c r="E5785" s="2"/>
      <c r="F5785" s="2"/>
      <c r="G5785" s="2"/>
      <c r="O5785"/>
    </row>
    <row r="5786" spans="1:15" hidden="1" x14ac:dyDescent="0.2">
      <c r="A5786" s="3"/>
      <c r="B5786" s="2"/>
      <c r="C5786" s="2"/>
      <c r="D5786" s="2"/>
      <c r="E5786" s="2"/>
      <c r="F5786" s="2"/>
      <c r="G5786" s="2"/>
      <c r="O5786"/>
    </row>
    <row r="5787" spans="1:15" hidden="1" x14ac:dyDescent="0.2">
      <c r="A5787" s="3"/>
      <c r="B5787" s="2"/>
      <c r="C5787" s="2"/>
      <c r="D5787" s="2"/>
      <c r="E5787" s="2"/>
      <c r="F5787" s="2"/>
      <c r="G5787" s="2"/>
      <c r="O5787"/>
    </row>
    <row r="5788" spans="1:15" hidden="1" x14ac:dyDescent="0.2">
      <c r="A5788" s="3"/>
      <c r="B5788" s="2"/>
      <c r="C5788" s="2"/>
      <c r="D5788" s="2"/>
      <c r="E5788" s="2"/>
      <c r="F5788" s="2"/>
      <c r="G5788" s="2"/>
      <c r="O5788"/>
    </row>
    <row r="5789" spans="1:15" hidden="1" x14ac:dyDescent="0.2">
      <c r="A5789" s="3"/>
      <c r="B5789" s="2"/>
      <c r="C5789" s="2"/>
      <c r="D5789" s="2"/>
      <c r="E5789" s="2"/>
      <c r="F5789" s="2"/>
      <c r="G5789" s="2"/>
      <c r="O5789"/>
    </row>
    <row r="5790" spans="1:15" hidden="1" x14ac:dyDescent="0.2">
      <c r="A5790" s="3"/>
      <c r="B5790" s="2"/>
      <c r="C5790" s="2"/>
      <c r="D5790" s="2"/>
      <c r="E5790" s="2"/>
      <c r="F5790" s="2"/>
      <c r="G5790" s="2"/>
      <c r="O5790"/>
    </row>
    <row r="5791" spans="1:15" hidden="1" x14ac:dyDescent="0.2">
      <c r="A5791" s="3"/>
      <c r="B5791" s="2"/>
      <c r="C5791" s="2"/>
      <c r="D5791" s="2"/>
      <c r="E5791" s="2"/>
      <c r="F5791" s="2"/>
      <c r="G5791" s="2"/>
      <c r="O5791"/>
    </row>
    <row r="5792" spans="1:15" hidden="1" x14ac:dyDescent="0.2">
      <c r="A5792" s="3"/>
      <c r="B5792" s="2"/>
      <c r="C5792" s="2"/>
      <c r="D5792" s="2"/>
      <c r="E5792" s="2"/>
      <c r="F5792" s="2"/>
      <c r="G5792" s="2"/>
      <c r="O5792"/>
    </row>
    <row r="5793" spans="1:15" hidden="1" x14ac:dyDescent="0.2">
      <c r="A5793" s="3"/>
      <c r="B5793" s="2"/>
      <c r="C5793" s="2"/>
      <c r="D5793" s="2"/>
      <c r="E5793" s="2"/>
      <c r="F5793" s="2"/>
      <c r="G5793" s="2"/>
      <c r="O5793"/>
    </row>
    <row r="5794" spans="1:15" hidden="1" x14ac:dyDescent="0.2">
      <c r="A5794" s="3"/>
      <c r="B5794" s="2"/>
      <c r="C5794" s="2"/>
      <c r="D5794" s="2"/>
      <c r="E5794" s="2"/>
      <c r="F5794" s="2"/>
      <c r="G5794" s="2"/>
      <c r="O5794"/>
    </row>
    <row r="5795" spans="1:15" hidden="1" x14ac:dyDescent="0.2">
      <c r="A5795" s="3"/>
      <c r="B5795" s="2"/>
      <c r="C5795" s="2"/>
      <c r="D5795" s="2"/>
      <c r="E5795" s="2"/>
      <c r="F5795" s="2"/>
      <c r="G5795" s="2"/>
      <c r="O5795"/>
    </row>
    <row r="5796" spans="1:15" hidden="1" x14ac:dyDescent="0.2">
      <c r="A5796" s="3"/>
      <c r="B5796" s="2"/>
      <c r="C5796" s="2"/>
      <c r="D5796" s="2"/>
      <c r="E5796" s="2"/>
      <c r="F5796" s="2"/>
      <c r="G5796" s="2"/>
      <c r="O5796"/>
    </row>
    <row r="5797" spans="1:15" hidden="1" x14ac:dyDescent="0.2">
      <c r="A5797" s="3"/>
      <c r="B5797" s="2"/>
      <c r="C5797" s="2"/>
      <c r="D5797" s="2"/>
      <c r="E5797" s="2"/>
      <c r="F5797" s="2"/>
      <c r="G5797" s="2"/>
      <c r="O5797"/>
    </row>
    <row r="5798" spans="1:15" hidden="1" x14ac:dyDescent="0.2">
      <c r="A5798" s="3"/>
      <c r="B5798" s="2"/>
      <c r="C5798" s="2"/>
      <c r="D5798" s="2"/>
      <c r="E5798" s="2"/>
      <c r="F5798" s="2"/>
      <c r="G5798" s="2"/>
      <c r="O5798"/>
    </row>
    <row r="5799" spans="1:15" hidden="1" x14ac:dyDescent="0.2">
      <c r="A5799" s="3"/>
      <c r="B5799" s="2"/>
      <c r="C5799" s="2"/>
      <c r="D5799" s="2"/>
      <c r="E5799" s="2"/>
      <c r="F5799" s="2"/>
      <c r="G5799" s="2"/>
      <c r="O5799"/>
    </row>
    <row r="5800" spans="1:15" hidden="1" x14ac:dyDescent="0.2">
      <c r="A5800" s="3"/>
      <c r="B5800" s="2"/>
      <c r="C5800" s="2"/>
      <c r="D5800" s="2"/>
      <c r="E5800" s="2"/>
      <c r="F5800" s="2"/>
      <c r="G5800" s="2"/>
      <c r="O5800"/>
    </row>
    <row r="5801" spans="1:15" hidden="1" x14ac:dyDescent="0.2">
      <c r="A5801" s="3"/>
      <c r="B5801" s="2"/>
      <c r="C5801" s="2"/>
      <c r="D5801" s="2"/>
      <c r="E5801" s="2"/>
      <c r="F5801" s="2"/>
      <c r="G5801" s="2"/>
      <c r="O5801"/>
    </row>
    <row r="5802" spans="1:15" hidden="1" x14ac:dyDescent="0.2">
      <c r="A5802" s="3"/>
      <c r="B5802" s="2"/>
      <c r="C5802" s="2"/>
      <c r="D5802" s="2"/>
      <c r="E5802" s="2"/>
      <c r="F5802" s="2"/>
      <c r="G5802" s="2"/>
      <c r="O5802"/>
    </row>
    <row r="5803" spans="1:15" hidden="1" x14ac:dyDescent="0.2">
      <c r="A5803" s="3"/>
      <c r="B5803" s="2"/>
      <c r="C5803" s="2"/>
      <c r="D5803" s="2"/>
      <c r="E5803" s="2"/>
      <c r="F5803" s="2"/>
      <c r="G5803" s="2"/>
      <c r="O5803"/>
    </row>
    <row r="5804" spans="1:15" hidden="1" x14ac:dyDescent="0.2">
      <c r="A5804" s="3"/>
      <c r="B5804" s="2"/>
      <c r="C5804" s="2"/>
      <c r="D5804" s="2"/>
      <c r="E5804" s="2"/>
      <c r="F5804" s="2"/>
      <c r="G5804" s="2"/>
      <c r="O5804"/>
    </row>
    <row r="5805" spans="1:15" hidden="1" x14ac:dyDescent="0.2">
      <c r="A5805" s="3"/>
      <c r="B5805" s="2"/>
      <c r="C5805" s="2"/>
      <c r="D5805" s="2"/>
      <c r="E5805" s="2"/>
      <c r="F5805" s="2"/>
      <c r="G5805" s="2"/>
      <c r="O5805"/>
    </row>
    <row r="5806" spans="1:15" hidden="1" x14ac:dyDescent="0.2">
      <c r="A5806" s="3"/>
      <c r="B5806" s="2"/>
      <c r="C5806" s="2"/>
      <c r="D5806" s="2"/>
      <c r="E5806" s="2"/>
      <c r="F5806" s="2"/>
      <c r="G5806" s="2"/>
      <c r="O5806"/>
    </row>
    <row r="5807" spans="1:15" hidden="1" x14ac:dyDescent="0.2">
      <c r="A5807" s="3"/>
      <c r="B5807" s="2"/>
      <c r="C5807" s="2"/>
      <c r="D5807" s="2"/>
      <c r="E5807" s="2"/>
      <c r="F5807" s="2"/>
      <c r="G5807" s="2"/>
      <c r="O5807"/>
    </row>
    <row r="5808" spans="1:15" hidden="1" x14ac:dyDescent="0.2">
      <c r="A5808" s="3"/>
      <c r="B5808" s="2"/>
      <c r="C5808" s="2"/>
      <c r="D5808" s="2"/>
      <c r="E5808" s="2"/>
      <c r="F5808" s="2"/>
      <c r="G5808" s="2"/>
      <c r="O5808"/>
    </row>
    <row r="5809" spans="1:15" hidden="1" x14ac:dyDescent="0.2">
      <c r="A5809" s="3"/>
      <c r="B5809" s="2"/>
      <c r="C5809" s="2"/>
      <c r="D5809" s="2"/>
      <c r="E5809" s="2"/>
      <c r="F5809" s="2"/>
      <c r="G5809" s="2"/>
      <c r="O5809"/>
    </row>
    <row r="5810" spans="1:15" hidden="1" x14ac:dyDescent="0.2">
      <c r="A5810" s="3"/>
      <c r="B5810" s="2"/>
      <c r="C5810" s="2"/>
      <c r="D5810" s="2"/>
      <c r="E5810" s="2"/>
      <c r="F5810" s="2"/>
      <c r="G5810" s="2"/>
      <c r="O5810"/>
    </row>
    <row r="5811" spans="1:15" hidden="1" x14ac:dyDescent="0.2">
      <c r="A5811" s="3"/>
      <c r="B5811" s="2"/>
      <c r="C5811" s="2"/>
      <c r="D5811" s="2"/>
      <c r="E5811" s="2"/>
      <c r="F5811" s="2"/>
      <c r="G5811" s="2"/>
      <c r="O5811"/>
    </row>
    <row r="5812" spans="1:15" hidden="1" x14ac:dyDescent="0.2">
      <c r="A5812" s="3"/>
      <c r="B5812" s="2"/>
      <c r="C5812" s="2"/>
      <c r="D5812" s="2"/>
      <c r="E5812" s="2"/>
      <c r="F5812" s="2"/>
      <c r="G5812" s="2"/>
      <c r="O5812"/>
    </row>
    <row r="5813" spans="1:15" hidden="1" x14ac:dyDescent="0.2">
      <c r="A5813" s="3"/>
      <c r="B5813" s="2"/>
      <c r="C5813" s="2"/>
      <c r="D5813" s="2"/>
      <c r="E5813" s="2"/>
      <c r="F5813" s="2"/>
      <c r="G5813" s="2"/>
      <c r="O5813"/>
    </row>
    <row r="5814" spans="1:15" hidden="1" x14ac:dyDescent="0.2">
      <c r="A5814" s="3"/>
      <c r="B5814" s="2"/>
      <c r="C5814" s="2"/>
      <c r="D5814" s="2"/>
      <c r="E5814" s="2"/>
      <c r="F5814" s="2"/>
      <c r="G5814" s="2"/>
      <c r="O5814"/>
    </row>
    <row r="5815" spans="1:15" hidden="1" x14ac:dyDescent="0.2">
      <c r="A5815" s="3"/>
      <c r="B5815" s="2"/>
      <c r="C5815" s="2"/>
      <c r="D5815" s="2"/>
      <c r="E5815" s="2"/>
      <c r="F5815" s="2"/>
      <c r="G5815" s="2"/>
      <c r="O5815"/>
    </row>
    <row r="5816" spans="1:15" hidden="1" x14ac:dyDescent="0.2">
      <c r="A5816" s="3"/>
      <c r="B5816" s="2"/>
      <c r="C5816" s="2"/>
      <c r="D5816" s="2"/>
      <c r="E5816" s="2"/>
      <c r="F5816" s="2"/>
      <c r="G5816" s="2"/>
      <c r="O5816"/>
    </row>
    <row r="5817" spans="1:15" hidden="1" x14ac:dyDescent="0.2">
      <c r="A5817" s="3"/>
      <c r="B5817" s="2"/>
      <c r="C5817" s="2"/>
      <c r="D5817" s="2"/>
      <c r="E5817" s="2"/>
      <c r="F5817" s="2"/>
      <c r="G5817" s="2"/>
      <c r="O5817"/>
    </row>
    <row r="5818" spans="1:15" hidden="1" x14ac:dyDescent="0.2">
      <c r="A5818" s="3"/>
      <c r="B5818" s="2"/>
      <c r="C5818" s="2"/>
      <c r="D5818" s="2"/>
      <c r="E5818" s="2"/>
      <c r="F5818" s="2"/>
      <c r="G5818" s="2"/>
      <c r="O5818"/>
    </row>
    <row r="5819" spans="1:15" hidden="1" x14ac:dyDescent="0.2">
      <c r="A5819" s="3"/>
      <c r="B5819" s="2"/>
      <c r="C5819" s="2"/>
      <c r="D5819" s="2"/>
      <c r="E5819" s="2"/>
      <c r="F5819" s="2"/>
      <c r="G5819" s="2"/>
      <c r="O5819"/>
    </row>
    <row r="5820" spans="1:15" hidden="1" x14ac:dyDescent="0.2">
      <c r="A5820" s="3"/>
      <c r="B5820" s="2"/>
      <c r="C5820" s="2"/>
      <c r="D5820" s="2"/>
      <c r="E5820" s="2"/>
      <c r="F5820" s="2"/>
      <c r="G5820" s="2"/>
      <c r="O5820"/>
    </row>
    <row r="5821" spans="1:15" hidden="1" x14ac:dyDescent="0.2">
      <c r="A5821" s="3"/>
      <c r="B5821" s="2"/>
      <c r="C5821" s="2"/>
      <c r="D5821" s="2"/>
      <c r="E5821" s="2"/>
      <c r="F5821" s="2"/>
      <c r="G5821" s="2"/>
      <c r="O5821"/>
    </row>
    <row r="5822" spans="1:15" hidden="1" x14ac:dyDescent="0.2">
      <c r="A5822" s="3"/>
      <c r="B5822" s="2"/>
      <c r="C5822" s="2"/>
      <c r="D5822" s="2"/>
      <c r="E5822" s="2"/>
      <c r="F5822" s="2"/>
      <c r="G5822" s="2"/>
      <c r="O5822"/>
    </row>
    <row r="5823" spans="1:15" hidden="1" x14ac:dyDescent="0.2">
      <c r="A5823" s="3"/>
      <c r="B5823" s="2"/>
      <c r="C5823" s="2"/>
      <c r="D5823" s="2"/>
      <c r="E5823" s="2"/>
      <c r="F5823" s="2"/>
      <c r="G5823" s="2"/>
      <c r="O5823"/>
    </row>
    <row r="5824" spans="1:15" hidden="1" x14ac:dyDescent="0.2">
      <c r="A5824" s="3"/>
      <c r="B5824" s="2"/>
      <c r="C5824" s="2"/>
      <c r="D5824" s="2"/>
      <c r="E5824" s="2"/>
      <c r="F5824" s="2"/>
      <c r="G5824" s="2"/>
      <c r="O5824"/>
    </row>
    <row r="5825" spans="1:15" hidden="1" x14ac:dyDescent="0.2">
      <c r="A5825" s="3"/>
      <c r="B5825" s="2"/>
      <c r="C5825" s="2"/>
      <c r="D5825" s="2"/>
      <c r="E5825" s="2"/>
      <c r="F5825" s="2"/>
      <c r="G5825" s="2"/>
      <c r="O5825"/>
    </row>
    <row r="5826" spans="1:15" hidden="1" x14ac:dyDescent="0.2">
      <c r="A5826" s="3"/>
      <c r="B5826" s="2"/>
      <c r="C5826" s="2"/>
      <c r="D5826" s="2"/>
      <c r="E5826" s="2"/>
      <c r="F5826" s="2"/>
      <c r="G5826" s="2"/>
      <c r="O5826"/>
    </row>
    <row r="5827" spans="1:15" hidden="1" x14ac:dyDescent="0.2">
      <c r="A5827" s="3"/>
      <c r="B5827" s="2"/>
      <c r="C5827" s="2"/>
      <c r="D5827" s="2"/>
      <c r="E5827" s="2"/>
      <c r="F5827" s="2"/>
      <c r="G5827" s="2"/>
      <c r="O5827"/>
    </row>
    <row r="5828" spans="1:15" hidden="1" x14ac:dyDescent="0.2">
      <c r="A5828" s="3"/>
      <c r="B5828" s="2"/>
      <c r="C5828" s="2"/>
      <c r="D5828" s="2"/>
      <c r="E5828" s="2"/>
      <c r="F5828" s="2"/>
      <c r="G5828" s="2"/>
      <c r="O5828"/>
    </row>
    <row r="5829" spans="1:15" hidden="1" x14ac:dyDescent="0.2">
      <c r="A5829" s="3"/>
      <c r="B5829" s="2"/>
      <c r="C5829" s="2"/>
      <c r="D5829" s="2"/>
      <c r="E5829" s="2"/>
      <c r="F5829" s="2"/>
      <c r="G5829" s="2"/>
      <c r="O5829"/>
    </row>
    <row r="5830" spans="1:15" hidden="1" x14ac:dyDescent="0.2">
      <c r="A5830" s="3"/>
      <c r="B5830" s="2"/>
      <c r="C5830" s="2"/>
      <c r="D5830" s="2"/>
      <c r="E5830" s="2"/>
      <c r="F5830" s="2"/>
      <c r="G5830" s="2"/>
      <c r="O5830"/>
    </row>
    <row r="5831" spans="1:15" hidden="1" x14ac:dyDescent="0.2">
      <c r="A5831" s="3"/>
      <c r="B5831" s="2"/>
      <c r="C5831" s="2"/>
      <c r="D5831" s="2"/>
      <c r="E5831" s="2"/>
      <c r="F5831" s="2"/>
      <c r="G5831" s="2"/>
      <c r="O5831"/>
    </row>
    <row r="5832" spans="1:15" hidden="1" x14ac:dyDescent="0.2">
      <c r="A5832" s="3"/>
      <c r="B5832" s="2"/>
      <c r="C5832" s="2"/>
      <c r="D5832" s="2"/>
      <c r="E5832" s="2"/>
      <c r="F5832" s="2"/>
      <c r="G5832" s="2"/>
      <c r="O5832"/>
    </row>
    <row r="5833" spans="1:15" hidden="1" x14ac:dyDescent="0.2">
      <c r="A5833" s="3"/>
      <c r="B5833" s="2"/>
      <c r="C5833" s="2"/>
      <c r="D5833" s="2"/>
      <c r="E5833" s="2"/>
      <c r="F5833" s="2"/>
      <c r="G5833" s="2"/>
      <c r="O5833"/>
    </row>
    <row r="5834" spans="1:15" hidden="1" x14ac:dyDescent="0.2">
      <c r="A5834" s="3"/>
      <c r="B5834" s="2"/>
      <c r="C5834" s="2"/>
      <c r="D5834" s="2"/>
      <c r="E5834" s="2"/>
      <c r="F5834" s="2"/>
      <c r="G5834" s="2"/>
      <c r="O5834"/>
    </row>
    <row r="5835" spans="1:15" hidden="1" x14ac:dyDescent="0.2">
      <c r="A5835" s="3"/>
      <c r="B5835" s="2"/>
      <c r="C5835" s="2"/>
      <c r="D5835" s="2"/>
      <c r="E5835" s="2"/>
      <c r="F5835" s="2"/>
      <c r="G5835" s="2"/>
      <c r="O5835"/>
    </row>
    <row r="5836" spans="1:15" hidden="1" x14ac:dyDescent="0.2">
      <c r="A5836" s="3"/>
      <c r="B5836" s="2"/>
      <c r="C5836" s="2"/>
      <c r="D5836" s="2"/>
      <c r="E5836" s="2"/>
      <c r="F5836" s="2"/>
      <c r="G5836" s="2"/>
      <c r="O5836"/>
    </row>
    <row r="5837" spans="1:15" hidden="1" x14ac:dyDescent="0.2">
      <c r="A5837" s="3"/>
      <c r="B5837" s="2"/>
      <c r="C5837" s="2"/>
      <c r="D5837" s="2"/>
      <c r="E5837" s="2"/>
      <c r="F5837" s="2"/>
      <c r="G5837" s="2"/>
      <c r="O5837"/>
    </row>
    <row r="5838" spans="1:15" hidden="1" x14ac:dyDescent="0.2">
      <c r="A5838" s="3"/>
      <c r="B5838" s="2"/>
      <c r="C5838" s="2"/>
      <c r="D5838" s="2"/>
      <c r="E5838" s="2"/>
      <c r="F5838" s="2"/>
      <c r="G5838" s="2"/>
      <c r="O5838"/>
    </row>
    <row r="5839" spans="1:15" hidden="1" x14ac:dyDescent="0.2">
      <c r="A5839" s="3"/>
      <c r="B5839" s="2"/>
      <c r="C5839" s="2"/>
      <c r="D5839" s="2"/>
      <c r="E5839" s="2"/>
      <c r="F5839" s="2"/>
      <c r="G5839" s="2"/>
      <c r="O5839"/>
    </row>
    <row r="5840" spans="1:15" hidden="1" x14ac:dyDescent="0.2">
      <c r="A5840" s="3"/>
      <c r="B5840" s="2"/>
      <c r="C5840" s="2"/>
      <c r="D5840" s="2"/>
      <c r="E5840" s="2"/>
      <c r="F5840" s="2"/>
      <c r="G5840" s="2"/>
      <c r="O5840"/>
    </row>
    <row r="5841" spans="1:15" hidden="1" x14ac:dyDescent="0.2">
      <c r="A5841" s="3"/>
      <c r="B5841" s="2"/>
      <c r="C5841" s="2"/>
      <c r="D5841" s="2"/>
      <c r="E5841" s="2"/>
      <c r="F5841" s="2"/>
      <c r="G5841" s="2"/>
      <c r="O5841"/>
    </row>
    <row r="5842" spans="1:15" hidden="1" x14ac:dyDescent="0.2">
      <c r="A5842" s="3"/>
      <c r="B5842" s="2"/>
      <c r="C5842" s="2"/>
      <c r="D5842" s="2"/>
      <c r="E5842" s="2"/>
      <c r="F5842" s="2"/>
      <c r="G5842" s="2"/>
      <c r="O5842"/>
    </row>
    <row r="5843" spans="1:15" hidden="1" x14ac:dyDescent="0.2">
      <c r="A5843" s="3"/>
      <c r="B5843" s="2"/>
      <c r="C5843" s="2"/>
      <c r="D5843" s="2"/>
      <c r="E5843" s="2"/>
      <c r="F5843" s="2"/>
      <c r="G5843" s="2"/>
      <c r="O5843"/>
    </row>
    <row r="5844" spans="1:15" hidden="1" x14ac:dyDescent="0.2">
      <c r="A5844" s="3"/>
      <c r="B5844" s="2"/>
      <c r="C5844" s="2"/>
      <c r="D5844" s="2"/>
      <c r="E5844" s="2"/>
      <c r="F5844" s="2"/>
      <c r="G5844" s="2"/>
      <c r="O5844"/>
    </row>
    <row r="5845" spans="1:15" hidden="1" x14ac:dyDescent="0.2">
      <c r="A5845" s="3"/>
      <c r="B5845" s="2"/>
      <c r="C5845" s="2"/>
      <c r="D5845" s="2"/>
      <c r="E5845" s="2"/>
      <c r="F5845" s="2"/>
      <c r="G5845" s="2"/>
      <c r="O5845"/>
    </row>
    <row r="5846" spans="1:15" hidden="1" x14ac:dyDescent="0.2">
      <c r="A5846" s="3"/>
      <c r="B5846" s="2"/>
      <c r="C5846" s="2"/>
      <c r="D5846" s="2"/>
      <c r="E5846" s="2"/>
      <c r="F5846" s="2"/>
      <c r="G5846" s="2"/>
      <c r="O5846"/>
    </row>
    <row r="5847" spans="1:15" hidden="1" x14ac:dyDescent="0.2">
      <c r="A5847" s="3"/>
      <c r="B5847" s="2"/>
      <c r="C5847" s="2"/>
      <c r="D5847" s="2"/>
      <c r="E5847" s="2"/>
      <c r="F5847" s="2"/>
      <c r="G5847" s="2"/>
      <c r="O5847"/>
    </row>
    <row r="5848" spans="1:15" hidden="1" x14ac:dyDescent="0.2">
      <c r="A5848" s="3"/>
      <c r="B5848" s="2"/>
      <c r="C5848" s="2"/>
      <c r="D5848" s="2"/>
      <c r="E5848" s="2"/>
      <c r="F5848" s="2"/>
      <c r="G5848" s="2"/>
      <c r="O5848"/>
    </row>
    <row r="5849" spans="1:15" hidden="1" x14ac:dyDescent="0.2">
      <c r="A5849" s="3"/>
      <c r="B5849" s="2"/>
      <c r="C5849" s="2"/>
      <c r="D5849" s="2"/>
      <c r="E5849" s="2"/>
      <c r="F5849" s="2"/>
      <c r="G5849" s="2"/>
      <c r="O5849"/>
    </row>
    <row r="5850" spans="1:15" hidden="1" x14ac:dyDescent="0.2">
      <c r="A5850" s="3"/>
      <c r="B5850" s="2"/>
      <c r="C5850" s="2"/>
      <c r="D5850" s="2"/>
      <c r="E5850" s="2"/>
      <c r="F5850" s="2"/>
      <c r="G5850" s="2"/>
      <c r="O5850"/>
    </row>
    <row r="5851" spans="1:15" hidden="1" x14ac:dyDescent="0.2">
      <c r="A5851" s="3"/>
      <c r="B5851" s="2"/>
      <c r="C5851" s="2"/>
      <c r="D5851" s="2"/>
      <c r="E5851" s="2"/>
      <c r="F5851" s="2"/>
      <c r="G5851" s="2"/>
      <c r="O5851"/>
    </row>
    <row r="5852" spans="1:15" hidden="1" x14ac:dyDescent="0.2">
      <c r="A5852" s="3"/>
      <c r="B5852" s="2"/>
      <c r="C5852" s="2"/>
      <c r="D5852" s="2"/>
      <c r="E5852" s="2"/>
      <c r="F5852" s="2"/>
      <c r="G5852" s="2"/>
      <c r="O5852"/>
    </row>
    <row r="5853" spans="1:15" hidden="1" x14ac:dyDescent="0.2">
      <c r="A5853" s="3"/>
      <c r="B5853" s="2"/>
      <c r="C5853" s="2"/>
      <c r="D5853" s="2"/>
      <c r="E5853" s="2"/>
      <c r="F5853" s="2"/>
      <c r="G5853" s="2"/>
      <c r="O5853"/>
    </row>
    <row r="5854" spans="1:15" hidden="1" x14ac:dyDescent="0.2">
      <c r="A5854" s="3"/>
      <c r="B5854" s="2"/>
      <c r="C5854" s="2"/>
      <c r="D5854" s="2"/>
      <c r="E5854" s="2"/>
      <c r="F5854" s="2"/>
      <c r="G5854" s="2"/>
      <c r="O5854"/>
    </row>
    <row r="5855" spans="1:15" hidden="1" x14ac:dyDescent="0.2">
      <c r="A5855" s="3"/>
      <c r="B5855" s="2"/>
      <c r="C5855" s="2"/>
      <c r="D5855" s="2"/>
      <c r="E5855" s="2"/>
      <c r="F5855" s="2"/>
      <c r="G5855" s="2"/>
      <c r="O5855"/>
    </row>
    <row r="5856" spans="1:15" hidden="1" x14ac:dyDescent="0.2">
      <c r="A5856" s="3"/>
      <c r="B5856" s="2"/>
      <c r="C5856" s="2"/>
      <c r="D5856" s="2"/>
      <c r="E5856" s="2"/>
      <c r="F5856" s="2"/>
      <c r="G5856" s="2"/>
      <c r="O5856"/>
    </row>
    <row r="5857" spans="1:15" hidden="1" x14ac:dyDescent="0.2">
      <c r="A5857" s="3"/>
      <c r="B5857" s="2"/>
      <c r="C5857" s="2"/>
      <c r="D5857" s="2"/>
      <c r="E5857" s="2"/>
      <c r="F5857" s="2"/>
      <c r="G5857" s="2"/>
      <c r="O5857"/>
    </row>
    <row r="5858" spans="1:15" hidden="1" x14ac:dyDescent="0.2">
      <c r="A5858" s="3"/>
      <c r="B5858" s="2"/>
      <c r="C5858" s="2"/>
      <c r="D5858" s="2"/>
      <c r="E5858" s="2"/>
      <c r="F5858" s="2"/>
      <c r="G5858" s="2"/>
      <c r="O5858"/>
    </row>
    <row r="5859" spans="1:15" hidden="1" x14ac:dyDescent="0.2">
      <c r="A5859" s="3"/>
      <c r="B5859" s="2"/>
      <c r="C5859" s="2"/>
      <c r="D5859" s="2"/>
      <c r="E5859" s="2"/>
      <c r="F5859" s="2"/>
      <c r="G5859" s="2"/>
      <c r="O5859"/>
    </row>
    <row r="5860" spans="1:15" hidden="1" x14ac:dyDescent="0.2">
      <c r="A5860" s="3"/>
      <c r="B5860" s="2"/>
      <c r="C5860" s="2"/>
      <c r="D5860" s="2"/>
      <c r="E5860" s="2"/>
      <c r="F5860" s="2"/>
      <c r="G5860" s="2"/>
      <c r="O5860"/>
    </row>
    <row r="5861" spans="1:15" hidden="1" x14ac:dyDescent="0.2">
      <c r="A5861" s="3"/>
      <c r="B5861" s="2"/>
      <c r="C5861" s="2"/>
      <c r="D5861" s="2"/>
      <c r="E5861" s="2"/>
      <c r="F5861" s="2"/>
      <c r="G5861" s="2"/>
      <c r="O5861"/>
    </row>
    <row r="5862" spans="1:15" hidden="1" x14ac:dyDescent="0.2">
      <c r="A5862" s="3"/>
      <c r="B5862" s="2"/>
      <c r="C5862" s="2"/>
      <c r="D5862" s="2"/>
      <c r="E5862" s="2"/>
      <c r="F5862" s="2"/>
      <c r="G5862" s="2"/>
      <c r="O5862"/>
    </row>
    <row r="5863" spans="1:15" hidden="1" x14ac:dyDescent="0.2">
      <c r="A5863" s="3"/>
      <c r="B5863" s="2"/>
      <c r="C5863" s="2"/>
      <c r="D5863" s="2"/>
      <c r="E5863" s="2"/>
      <c r="F5863" s="2"/>
      <c r="G5863" s="2"/>
      <c r="O5863"/>
    </row>
    <row r="5864" spans="1:15" hidden="1" x14ac:dyDescent="0.2">
      <c r="A5864" s="3"/>
      <c r="B5864" s="2"/>
      <c r="C5864" s="2"/>
      <c r="D5864" s="2"/>
      <c r="E5864" s="2"/>
      <c r="F5864" s="2"/>
      <c r="G5864" s="2"/>
      <c r="O5864"/>
    </row>
    <row r="5865" spans="1:15" hidden="1" x14ac:dyDescent="0.2">
      <c r="A5865" s="3"/>
      <c r="B5865" s="2"/>
      <c r="C5865" s="2"/>
      <c r="D5865" s="2"/>
      <c r="E5865" s="2"/>
      <c r="F5865" s="2"/>
      <c r="G5865" s="2"/>
      <c r="O5865"/>
    </row>
    <row r="5866" spans="1:15" hidden="1" x14ac:dyDescent="0.2">
      <c r="A5866" s="3"/>
      <c r="B5866" s="2"/>
      <c r="C5866" s="2"/>
      <c r="D5866" s="2"/>
      <c r="E5866" s="2"/>
      <c r="F5866" s="2"/>
      <c r="G5866" s="2"/>
      <c r="O5866"/>
    </row>
    <row r="5867" spans="1:15" hidden="1" x14ac:dyDescent="0.2">
      <c r="A5867" s="3"/>
      <c r="B5867" s="2"/>
      <c r="C5867" s="2"/>
      <c r="D5867" s="2"/>
      <c r="E5867" s="2"/>
      <c r="F5867" s="2"/>
      <c r="G5867" s="2"/>
      <c r="O5867"/>
    </row>
    <row r="5868" spans="1:15" hidden="1" x14ac:dyDescent="0.2">
      <c r="A5868" s="3"/>
      <c r="B5868" s="2"/>
      <c r="C5868" s="2"/>
      <c r="D5868" s="2"/>
      <c r="E5868" s="2"/>
      <c r="F5868" s="2"/>
      <c r="G5868" s="2"/>
      <c r="O5868"/>
    </row>
    <row r="5869" spans="1:15" hidden="1" x14ac:dyDescent="0.2">
      <c r="A5869" s="3"/>
      <c r="B5869" s="2"/>
      <c r="C5869" s="2"/>
      <c r="D5869" s="2"/>
      <c r="E5869" s="2"/>
      <c r="F5869" s="2"/>
      <c r="G5869" s="2"/>
      <c r="O5869"/>
    </row>
    <row r="5870" spans="1:15" hidden="1" x14ac:dyDescent="0.2">
      <c r="A5870" s="3"/>
      <c r="B5870" s="2"/>
      <c r="C5870" s="2"/>
      <c r="D5870" s="2"/>
      <c r="E5870" s="2"/>
      <c r="F5870" s="2"/>
      <c r="G5870" s="2"/>
      <c r="O5870"/>
    </row>
    <row r="5871" spans="1:15" hidden="1" x14ac:dyDescent="0.2">
      <c r="A5871" s="3"/>
      <c r="B5871" s="2"/>
      <c r="C5871" s="2"/>
      <c r="D5871" s="2"/>
      <c r="E5871" s="2"/>
      <c r="F5871" s="2"/>
      <c r="G5871" s="2"/>
      <c r="O5871"/>
    </row>
    <row r="5872" spans="1:15" hidden="1" x14ac:dyDescent="0.2">
      <c r="A5872" s="3"/>
      <c r="B5872" s="2"/>
      <c r="C5872" s="2"/>
      <c r="D5872" s="2"/>
      <c r="E5872" s="2"/>
      <c r="F5872" s="2"/>
      <c r="G5872" s="2"/>
      <c r="O5872"/>
    </row>
    <row r="5873" spans="1:15" hidden="1" x14ac:dyDescent="0.2">
      <c r="A5873" s="3"/>
      <c r="B5873" s="2"/>
      <c r="C5873" s="2"/>
      <c r="D5873" s="2"/>
      <c r="E5873" s="2"/>
      <c r="F5873" s="2"/>
      <c r="G5873" s="2"/>
      <c r="O5873"/>
    </row>
    <row r="5874" spans="1:15" hidden="1" x14ac:dyDescent="0.2">
      <c r="A5874" s="3"/>
      <c r="B5874" s="2"/>
      <c r="C5874" s="2"/>
      <c r="D5874" s="2"/>
      <c r="E5874" s="2"/>
      <c r="F5874" s="2"/>
      <c r="G5874" s="2"/>
      <c r="O5874"/>
    </row>
    <row r="5875" spans="1:15" hidden="1" x14ac:dyDescent="0.2">
      <c r="A5875" s="3"/>
      <c r="B5875" s="2"/>
      <c r="C5875" s="2"/>
      <c r="D5875" s="2"/>
      <c r="E5875" s="2"/>
      <c r="F5875" s="2"/>
      <c r="G5875" s="2"/>
      <c r="O5875"/>
    </row>
    <row r="5876" spans="1:15" hidden="1" x14ac:dyDescent="0.2">
      <c r="A5876" s="3"/>
      <c r="B5876" s="2"/>
      <c r="C5876" s="2"/>
      <c r="D5876" s="2"/>
      <c r="E5876" s="2"/>
      <c r="F5876" s="2"/>
      <c r="G5876" s="2"/>
      <c r="O5876"/>
    </row>
    <row r="5877" spans="1:15" hidden="1" x14ac:dyDescent="0.2">
      <c r="A5877" s="3"/>
      <c r="B5877" s="2"/>
      <c r="C5877" s="2"/>
      <c r="D5877" s="2"/>
      <c r="E5877" s="2"/>
      <c r="F5877" s="2"/>
      <c r="G5877" s="2"/>
      <c r="O5877"/>
    </row>
    <row r="5878" spans="1:15" hidden="1" x14ac:dyDescent="0.2">
      <c r="A5878" s="3"/>
      <c r="B5878" s="2"/>
      <c r="C5878" s="2"/>
      <c r="D5878" s="2"/>
      <c r="E5878" s="2"/>
      <c r="F5878" s="2"/>
      <c r="G5878" s="2"/>
      <c r="O5878"/>
    </row>
    <row r="5879" spans="1:15" hidden="1" x14ac:dyDescent="0.2">
      <c r="A5879" s="3"/>
      <c r="B5879" s="2"/>
      <c r="C5879" s="2"/>
      <c r="D5879" s="2"/>
      <c r="E5879" s="2"/>
      <c r="F5879" s="2"/>
      <c r="G5879" s="2"/>
      <c r="O5879"/>
    </row>
    <row r="5880" spans="1:15" hidden="1" x14ac:dyDescent="0.2">
      <c r="A5880" s="3"/>
      <c r="B5880" s="2"/>
      <c r="C5880" s="2"/>
      <c r="D5880" s="2"/>
      <c r="E5880" s="2"/>
      <c r="F5880" s="2"/>
      <c r="G5880" s="2"/>
      <c r="O5880"/>
    </row>
    <row r="5881" spans="1:15" hidden="1" x14ac:dyDescent="0.2">
      <c r="A5881" s="3"/>
      <c r="B5881" s="2"/>
      <c r="C5881" s="2"/>
      <c r="D5881" s="2"/>
      <c r="E5881" s="2"/>
      <c r="F5881" s="2"/>
      <c r="G5881" s="2"/>
      <c r="O5881"/>
    </row>
    <row r="5882" spans="1:15" hidden="1" x14ac:dyDescent="0.2">
      <c r="A5882" s="3"/>
      <c r="B5882" s="2"/>
      <c r="C5882" s="2"/>
      <c r="D5882" s="2"/>
      <c r="E5882" s="2"/>
      <c r="F5882" s="2"/>
      <c r="G5882" s="2"/>
      <c r="O5882"/>
    </row>
    <row r="5883" spans="1:15" hidden="1" x14ac:dyDescent="0.2">
      <c r="A5883" s="3"/>
      <c r="B5883" s="2"/>
      <c r="C5883" s="2"/>
      <c r="D5883" s="2"/>
      <c r="E5883" s="2"/>
      <c r="F5883" s="2"/>
      <c r="G5883" s="2"/>
      <c r="O5883"/>
    </row>
    <row r="5884" spans="1:15" hidden="1" x14ac:dyDescent="0.2">
      <c r="A5884" s="3"/>
      <c r="B5884" s="2"/>
      <c r="C5884" s="2"/>
      <c r="D5884" s="2"/>
      <c r="E5884" s="2"/>
      <c r="F5884" s="2"/>
      <c r="G5884" s="2"/>
      <c r="O5884"/>
    </row>
    <row r="5885" spans="1:15" hidden="1" x14ac:dyDescent="0.2">
      <c r="A5885" s="3"/>
      <c r="B5885" s="2"/>
      <c r="C5885" s="2"/>
      <c r="D5885" s="2"/>
      <c r="E5885" s="2"/>
      <c r="F5885" s="2"/>
      <c r="G5885" s="2"/>
      <c r="O5885"/>
    </row>
    <row r="5886" spans="1:15" hidden="1" x14ac:dyDescent="0.2">
      <c r="A5886" s="3"/>
      <c r="B5886" s="2"/>
      <c r="C5886" s="2"/>
      <c r="D5886" s="2"/>
      <c r="E5886" s="2"/>
      <c r="F5886" s="2"/>
      <c r="G5886" s="2"/>
      <c r="O5886"/>
    </row>
    <row r="5887" spans="1:15" hidden="1" x14ac:dyDescent="0.2">
      <c r="A5887" s="3"/>
      <c r="B5887" s="2"/>
      <c r="C5887" s="2"/>
      <c r="D5887" s="2"/>
      <c r="E5887" s="2"/>
      <c r="F5887" s="2"/>
      <c r="G5887" s="2"/>
      <c r="O5887"/>
    </row>
    <row r="5888" spans="1:15" hidden="1" x14ac:dyDescent="0.2">
      <c r="A5888" s="3"/>
      <c r="B5888" s="2"/>
      <c r="C5888" s="2"/>
      <c r="D5888" s="2"/>
      <c r="E5888" s="2"/>
      <c r="F5888" s="2"/>
      <c r="G5888" s="2"/>
      <c r="O5888"/>
    </row>
    <row r="5889" spans="1:15" hidden="1" x14ac:dyDescent="0.2">
      <c r="A5889" s="3"/>
      <c r="B5889" s="2"/>
      <c r="C5889" s="2"/>
      <c r="D5889" s="2"/>
      <c r="E5889" s="2"/>
      <c r="F5889" s="2"/>
      <c r="G5889" s="2"/>
      <c r="O5889"/>
    </row>
    <row r="5890" spans="1:15" hidden="1" x14ac:dyDescent="0.2">
      <c r="A5890" s="3"/>
      <c r="B5890" s="2"/>
      <c r="C5890" s="2"/>
      <c r="D5890" s="2"/>
      <c r="E5890" s="2"/>
      <c r="F5890" s="2"/>
      <c r="G5890" s="2"/>
      <c r="O5890"/>
    </row>
    <row r="5891" spans="1:15" hidden="1" x14ac:dyDescent="0.2">
      <c r="A5891" s="3"/>
      <c r="B5891" s="2"/>
      <c r="C5891" s="2"/>
      <c r="D5891" s="2"/>
      <c r="E5891" s="2"/>
      <c r="F5891" s="2"/>
      <c r="G5891" s="2"/>
      <c r="O5891"/>
    </row>
    <row r="5892" spans="1:15" hidden="1" x14ac:dyDescent="0.2">
      <c r="A5892" s="3"/>
      <c r="B5892" s="2"/>
      <c r="C5892" s="2"/>
      <c r="D5892" s="2"/>
      <c r="E5892" s="2"/>
      <c r="F5892" s="2"/>
      <c r="G5892" s="2"/>
      <c r="O5892"/>
    </row>
    <row r="5893" spans="1:15" hidden="1" x14ac:dyDescent="0.2">
      <c r="A5893" s="3"/>
      <c r="B5893" s="2"/>
      <c r="C5893" s="2"/>
      <c r="D5893" s="2"/>
      <c r="E5893" s="2"/>
      <c r="F5893" s="2"/>
      <c r="G5893" s="2"/>
      <c r="O5893"/>
    </row>
    <row r="5894" spans="1:15" hidden="1" x14ac:dyDescent="0.2">
      <c r="A5894" s="3"/>
      <c r="B5894" s="2"/>
      <c r="C5894" s="2"/>
      <c r="D5894" s="2"/>
      <c r="E5894" s="2"/>
      <c r="F5894" s="2"/>
      <c r="G5894" s="2"/>
      <c r="O5894"/>
    </row>
    <row r="5895" spans="1:15" hidden="1" x14ac:dyDescent="0.2">
      <c r="A5895" s="3"/>
      <c r="B5895" s="2"/>
      <c r="C5895" s="2"/>
      <c r="D5895" s="2"/>
      <c r="E5895" s="2"/>
      <c r="F5895" s="2"/>
      <c r="G5895" s="2"/>
      <c r="O5895"/>
    </row>
    <row r="5896" spans="1:15" hidden="1" x14ac:dyDescent="0.2">
      <c r="A5896" s="3"/>
      <c r="B5896" s="2"/>
      <c r="C5896" s="2"/>
      <c r="D5896" s="2"/>
      <c r="E5896" s="2"/>
      <c r="F5896" s="2"/>
      <c r="G5896" s="2"/>
      <c r="O5896"/>
    </row>
    <row r="5897" spans="1:15" hidden="1" x14ac:dyDescent="0.2">
      <c r="A5897" s="3"/>
      <c r="B5897" s="2"/>
      <c r="C5897" s="2"/>
      <c r="D5897" s="2"/>
      <c r="E5897" s="2"/>
      <c r="F5897" s="2"/>
      <c r="G5897" s="2"/>
      <c r="O5897"/>
    </row>
    <row r="5898" spans="1:15" hidden="1" x14ac:dyDescent="0.2">
      <c r="A5898" s="3"/>
      <c r="B5898" s="2"/>
      <c r="C5898" s="2"/>
      <c r="D5898" s="2"/>
      <c r="E5898" s="2"/>
      <c r="F5898" s="2"/>
      <c r="G5898" s="2"/>
      <c r="O5898"/>
    </row>
    <row r="5899" spans="1:15" hidden="1" x14ac:dyDescent="0.2">
      <c r="A5899" s="3"/>
      <c r="B5899" s="2"/>
      <c r="C5899" s="2"/>
      <c r="D5899" s="2"/>
      <c r="E5899" s="2"/>
      <c r="F5899" s="2"/>
      <c r="G5899" s="2"/>
      <c r="O5899"/>
    </row>
    <row r="5900" spans="1:15" hidden="1" x14ac:dyDescent="0.2">
      <c r="A5900" s="3"/>
      <c r="B5900" s="2"/>
      <c r="C5900" s="2"/>
      <c r="D5900" s="2"/>
      <c r="E5900" s="2"/>
      <c r="F5900" s="2"/>
      <c r="G5900" s="2"/>
      <c r="O5900"/>
    </row>
    <row r="5901" spans="1:15" hidden="1" x14ac:dyDescent="0.2">
      <c r="A5901" s="3"/>
      <c r="B5901" s="2"/>
      <c r="C5901" s="2"/>
      <c r="D5901" s="2"/>
      <c r="E5901" s="2"/>
      <c r="F5901" s="2"/>
      <c r="G5901" s="2"/>
      <c r="O5901"/>
    </row>
    <row r="5902" spans="1:15" hidden="1" x14ac:dyDescent="0.2">
      <c r="A5902" s="3"/>
      <c r="B5902" s="2"/>
      <c r="C5902" s="2"/>
      <c r="D5902" s="2"/>
      <c r="E5902" s="2"/>
      <c r="F5902" s="2"/>
      <c r="G5902" s="2"/>
      <c r="O5902"/>
    </row>
    <row r="5903" spans="1:15" hidden="1" x14ac:dyDescent="0.2">
      <c r="A5903" s="3"/>
      <c r="B5903" s="2"/>
      <c r="C5903" s="2"/>
      <c r="D5903" s="2"/>
      <c r="E5903" s="2"/>
      <c r="F5903" s="2"/>
      <c r="G5903" s="2"/>
      <c r="O5903"/>
    </row>
    <row r="5904" spans="1:15" hidden="1" x14ac:dyDescent="0.2">
      <c r="A5904" s="3"/>
      <c r="B5904" s="2"/>
      <c r="C5904" s="2"/>
      <c r="D5904" s="2"/>
      <c r="E5904" s="2"/>
      <c r="F5904" s="2"/>
      <c r="G5904" s="2"/>
      <c r="O5904"/>
    </row>
    <row r="5905" spans="1:15" hidden="1" x14ac:dyDescent="0.2">
      <c r="A5905" s="3"/>
      <c r="B5905" s="2"/>
      <c r="C5905" s="2"/>
      <c r="D5905" s="2"/>
      <c r="E5905" s="2"/>
      <c r="F5905" s="2"/>
      <c r="G5905" s="2"/>
      <c r="O5905"/>
    </row>
    <row r="5906" spans="1:15" hidden="1" x14ac:dyDescent="0.2">
      <c r="A5906" s="3"/>
      <c r="B5906" s="2"/>
      <c r="C5906" s="2"/>
      <c r="D5906" s="2"/>
      <c r="E5906" s="2"/>
      <c r="F5906" s="2"/>
      <c r="G5906" s="2"/>
      <c r="O5906"/>
    </row>
    <row r="5907" spans="1:15" hidden="1" x14ac:dyDescent="0.2">
      <c r="A5907" s="3"/>
      <c r="B5907" s="2"/>
      <c r="C5907" s="2"/>
      <c r="D5907" s="2"/>
      <c r="E5907" s="2"/>
      <c r="F5907" s="2"/>
      <c r="G5907" s="2"/>
      <c r="O5907"/>
    </row>
    <row r="5908" spans="1:15" hidden="1" x14ac:dyDescent="0.2">
      <c r="A5908" s="3"/>
      <c r="B5908" s="2"/>
      <c r="C5908" s="2"/>
      <c r="D5908" s="2"/>
      <c r="E5908" s="2"/>
      <c r="F5908" s="2"/>
      <c r="G5908" s="2"/>
      <c r="O5908"/>
    </row>
    <row r="5909" spans="1:15" hidden="1" x14ac:dyDescent="0.2">
      <c r="A5909" s="3"/>
      <c r="B5909" s="2"/>
      <c r="C5909" s="2"/>
      <c r="D5909" s="2"/>
      <c r="E5909" s="2"/>
      <c r="F5909" s="2"/>
      <c r="G5909" s="2"/>
      <c r="O5909"/>
    </row>
    <row r="5910" spans="1:15" hidden="1" x14ac:dyDescent="0.2">
      <c r="A5910" s="3"/>
      <c r="B5910" s="2"/>
      <c r="C5910" s="2"/>
      <c r="D5910" s="2"/>
      <c r="E5910" s="2"/>
      <c r="F5910" s="2"/>
      <c r="G5910" s="2"/>
      <c r="O5910"/>
    </row>
    <row r="5911" spans="1:15" hidden="1" x14ac:dyDescent="0.2">
      <c r="A5911" s="3"/>
      <c r="B5911" s="2"/>
      <c r="C5911" s="2"/>
      <c r="D5911" s="2"/>
      <c r="E5911" s="2"/>
      <c r="F5911" s="2"/>
      <c r="G5911" s="2"/>
      <c r="O5911"/>
    </row>
    <row r="5912" spans="1:15" hidden="1" x14ac:dyDescent="0.2">
      <c r="A5912" s="3"/>
      <c r="B5912" s="2"/>
      <c r="C5912" s="2"/>
      <c r="D5912" s="2"/>
      <c r="E5912" s="2"/>
      <c r="F5912" s="2"/>
      <c r="G5912" s="2"/>
      <c r="O5912"/>
    </row>
    <row r="5913" spans="1:15" hidden="1" x14ac:dyDescent="0.2">
      <c r="A5913" s="3"/>
      <c r="B5913" s="2"/>
      <c r="C5913" s="2"/>
      <c r="D5913" s="2"/>
      <c r="E5913" s="2"/>
      <c r="F5913" s="2"/>
      <c r="G5913" s="2"/>
      <c r="O5913"/>
    </row>
    <row r="5914" spans="1:15" hidden="1" x14ac:dyDescent="0.2">
      <c r="A5914" s="3"/>
      <c r="B5914" s="2"/>
      <c r="C5914" s="2"/>
      <c r="D5914" s="2"/>
      <c r="E5914" s="2"/>
      <c r="F5914" s="2"/>
      <c r="G5914" s="2"/>
      <c r="O5914"/>
    </row>
    <row r="5915" spans="1:15" hidden="1" x14ac:dyDescent="0.2">
      <c r="A5915" s="3"/>
      <c r="B5915" s="2"/>
      <c r="C5915" s="2"/>
      <c r="D5915" s="2"/>
      <c r="E5915" s="2"/>
      <c r="F5915" s="2"/>
      <c r="G5915" s="2"/>
      <c r="O5915"/>
    </row>
    <row r="5916" spans="1:15" hidden="1" x14ac:dyDescent="0.2">
      <c r="A5916" s="3"/>
      <c r="B5916" s="2"/>
      <c r="C5916" s="2"/>
      <c r="D5916" s="2"/>
      <c r="E5916" s="2"/>
      <c r="F5916" s="2"/>
      <c r="G5916" s="2"/>
      <c r="O5916"/>
    </row>
    <row r="5917" spans="1:15" hidden="1" x14ac:dyDescent="0.2">
      <c r="A5917" s="3"/>
      <c r="B5917" s="2"/>
      <c r="C5917" s="2"/>
      <c r="D5917" s="2"/>
      <c r="E5917" s="2"/>
      <c r="F5917" s="2"/>
      <c r="G5917" s="2"/>
      <c r="O5917"/>
    </row>
    <row r="5918" spans="1:15" hidden="1" x14ac:dyDescent="0.2">
      <c r="A5918" s="3"/>
      <c r="B5918" s="2"/>
      <c r="C5918" s="2"/>
      <c r="D5918" s="2"/>
      <c r="E5918" s="2"/>
      <c r="F5918" s="2"/>
      <c r="G5918" s="2"/>
      <c r="O5918"/>
    </row>
    <row r="5919" spans="1:15" hidden="1" x14ac:dyDescent="0.2">
      <c r="A5919" s="3"/>
      <c r="B5919" s="2"/>
      <c r="C5919" s="2"/>
      <c r="D5919" s="2"/>
      <c r="E5919" s="2"/>
      <c r="F5919" s="2"/>
      <c r="G5919" s="2"/>
      <c r="O5919"/>
    </row>
    <row r="5920" spans="1:15" hidden="1" x14ac:dyDescent="0.2">
      <c r="A5920" s="3"/>
      <c r="B5920" s="2"/>
      <c r="C5920" s="2"/>
      <c r="D5920" s="2"/>
      <c r="E5920" s="2"/>
      <c r="F5920" s="2"/>
      <c r="G5920" s="2"/>
      <c r="O5920"/>
    </row>
    <row r="5921" spans="1:15" hidden="1" x14ac:dyDescent="0.2">
      <c r="A5921" s="3"/>
      <c r="B5921" s="2"/>
      <c r="C5921" s="2"/>
      <c r="D5921" s="2"/>
      <c r="E5921" s="2"/>
      <c r="F5921" s="2"/>
      <c r="G5921" s="2"/>
      <c r="O5921"/>
    </row>
    <row r="5922" spans="1:15" hidden="1" x14ac:dyDescent="0.2">
      <c r="A5922" s="3"/>
      <c r="B5922" s="2"/>
      <c r="C5922" s="2"/>
      <c r="D5922" s="2"/>
      <c r="E5922" s="2"/>
      <c r="F5922" s="2"/>
      <c r="G5922" s="2"/>
      <c r="O5922"/>
    </row>
    <row r="5923" spans="1:15" hidden="1" x14ac:dyDescent="0.2">
      <c r="A5923" s="3"/>
      <c r="B5923" s="2"/>
      <c r="C5923" s="2"/>
      <c r="D5923" s="2"/>
      <c r="E5923" s="2"/>
      <c r="F5923" s="2"/>
      <c r="G5923" s="2"/>
      <c r="O5923"/>
    </row>
    <row r="5924" spans="1:15" hidden="1" x14ac:dyDescent="0.2">
      <c r="A5924" s="3"/>
      <c r="B5924" s="2"/>
      <c r="C5924" s="2"/>
      <c r="D5924" s="2"/>
      <c r="E5924" s="2"/>
      <c r="F5924" s="2"/>
      <c r="G5924" s="2"/>
      <c r="O5924"/>
    </row>
    <row r="5925" spans="1:15" hidden="1" x14ac:dyDescent="0.2">
      <c r="A5925" s="3"/>
      <c r="B5925" s="2"/>
      <c r="C5925" s="2"/>
      <c r="D5925" s="2"/>
      <c r="E5925" s="2"/>
      <c r="F5925" s="2"/>
      <c r="G5925" s="2"/>
      <c r="O5925"/>
    </row>
    <row r="5926" spans="1:15" hidden="1" x14ac:dyDescent="0.2">
      <c r="A5926" s="3"/>
      <c r="B5926" s="2"/>
      <c r="C5926" s="2"/>
      <c r="D5926" s="2"/>
      <c r="E5926" s="2"/>
      <c r="F5926" s="2"/>
      <c r="G5926" s="2"/>
      <c r="O5926"/>
    </row>
    <row r="5927" spans="1:15" hidden="1" x14ac:dyDescent="0.2">
      <c r="A5927" s="3"/>
      <c r="B5927" s="2"/>
      <c r="C5927" s="2"/>
      <c r="D5927" s="2"/>
      <c r="E5927" s="2"/>
      <c r="F5927" s="2"/>
      <c r="G5927" s="2"/>
      <c r="O5927"/>
    </row>
    <row r="5928" spans="1:15" hidden="1" x14ac:dyDescent="0.2">
      <c r="A5928" s="3"/>
      <c r="B5928" s="2"/>
      <c r="C5928" s="2"/>
      <c r="D5928" s="2"/>
      <c r="E5928" s="2"/>
      <c r="F5928" s="2"/>
      <c r="G5928" s="2"/>
      <c r="O5928"/>
    </row>
    <row r="5929" spans="1:15" hidden="1" x14ac:dyDescent="0.2">
      <c r="A5929" s="3"/>
      <c r="B5929" s="2"/>
      <c r="C5929" s="2"/>
      <c r="D5929" s="2"/>
      <c r="E5929" s="2"/>
      <c r="F5929" s="2"/>
      <c r="G5929" s="2"/>
      <c r="O5929"/>
    </row>
    <row r="5930" spans="1:15" hidden="1" x14ac:dyDescent="0.2">
      <c r="A5930" s="3"/>
      <c r="B5930" s="2"/>
      <c r="C5930" s="2"/>
      <c r="D5930" s="2"/>
      <c r="E5930" s="2"/>
      <c r="F5930" s="2"/>
      <c r="G5930" s="2"/>
      <c r="O5930"/>
    </row>
    <row r="5931" spans="1:15" hidden="1" x14ac:dyDescent="0.2">
      <c r="A5931" s="3"/>
      <c r="B5931" s="2"/>
      <c r="C5931" s="2"/>
      <c r="D5931" s="2"/>
      <c r="E5931" s="2"/>
      <c r="F5931" s="2"/>
      <c r="G5931" s="2"/>
      <c r="O5931"/>
    </row>
    <row r="5932" spans="1:15" hidden="1" x14ac:dyDescent="0.2">
      <c r="A5932" s="3"/>
      <c r="B5932" s="2"/>
      <c r="C5932" s="2"/>
      <c r="D5932" s="2"/>
      <c r="E5932" s="2"/>
      <c r="F5932" s="2"/>
      <c r="G5932" s="2"/>
      <c r="O5932"/>
    </row>
    <row r="5933" spans="1:15" hidden="1" x14ac:dyDescent="0.2">
      <c r="A5933" s="3"/>
      <c r="B5933" s="2"/>
      <c r="C5933" s="2"/>
      <c r="D5933" s="2"/>
      <c r="E5933" s="2"/>
      <c r="F5933" s="2"/>
      <c r="G5933" s="2"/>
      <c r="O5933"/>
    </row>
    <row r="5934" spans="1:15" hidden="1" x14ac:dyDescent="0.2">
      <c r="A5934" s="3"/>
      <c r="B5934" s="2"/>
      <c r="C5934" s="2"/>
      <c r="D5934" s="2"/>
      <c r="E5934" s="2"/>
      <c r="F5934" s="2"/>
      <c r="G5934" s="2"/>
      <c r="O5934"/>
    </row>
    <row r="5935" spans="1:15" hidden="1" x14ac:dyDescent="0.2">
      <c r="A5935" s="3"/>
      <c r="B5935" s="2"/>
      <c r="C5935" s="2"/>
      <c r="D5935" s="2"/>
      <c r="E5935" s="2"/>
      <c r="F5935" s="2"/>
      <c r="G5935" s="2"/>
      <c r="O5935"/>
    </row>
    <row r="5936" spans="1:15" hidden="1" x14ac:dyDescent="0.2">
      <c r="A5936" s="3"/>
      <c r="B5936" s="2"/>
      <c r="C5936" s="2"/>
      <c r="D5936" s="2"/>
      <c r="E5936" s="2"/>
      <c r="F5936" s="2"/>
      <c r="G5936" s="2"/>
      <c r="O5936"/>
    </row>
    <row r="5937" spans="1:15" hidden="1" x14ac:dyDescent="0.2">
      <c r="A5937" s="3"/>
      <c r="B5937" s="2"/>
      <c r="C5937" s="2"/>
      <c r="D5937" s="2"/>
      <c r="E5937" s="2"/>
      <c r="F5937" s="2"/>
      <c r="G5937" s="2"/>
      <c r="O5937"/>
    </row>
    <row r="5938" spans="1:15" hidden="1" x14ac:dyDescent="0.2">
      <c r="A5938" s="3"/>
      <c r="B5938" s="2"/>
      <c r="C5938" s="2"/>
      <c r="D5938" s="2"/>
      <c r="E5938" s="2"/>
      <c r="F5938" s="2"/>
      <c r="G5938" s="2"/>
      <c r="O5938"/>
    </row>
    <row r="5939" spans="1:15" hidden="1" x14ac:dyDescent="0.2">
      <c r="A5939" s="3"/>
      <c r="B5939" s="2"/>
      <c r="C5939" s="2"/>
      <c r="D5939" s="2"/>
      <c r="E5939" s="2"/>
      <c r="F5939" s="2"/>
      <c r="G5939" s="2"/>
      <c r="O5939"/>
    </row>
    <row r="5940" spans="1:15" hidden="1" x14ac:dyDescent="0.2">
      <c r="A5940" s="3"/>
      <c r="B5940" s="2"/>
      <c r="C5940" s="2"/>
      <c r="D5940" s="2"/>
      <c r="E5940" s="2"/>
      <c r="F5940" s="2"/>
      <c r="G5940" s="2"/>
      <c r="O5940"/>
    </row>
    <row r="5941" spans="1:15" hidden="1" x14ac:dyDescent="0.2">
      <c r="A5941" s="3"/>
      <c r="B5941" s="2"/>
      <c r="C5941" s="2"/>
      <c r="D5941" s="2"/>
      <c r="E5941" s="2"/>
      <c r="F5941" s="2"/>
      <c r="G5941" s="2"/>
      <c r="O5941"/>
    </row>
    <row r="5942" spans="1:15" hidden="1" x14ac:dyDescent="0.2">
      <c r="A5942" s="3"/>
      <c r="B5942" s="2"/>
      <c r="C5942" s="2"/>
      <c r="D5942" s="2"/>
      <c r="E5942" s="2"/>
      <c r="F5942" s="2"/>
      <c r="G5942" s="2"/>
      <c r="O5942"/>
    </row>
    <row r="5943" spans="1:15" hidden="1" x14ac:dyDescent="0.2">
      <c r="A5943" s="3"/>
      <c r="B5943" s="2"/>
      <c r="C5943" s="2"/>
      <c r="D5943" s="2"/>
      <c r="E5943" s="2"/>
      <c r="F5943" s="2"/>
      <c r="G5943" s="2"/>
      <c r="O5943"/>
    </row>
    <row r="5944" spans="1:15" hidden="1" x14ac:dyDescent="0.2">
      <c r="A5944" s="3"/>
      <c r="B5944" s="2"/>
      <c r="C5944" s="2"/>
      <c r="D5944" s="2"/>
      <c r="E5944" s="2"/>
      <c r="F5944" s="2"/>
      <c r="G5944" s="2"/>
      <c r="O5944"/>
    </row>
    <row r="5945" spans="1:15" hidden="1" x14ac:dyDescent="0.2">
      <c r="A5945" s="3"/>
      <c r="B5945" s="2"/>
      <c r="C5945" s="2"/>
      <c r="D5945" s="2"/>
      <c r="E5945" s="2"/>
      <c r="F5945" s="2"/>
      <c r="G5945" s="2"/>
      <c r="O5945"/>
    </row>
    <row r="5946" spans="1:15" hidden="1" x14ac:dyDescent="0.2">
      <c r="A5946" s="3"/>
      <c r="B5946" s="2"/>
      <c r="C5946" s="2"/>
      <c r="D5946" s="2"/>
      <c r="E5946" s="2"/>
      <c r="F5946" s="2"/>
      <c r="G5946" s="2"/>
      <c r="O5946"/>
    </row>
    <row r="5947" spans="1:15" hidden="1" x14ac:dyDescent="0.2">
      <c r="A5947" s="3"/>
      <c r="B5947" s="2"/>
      <c r="C5947" s="2"/>
      <c r="D5947" s="2"/>
      <c r="E5947" s="2"/>
      <c r="F5947" s="2"/>
      <c r="G5947" s="2"/>
      <c r="O5947"/>
    </row>
    <row r="5948" spans="1:15" hidden="1" x14ac:dyDescent="0.2">
      <c r="A5948" s="3"/>
      <c r="B5948" s="2"/>
      <c r="C5948" s="2"/>
      <c r="D5948" s="2"/>
      <c r="E5948" s="2"/>
      <c r="F5948" s="2"/>
      <c r="G5948" s="2"/>
      <c r="O5948"/>
    </row>
    <row r="5949" spans="1:15" hidden="1" x14ac:dyDescent="0.2">
      <c r="A5949" s="3"/>
      <c r="B5949" s="2"/>
      <c r="C5949" s="2"/>
      <c r="D5949" s="2"/>
      <c r="E5949" s="2"/>
      <c r="F5949" s="2"/>
      <c r="G5949" s="2"/>
      <c r="O5949"/>
    </row>
    <row r="5950" spans="1:15" hidden="1" x14ac:dyDescent="0.2">
      <c r="A5950" s="3"/>
      <c r="B5950" s="2"/>
      <c r="C5950" s="2"/>
      <c r="D5950" s="2"/>
      <c r="E5950" s="2"/>
      <c r="F5950" s="2"/>
      <c r="G5950" s="2"/>
      <c r="O5950"/>
    </row>
    <row r="5951" spans="1:15" hidden="1" x14ac:dyDescent="0.2">
      <c r="A5951" s="3"/>
      <c r="B5951" s="2"/>
      <c r="C5951" s="2"/>
      <c r="D5951" s="2"/>
      <c r="E5951" s="2"/>
      <c r="F5951" s="2"/>
      <c r="G5951" s="2"/>
      <c r="O5951"/>
    </row>
    <row r="5952" spans="1:15" hidden="1" x14ac:dyDescent="0.2">
      <c r="A5952" s="3"/>
      <c r="B5952" s="2"/>
      <c r="C5952" s="2"/>
      <c r="D5952" s="2"/>
      <c r="E5952" s="2"/>
      <c r="F5952" s="2"/>
      <c r="G5952" s="2"/>
      <c r="O5952"/>
    </row>
    <row r="5953" spans="1:15" hidden="1" x14ac:dyDescent="0.2">
      <c r="A5953" s="3"/>
      <c r="B5953" s="2"/>
      <c r="C5953" s="2"/>
      <c r="D5953" s="2"/>
      <c r="E5953" s="2"/>
      <c r="F5953" s="2"/>
      <c r="G5953" s="2"/>
      <c r="O5953"/>
    </row>
    <row r="5954" spans="1:15" hidden="1" x14ac:dyDescent="0.2">
      <c r="A5954" s="3"/>
      <c r="B5954" s="2"/>
      <c r="C5954" s="2"/>
      <c r="D5954" s="2"/>
      <c r="E5954" s="2"/>
      <c r="F5954" s="2"/>
      <c r="G5954" s="2"/>
      <c r="O5954"/>
    </row>
    <row r="5955" spans="1:15" hidden="1" x14ac:dyDescent="0.2">
      <c r="A5955" s="3"/>
      <c r="B5955" s="2"/>
      <c r="C5955" s="2"/>
      <c r="D5955" s="2"/>
      <c r="E5955" s="2"/>
      <c r="F5955" s="2"/>
      <c r="G5955" s="2"/>
      <c r="O5955"/>
    </row>
    <row r="5956" spans="1:15" hidden="1" x14ac:dyDescent="0.2">
      <c r="A5956" s="3"/>
      <c r="B5956" s="2"/>
      <c r="C5956" s="2"/>
      <c r="D5956" s="2"/>
      <c r="E5956" s="2"/>
      <c r="F5956" s="2"/>
      <c r="G5956" s="2"/>
      <c r="O5956"/>
    </row>
    <row r="5957" spans="1:15" hidden="1" x14ac:dyDescent="0.2">
      <c r="A5957" s="3"/>
      <c r="B5957" s="2"/>
      <c r="C5957" s="2"/>
      <c r="D5957" s="2"/>
      <c r="E5957" s="2"/>
      <c r="F5957" s="2"/>
      <c r="G5957" s="2"/>
      <c r="O5957"/>
    </row>
    <row r="5958" spans="1:15" hidden="1" x14ac:dyDescent="0.2">
      <c r="A5958" s="3"/>
      <c r="B5958" s="2"/>
      <c r="C5958" s="2"/>
      <c r="D5958" s="2"/>
      <c r="E5958" s="2"/>
      <c r="F5958" s="2"/>
      <c r="G5958" s="2"/>
      <c r="O5958"/>
    </row>
    <row r="5959" spans="1:15" hidden="1" x14ac:dyDescent="0.2">
      <c r="A5959" s="3"/>
      <c r="B5959" s="2"/>
      <c r="C5959" s="2"/>
      <c r="D5959" s="2"/>
      <c r="E5959" s="2"/>
      <c r="F5959" s="2"/>
      <c r="G5959" s="2"/>
      <c r="O5959"/>
    </row>
    <row r="5960" spans="1:15" hidden="1" x14ac:dyDescent="0.2">
      <c r="A5960" s="3"/>
      <c r="B5960" s="2"/>
      <c r="C5960" s="2"/>
      <c r="D5960" s="2"/>
      <c r="E5960" s="2"/>
      <c r="F5960" s="2"/>
      <c r="G5960" s="2"/>
      <c r="O5960"/>
    </row>
    <row r="5961" spans="1:15" hidden="1" x14ac:dyDescent="0.2">
      <c r="A5961" s="3"/>
      <c r="B5961" s="2"/>
      <c r="C5961" s="2"/>
      <c r="D5961" s="2"/>
      <c r="E5961" s="2"/>
      <c r="F5961" s="2"/>
      <c r="G5961" s="2"/>
      <c r="O5961"/>
    </row>
    <row r="5962" spans="1:15" hidden="1" x14ac:dyDescent="0.2">
      <c r="A5962" s="3"/>
      <c r="B5962" s="2"/>
      <c r="C5962" s="2"/>
      <c r="D5962" s="2"/>
      <c r="E5962" s="2"/>
      <c r="F5962" s="2"/>
      <c r="G5962" s="2"/>
      <c r="O5962"/>
    </row>
    <row r="5963" spans="1:15" hidden="1" x14ac:dyDescent="0.2">
      <c r="A5963" s="3"/>
      <c r="B5963" s="2"/>
      <c r="C5963" s="2"/>
      <c r="D5963" s="2"/>
      <c r="E5963" s="2"/>
      <c r="F5963" s="2"/>
      <c r="G5963" s="2"/>
      <c r="O5963"/>
    </row>
    <row r="5964" spans="1:15" hidden="1" x14ac:dyDescent="0.2">
      <c r="A5964" s="3"/>
      <c r="B5964" s="2"/>
      <c r="C5964" s="2"/>
      <c r="D5964" s="2"/>
      <c r="E5964" s="2"/>
      <c r="F5964" s="2"/>
      <c r="G5964" s="2"/>
      <c r="O5964"/>
    </row>
    <row r="5965" spans="1:15" hidden="1" x14ac:dyDescent="0.2">
      <c r="A5965" s="3"/>
      <c r="B5965" s="2"/>
      <c r="C5965" s="2"/>
      <c r="D5965" s="2"/>
      <c r="E5965" s="2"/>
      <c r="F5965" s="2"/>
      <c r="G5965" s="2"/>
      <c r="O5965"/>
    </row>
    <row r="5966" spans="1:15" hidden="1" x14ac:dyDescent="0.2">
      <c r="A5966" s="3"/>
      <c r="B5966" s="2"/>
      <c r="C5966" s="2"/>
      <c r="D5966" s="2"/>
      <c r="E5966" s="2"/>
      <c r="F5966" s="2"/>
      <c r="G5966" s="2"/>
      <c r="O5966"/>
    </row>
    <row r="5967" spans="1:15" hidden="1" x14ac:dyDescent="0.2">
      <c r="A5967" s="3"/>
      <c r="B5967" s="2"/>
      <c r="C5967" s="2"/>
      <c r="D5967" s="2"/>
      <c r="E5967" s="2"/>
      <c r="F5967" s="2"/>
      <c r="G5967" s="2"/>
      <c r="O5967"/>
    </row>
    <row r="5968" spans="1:15" hidden="1" x14ac:dyDescent="0.2">
      <c r="A5968" s="3"/>
      <c r="B5968" s="2"/>
      <c r="C5968" s="2"/>
      <c r="D5968" s="2"/>
      <c r="E5968" s="2"/>
      <c r="F5968" s="2"/>
      <c r="G5968" s="2"/>
      <c r="O5968"/>
    </row>
    <row r="5969" spans="1:15" hidden="1" x14ac:dyDescent="0.2">
      <c r="A5969" s="3"/>
      <c r="B5969" s="2"/>
      <c r="C5969" s="2"/>
      <c r="D5969" s="2"/>
      <c r="E5969" s="2"/>
      <c r="F5969" s="2"/>
      <c r="G5969" s="2"/>
      <c r="O5969"/>
    </row>
    <row r="5970" spans="1:15" hidden="1" x14ac:dyDescent="0.2">
      <c r="A5970" s="3"/>
      <c r="B5970" s="2"/>
      <c r="C5970" s="2"/>
      <c r="D5970" s="2"/>
      <c r="E5970" s="2"/>
      <c r="F5970" s="2"/>
      <c r="G5970" s="2"/>
      <c r="O5970"/>
    </row>
    <row r="5971" spans="1:15" hidden="1" x14ac:dyDescent="0.2">
      <c r="A5971" s="3"/>
      <c r="B5971" s="2"/>
      <c r="C5971" s="2"/>
      <c r="D5971" s="2"/>
      <c r="E5971" s="2"/>
      <c r="F5971" s="2"/>
      <c r="G5971" s="2"/>
      <c r="O5971"/>
    </row>
    <row r="5972" spans="1:15" hidden="1" x14ac:dyDescent="0.2">
      <c r="A5972" s="3"/>
      <c r="B5972" s="2"/>
      <c r="C5972" s="2"/>
      <c r="D5972" s="2"/>
      <c r="E5972" s="2"/>
      <c r="F5972" s="2"/>
      <c r="G5972" s="2"/>
      <c r="O5972"/>
    </row>
    <row r="5973" spans="1:15" hidden="1" x14ac:dyDescent="0.2">
      <c r="A5973" s="3"/>
      <c r="B5973" s="2"/>
      <c r="C5973" s="2"/>
      <c r="D5973" s="2"/>
      <c r="E5973" s="2"/>
      <c r="F5973" s="2"/>
      <c r="G5973" s="2"/>
      <c r="O5973"/>
    </row>
    <row r="5974" spans="1:15" hidden="1" x14ac:dyDescent="0.2">
      <c r="A5974" s="3"/>
      <c r="B5974" s="2"/>
      <c r="C5974" s="2"/>
      <c r="D5974" s="2"/>
      <c r="E5974" s="2"/>
      <c r="F5974" s="2"/>
      <c r="G5974" s="2"/>
      <c r="O5974"/>
    </row>
    <row r="5975" spans="1:15" hidden="1" x14ac:dyDescent="0.2">
      <c r="A5975" s="3"/>
      <c r="B5975" s="2"/>
      <c r="C5975" s="2"/>
      <c r="D5975" s="2"/>
      <c r="E5975" s="2"/>
      <c r="F5975" s="2"/>
      <c r="G5975" s="2"/>
      <c r="O5975"/>
    </row>
    <row r="5976" spans="1:15" hidden="1" x14ac:dyDescent="0.2">
      <c r="A5976" s="3"/>
      <c r="B5976" s="2"/>
      <c r="C5976" s="2"/>
      <c r="D5976" s="2"/>
      <c r="E5976" s="2"/>
      <c r="F5976" s="2"/>
      <c r="G5976" s="2"/>
      <c r="O5976"/>
    </row>
    <row r="5977" spans="1:15" hidden="1" x14ac:dyDescent="0.2">
      <c r="A5977" s="3"/>
      <c r="B5977" s="2"/>
      <c r="C5977" s="2"/>
      <c r="D5977" s="2"/>
      <c r="E5977" s="2"/>
      <c r="F5977" s="2"/>
      <c r="G5977" s="2"/>
      <c r="O5977"/>
    </row>
    <row r="5978" spans="1:15" hidden="1" x14ac:dyDescent="0.2">
      <c r="A5978" s="3"/>
      <c r="B5978" s="2"/>
      <c r="C5978" s="2"/>
      <c r="D5978" s="2"/>
      <c r="E5978" s="2"/>
      <c r="F5978" s="2"/>
      <c r="G5978" s="2"/>
      <c r="O5978"/>
    </row>
    <row r="5979" spans="1:15" hidden="1" x14ac:dyDescent="0.2">
      <c r="A5979" s="3"/>
      <c r="B5979" s="2"/>
      <c r="C5979" s="2"/>
      <c r="D5979" s="2"/>
      <c r="E5979" s="2"/>
      <c r="F5979" s="2"/>
      <c r="G5979" s="2"/>
      <c r="O5979"/>
    </row>
    <row r="5980" spans="1:15" hidden="1" x14ac:dyDescent="0.2">
      <c r="A5980" s="3"/>
      <c r="B5980" s="2"/>
      <c r="C5980" s="2"/>
      <c r="D5980" s="2"/>
      <c r="E5980" s="2"/>
      <c r="F5980" s="2"/>
      <c r="G5980" s="2"/>
      <c r="O5980"/>
    </row>
    <row r="5981" spans="1:15" hidden="1" x14ac:dyDescent="0.2">
      <c r="A5981" s="3"/>
      <c r="B5981" s="2"/>
      <c r="C5981" s="2"/>
      <c r="D5981" s="2"/>
      <c r="E5981" s="2"/>
      <c r="F5981" s="2"/>
      <c r="G5981" s="2"/>
      <c r="O5981"/>
    </row>
    <row r="5982" spans="1:15" hidden="1" x14ac:dyDescent="0.2">
      <c r="A5982" s="3"/>
      <c r="B5982" s="2"/>
      <c r="C5982" s="2"/>
      <c r="D5982" s="2"/>
      <c r="E5982" s="2"/>
      <c r="F5982" s="2"/>
      <c r="G5982" s="2"/>
      <c r="O5982"/>
    </row>
    <row r="5983" spans="1:15" hidden="1" x14ac:dyDescent="0.2">
      <c r="A5983" s="3"/>
      <c r="B5983" s="2"/>
      <c r="C5983" s="2"/>
      <c r="D5983" s="2"/>
      <c r="E5983" s="2"/>
      <c r="F5983" s="2"/>
      <c r="G5983" s="2"/>
      <c r="O5983"/>
    </row>
    <row r="5984" spans="1:15" hidden="1" x14ac:dyDescent="0.2">
      <c r="A5984" s="3"/>
      <c r="B5984" s="2"/>
      <c r="C5984" s="2"/>
      <c r="D5984" s="2"/>
      <c r="E5984" s="2"/>
      <c r="F5984" s="2"/>
      <c r="G5984" s="2"/>
      <c r="O5984"/>
    </row>
    <row r="5985" spans="1:15" hidden="1" x14ac:dyDescent="0.2">
      <c r="A5985" s="3"/>
      <c r="B5985" s="2"/>
      <c r="C5985" s="2"/>
      <c r="D5985" s="2"/>
      <c r="E5985" s="2"/>
      <c r="F5985" s="2"/>
      <c r="G5985" s="2"/>
      <c r="O5985"/>
    </row>
    <row r="5986" spans="1:15" hidden="1" x14ac:dyDescent="0.2">
      <c r="A5986" s="3"/>
      <c r="B5986" s="2"/>
      <c r="C5986" s="2"/>
      <c r="D5986" s="2"/>
      <c r="E5986" s="2"/>
      <c r="F5986" s="2"/>
      <c r="G5986" s="2"/>
      <c r="O5986"/>
    </row>
    <row r="5987" spans="1:15" hidden="1" x14ac:dyDescent="0.2">
      <c r="A5987" s="3"/>
      <c r="B5987" s="2"/>
      <c r="C5987" s="2"/>
      <c r="D5987" s="2"/>
      <c r="E5987" s="2"/>
      <c r="F5987" s="2"/>
      <c r="G5987" s="2"/>
      <c r="O5987"/>
    </row>
    <row r="5988" spans="1:15" hidden="1" x14ac:dyDescent="0.2">
      <c r="A5988" s="3"/>
      <c r="B5988" s="2"/>
      <c r="C5988" s="2"/>
      <c r="D5988" s="2"/>
      <c r="E5988" s="2"/>
      <c r="F5988" s="2"/>
      <c r="G5988" s="2"/>
      <c r="O5988"/>
    </row>
    <row r="5989" spans="1:15" hidden="1" x14ac:dyDescent="0.2">
      <c r="A5989" s="3"/>
      <c r="B5989" s="2"/>
      <c r="C5989" s="2"/>
      <c r="D5989" s="2"/>
      <c r="E5989" s="2"/>
      <c r="F5989" s="2"/>
      <c r="G5989" s="2"/>
      <c r="O5989"/>
    </row>
    <row r="5990" spans="1:15" hidden="1" x14ac:dyDescent="0.2">
      <c r="A5990" s="3"/>
      <c r="B5990" s="2"/>
      <c r="C5990" s="2"/>
      <c r="D5990" s="2"/>
      <c r="E5990" s="2"/>
      <c r="F5990" s="2"/>
      <c r="G5990" s="2"/>
      <c r="O5990"/>
    </row>
    <row r="5991" spans="1:15" hidden="1" x14ac:dyDescent="0.2">
      <c r="A5991" s="3"/>
      <c r="B5991" s="2"/>
      <c r="C5991" s="2"/>
      <c r="D5991" s="2"/>
      <c r="E5991" s="2"/>
      <c r="F5991" s="2"/>
      <c r="G5991" s="2"/>
      <c r="O5991"/>
    </row>
    <row r="5992" spans="1:15" hidden="1" x14ac:dyDescent="0.2">
      <c r="A5992" s="3"/>
      <c r="B5992" s="2"/>
      <c r="C5992" s="2"/>
      <c r="D5992" s="2"/>
      <c r="E5992" s="2"/>
      <c r="F5992" s="2"/>
      <c r="G5992" s="2"/>
      <c r="O5992"/>
    </row>
    <row r="5993" spans="1:15" hidden="1" x14ac:dyDescent="0.2">
      <c r="A5993" s="3"/>
      <c r="B5993" s="2"/>
      <c r="C5993" s="2"/>
      <c r="D5993" s="2"/>
      <c r="E5993" s="2"/>
      <c r="F5993" s="2"/>
      <c r="G5993" s="2"/>
      <c r="O5993"/>
    </row>
    <row r="5994" spans="1:15" hidden="1" x14ac:dyDescent="0.2">
      <c r="A5994" s="3"/>
      <c r="B5994" s="2"/>
      <c r="C5994" s="2"/>
      <c r="D5994" s="2"/>
      <c r="E5994" s="2"/>
      <c r="F5994" s="2"/>
      <c r="G5994" s="2"/>
      <c r="O5994"/>
    </row>
    <row r="5995" spans="1:15" hidden="1" x14ac:dyDescent="0.2">
      <c r="A5995" s="3"/>
      <c r="B5995" s="2"/>
      <c r="C5995" s="2"/>
      <c r="D5995" s="2"/>
      <c r="E5995" s="2"/>
      <c r="F5995" s="2"/>
      <c r="G5995" s="2"/>
      <c r="O5995"/>
    </row>
    <row r="5996" spans="1:15" hidden="1" x14ac:dyDescent="0.2">
      <c r="A5996" s="3"/>
      <c r="B5996" s="2"/>
      <c r="C5996" s="2"/>
      <c r="D5996" s="2"/>
      <c r="E5996" s="2"/>
      <c r="F5996" s="2"/>
      <c r="G5996" s="2"/>
      <c r="O5996"/>
    </row>
    <row r="5997" spans="1:15" hidden="1" x14ac:dyDescent="0.2">
      <c r="A5997" s="3"/>
      <c r="B5997" s="2"/>
      <c r="C5997" s="2"/>
      <c r="D5997" s="2"/>
      <c r="E5997" s="2"/>
      <c r="F5997" s="2"/>
      <c r="G5997" s="2"/>
      <c r="O5997"/>
    </row>
    <row r="5998" spans="1:15" hidden="1" x14ac:dyDescent="0.2">
      <c r="A5998" s="3"/>
      <c r="B5998" s="2"/>
      <c r="C5998" s="2"/>
      <c r="D5998" s="2"/>
      <c r="E5998" s="2"/>
      <c r="F5998" s="2"/>
      <c r="G5998" s="2"/>
      <c r="O5998"/>
    </row>
    <row r="5999" spans="1:15" hidden="1" x14ac:dyDescent="0.2">
      <c r="A5999" s="3"/>
      <c r="B5999" s="2"/>
      <c r="C5999" s="2"/>
      <c r="D5999" s="2"/>
      <c r="E5999" s="2"/>
      <c r="F5999" s="2"/>
      <c r="G5999" s="2"/>
      <c r="O5999"/>
    </row>
    <row r="6000" spans="1:15" hidden="1" x14ac:dyDescent="0.2">
      <c r="A6000" s="3"/>
      <c r="B6000" s="2"/>
      <c r="C6000" s="2"/>
      <c r="D6000" s="2"/>
      <c r="E6000" s="2"/>
      <c r="F6000" s="2"/>
      <c r="G6000" s="2"/>
      <c r="O6000"/>
    </row>
    <row r="6001" spans="1:15" hidden="1" x14ac:dyDescent="0.2">
      <c r="A6001" s="3"/>
      <c r="B6001" s="2"/>
      <c r="C6001" s="2"/>
      <c r="D6001" s="2"/>
      <c r="E6001" s="2"/>
      <c r="F6001" s="2"/>
      <c r="G6001" s="2"/>
      <c r="O6001"/>
    </row>
    <row r="6002" spans="1:15" hidden="1" x14ac:dyDescent="0.2">
      <c r="A6002" s="3"/>
      <c r="B6002" s="2"/>
      <c r="C6002" s="2"/>
      <c r="D6002" s="2"/>
      <c r="E6002" s="2"/>
      <c r="F6002" s="2"/>
      <c r="G6002" s="2"/>
      <c r="O6002"/>
    </row>
    <row r="6003" spans="1:15" hidden="1" x14ac:dyDescent="0.2">
      <c r="A6003" s="3"/>
      <c r="B6003" s="2"/>
      <c r="C6003" s="2"/>
      <c r="D6003" s="2"/>
      <c r="E6003" s="2"/>
      <c r="F6003" s="2"/>
      <c r="G6003" s="2"/>
      <c r="O6003"/>
    </row>
    <row r="6004" spans="1:15" hidden="1" x14ac:dyDescent="0.2">
      <c r="A6004" s="3"/>
      <c r="B6004" s="2"/>
      <c r="C6004" s="2"/>
      <c r="D6004" s="2"/>
      <c r="E6004" s="2"/>
      <c r="F6004" s="2"/>
      <c r="G6004" s="2"/>
      <c r="O6004"/>
    </row>
    <row r="6005" spans="1:15" hidden="1" x14ac:dyDescent="0.2">
      <c r="A6005" s="3"/>
      <c r="B6005" s="2"/>
      <c r="C6005" s="2"/>
      <c r="D6005" s="2"/>
      <c r="E6005" s="2"/>
      <c r="F6005" s="2"/>
      <c r="G6005" s="2"/>
      <c r="O6005"/>
    </row>
    <row r="6006" spans="1:15" hidden="1" x14ac:dyDescent="0.2">
      <c r="A6006" s="3"/>
      <c r="B6006" s="2"/>
      <c r="C6006" s="2"/>
      <c r="D6006" s="2"/>
      <c r="E6006" s="2"/>
      <c r="F6006" s="2"/>
      <c r="G6006" s="2"/>
      <c r="O6006"/>
    </row>
    <row r="6007" spans="1:15" hidden="1" x14ac:dyDescent="0.2">
      <c r="A6007" s="3"/>
      <c r="B6007" s="2"/>
      <c r="C6007" s="2"/>
      <c r="D6007" s="2"/>
      <c r="E6007" s="2"/>
      <c r="F6007" s="2"/>
      <c r="G6007" s="2"/>
      <c r="O6007"/>
    </row>
    <row r="6008" spans="1:15" hidden="1" x14ac:dyDescent="0.2">
      <c r="A6008" s="3"/>
      <c r="B6008" s="2"/>
      <c r="C6008" s="2"/>
      <c r="D6008" s="2"/>
      <c r="E6008" s="2"/>
      <c r="F6008" s="2"/>
      <c r="G6008" s="2"/>
      <c r="O6008"/>
    </row>
    <row r="6009" spans="1:15" hidden="1" x14ac:dyDescent="0.2">
      <c r="A6009" s="3"/>
      <c r="B6009" s="2"/>
      <c r="C6009" s="2"/>
      <c r="D6009" s="2"/>
      <c r="E6009" s="2"/>
      <c r="F6009" s="2"/>
      <c r="G6009" s="2"/>
      <c r="O6009"/>
    </row>
    <row r="6010" spans="1:15" hidden="1" x14ac:dyDescent="0.2">
      <c r="A6010" s="3"/>
      <c r="B6010" s="2"/>
      <c r="C6010" s="2"/>
      <c r="D6010" s="2"/>
      <c r="E6010" s="2"/>
      <c r="F6010" s="2"/>
      <c r="G6010" s="2"/>
      <c r="O6010"/>
    </row>
    <row r="6011" spans="1:15" hidden="1" x14ac:dyDescent="0.2">
      <c r="A6011" s="3"/>
      <c r="B6011" s="2"/>
      <c r="C6011" s="2"/>
      <c r="D6011" s="2"/>
      <c r="E6011" s="2"/>
      <c r="F6011" s="2"/>
      <c r="G6011" s="2"/>
      <c r="O6011"/>
    </row>
    <row r="6012" spans="1:15" hidden="1" x14ac:dyDescent="0.2">
      <c r="A6012" s="3"/>
      <c r="B6012" s="2"/>
      <c r="C6012" s="2"/>
      <c r="D6012" s="2"/>
      <c r="E6012" s="2"/>
      <c r="F6012" s="2"/>
      <c r="G6012" s="2"/>
      <c r="O6012"/>
    </row>
    <row r="6013" spans="1:15" hidden="1" x14ac:dyDescent="0.2">
      <c r="A6013" s="3"/>
      <c r="B6013" s="2"/>
      <c r="C6013" s="2"/>
      <c r="D6013" s="2"/>
      <c r="E6013" s="2"/>
      <c r="F6013" s="2"/>
      <c r="G6013" s="2"/>
      <c r="O6013"/>
    </row>
    <row r="6014" spans="1:15" hidden="1" x14ac:dyDescent="0.2">
      <c r="A6014" s="3"/>
      <c r="B6014" s="2"/>
      <c r="C6014" s="2"/>
      <c r="D6014" s="2"/>
      <c r="E6014" s="2"/>
      <c r="F6014" s="2"/>
      <c r="G6014" s="2"/>
      <c r="O6014"/>
    </row>
    <row r="6015" spans="1:15" hidden="1" x14ac:dyDescent="0.2">
      <c r="A6015" s="3"/>
      <c r="B6015" s="2"/>
      <c r="C6015" s="2"/>
      <c r="D6015" s="2"/>
      <c r="E6015" s="2"/>
      <c r="F6015" s="2"/>
      <c r="G6015" s="2"/>
      <c r="O6015"/>
    </row>
    <row r="6016" spans="1:15" hidden="1" x14ac:dyDescent="0.2">
      <c r="A6016" s="3"/>
      <c r="B6016" s="2"/>
      <c r="C6016" s="2"/>
      <c r="D6016" s="2"/>
      <c r="E6016" s="2"/>
      <c r="F6016" s="2"/>
      <c r="G6016" s="2"/>
      <c r="O6016"/>
    </row>
    <row r="6017" spans="1:15" hidden="1" x14ac:dyDescent="0.2">
      <c r="A6017" s="3"/>
      <c r="B6017" s="2"/>
      <c r="C6017" s="2"/>
      <c r="D6017" s="2"/>
      <c r="E6017" s="2"/>
      <c r="F6017" s="2"/>
      <c r="G6017" s="2"/>
      <c r="O6017"/>
    </row>
    <row r="6018" spans="1:15" hidden="1" x14ac:dyDescent="0.2">
      <c r="A6018" s="3"/>
      <c r="B6018" s="2"/>
      <c r="C6018" s="2"/>
      <c r="D6018" s="2"/>
      <c r="E6018" s="2"/>
      <c r="F6018" s="2"/>
      <c r="G6018" s="2"/>
      <c r="O6018"/>
    </row>
    <row r="6019" spans="1:15" hidden="1" x14ac:dyDescent="0.2">
      <c r="A6019" s="3"/>
      <c r="B6019" s="2"/>
      <c r="C6019" s="2"/>
      <c r="D6019" s="2"/>
      <c r="E6019" s="2"/>
      <c r="F6019" s="2"/>
      <c r="G6019" s="2"/>
      <c r="O6019"/>
    </row>
    <row r="6020" spans="1:15" hidden="1" x14ac:dyDescent="0.2">
      <c r="A6020" s="3"/>
      <c r="B6020" s="2"/>
      <c r="C6020" s="2"/>
      <c r="D6020" s="2"/>
      <c r="E6020" s="2"/>
      <c r="F6020" s="2"/>
      <c r="G6020" s="2"/>
      <c r="O6020"/>
    </row>
    <row r="6021" spans="1:15" hidden="1" x14ac:dyDescent="0.2">
      <c r="A6021" s="3"/>
      <c r="B6021" s="2"/>
      <c r="C6021" s="2"/>
      <c r="D6021" s="2"/>
      <c r="E6021" s="2"/>
      <c r="F6021" s="2"/>
      <c r="G6021" s="2"/>
      <c r="O6021"/>
    </row>
    <row r="6022" spans="1:15" hidden="1" x14ac:dyDescent="0.2">
      <c r="A6022" s="3"/>
      <c r="B6022" s="2"/>
      <c r="C6022" s="2"/>
      <c r="D6022" s="2"/>
      <c r="E6022" s="2"/>
      <c r="F6022" s="2"/>
      <c r="G6022" s="2"/>
      <c r="O6022"/>
    </row>
    <row r="6023" spans="1:15" hidden="1" x14ac:dyDescent="0.2">
      <c r="A6023" s="3"/>
      <c r="B6023" s="2"/>
      <c r="C6023" s="2"/>
      <c r="D6023" s="2"/>
      <c r="E6023" s="2"/>
      <c r="F6023" s="2"/>
      <c r="G6023" s="2"/>
      <c r="O6023"/>
    </row>
    <row r="6024" spans="1:15" hidden="1" x14ac:dyDescent="0.2">
      <c r="A6024" s="3"/>
      <c r="B6024" s="2"/>
      <c r="C6024" s="2"/>
      <c r="D6024" s="2"/>
      <c r="E6024" s="2"/>
      <c r="F6024" s="2"/>
      <c r="G6024" s="2"/>
      <c r="O6024"/>
    </row>
    <row r="6025" spans="1:15" hidden="1" x14ac:dyDescent="0.2">
      <c r="A6025" s="3"/>
      <c r="B6025" s="2"/>
      <c r="C6025" s="2"/>
      <c r="D6025" s="2"/>
      <c r="E6025" s="2"/>
      <c r="F6025" s="2"/>
      <c r="G6025" s="2"/>
      <c r="O6025"/>
    </row>
    <row r="6026" spans="1:15" hidden="1" x14ac:dyDescent="0.2">
      <c r="A6026" s="3"/>
      <c r="B6026" s="2"/>
      <c r="C6026" s="2"/>
      <c r="D6026" s="2"/>
      <c r="E6026" s="2"/>
      <c r="F6026" s="2"/>
      <c r="G6026" s="2"/>
      <c r="O6026"/>
    </row>
    <row r="6027" spans="1:15" hidden="1" x14ac:dyDescent="0.2">
      <c r="A6027" s="3"/>
      <c r="B6027" s="2"/>
      <c r="C6027" s="2"/>
      <c r="D6027" s="2"/>
      <c r="E6027" s="2"/>
      <c r="F6027" s="2"/>
      <c r="G6027" s="2"/>
      <c r="O6027"/>
    </row>
    <row r="6028" spans="1:15" hidden="1" x14ac:dyDescent="0.2">
      <c r="A6028" s="3"/>
      <c r="B6028" s="2"/>
      <c r="C6028" s="2"/>
      <c r="D6028" s="2"/>
      <c r="E6028" s="2"/>
      <c r="F6028" s="2"/>
      <c r="G6028" s="2"/>
      <c r="O6028"/>
    </row>
    <row r="6029" spans="1:15" hidden="1" x14ac:dyDescent="0.2">
      <c r="A6029" s="3"/>
      <c r="B6029" s="2"/>
      <c r="C6029" s="2"/>
      <c r="D6029" s="2"/>
      <c r="E6029" s="2"/>
      <c r="F6029" s="2"/>
      <c r="G6029" s="2"/>
      <c r="O6029"/>
    </row>
    <row r="6030" spans="1:15" hidden="1" x14ac:dyDescent="0.2">
      <c r="A6030" s="3"/>
      <c r="B6030" s="2"/>
      <c r="C6030" s="2"/>
      <c r="D6030" s="2"/>
      <c r="E6030" s="2"/>
      <c r="F6030" s="2"/>
      <c r="G6030" s="2"/>
      <c r="O6030"/>
    </row>
    <row r="6031" spans="1:15" hidden="1" x14ac:dyDescent="0.2">
      <c r="A6031" s="3"/>
      <c r="B6031" s="2"/>
      <c r="C6031" s="2"/>
      <c r="D6031" s="2"/>
      <c r="E6031" s="2"/>
      <c r="F6031" s="2"/>
      <c r="G6031" s="2"/>
      <c r="O6031"/>
    </row>
    <row r="6032" spans="1:15" hidden="1" x14ac:dyDescent="0.2">
      <c r="A6032" s="3"/>
      <c r="B6032" s="2"/>
      <c r="C6032" s="2"/>
      <c r="D6032" s="2"/>
      <c r="E6032" s="2"/>
      <c r="F6032" s="2"/>
      <c r="G6032" s="2"/>
      <c r="O6032"/>
    </row>
    <row r="6033" spans="1:15" hidden="1" x14ac:dyDescent="0.2">
      <c r="A6033" s="3"/>
      <c r="B6033" s="2"/>
      <c r="C6033" s="2"/>
      <c r="D6033" s="2"/>
      <c r="E6033" s="2"/>
      <c r="F6033" s="2"/>
      <c r="G6033" s="2"/>
      <c r="O6033"/>
    </row>
    <row r="6034" spans="1:15" hidden="1" x14ac:dyDescent="0.2">
      <c r="A6034" s="3"/>
      <c r="B6034" s="2"/>
      <c r="C6034" s="2"/>
      <c r="D6034" s="2"/>
      <c r="E6034" s="2"/>
      <c r="F6034" s="2"/>
      <c r="G6034" s="2"/>
      <c r="O6034"/>
    </row>
    <row r="6035" spans="1:15" hidden="1" x14ac:dyDescent="0.2">
      <c r="A6035" s="3"/>
      <c r="B6035" s="2"/>
      <c r="C6035" s="2"/>
      <c r="D6035" s="2"/>
      <c r="E6035" s="2"/>
      <c r="F6035" s="2"/>
      <c r="G6035" s="2"/>
      <c r="O6035"/>
    </row>
    <row r="6036" spans="1:15" hidden="1" x14ac:dyDescent="0.2">
      <c r="A6036" s="3"/>
      <c r="B6036" s="2"/>
      <c r="C6036" s="2"/>
      <c r="D6036" s="2"/>
      <c r="E6036" s="2"/>
      <c r="F6036" s="2"/>
      <c r="G6036" s="2"/>
      <c r="O6036"/>
    </row>
    <row r="6037" spans="1:15" hidden="1" x14ac:dyDescent="0.2">
      <c r="A6037" s="3"/>
      <c r="B6037" s="2"/>
      <c r="C6037" s="2"/>
      <c r="D6037" s="2"/>
      <c r="E6037" s="2"/>
      <c r="F6037" s="2"/>
      <c r="G6037" s="2"/>
      <c r="O6037"/>
    </row>
    <row r="6038" spans="1:15" hidden="1" x14ac:dyDescent="0.2">
      <c r="A6038" s="3"/>
      <c r="B6038" s="2"/>
      <c r="C6038" s="2"/>
      <c r="D6038" s="2"/>
      <c r="E6038" s="2"/>
      <c r="F6038" s="2"/>
      <c r="G6038" s="2"/>
      <c r="O6038"/>
    </row>
    <row r="6039" spans="1:15" hidden="1" x14ac:dyDescent="0.2">
      <c r="A6039" s="3"/>
      <c r="B6039" s="2"/>
      <c r="C6039" s="2"/>
      <c r="D6039" s="2"/>
      <c r="E6039" s="2"/>
      <c r="F6039" s="2"/>
      <c r="G6039" s="2"/>
      <c r="O6039"/>
    </row>
    <row r="6040" spans="1:15" hidden="1" x14ac:dyDescent="0.2">
      <c r="A6040" s="3"/>
      <c r="B6040" s="2"/>
      <c r="C6040" s="2"/>
      <c r="D6040" s="2"/>
      <c r="E6040" s="2"/>
      <c r="F6040" s="2"/>
      <c r="G6040" s="2"/>
      <c r="O6040"/>
    </row>
    <row r="6041" spans="1:15" hidden="1" x14ac:dyDescent="0.2">
      <c r="A6041" s="3"/>
      <c r="B6041" s="2"/>
      <c r="C6041" s="2"/>
      <c r="D6041" s="2"/>
      <c r="E6041" s="2"/>
      <c r="F6041" s="2"/>
      <c r="G6041" s="2"/>
      <c r="O6041"/>
    </row>
    <row r="6042" spans="1:15" hidden="1" x14ac:dyDescent="0.2">
      <c r="A6042" s="3"/>
      <c r="B6042" s="2"/>
      <c r="C6042" s="2"/>
      <c r="D6042" s="2"/>
      <c r="E6042" s="2"/>
      <c r="F6042" s="2"/>
      <c r="G6042" s="2"/>
      <c r="O6042"/>
    </row>
    <row r="6043" spans="1:15" hidden="1" x14ac:dyDescent="0.2">
      <c r="A6043" s="3"/>
      <c r="B6043" s="2"/>
      <c r="C6043" s="2"/>
      <c r="D6043" s="2"/>
      <c r="E6043" s="2"/>
      <c r="F6043" s="2"/>
      <c r="G6043" s="2"/>
      <c r="O6043"/>
    </row>
    <row r="6044" spans="1:15" hidden="1" x14ac:dyDescent="0.2">
      <c r="A6044" s="3"/>
      <c r="B6044" s="2"/>
      <c r="C6044" s="2"/>
      <c r="D6044" s="2"/>
      <c r="E6044" s="2"/>
      <c r="F6044" s="2"/>
      <c r="G6044" s="2"/>
      <c r="O6044"/>
    </row>
    <row r="6045" spans="1:15" hidden="1" x14ac:dyDescent="0.2">
      <c r="A6045" s="3"/>
      <c r="B6045" s="2"/>
      <c r="C6045" s="2"/>
      <c r="D6045" s="2"/>
      <c r="E6045" s="2"/>
      <c r="F6045" s="2"/>
      <c r="G6045" s="2"/>
      <c r="O6045"/>
    </row>
    <row r="6046" spans="1:15" hidden="1" x14ac:dyDescent="0.2">
      <c r="A6046" s="3"/>
      <c r="B6046" s="2"/>
      <c r="C6046" s="2"/>
      <c r="D6046" s="2"/>
      <c r="E6046" s="2"/>
      <c r="F6046" s="2"/>
      <c r="G6046" s="2"/>
      <c r="O6046"/>
    </row>
    <row r="6047" spans="1:15" hidden="1" x14ac:dyDescent="0.2">
      <c r="A6047" s="3"/>
      <c r="B6047" s="2"/>
      <c r="C6047" s="2"/>
      <c r="D6047" s="2"/>
      <c r="E6047" s="2"/>
      <c r="F6047" s="2"/>
      <c r="G6047" s="2"/>
      <c r="O6047"/>
    </row>
    <row r="6048" spans="1:15" hidden="1" x14ac:dyDescent="0.2">
      <c r="A6048" s="3"/>
      <c r="B6048" s="2"/>
      <c r="C6048" s="2"/>
      <c r="D6048" s="2"/>
      <c r="E6048" s="2"/>
      <c r="F6048" s="2"/>
      <c r="G6048" s="2"/>
      <c r="O6048"/>
    </row>
    <row r="6049" spans="1:15" hidden="1" x14ac:dyDescent="0.2">
      <c r="A6049" s="3"/>
      <c r="B6049" s="2"/>
      <c r="C6049" s="2"/>
      <c r="D6049" s="2"/>
      <c r="E6049" s="2"/>
      <c r="F6049" s="2"/>
      <c r="G6049" s="2"/>
      <c r="O6049"/>
    </row>
    <row r="6050" spans="1:15" hidden="1" x14ac:dyDescent="0.2">
      <c r="A6050" s="3"/>
      <c r="B6050" s="2"/>
      <c r="C6050" s="2"/>
      <c r="D6050" s="2"/>
      <c r="E6050" s="2"/>
      <c r="F6050" s="2"/>
      <c r="G6050" s="2"/>
      <c r="O6050"/>
    </row>
    <row r="6051" spans="1:15" hidden="1" x14ac:dyDescent="0.2">
      <c r="A6051" s="3"/>
      <c r="B6051" s="2"/>
      <c r="C6051" s="2"/>
      <c r="D6051" s="2"/>
      <c r="E6051" s="2"/>
      <c r="F6051" s="2"/>
      <c r="G6051" s="2"/>
      <c r="O6051"/>
    </row>
    <row r="6052" spans="1:15" hidden="1" x14ac:dyDescent="0.2">
      <c r="A6052" s="3"/>
      <c r="B6052" s="2"/>
      <c r="C6052" s="2"/>
      <c r="D6052" s="2"/>
      <c r="E6052" s="2"/>
      <c r="F6052" s="2"/>
      <c r="G6052" s="2"/>
      <c r="O6052"/>
    </row>
    <row r="6053" spans="1:15" hidden="1" x14ac:dyDescent="0.2">
      <c r="A6053" s="3"/>
      <c r="B6053" s="2"/>
      <c r="C6053" s="2"/>
      <c r="D6053" s="2"/>
      <c r="E6053" s="2"/>
      <c r="F6053" s="2"/>
      <c r="G6053" s="2"/>
      <c r="O6053"/>
    </row>
    <row r="6054" spans="1:15" hidden="1" x14ac:dyDescent="0.2">
      <c r="A6054" s="3"/>
      <c r="B6054" s="2"/>
      <c r="C6054" s="2"/>
      <c r="D6054" s="2"/>
      <c r="E6054" s="2"/>
      <c r="F6054" s="2"/>
      <c r="G6054" s="2"/>
      <c r="O6054"/>
    </row>
    <row r="6055" spans="1:15" hidden="1" x14ac:dyDescent="0.2">
      <c r="A6055" s="3"/>
      <c r="B6055" s="2"/>
      <c r="C6055" s="2"/>
      <c r="D6055" s="2"/>
      <c r="E6055" s="2"/>
      <c r="F6055" s="2"/>
      <c r="G6055" s="2"/>
      <c r="O6055"/>
    </row>
    <row r="6056" spans="1:15" hidden="1" x14ac:dyDescent="0.2">
      <c r="A6056" s="3"/>
      <c r="B6056" s="2"/>
      <c r="C6056" s="2"/>
      <c r="D6056" s="2"/>
      <c r="E6056" s="2"/>
      <c r="F6056" s="2"/>
      <c r="G6056" s="2"/>
      <c r="O6056"/>
    </row>
    <row r="6057" spans="1:15" hidden="1" x14ac:dyDescent="0.2">
      <c r="A6057" s="3"/>
      <c r="B6057" s="2"/>
      <c r="C6057" s="2"/>
      <c r="D6057" s="2"/>
      <c r="E6057" s="2"/>
      <c r="F6057" s="2"/>
      <c r="G6057" s="2"/>
      <c r="O6057"/>
    </row>
    <row r="6058" spans="1:15" hidden="1" x14ac:dyDescent="0.2">
      <c r="A6058" s="3"/>
      <c r="B6058" s="2"/>
      <c r="C6058" s="2"/>
      <c r="D6058" s="2"/>
      <c r="E6058" s="2"/>
      <c r="F6058" s="2"/>
      <c r="G6058" s="2"/>
      <c r="O6058"/>
    </row>
    <row r="6059" spans="1:15" hidden="1" x14ac:dyDescent="0.2">
      <c r="A6059" s="3"/>
      <c r="B6059" s="2"/>
      <c r="C6059" s="2"/>
      <c r="D6059" s="2"/>
      <c r="E6059" s="2"/>
      <c r="F6059" s="2"/>
      <c r="G6059" s="2"/>
      <c r="O6059"/>
    </row>
    <row r="6060" spans="1:15" hidden="1" x14ac:dyDescent="0.2">
      <c r="A6060" s="3"/>
      <c r="B6060" s="2"/>
      <c r="C6060" s="2"/>
      <c r="D6060" s="2"/>
      <c r="E6060" s="2"/>
      <c r="F6060" s="2"/>
      <c r="G6060" s="2"/>
      <c r="O6060"/>
    </row>
    <row r="6061" spans="1:15" hidden="1" x14ac:dyDescent="0.2">
      <c r="A6061" s="3"/>
      <c r="B6061" s="2"/>
      <c r="C6061" s="2"/>
      <c r="D6061" s="2"/>
      <c r="E6061" s="2"/>
      <c r="F6061" s="2"/>
      <c r="G6061" s="2"/>
      <c r="O6061"/>
    </row>
    <row r="6062" spans="1:15" hidden="1" x14ac:dyDescent="0.2">
      <c r="A6062" s="3"/>
      <c r="B6062" s="2"/>
      <c r="C6062" s="2"/>
      <c r="D6062" s="2"/>
      <c r="E6062" s="2"/>
      <c r="F6062" s="2"/>
      <c r="G6062" s="2"/>
      <c r="O6062"/>
    </row>
    <row r="6063" spans="1:15" hidden="1" x14ac:dyDescent="0.2">
      <c r="A6063" s="3"/>
      <c r="B6063" s="2"/>
      <c r="C6063" s="2"/>
      <c r="D6063" s="2"/>
      <c r="E6063" s="2"/>
      <c r="F6063" s="2"/>
      <c r="G6063" s="2"/>
      <c r="O6063"/>
    </row>
    <row r="6064" spans="1:15" hidden="1" x14ac:dyDescent="0.2">
      <c r="A6064" s="3"/>
      <c r="B6064" s="2"/>
      <c r="C6064" s="2"/>
      <c r="D6064" s="2"/>
      <c r="E6064" s="2"/>
      <c r="F6064" s="2"/>
      <c r="G6064" s="2"/>
      <c r="O6064"/>
    </row>
    <row r="6065" spans="1:15" hidden="1" x14ac:dyDescent="0.2">
      <c r="A6065" s="3"/>
      <c r="B6065" s="2"/>
      <c r="C6065" s="2"/>
      <c r="D6065" s="2"/>
      <c r="E6065" s="2"/>
      <c r="F6065" s="2"/>
      <c r="G6065" s="2"/>
      <c r="O6065"/>
    </row>
    <row r="6066" spans="1:15" hidden="1" x14ac:dyDescent="0.2">
      <c r="A6066" s="3"/>
      <c r="B6066" s="2"/>
      <c r="C6066" s="2"/>
      <c r="D6066" s="2"/>
      <c r="E6066" s="2"/>
      <c r="F6066" s="2"/>
      <c r="G6066" s="2"/>
      <c r="O6066"/>
    </row>
    <row r="6067" spans="1:15" hidden="1" x14ac:dyDescent="0.2">
      <c r="A6067" s="3"/>
      <c r="B6067" s="2"/>
      <c r="C6067" s="2"/>
      <c r="D6067" s="2"/>
      <c r="E6067" s="2"/>
      <c r="F6067" s="2"/>
      <c r="G6067" s="2"/>
      <c r="O6067"/>
    </row>
    <row r="6068" spans="1:15" hidden="1" x14ac:dyDescent="0.2">
      <c r="A6068" s="3"/>
      <c r="B6068" s="2"/>
      <c r="C6068" s="2"/>
      <c r="D6068" s="2"/>
      <c r="E6068" s="2"/>
      <c r="F6068" s="2"/>
      <c r="G6068" s="2"/>
      <c r="O6068"/>
    </row>
    <row r="6069" spans="1:15" hidden="1" x14ac:dyDescent="0.2">
      <c r="A6069" s="3"/>
      <c r="B6069" s="2"/>
      <c r="C6069" s="2"/>
      <c r="D6069" s="2"/>
      <c r="E6069" s="2"/>
      <c r="F6069" s="2"/>
      <c r="G6069" s="2"/>
      <c r="O6069"/>
    </row>
    <row r="6070" spans="1:15" hidden="1" x14ac:dyDescent="0.2">
      <c r="A6070" s="3"/>
      <c r="B6070" s="2"/>
      <c r="C6070" s="2"/>
      <c r="D6070" s="2"/>
      <c r="E6070" s="2"/>
      <c r="F6070" s="2"/>
      <c r="G6070" s="2"/>
      <c r="O6070"/>
    </row>
    <row r="6071" spans="1:15" hidden="1" x14ac:dyDescent="0.2">
      <c r="A6071" s="3"/>
      <c r="B6071" s="2"/>
      <c r="C6071" s="2"/>
      <c r="D6071" s="2"/>
      <c r="E6071" s="2"/>
      <c r="F6071" s="2"/>
      <c r="G6071" s="2"/>
      <c r="O6071"/>
    </row>
    <row r="6072" spans="1:15" hidden="1" x14ac:dyDescent="0.2">
      <c r="A6072" s="3"/>
      <c r="B6072" s="2"/>
      <c r="C6072" s="2"/>
      <c r="D6072" s="2"/>
      <c r="E6072" s="2"/>
      <c r="F6072" s="2"/>
      <c r="G6072" s="2"/>
      <c r="O6072"/>
    </row>
    <row r="6073" spans="1:15" hidden="1" x14ac:dyDescent="0.2">
      <c r="A6073" s="3"/>
      <c r="B6073" s="2"/>
      <c r="C6073" s="2"/>
      <c r="D6073" s="2"/>
      <c r="E6073" s="2"/>
      <c r="F6073" s="2"/>
      <c r="G6073" s="2"/>
      <c r="O6073"/>
    </row>
    <row r="6074" spans="1:15" hidden="1" x14ac:dyDescent="0.2">
      <c r="A6074" s="3"/>
      <c r="B6074" s="2"/>
      <c r="C6074" s="2"/>
      <c r="D6074" s="2"/>
      <c r="E6074" s="2"/>
      <c r="F6074" s="2"/>
      <c r="G6074" s="2"/>
      <c r="O6074"/>
    </row>
    <row r="6075" spans="1:15" hidden="1" x14ac:dyDescent="0.2">
      <c r="A6075" s="3"/>
      <c r="B6075" s="2"/>
      <c r="C6075" s="2"/>
      <c r="D6075" s="2"/>
      <c r="E6075" s="2"/>
      <c r="F6075" s="2"/>
      <c r="G6075" s="2"/>
      <c r="O6075"/>
    </row>
    <row r="6076" spans="1:15" hidden="1" x14ac:dyDescent="0.2">
      <c r="A6076" s="3"/>
      <c r="B6076" s="2"/>
      <c r="C6076" s="2"/>
      <c r="D6076" s="2"/>
      <c r="E6076" s="2"/>
      <c r="F6076" s="2"/>
      <c r="G6076" s="2"/>
      <c r="O6076"/>
    </row>
    <row r="6077" spans="1:15" hidden="1" x14ac:dyDescent="0.2">
      <c r="A6077" s="3"/>
      <c r="B6077" s="2"/>
      <c r="C6077" s="2"/>
      <c r="D6077" s="2"/>
      <c r="E6077" s="2"/>
      <c r="F6077" s="2"/>
      <c r="G6077" s="2"/>
      <c r="O6077"/>
    </row>
    <row r="6078" spans="1:15" hidden="1" x14ac:dyDescent="0.2">
      <c r="A6078" s="3"/>
      <c r="B6078" s="2"/>
      <c r="C6078" s="2"/>
      <c r="D6078" s="2"/>
      <c r="E6078" s="2"/>
      <c r="F6078" s="2"/>
      <c r="G6078" s="2"/>
      <c r="O6078"/>
    </row>
    <row r="6079" spans="1:15" hidden="1" x14ac:dyDescent="0.2">
      <c r="A6079" s="3"/>
      <c r="B6079" s="2"/>
      <c r="C6079" s="2"/>
      <c r="D6079" s="2"/>
      <c r="E6079" s="2"/>
      <c r="F6079" s="2"/>
      <c r="G6079" s="2"/>
      <c r="O6079"/>
    </row>
    <row r="6080" spans="1:15" hidden="1" x14ac:dyDescent="0.2">
      <c r="A6080" s="3"/>
      <c r="B6080" s="2"/>
      <c r="C6080" s="2"/>
      <c r="D6080" s="2"/>
      <c r="E6080" s="2"/>
      <c r="F6080" s="2"/>
      <c r="G6080" s="2"/>
      <c r="O6080"/>
    </row>
    <row r="6081" spans="1:15" hidden="1" x14ac:dyDescent="0.2">
      <c r="A6081" s="3"/>
      <c r="B6081" s="2"/>
      <c r="C6081" s="2"/>
      <c r="D6081" s="2"/>
      <c r="E6081" s="2"/>
      <c r="F6081" s="2"/>
      <c r="G6081" s="2"/>
      <c r="O6081"/>
    </row>
    <row r="6082" spans="1:15" x14ac:dyDescent="0.2">
      <c r="O6082"/>
    </row>
  </sheetData>
  <autoFilter ref="A1:G6081" xr:uid="{00000000-0001-0000-0000-000000000000}">
    <filterColumn colId="1">
      <filters>
        <filter val="4960.85.028.075"/>
      </filters>
    </filterColumn>
    <sortState xmlns:xlrd2="http://schemas.microsoft.com/office/spreadsheetml/2017/richdata2" ref="A2:G6081">
      <sortCondition ref="A1:A6081"/>
    </sortState>
  </autoFilter>
  <sortState xmlns:xlrd2="http://schemas.microsoft.com/office/spreadsheetml/2017/richdata2" ref="Q3:Q4808">
    <sortCondition ref="Q3:Q480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0562-C4C8-4B56-BF2F-074ABCC49066}">
  <dimension ref="A2:Q54"/>
  <sheetViews>
    <sheetView zoomScaleNormal="130" workbookViewId="0">
      <selection activeCell="E26" sqref="E26"/>
    </sheetView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5" max="5" width="16.33203125" bestFit="1" customWidth="1"/>
    <col min="6" max="6" width="22.6640625" bestFit="1" customWidth="1"/>
    <col min="9" max="9" width="19.1640625" bestFit="1" customWidth="1"/>
    <col min="10" max="10" width="14.1640625" customWidth="1"/>
    <col min="11" max="11" width="10.6640625" bestFit="1" customWidth="1"/>
    <col min="12" max="12" width="14.1640625" bestFit="1" customWidth="1"/>
    <col min="13" max="13" width="8.83203125" style="1"/>
    <col min="14" max="14" width="12.5" bestFit="1" customWidth="1"/>
  </cols>
  <sheetData>
    <row r="2" spans="1:17" x14ac:dyDescent="0.2">
      <c r="N2" s="24">
        <v>46184</v>
      </c>
    </row>
    <row r="3" spans="1:17" x14ac:dyDescent="0.2">
      <c r="A3" s="6" t="s">
        <v>56</v>
      </c>
      <c r="B3" t="s">
        <v>132</v>
      </c>
      <c r="E3" t="s">
        <v>56</v>
      </c>
      <c r="F3" t="s">
        <v>132</v>
      </c>
      <c r="G3" s="9" t="s">
        <v>242</v>
      </c>
      <c r="H3" s="9" t="s">
        <v>261</v>
      </c>
      <c r="I3" s="9" t="s">
        <v>262</v>
      </c>
      <c r="J3" t="s">
        <v>256</v>
      </c>
      <c r="K3" t="s">
        <v>247</v>
      </c>
      <c r="L3" t="s">
        <v>260</v>
      </c>
      <c r="M3" s="21" t="s">
        <v>249</v>
      </c>
      <c r="N3" s="9" t="s">
        <v>264</v>
      </c>
      <c r="O3" s="9" t="s">
        <v>265</v>
      </c>
    </row>
    <row r="4" spans="1:17" x14ac:dyDescent="0.2">
      <c r="A4" s="7" t="s">
        <v>5</v>
      </c>
      <c r="B4">
        <v>6500</v>
      </c>
      <c r="C4" s="23">
        <f>GETPIVOTDATA("Sum of Sales_Qty",$A$3,"Item Code","4960.85.100.100")/72</f>
        <v>90.277777777777771</v>
      </c>
      <c r="E4" t="s">
        <v>5</v>
      </c>
      <c r="F4">
        <v>6500</v>
      </c>
      <c r="G4" s="10">
        <f>F4/F$46</f>
        <v>0.1927353595255745</v>
      </c>
      <c r="H4" s="13">
        <f t="shared" ref="H4:H45" si="0">F4/18</f>
        <v>361.11111111111109</v>
      </c>
      <c r="I4">
        <f t="shared" ref="I4:I17" si="1">VALUE(LEFT(E4, FIND(".", E4) + 2)) - 4936.85</f>
        <v>24</v>
      </c>
      <c r="J4">
        <v>344</v>
      </c>
      <c r="K4">
        <v>232</v>
      </c>
      <c r="L4">
        <v>576</v>
      </c>
      <c r="M4" s="25">
        <v>576</v>
      </c>
      <c r="N4">
        <v>149</v>
      </c>
      <c r="O4">
        <f>M4-N4</f>
        <v>427</v>
      </c>
      <c r="Q4" s="13"/>
    </row>
    <row r="5" spans="1:17" x14ac:dyDescent="0.2">
      <c r="A5" s="7" t="s">
        <v>3</v>
      </c>
      <c r="B5">
        <v>4118</v>
      </c>
      <c r="E5" t="s">
        <v>3</v>
      </c>
      <c r="F5">
        <v>4118</v>
      </c>
      <c r="G5" s="10">
        <f t="shared" ref="G5:G45" si="2">F5/F$46</f>
        <v>0.12210526315789473</v>
      </c>
      <c r="H5" s="13">
        <f t="shared" si="0"/>
        <v>228.77777777777777</v>
      </c>
      <c r="I5">
        <f t="shared" si="1"/>
        <v>24</v>
      </c>
      <c r="J5">
        <v>222</v>
      </c>
      <c r="K5">
        <v>162</v>
      </c>
      <c r="L5">
        <v>384</v>
      </c>
      <c r="M5" s="25">
        <f>J5+K5</f>
        <v>384</v>
      </c>
      <c r="N5">
        <v>83</v>
      </c>
      <c r="O5">
        <f t="shared" ref="O5:O23" si="3">M5-N5</f>
        <v>301</v>
      </c>
      <c r="Q5" s="13"/>
    </row>
    <row r="6" spans="1:17" x14ac:dyDescent="0.2">
      <c r="A6" s="7" t="s">
        <v>14</v>
      </c>
      <c r="B6">
        <v>3320</v>
      </c>
      <c r="E6" s="9" t="s">
        <v>14</v>
      </c>
      <c r="F6">
        <v>3320</v>
      </c>
      <c r="G6" s="10">
        <f t="shared" si="2"/>
        <v>9.8443291326908822E-2</v>
      </c>
      <c r="H6" s="13">
        <f t="shared" si="0"/>
        <v>184.44444444444446</v>
      </c>
      <c r="I6">
        <f t="shared" si="1"/>
        <v>24</v>
      </c>
      <c r="J6">
        <v>170</v>
      </c>
      <c r="K6">
        <v>118</v>
      </c>
      <c r="L6">
        <v>288</v>
      </c>
      <c r="M6" s="25">
        <v>288</v>
      </c>
      <c r="N6">
        <v>0</v>
      </c>
      <c r="O6">
        <f t="shared" si="3"/>
        <v>288</v>
      </c>
      <c r="Q6" s="13"/>
    </row>
    <row r="7" spans="1:17" x14ac:dyDescent="0.2">
      <c r="A7" s="7" t="s">
        <v>9</v>
      </c>
      <c r="B7">
        <v>3191</v>
      </c>
      <c r="E7" s="9" t="s">
        <v>9</v>
      </c>
      <c r="F7">
        <v>3191</v>
      </c>
      <c r="G7" s="10">
        <f t="shared" si="2"/>
        <v>9.4618235730170502E-2</v>
      </c>
      <c r="H7" s="13">
        <f t="shared" si="0"/>
        <v>177.27777777777777</v>
      </c>
      <c r="I7">
        <f t="shared" si="1"/>
        <v>24</v>
      </c>
      <c r="J7">
        <v>176</v>
      </c>
      <c r="K7">
        <v>144</v>
      </c>
      <c r="L7">
        <v>320</v>
      </c>
      <c r="M7" s="25">
        <v>320</v>
      </c>
      <c r="N7">
        <v>0</v>
      </c>
      <c r="O7">
        <f t="shared" si="3"/>
        <v>320</v>
      </c>
      <c r="Q7" s="13"/>
    </row>
    <row r="8" spans="1:17" x14ac:dyDescent="0.2">
      <c r="A8" s="7" t="s">
        <v>4</v>
      </c>
      <c r="B8">
        <v>2244</v>
      </c>
      <c r="E8" s="9" t="s">
        <v>4</v>
      </c>
      <c r="F8">
        <v>2244</v>
      </c>
      <c r="G8" s="10">
        <f t="shared" si="2"/>
        <v>6.6538176426982953E-2</v>
      </c>
      <c r="H8" s="13">
        <f t="shared" si="0"/>
        <v>124.66666666666667</v>
      </c>
      <c r="I8">
        <f t="shared" si="1"/>
        <v>24</v>
      </c>
      <c r="J8">
        <v>125</v>
      </c>
      <c r="K8">
        <v>103</v>
      </c>
      <c r="L8">
        <v>228</v>
      </c>
      <c r="M8" s="25">
        <v>228</v>
      </c>
      <c r="N8">
        <v>0</v>
      </c>
      <c r="O8">
        <f t="shared" si="3"/>
        <v>228</v>
      </c>
      <c r="Q8" s="13"/>
    </row>
    <row r="9" spans="1:17" x14ac:dyDescent="0.2">
      <c r="A9" s="7" t="s">
        <v>7</v>
      </c>
      <c r="B9">
        <v>1881</v>
      </c>
      <c r="E9" s="9" t="s">
        <v>7</v>
      </c>
      <c r="F9">
        <v>1881</v>
      </c>
      <c r="G9" s="10">
        <f t="shared" si="2"/>
        <v>5.5774647887323947E-2</v>
      </c>
      <c r="H9" s="13">
        <f t="shared" si="0"/>
        <v>104.5</v>
      </c>
      <c r="I9">
        <f t="shared" si="1"/>
        <v>24</v>
      </c>
      <c r="J9">
        <v>106</v>
      </c>
      <c r="K9">
        <v>86</v>
      </c>
      <c r="L9">
        <v>192</v>
      </c>
      <c r="M9" s="25">
        <f>J9+K9</f>
        <v>192</v>
      </c>
      <c r="N9">
        <v>0</v>
      </c>
      <c r="O9">
        <f t="shared" si="3"/>
        <v>192</v>
      </c>
      <c r="Q9" s="13"/>
    </row>
    <row r="10" spans="1:17" x14ac:dyDescent="0.2">
      <c r="A10" s="7" t="s">
        <v>6</v>
      </c>
      <c r="B10">
        <v>1730</v>
      </c>
      <c r="E10" s="9" t="s">
        <v>6</v>
      </c>
      <c r="F10">
        <v>1730</v>
      </c>
      <c r="G10" s="10">
        <f t="shared" si="2"/>
        <v>5.1297257227575985E-2</v>
      </c>
      <c r="H10" s="13">
        <f t="shared" si="0"/>
        <v>96.111111111111114</v>
      </c>
      <c r="I10">
        <f t="shared" si="1"/>
        <v>24</v>
      </c>
      <c r="J10">
        <v>98</v>
      </c>
      <c r="K10">
        <v>94</v>
      </c>
      <c r="L10">
        <v>192</v>
      </c>
      <c r="M10" s="25">
        <f t="shared" ref="M10:M25" si="4">J10+K10</f>
        <v>192</v>
      </c>
      <c r="N10">
        <v>139</v>
      </c>
      <c r="O10">
        <f t="shared" si="3"/>
        <v>53</v>
      </c>
      <c r="Q10" s="13"/>
    </row>
    <row r="11" spans="1:17" x14ac:dyDescent="0.2">
      <c r="A11" s="7" t="s">
        <v>10</v>
      </c>
      <c r="B11">
        <v>1079</v>
      </c>
      <c r="E11" s="9" t="s">
        <v>10</v>
      </c>
      <c r="F11">
        <v>1079</v>
      </c>
      <c r="G11" s="10">
        <f t="shared" si="2"/>
        <v>3.1994069681245366E-2</v>
      </c>
      <c r="H11" s="13">
        <f t="shared" si="0"/>
        <v>59.944444444444443</v>
      </c>
      <c r="I11">
        <f t="shared" si="1"/>
        <v>24</v>
      </c>
      <c r="J11">
        <v>66</v>
      </c>
      <c r="K11">
        <v>30</v>
      </c>
      <c r="L11">
        <v>96</v>
      </c>
      <c r="M11" s="25">
        <f t="shared" si="4"/>
        <v>96</v>
      </c>
      <c r="N11">
        <v>0</v>
      </c>
      <c r="O11">
        <f t="shared" si="3"/>
        <v>96</v>
      </c>
      <c r="Q11" s="13"/>
    </row>
    <row r="12" spans="1:17" x14ac:dyDescent="0.2">
      <c r="A12" s="7" t="s">
        <v>8</v>
      </c>
      <c r="B12">
        <v>883</v>
      </c>
      <c r="E12" s="9" t="s">
        <v>8</v>
      </c>
      <c r="F12">
        <v>883</v>
      </c>
      <c r="G12" s="10">
        <f t="shared" si="2"/>
        <v>2.6182357301704966E-2</v>
      </c>
      <c r="H12" s="13">
        <f t="shared" si="0"/>
        <v>49.055555555555557</v>
      </c>
      <c r="I12">
        <f t="shared" si="1"/>
        <v>24</v>
      </c>
      <c r="J12">
        <v>52</v>
      </c>
      <c r="K12">
        <v>44</v>
      </c>
      <c r="L12">
        <f t="shared" ref="L12:L25" si="5">M12</f>
        <v>96</v>
      </c>
      <c r="M12" s="25">
        <f t="shared" si="4"/>
        <v>96</v>
      </c>
      <c r="N12">
        <v>0</v>
      </c>
      <c r="O12">
        <f t="shared" si="3"/>
        <v>96</v>
      </c>
      <c r="Q12" s="13"/>
    </row>
    <row r="13" spans="1:17" x14ac:dyDescent="0.2">
      <c r="A13" s="7" t="s">
        <v>17</v>
      </c>
      <c r="B13">
        <v>860</v>
      </c>
      <c r="E13" s="9" t="s">
        <v>17</v>
      </c>
      <c r="F13">
        <v>860</v>
      </c>
      <c r="G13" s="10">
        <f t="shared" si="2"/>
        <v>2.5500370644922166E-2</v>
      </c>
      <c r="H13" s="13">
        <f t="shared" si="0"/>
        <v>47.777777777777779</v>
      </c>
      <c r="I13">
        <f t="shared" si="1"/>
        <v>24</v>
      </c>
      <c r="J13">
        <v>55</v>
      </c>
      <c r="K13">
        <v>41</v>
      </c>
      <c r="L13">
        <f t="shared" si="5"/>
        <v>96</v>
      </c>
      <c r="M13" s="25">
        <f t="shared" si="4"/>
        <v>96</v>
      </c>
      <c r="N13">
        <v>102</v>
      </c>
      <c r="O13">
        <v>0</v>
      </c>
      <c r="Q13" s="13"/>
    </row>
    <row r="14" spans="1:17" x14ac:dyDescent="0.2">
      <c r="A14" s="7" t="s">
        <v>19</v>
      </c>
      <c r="B14">
        <v>857</v>
      </c>
      <c r="E14" s="9" t="s">
        <v>19</v>
      </c>
      <c r="F14">
        <v>857</v>
      </c>
      <c r="G14" s="10">
        <f t="shared" si="2"/>
        <v>2.5411415863602668E-2</v>
      </c>
      <c r="H14" s="13">
        <f t="shared" si="0"/>
        <v>47.611111111111114</v>
      </c>
      <c r="I14">
        <f t="shared" si="1"/>
        <v>24</v>
      </c>
      <c r="J14">
        <v>55</v>
      </c>
      <c r="K14">
        <v>41</v>
      </c>
      <c r="L14">
        <f t="shared" si="5"/>
        <v>96</v>
      </c>
      <c r="M14" s="25">
        <f t="shared" si="4"/>
        <v>96</v>
      </c>
      <c r="N14">
        <v>66</v>
      </c>
      <c r="O14">
        <f t="shared" si="3"/>
        <v>30</v>
      </c>
      <c r="Q14" s="13"/>
    </row>
    <row r="15" spans="1:17" x14ac:dyDescent="0.2">
      <c r="A15" s="7" t="s">
        <v>15</v>
      </c>
      <c r="B15">
        <v>774</v>
      </c>
      <c r="E15" s="9" t="s">
        <v>15</v>
      </c>
      <c r="F15">
        <v>774</v>
      </c>
      <c r="G15" s="10">
        <f t="shared" si="2"/>
        <v>2.2950333580429947E-2</v>
      </c>
      <c r="H15" s="13">
        <f t="shared" si="0"/>
        <v>43</v>
      </c>
      <c r="I15">
        <f t="shared" si="1"/>
        <v>24</v>
      </c>
      <c r="J15">
        <v>53</v>
      </c>
      <c r="K15">
        <v>43</v>
      </c>
      <c r="L15">
        <f t="shared" si="5"/>
        <v>96</v>
      </c>
      <c r="M15" s="25">
        <f t="shared" si="4"/>
        <v>96</v>
      </c>
      <c r="N15">
        <v>0</v>
      </c>
      <c r="O15">
        <f t="shared" si="3"/>
        <v>96</v>
      </c>
      <c r="Q15" s="13"/>
    </row>
    <row r="16" spans="1:17" x14ac:dyDescent="0.2">
      <c r="A16" s="7" t="s">
        <v>12</v>
      </c>
      <c r="B16">
        <v>684</v>
      </c>
      <c r="E16" s="9" t="s">
        <v>12</v>
      </c>
      <c r="F16">
        <v>684</v>
      </c>
      <c r="G16" s="10">
        <f t="shared" si="2"/>
        <v>2.028169014084507E-2</v>
      </c>
      <c r="H16" s="13">
        <f t="shared" si="0"/>
        <v>38</v>
      </c>
      <c r="I16">
        <f t="shared" si="1"/>
        <v>24</v>
      </c>
      <c r="J16">
        <v>43</v>
      </c>
      <c r="K16">
        <v>53</v>
      </c>
      <c r="L16">
        <f t="shared" si="5"/>
        <v>96</v>
      </c>
      <c r="M16" s="1">
        <f t="shared" si="4"/>
        <v>96</v>
      </c>
      <c r="N16">
        <v>0</v>
      </c>
      <c r="O16">
        <f t="shared" si="3"/>
        <v>96</v>
      </c>
      <c r="Q16" s="13"/>
    </row>
    <row r="17" spans="1:17" x14ac:dyDescent="0.2">
      <c r="A17" s="7" t="s">
        <v>30</v>
      </c>
      <c r="B17">
        <v>632</v>
      </c>
      <c r="E17" s="9" t="s">
        <v>30</v>
      </c>
      <c r="F17">
        <v>632</v>
      </c>
      <c r="G17" s="10">
        <f t="shared" si="2"/>
        <v>1.8739807264640473E-2</v>
      </c>
      <c r="H17" s="13">
        <f t="shared" si="0"/>
        <v>35.111111111111114</v>
      </c>
      <c r="I17">
        <f t="shared" si="1"/>
        <v>24</v>
      </c>
      <c r="J17">
        <v>43</v>
      </c>
      <c r="K17">
        <v>53</v>
      </c>
      <c r="L17">
        <f t="shared" si="5"/>
        <v>96</v>
      </c>
      <c r="M17" s="1">
        <f t="shared" si="4"/>
        <v>96</v>
      </c>
      <c r="N17">
        <v>0</v>
      </c>
      <c r="O17">
        <f t="shared" si="3"/>
        <v>96</v>
      </c>
      <c r="Q17" s="13"/>
    </row>
    <row r="18" spans="1:17" x14ac:dyDescent="0.2">
      <c r="A18" s="7" t="s">
        <v>28</v>
      </c>
      <c r="B18">
        <v>583</v>
      </c>
      <c r="E18" s="9" t="s">
        <v>28</v>
      </c>
      <c r="F18">
        <v>583</v>
      </c>
      <c r="G18" s="10">
        <f t="shared" si="2"/>
        <v>1.7286879169755374E-2</v>
      </c>
      <c r="H18" s="13">
        <f t="shared" si="0"/>
        <v>32.388888888888886</v>
      </c>
      <c r="I18">
        <v>12</v>
      </c>
      <c r="J18">
        <v>33</v>
      </c>
      <c r="K18">
        <v>15</v>
      </c>
      <c r="L18">
        <f t="shared" si="5"/>
        <v>48</v>
      </c>
      <c r="M18" s="1">
        <f t="shared" si="4"/>
        <v>48</v>
      </c>
      <c r="N18">
        <v>31</v>
      </c>
      <c r="O18">
        <f t="shared" si="3"/>
        <v>17</v>
      </c>
      <c r="Q18" s="13"/>
    </row>
    <row r="19" spans="1:17" x14ac:dyDescent="0.2">
      <c r="A19" s="7" t="s">
        <v>27</v>
      </c>
      <c r="B19">
        <v>552</v>
      </c>
      <c r="E19" s="9" t="s">
        <v>27</v>
      </c>
      <c r="F19">
        <v>552</v>
      </c>
      <c r="G19" s="10">
        <f t="shared" si="2"/>
        <v>1.636767976278725E-2</v>
      </c>
      <c r="H19" s="13">
        <f t="shared" si="0"/>
        <v>30.666666666666668</v>
      </c>
      <c r="I19">
        <v>12</v>
      </c>
      <c r="J19">
        <v>31</v>
      </c>
      <c r="K19">
        <v>37</v>
      </c>
      <c r="L19">
        <f t="shared" si="5"/>
        <v>68</v>
      </c>
      <c r="M19" s="1">
        <f t="shared" si="4"/>
        <v>68</v>
      </c>
      <c r="N19" s="19">
        <v>168</v>
      </c>
      <c r="O19">
        <v>0</v>
      </c>
      <c r="Q19" s="13"/>
    </row>
    <row r="20" spans="1:17" x14ac:dyDescent="0.2">
      <c r="A20" s="7" t="s">
        <v>18</v>
      </c>
      <c r="B20">
        <v>477</v>
      </c>
      <c r="E20" s="9" t="s">
        <v>18</v>
      </c>
      <c r="F20">
        <v>477</v>
      </c>
      <c r="G20" s="10">
        <f t="shared" si="2"/>
        <v>1.4143810229799852E-2</v>
      </c>
      <c r="H20" s="13">
        <f t="shared" si="0"/>
        <v>26.5</v>
      </c>
      <c r="I20">
        <v>12</v>
      </c>
      <c r="J20">
        <v>28</v>
      </c>
      <c r="K20">
        <v>20</v>
      </c>
      <c r="L20">
        <f t="shared" si="5"/>
        <v>48</v>
      </c>
      <c r="M20" s="1">
        <f t="shared" si="4"/>
        <v>48</v>
      </c>
      <c r="N20">
        <v>37</v>
      </c>
      <c r="O20">
        <f t="shared" si="3"/>
        <v>11</v>
      </c>
      <c r="Q20" s="13"/>
    </row>
    <row r="21" spans="1:17" x14ac:dyDescent="0.2">
      <c r="A21" s="7" t="s">
        <v>34</v>
      </c>
      <c r="B21">
        <v>428</v>
      </c>
      <c r="E21" s="9" t="s">
        <v>34</v>
      </c>
      <c r="F21">
        <v>428</v>
      </c>
      <c r="G21" s="10">
        <f t="shared" si="2"/>
        <v>1.2690882134914752E-2</v>
      </c>
      <c r="H21" s="13">
        <f t="shared" si="0"/>
        <v>23.777777777777779</v>
      </c>
      <c r="I21">
        <v>12</v>
      </c>
      <c r="J21">
        <v>23</v>
      </c>
      <c r="K21">
        <v>25</v>
      </c>
      <c r="L21">
        <f t="shared" si="5"/>
        <v>48</v>
      </c>
      <c r="M21" s="1">
        <f t="shared" si="4"/>
        <v>48</v>
      </c>
      <c r="N21" s="19">
        <v>150</v>
      </c>
      <c r="O21">
        <v>0</v>
      </c>
      <c r="Q21" s="13"/>
    </row>
    <row r="22" spans="1:17" x14ac:dyDescent="0.2">
      <c r="A22" s="7" t="s">
        <v>36</v>
      </c>
      <c r="B22">
        <v>377</v>
      </c>
      <c r="E22" s="9" t="s">
        <v>36</v>
      </c>
      <c r="F22">
        <v>377</v>
      </c>
      <c r="G22" s="10">
        <f t="shared" si="2"/>
        <v>1.1178650852483322E-2</v>
      </c>
      <c r="H22" s="13">
        <f t="shared" si="0"/>
        <v>20.944444444444443</v>
      </c>
      <c r="I22">
        <v>12</v>
      </c>
      <c r="J22">
        <v>22</v>
      </c>
      <c r="K22">
        <v>26</v>
      </c>
      <c r="L22">
        <f t="shared" si="5"/>
        <v>48</v>
      </c>
      <c r="M22" s="1">
        <f t="shared" si="4"/>
        <v>48</v>
      </c>
      <c r="N22">
        <v>27</v>
      </c>
      <c r="O22">
        <f t="shared" si="3"/>
        <v>21</v>
      </c>
      <c r="Q22" s="13"/>
    </row>
    <row r="23" spans="1:17" x14ac:dyDescent="0.2">
      <c r="A23" s="7" t="s">
        <v>29</v>
      </c>
      <c r="B23">
        <v>366</v>
      </c>
      <c r="E23" s="9" t="s">
        <v>29</v>
      </c>
      <c r="F23">
        <v>366</v>
      </c>
      <c r="G23" s="10">
        <f t="shared" si="2"/>
        <v>1.0852483320978502E-2</v>
      </c>
      <c r="H23" s="13">
        <f t="shared" si="0"/>
        <v>20.333333333333332</v>
      </c>
      <c r="I23">
        <v>12</v>
      </c>
      <c r="J23">
        <v>21</v>
      </c>
      <c r="K23">
        <v>19</v>
      </c>
      <c r="L23">
        <f t="shared" si="5"/>
        <v>40</v>
      </c>
      <c r="M23" s="1">
        <f t="shared" si="4"/>
        <v>40</v>
      </c>
      <c r="N23">
        <v>0</v>
      </c>
      <c r="O23">
        <f t="shared" si="3"/>
        <v>40</v>
      </c>
      <c r="Q23" s="13"/>
    </row>
    <row r="24" spans="1:17" x14ac:dyDescent="0.2">
      <c r="A24" s="7" t="s">
        <v>38</v>
      </c>
      <c r="B24">
        <v>333</v>
      </c>
      <c r="E24" s="9" t="s">
        <v>38</v>
      </c>
      <c r="F24">
        <v>333</v>
      </c>
      <c r="G24" s="10">
        <f t="shared" si="2"/>
        <v>9.8739807264640479E-3</v>
      </c>
      <c r="H24" s="13">
        <f t="shared" si="0"/>
        <v>18.5</v>
      </c>
      <c r="I24">
        <v>12</v>
      </c>
      <c r="J24">
        <v>19</v>
      </c>
      <c r="K24">
        <v>21</v>
      </c>
      <c r="L24">
        <f t="shared" si="5"/>
        <v>40</v>
      </c>
      <c r="M24" s="1">
        <f t="shared" si="4"/>
        <v>40</v>
      </c>
      <c r="N24" s="19">
        <v>106</v>
      </c>
      <c r="O24">
        <v>0</v>
      </c>
      <c r="Q24" s="13"/>
    </row>
    <row r="25" spans="1:17" x14ac:dyDescent="0.2">
      <c r="A25" s="7" t="s">
        <v>37</v>
      </c>
      <c r="B25">
        <v>316</v>
      </c>
      <c r="E25" s="9" t="s">
        <v>37</v>
      </c>
      <c r="F25">
        <v>316</v>
      </c>
      <c r="G25" s="10">
        <f t="shared" si="2"/>
        <v>9.3699036323202367E-3</v>
      </c>
      <c r="H25" s="13">
        <f t="shared" si="0"/>
        <v>17.555555555555557</v>
      </c>
      <c r="I25">
        <v>12</v>
      </c>
      <c r="J25">
        <v>16</v>
      </c>
      <c r="K25">
        <v>16</v>
      </c>
      <c r="L25">
        <f t="shared" si="5"/>
        <v>32</v>
      </c>
      <c r="M25" s="1">
        <f t="shared" si="4"/>
        <v>32</v>
      </c>
      <c r="N25" s="19">
        <v>263</v>
      </c>
      <c r="O25">
        <v>0</v>
      </c>
      <c r="Q25" s="13"/>
    </row>
    <row r="26" spans="1:17" s="19" customFormat="1" x14ac:dyDescent="0.2">
      <c r="A26" s="31" t="s">
        <v>24</v>
      </c>
      <c r="B26" s="19">
        <v>231</v>
      </c>
      <c r="E26" s="19" t="s">
        <v>24</v>
      </c>
      <c r="F26" s="19">
        <v>231</v>
      </c>
      <c r="G26" s="32">
        <f t="shared" si="2"/>
        <v>6.8495181616011862E-3</v>
      </c>
      <c r="H26" s="33">
        <f t="shared" si="0"/>
        <v>12.833333333333334</v>
      </c>
      <c r="I26" s="19">
        <v>0</v>
      </c>
      <c r="M26" s="25"/>
    </row>
    <row r="27" spans="1:17" x14ac:dyDescent="0.2">
      <c r="A27" s="7" t="s">
        <v>31</v>
      </c>
      <c r="B27">
        <v>217</v>
      </c>
      <c r="E27" t="s">
        <v>31</v>
      </c>
      <c r="F27">
        <v>217</v>
      </c>
      <c r="G27" s="10">
        <f t="shared" si="2"/>
        <v>6.4343958487768716E-3</v>
      </c>
      <c r="H27" s="13">
        <f t="shared" si="0"/>
        <v>12.055555555555555</v>
      </c>
      <c r="I27">
        <v>0</v>
      </c>
    </row>
    <row r="28" spans="1:17" x14ac:dyDescent="0.2">
      <c r="A28" s="7" t="s">
        <v>13</v>
      </c>
      <c r="B28">
        <v>179</v>
      </c>
      <c r="E28" t="s">
        <v>13</v>
      </c>
      <c r="F28">
        <v>179</v>
      </c>
      <c r="G28" s="10">
        <f t="shared" si="2"/>
        <v>5.3076352853965898E-3</v>
      </c>
      <c r="H28" s="13">
        <f t="shared" si="0"/>
        <v>9.9444444444444446</v>
      </c>
      <c r="I28">
        <v>0</v>
      </c>
    </row>
    <row r="29" spans="1:17" x14ac:dyDescent="0.2">
      <c r="A29" s="7" t="s">
        <v>35</v>
      </c>
      <c r="B29">
        <v>150</v>
      </c>
      <c r="E29" t="s">
        <v>35</v>
      </c>
      <c r="F29">
        <v>150</v>
      </c>
      <c r="G29" s="10">
        <f t="shared" si="2"/>
        <v>4.447739065974796E-3</v>
      </c>
      <c r="H29" s="13">
        <f t="shared" si="0"/>
        <v>8.3333333333333339</v>
      </c>
      <c r="I29">
        <v>0</v>
      </c>
    </row>
    <row r="30" spans="1:17" x14ac:dyDescent="0.2">
      <c r="A30" s="7" t="s">
        <v>21</v>
      </c>
      <c r="B30">
        <v>132</v>
      </c>
      <c r="E30" t="s">
        <v>21</v>
      </c>
      <c r="F30">
        <v>132</v>
      </c>
      <c r="G30" s="10">
        <f t="shared" si="2"/>
        <v>3.9140103780578202E-3</v>
      </c>
      <c r="H30" s="13">
        <f t="shared" si="0"/>
        <v>7.333333333333333</v>
      </c>
      <c r="I30">
        <v>0</v>
      </c>
    </row>
    <row r="31" spans="1:17" x14ac:dyDescent="0.2">
      <c r="A31" s="7" t="s">
        <v>42</v>
      </c>
      <c r="B31">
        <v>128</v>
      </c>
      <c r="E31" t="s">
        <v>42</v>
      </c>
      <c r="F31">
        <v>128</v>
      </c>
      <c r="G31" s="10">
        <f t="shared" si="2"/>
        <v>3.7954040029651594E-3</v>
      </c>
      <c r="H31" s="13">
        <f t="shared" si="0"/>
        <v>7.1111111111111107</v>
      </c>
      <c r="I31">
        <v>0</v>
      </c>
    </row>
    <row r="32" spans="1:17" x14ac:dyDescent="0.2">
      <c r="A32" s="7" t="s">
        <v>23</v>
      </c>
      <c r="B32">
        <v>110</v>
      </c>
      <c r="E32" t="s">
        <v>23</v>
      </c>
      <c r="F32">
        <v>110</v>
      </c>
      <c r="G32" s="10">
        <f t="shared" si="2"/>
        <v>3.2616753150481836E-3</v>
      </c>
      <c r="H32" s="13">
        <f t="shared" si="0"/>
        <v>6.1111111111111107</v>
      </c>
      <c r="I32">
        <v>0</v>
      </c>
    </row>
    <row r="33" spans="1:9" x14ac:dyDescent="0.2">
      <c r="A33" s="7" t="s">
        <v>46</v>
      </c>
      <c r="B33">
        <v>90</v>
      </c>
      <c r="E33" t="s">
        <v>46</v>
      </c>
      <c r="F33">
        <v>90</v>
      </c>
      <c r="G33" s="10">
        <f t="shared" si="2"/>
        <v>2.6686434395848777E-3</v>
      </c>
      <c r="H33" s="13">
        <f t="shared" si="0"/>
        <v>5</v>
      </c>
      <c r="I33">
        <v>0</v>
      </c>
    </row>
    <row r="34" spans="1:9" x14ac:dyDescent="0.2">
      <c r="A34" s="7" t="s">
        <v>11</v>
      </c>
      <c r="B34">
        <v>83</v>
      </c>
      <c r="E34" t="s">
        <v>11</v>
      </c>
      <c r="F34">
        <v>83</v>
      </c>
      <c r="G34" s="10">
        <f t="shared" si="2"/>
        <v>2.4610822831727204E-3</v>
      </c>
      <c r="H34" s="13">
        <f t="shared" si="0"/>
        <v>4.6111111111111107</v>
      </c>
      <c r="I34">
        <v>0</v>
      </c>
    </row>
    <row r="35" spans="1:9" x14ac:dyDescent="0.2">
      <c r="A35" s="7" t="s">
        <v>39</v>
      </c>
      <c r="B35">
        <v>48</v>
      </c>
      <c r="E35" t="s">
        <v>39</v>
      </c>
      <c r="F35">
        <v>48</v>
      </c>
      <c r="G35" s="10">
        <f t="shared" si="2"/>
        <v>1.4232765011119347E-3</v>
      </c>
      <c r="H35" s="13">
        <f t="shared" si="0"/>
        <v>2.6666666666666665</v>
      </c>
      <c r="I35">
        <v>0</v>
      </c>
    </row>
    <row r="36" spans="1:9" x14ac:dyDescent="0.2">
      <c r="A36" s="7" t="s">
        <v>22</v>
      </c>
      <c r="B36">
        <v>44</v>
      </c>
      <c r="E36" t="s">
        <v>26</v>
      </c>
      <c r="F36">
        <v>43</v>
      </c>
      <c r="G36" s="10">
        <f t="shared" si="2"/>
        <v>1.2750185322461082E-3</v>
      </c>
      <c r="H36" s="13">
        <f t="shared" si="0"/>
        <v>2.3888888888888888</v>
      </c>
      <c r="I36">
        <v>0</v>
      </c>
    </row>
    <row r="37" spans="1:9" x14ac:dyDescent="0.2">
      <c r="A37" s="7" t="s">
        <v>26</v>
      </c>
      <c r="B37">
        <v>43</v>
      </c>
      <c r="E37" t="s">
        <v>45</v>
      </c>
      <c r="F37">
        <v>42</v>
      </c>
      <c r="G37" s="10">
        <f t="shared" si="2"/>
        <v>1.2453669384729429E-3</v>
      </c>
      <c r="H37" s="13">
        <f t="shared" si="0"/>
        <v>2.3333333333333335</v>
      </c>
      <c r="I37">
        <v>0</v>
      </c>
    </row>
    <row r="38" spans="1:9" x14ac:dyDescent="0.2">
      <c r="A38" s="7" t="s">
        <v>45</v>
      </c>
      <c r="B38">
        <v>42</v>
      </c>
      <c r="E38" t="s">
        <v>51</v>
      </c>
      <c r="F38">
        <v>24</v>
      </c>
      <c r="G38" s="10">
        <f t="shared" si="2"/>
        <v>7.1163825055596736E-4</v>
      </c>
      <c r="H38" s="13">
        <f t="shared" si="0"/>
        <v>1.3333333333333333</v>
      </c>
      <c r="I38">
        <v>0</v>
      </c>
    </row>
    <row r="39" spans="1:9" x14ac:dyDescent="0.2">
      <c r="A39" s="7" t="s">
        <v>51</v>
      </c>
      <c r="B39">
        <v>24</v>
      </c>
      <c r="E39" t="s">
        <v>25</v>
      </c>
      <c r="F39">
        <v>23</v>
      </c>
      <c r="G39" s="10">
        <f t="shared" si="2"/>
        <v>6.8198665678280207E-4</v>
      </c>
      <c r="H39" s="13">
        <f t="shared" si="0"/>
        <v>1.2777777777777777</v>
      </c>
      <c r="I39">
        <v>0</v>
      </c>
    </row>
    <row r="40" spans="1:9" x14ac:dyDescent="0.2">
      <c r="A40" s="7" t="s">
        <v>25</v>
      </c>
      <c r="B40">
        <v>23</v>
      </c>
      <c r="E40" t="s">
        <v>33</v>
      </c>
      <c r="F40">
        <v>18</v>
      </c>
      <c r="G40" s="10">
        <f t="shared" si="2"/>
        <v>5.3372868791697558E-4</v>
      </c>
      <c r="H40" s="13">
        <f t="shared" si="0"/>
        <v>1</v>
      </c>
      <c r="I40">
        <v>0</v>
      </c>
    </row>
    <row r="41" spans="1:9" x14ac:dyDescent="0.2">
      <c r="A41" s="7" t="s">
        <v>33</v>
      </c>
      <c r="B41">
        <v>18</v>
      </c>
      <c r="E41" t="s">
        <v>16</v>
      </c>
      <c r="F41">
        <v>8</v>
      </c>
      <c r="G41" s="10">
        <f t="shared" si="2"/>
        <v>2.3721275018532246E-4</v>
      </c>
      <c r="H41" s="13">
        <f t="shared" si="0"/>
        <v>0.44444444444444442</v>
      </c>
      <c r="I41">
        <v>0</v>
      </c>
    </row>
    <row r="42" spans="1:9" x14ac:dyDescent="0.2">
      <c r="A42" s="7" t="s">
        <v>40</v>
      </c>
      <c r="B42">
        <v>18</v>
      </c>
      <c r="E42" t="s">
        <v>47</v>
      </c>
      <c r="F42">
        <v>4</v>
      </c>
      <c r="G42" s="10">
        <f t="shared" si="2"/>
        <v>1.1860637509266123E-4</v>
      </c>
      <c r="H42" s="13">
        <f t="shared" si="0"/>
        <v>0.22222222222222221</v>
      </c>
      <c r="I42">
        <v>0</v>
      </c>
    </row>
    <row r="43" spans="1:9" x14ac:dyDescent="0.2">
      <c r="A43" s="7" t="s">
        <v>20</v>
      </c>
      <c r="B43">
        <v>18</v>
      </c>
      <c r="E43" t="s">
        <v>44</v>
      </c>
      <c r="F43">
        <v>4</v>
      </c>
      <c r="G43" s="10">
        <f t="shared" si="2"/>
        <v>1.1860637509266123E-4</v>
      </c>
      <c r="H43" s="13">
        <f t="shared" si="0"/>
        <v>0.22222222222222221</v>
      </c>
      <c r="I43">
        <v>0</v>
      </c>
    </row>
    <row r="44" spans="1:9" x14ac:dyDescent="0.2">
      <c r="A44" s="7" t="s">
        <v>32</v>
      </c>
      <c r="B44">
        <v>16</v>
      </c>
      <c r="E44" t="s">
        <v>41</v>
      </c>
      <c r="F44">
        <v>4</v>
      </c>
      <c r="G44" s="10">
        <f t="shared" si="2"/>
        <v>1.1860637509266123E-4</v>
      </c>
      <c r="H44" s="13">
        <f t="shared" si="0"/>
        <v>0.22222222222222221</v>
      </c>
      <c r="I44">
        <v>0</v>
      </c>
    </row>
    <row r="45" spans="1:9" x14ac:dyDescent="0.2">
      <c r="A45" s="7" t="s">
        <v>50</v>
      </c>
      <c r="B45">
        <v>11</v>
      </c>
      <c r="E45" t="s">
        <v>52</v>
      </c>
      <c r="F45">
        <v>2</v>
      </c>
      <c r="G45" s="10">
        <f t="shared" si="2"/>
        <v>5.9303187546330616E-5</v>
      </c>
      <c r="H45" s="13">
        <f t="shared" si="0"/>
        <v>0.1111111111111111</v>
      </c>
      <c r="I45">
        <v>0</v>
      </c>
    </row>
    <row r="46" spans="1:9" x14ac:dyDescent="0.2">
      <c r="A46" s="7" t="s">
        <v>43</v>
      </c>
      <c r="B46">
        <v>10</v>
      </c>
      <c r="F46">
        <f>SUM(F4:F45)</f>
        <v>33725</v>
      </c>
    </row>
    <row r="47" spans="1:9" x14ac:dyDescent="0.2">
      <c r="A47" s="7" t="s">
        <v>16</v>
      </c>
      <c r="B47">
        <v>8</v>
      </c>
    </row>
    <row r="48" spans="1:9" x14ac:dyDescent="0.2">
      <c r="A48" s="7" t="s">
        <v>48</v>
      </c>
      <c r="B48">
        <v>8</v>
      </c>
    </row>
    <row r="49" spans="1:2" x14ac:dyDescent="0.2">
      <c r="A49" s="7" t="s">
        <v>47</v>
      </c>
      <c r="B49">
        <v>4</v>
      </c>
    </row>
    <row r="50" spans="1:2" x14ac:dyDescent="0.2">
      <c r="A50" s="7" t="s">
        <v>44</v>
      </c>
      <c r="B50">
        <v>4</v>
      </c>
    </row>
    <row r="51" spans="1:2" x14ac:dyDescent="0.2">
      <c r="A51" s="7" t="s">
        <v>41</v>
      </c>
      <c r="B51">
        <v>4</v>
      </c>
    </row>
    <row r="52" spans="1:2" x14ac:dyDescent="0.2">
      <c r="A52" s="7" t="s">
        <v>49</v>
      </c>
      <c r="B52">
        <v>2</v>
      </c>
    </row>
    <row r="53" spans="1:2" x14ac:dyDescent="0.2">
      <c r="A53" s="7" t="s">
        <v>52</v>
      </c>
      <c r="B53">
        <v>2</v>
      </c>
    </row>
    <row r="54" spans="1:2" x14ac:dyDescent="0.2">
      <c r="A54" s="7" t="s">
        <v>131</v>
      </c>
      <c r="B54">
        <v>33852</v>
      </c>
    </row>
  </sheetData>
  <autoFilter ref="A3:B54" xr:uid="{DE530562-C4C8-4B56-BF2F-074ABCC49066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F3AB-A936-477E-96C8-BCFF74DEEB86}">
  <dimension ref="A1:BO77"/>
  <sheetViews>
    <sheetView tabSelected="1" topLeftCell="AI1" zoomScale="125" zoomScaleNormal="100" workbookViewId="0">
      <selection activeCell="AY20" sqref="AY20"/>
    </sheetView>
  </sheetViews>
  <sheetFormatPr baseColWidth="10" defaultColWidth="8.83203125" defaultRowHeight="15" x14ac:dyDescent="0.2"/>
  <cols>
    <col min="1" max="1" width="12.1640625" bestFit="1" customWidth="1"/>
    <col min="2" max="2" width="22.6640625" bestFit="1" customWidth="1"/>
    <col min="57" max="57" width="15.6640625" bestFit="1" customWidth="1"/>
    <col min="60" max="60" width="5.5" customWidth="1"/>
  </cols>
  <sheetData>
    <row r="1" spans="1:67" x14ac:dyDescent="0.2">
      <c r="A1" s="6" t="s">
        <v>0</v>
      </c>
      <c r="B1" t="s">
        <v>269</v>
      </c>
    </row>
    <row r="3" spans="1:67" x14ac:dyDescent="0.2">
      <c r="A3" s="6" t="s">
        <v>56</v>
      </c>
      <c r="B3" t="s">
        <v>132</v>
      </c>
    </row>
    <row r="4" spans="1:67" x14ac:dyDescent="0.2">
      <c r="A4" s="7" t="s">
        <v>143</v>
      </c>
      <c r="B4" s="37">
        <v>288</v>
      </c>
      <c r="F4" s="8"/>
      <c r="H4" s="18" t="s">
        <v>257</v>
      </c>
      <c r="I4" s="9" t="s">
        <v>258</v>
      </c>
      <c r="N4" s="36" t="s">
        <v>8</v>
      </c>
      <c r="P4" s="18" t="s">
        <v>257</v>
      </c>
      <c r="Q4" s="9" t="s">
        <v>258</v>
      </c>
      <c r="V4" s="36" t="s">
        <v>10</v>
      </c>
      <c r="X4" s="18" t="s">
        <v>257</v>
      </c>
      <c r="Y4" s="9" t="s">
        <v>258</v>
      </c>
      <c r="AD4" s="36" t="s">
        <v>6</v>
      </c>
      <c r="AF4" s="18" t="s">
        <v>257</v>
      </c>
      <c r="AG4" s="9" t="s">
        <v>258</v>
      </c>
      <c r="AL4" s="36" t="s">
        <v>4</v>
      </c>
      <c r="AN4" s="18" t="s">
        <v>257</v>
      </c>
      <c r="AO4" s="9" t="s">
        <v>258</v>
      </c>
      <c r="AT4" s="8" t="s">
        <v>9</v>
      </c>
      <c r="AV4" s="18" t="s">
        <v>257</v>
      </c>
      <c r="AW4" s="9" t="s">
        <v>258</v>
      </c>
      <c r="BB4" s="8" t="s">
        <v>14</v>
      </c>
      <c r="BJ4" s="8" t="s">
        <v>3</v>
      </c>
    </row>
    <row r="5" spans="1:67" x14ac:dyDescent="0.2">
      <c r="A5" s="7" t="s">
        <v>154</v>
      </c>
      <c r="B5" s="37">
        <v>235</v>
      </c>
    </row>
    <row r="6" spans="1:67" x14ac:dyDescent="0.2">
      <c r="A6" s="7" t="s">
        <v>171</v>
      </c>
      <c r="B6" s="37">
        <v>172</v>
      </c>
      <c r="E6" s="30" t="s">
        <v>240</v>
      </c>
      <c r="F6" s="30"/>
      <c r="G6" t="s">
        <v>239</v>
      </c>
      <c r="H6" s="9" t="s">
        <v>242</v>
      </c>
      <c r="I6" s="9" t="s">
        <v>252</v>
      </c>
      <c r="J6" s="9" t="s">
        <v>241</v>
      </c>
      <c r="K6" s="9" t="s">
        <v>243</v>
      </c>
      <c r="M6" s="30" t="s">
        <v>240</v>
      </c>
      <c r="N6" s="30"/>
      <c r="O6" t="s">
        <v>239</v>
      </c>
      <c r="P6" s="9" t="s">
        <v>242</v>
      </c>
      <c r="Q6" s="9" t="s">
        <v>252</v>
      </c>
      <c r="R6" s="9" t="s">
        <v>241</v>
      </c>
      <c r="S6" s="9" t="s">
        <v>243</v>
      </c>
      <c r="U6" s="30" t="s">
        <v>240</v>
      </c>
      <c r="V6" s="30"/>
      <c r="W6" t="s">
        <v>239</v>
      </c>
      <c r="X6" s="9" t="s">
        <v>242</v>
      </c>
      <c r="Y6" s="9" t="s">
        <v>252</v>
      </c>
      <c r="Z6" s="9" t="s">
        <v>241</v>
      </c>
      <c r="AA6" s="9" t="s">
        <v>243</v>
      </c>
      <c r="AC6" s="30" t="s">
        <v>240</v>
      </c>
      <c r="AD6" s="30"/>
      <c r="AE6" t="s">
        <v>239</v>
      </c>
      <c r="AF6" s="9" t="s">
        <v>242</v>
      </c>
      <c r="AG6" s="9" t="s">
        <v>252</v>
      </c>
      <c r="AH6" s="9" t="s">
        <v>241</v>
      </c>
      <c r="AI6" s="9" t="s">
        <v>243</v>
      </c>
      <c r="AK6" s="30" t="s">
        <v>240</v>
      </c>
      <c r="AL6" s="30"/>
      <c r="AM6" t="s">
        <v>239</v>
      </c>
      <c r="AN6" s="9" t="s">
        <v>242</v>
      </c>
      <c r="AO6" s="9" t="s">
        <v>252</v>
      </c>
      <c r="AP6" s="9" t="s">
        <v>241</v>
      </c>
      <c r="AQ6" s="9" t="s">
        <v>243</v>
      </c>
      <c r="AS6" s="30" t="s">
        <v>240</v>
      </c>
      <c r="AT6" s="30"/>
      <c r="AU6" t="s">
        <v>239</v>
      </c>
      <c r="AV6" s="9" t="s">
        <v>242</v>
      </c>
      <c r="AW6" s="9" t="s">
        <v>252</v>
      </c>
      <c r="AX6" s="9" t="s">
        <v>241</v>
      </c>
      <c r="AY6" s="9" t="s">
        <v>243</v>
      </c>
      <c r="AZ6" s="9"/>
      <c r="BA6" s="30" t="s">
        <v>240</v>
      </c>
      <c r="BB6" s="30"/>
      <c r="BC6" t="s">
        <v>239</v>
      </c>
      <c r="BD6" s="9" t="s">
        <v>242</v>
      </c>
      <c r="BE6" s="9" t="s">
        <v>252</v>
      </c>
      <c r="BF6" s="9" t="s">
        <v>241</v>
      </c>
      <c r="BG6" s="9" t="s">
        <v>243</v>
      </c>
      <c r="BH6" s="9"/>
      <c r="BI6" s="30" t="s">
        <v>240</v>
      </c>
      <c r="BJ6" s="30"/>
      <c r="BK6" t="s">
        <v>239</v>
      </c>
      <c r="BL6" s="9" t="s">
        <v>242</v>
      </c>
      <c r="BM6" s="9" t="s">
        <v>252</v>
      </c>
      <c r="BN6" s="9" t="s">
        <v>241</v>
      </c>
      <c r="BO6" s="9" t="s">
        <v>243</v>
      </c>
    </row>
    <row r="7" spans="1:67" x14ac:dyDescent="0.2">
      <c r="A7" s="7" t="s">
        <v>192</v>
      </c>
      <c r="B7" s="37">
        <v>164</v>
      </c>
      <c r="F7">
        <v>0</v>
      </c>
      <c r="G7">
        <v>44</v>
      </c>
      <c r="H7" s="10">
        <f>G7/74</f>
        <v>0.59459459459459463</v>
      </c>
      <c r="I7" s="10">
        <f>H7</f>
        <v>0.59459459459459463</v>
      </c>
      <c r="J7">
        <f>F7+E7</f>
        <v>0</v>
      </c>
      <c r="K7" s="5">
        <f t="shared" ref="K7:K17" si="0">J7*H7</f>
        <v>0</v>
      </c>
      <c r="N7">
        <v>0</v>
      </c>
      <c r="O7">
        <v>16</v>
      </c>
      <c r="P7" s="10">
        <f>O7/74</f>
        <v>0.21621621621621623</v>
      </c>
      <c r="Q7" s="10">
        <f>P7</f>
        <v>0.21621621621621623</v>
      </c>
      <c r="R7">
        <f>N7+M7</f>
        <v>0</v>
      </c>
      <c r="S7" s="5">
        <f t="shared" ref="S7:S17" si="1">R7*P7</f>
        <v>0</v>
      </c>
      <c r="V7">
        <v>0</v>
      </c>
      <c r="W7">
        <f>74-64</f>
        <v>10</v>
      </c>
      <c r="X7" s="10">
        <f>W7/74</f>
        <v>0.13513513513513514</v>
      </c>
      <c r="Y7" s="10">
        <f>X7</f>
        <v>0.13513513513513514</v>
      </c>
      <c r="Z7">
        <f>V7+U7</f>
        <v>0</v>
      </c>
      <c r="AA7" s="5">
        <f t="shared" ref="AA7:AA17" si="2">Z7*X7</f>
        <v>0</v>
      </c>
      <c r="AD7">
        <v>0</v>
      </c>
      <c r="AE7">
        <v>12</v>
      </c>
      <c r="AF7" s="10">
        <f>AE7/74</f>
        <v>0.16216216216216217</v>
      </c>
      <c r="AG7" s="10">
        <f>AF7</f>
        <v>0.16216216216216217</v>
      </c>
      <c r="AH7">
        <f>AD7+AC7</f>
        <v>0</v>
      </c>
      <c r="AI7" s="5">
        <f t="shared" ref="AI7:AI17" si="3">AH7*AF7</f>
        <v>0</v>
      </c>
      <c r="AL7">
        <v>0</v>
      </c>
      <c r="AM7">
        <v>3</v>
      </c>
      <c r="AN7" s="10">
        <f>AM7/74</f>
        <v>4.0540540540540543E-2</v>
      </c>
      <c r="AO7" s="10">
        <f>AN7</f>
        <v>4.0540540540540543E-2</v>
      </c>
      <c r="AP7">
        <f>AL7+AK7</f>
        <v>0</v>
      </c>
      <c r="AQ7" s="5">
        <f t="shared" ref="AQ7:AQ17" si="4">AP7*AN7</f>
        <v>0</v>
      </c>
      <c r="AT7">
        <v>0</v>
      </c>
      <c r="AU7">
        <v>2</v>
      </c>
      <c r="AV7" s="10">
        <f>AU7/74</f>
        <v>2.7027027027027029E-2</v>
      </c>
      <c r="AW7" s="10">
        <f>AV7</f>
        <v>2.7027027027027029E-2</v>
      </c>
      <c r="AX7">
        <f>AT7+AS7</f>
        <v>0</v>
      </c>
      <c r="AY7" s="5">
        <f t="shared" ref="AY7:AY17" si="5">AX7*AV7</f>
        <v>0</v>
      </c>
      <c r="BB7">
        <v>0</v>
      </c>
      <c r="BC7">
        <v>5</v>
      </c>
      <c r="BD7" s="10">
        <f>BC7/74</f>
        <v>6.7567567567567571E-2</v>
      </c>
      <c r="BE7" s="10">
        <f>BD7</f>
        <v>6.7567567567567571E-2</v>
      </c>
      <c r="BF7">
        <f>BB7+BA7</f>
        <v>0</v>
      </c>
      <c r="BG7" s="5">
        <f>BF7*BD7</f>
        <v>0</v>
      </c>
      <c r="BH7" s="5"/>
      <c r="BJ7">
        <v>0</v>
      </c>
      <c r="BK7">
        <v>2</v>
      </c>
      <c r="BL7" s="10">
        <f>BK7/74</f>
        <v>2.7027027027027029E-2</v>
      </c>
      <c r="BM7" s="10">
        <f>BL7</f>
        <v>2.7027027027027029E-2</v>
      </c>
      <c r="BN7">
        <f>BJ7+BI7</f>
        <v>0</v>
      </c>
      <c r="BO7" s="5">
        <f>BN7*BL7</f>
        <v>0</v>
      </c>
    </row>
    <row r="8" spans="1:67" x14ac:dyDescent="0.2">
      <c r="A8" s="7" t="s">
        <v>161</v>
      </c>
      <c r="B8" s="37">
        <v>163</v>
      </c>
      <c r="E8">
        <f>F7+1</f>
        <v>1</v>
      </c>
      <c r="F8" s="19">
        <v>12</v>
      </c>
      <c r="G8">
        <v>25</v>
      </c>
      <c r="H8" s="10">
        <f t="shared" ref="H8:H17" si="6">G8/74</f>
        <v>0.33783783783783783</v>
      </c>
      <c r="I8" s="10">
        <f>I7+H8</f>
        <v>0.93243243243243246</v>
      </c>
      <c r="J8">
        <f>(F8+E8)/2</f>
        <v>6.5</v>
      </c>
      <c r="K8" s="5">
        <f t="shared" si="0"/>
        <v>2.1959459459459461</v>
      </c>
      <c r="M8">
        <f>N7+1</f>
        <v>1</v>
      </c>
      <c r="N8" s="19">
        <f>M8+23</f>
        <v>24</v>
      </c>
      <c r="O8">
        <v>48</v>
      </c>
      <c r="P8" s="10">
        <f t="shared" ref="P8:P17" si="7">O8/74</f>
        <v>0.64864864864864868</v>
      </c>
      <c r="Q8" s="10">
        <f>Q7+P8</f>
        <v>0.86486486486486491</v>
      </c>
      <c r="R8">
        <f>(N8+M8)/2</f>
        <v>12.5</v>
      </c>
      <c r="S8" s="5">
        <f>R8*P8</f>
        <v>8.1081081081081088</v>
      </c>
      <c r="U8">
        <f>V7+1</f>
        <v>1</v>
      </c>
      <c r="V8" s="19">
        <f>U8+23</f>
        <v>24</v>
      </c>
      <c r="W8">
        <v>52</v>
      </c>
      <c r="X8" s="10">
        <f t="shared" ref="X8:X17" si="8">W8/74</f>
        <v>0.70270270270270274</v>
      </c>
      <c r="Y8" s="10">
        <f>Y7+X8</f>
        <v>0.83783783783783794</v>
      </c>
      <c r="Z8">
        <f>(V8+U8)/2</f>
        <v>12.5</v>
      </c>
      <c r="AA8" s="5">
        <f t="shared" si="2"/>
        <v>8.7837837837837842</v>
      </c>
      <c r="AC8">
        <f>AD7+1</f>
        <v>1</v>
      </c>
      <c r="AD8">
        <f>AC8+23</f>
        <v>24</v>
      </c>
      <c r="AE8">
        <v>35</v>
      </c>
      <c r="AF8" s="10">
        <f t="shared" ref="AF8:AF17" si="9">AE8/74</f>
        <v>0.47297297297297297</v>
      </c>
      <c r="AG8" s="10">
        <f>AG7+AF8</f>
        <v>0.63513513513513509</v>
      </c>
      <c r="AH8">
        <f>(AD8+AC8)/2</f>
        <v>12.5</v>
      </c>
      <c r="AI8" s="5">
        <f t="shared" si="3"/>
        <v>5.9121621621621623</v>
      </c>
      <c r="AK8">
        <f>AL7+1</f>
        <v>1</v>
      </c>
      <c r="AL8">
        <f>AK8+23</f>
        <v>24</v>
      </c>
      <c r="AM8">
        <v>33</v>
      </c>
      <c r="AN8" s="10">
        <f t="shared" ref="AN8:AN17" si="10">AM8/74</f>
        <v>0.44594594594594594</v>
      </c>
      <c r="AO8" s="10">
        <f>AO7+AN8</f>
        <v>0.48648648648648651</v>
      </c>
      <c r="AP8">
        <f>(AL8+AK8)/2</f>
        <v>12.5</v>
      </c>
      <c r="AQ8" s="5">
        <f t="shared" si="4"/>
        <v>5.5743243243243246</v>
      </c>
      <c r="AS8">
        <f>AT7+1</f>
        <v>1</v>
      </c>
      <c r="AT8">
        <f>AS8+23</f>
        <v>24</v>
      </c>
      <c r="AU8">
        <v>22</v>
      </c>
      <c r="AV8" s="10">
        <f t="shared" ref="AV8:AV17" si="11">AU8/74</f>
        <v>0.29729729729729731</v>
      </c>
      <c r="AW8" s="10">
        <f>AW7+AV8</f>
        <v>0.32432432432432434</v>
      </c>
      <c r="AX8">
        <f>(AT8+AS8)/2</f>
        <v>12.5</v>
      </c>
      <c r="AY8" s="5">
        <f t="shared" si="5"/>
        <v>3.7162162162162162</v>
      </c>
      <c r="BA8">
        <f>BB7+1</f>
        <v>1</v>
      </c>
      <c r="BB8">
        <f>BA8+23</f>
        <v>24</v>
      </c>
      <c r="BC8">
        <v>20</v>
      </c>
      <c r="BD8" s="10">
        <f t="shared" ref="BD8:BD17" si="12">BC8/74</f>
        <v>0.27027027027027029</v>
      </c>
      <c r="BE8" s="10">
        <f>BE7+BD8</f>
        <v>0.33783783783783783</v>
      </c>
      <c r="BF8">
        <f>(BB8+BA8)/2</f>
        <v>12.5</v>
      </c>
      <c r="BG8" s="5">
        <f t="shared" ref="BG8:BG17" si="13">BF8*BD8</f>
        <v>3.3783783783783785</v>
      </c>
      <c r="BH8" s="5"/>
      <c r="BI8">
        <f>BJ7+1</f>
        <v>1</v>
      </c>
      <c r="BJ8">
        <f>BI8+23</f>
        <v>24</v>
      </c>
      <c r="BK8">
        <v>12</v>
      </c>
      <c r="BL8" s="10">
        <f t="shared" ref="BL8:BL17" si="14">BK8/74</f>
        <v>0.16216216216216217</v>
      </c>
      <c r="BM8" s="10">
        <f>BM7+BL8</f>
        <v>0.1891891891891892</v>
      </c>
      <c r="BN8">
        <f>(BJ8+BI8)/2</f>
        <v>12.5</v>
      </c>
      <c r="BO8" s="5">
        <f t="shared" ref="BO8:BO17" si="15">BN8*BL8</f>
        <v>2.0270270270270272</v>
      </c>
    </row>
    <row r="9" spans="1:67" x14ac:dyDescent="0.2">
      <c r="A9" s="7" t="s">
        <v>174</v>
      </c>
      <c r="B9" s="37">
        <v>140</v>
      </c>
      <c r="E9">
        <f t="shared" ref="E9" si="16">F8+1</f>
        <v>13</v>
      </c>
      <c r="F9">
        <f>E9+11</f>
        <v>24</v>
      </c>
      <c r="G9">
        <v>3</v>
      </c>
      <c r="H9" s="10">
        <f t="shared" si="6"/>
        <v>4.0540540540540543E-2</v>
      </c>
      <c r="I9" s="10">
        <f t="shared" ref="I9:I17" si="17">I8+H9</f>
        <v>0.97297297297297303</v>
      </c>
      <c r="J9">
        <f t="shared" ref="J9:J17" si="18">(F9+E9)/2</f>
        <v>18.5</v>
      </c>
      <c r="K9" s="5">
        <f t="shared" si="0"/>
        <v>0.75</v>
      </c>
      <c r="M9">
        <f t="shared" ref="M9:M17" si="19">N8+1</f>
        <v>25</v>
      </c>
      <c r="N9">
        <f t="shared" ref="N9:N17" si="20">M9+23</f>
        <v>48</v>
      </c>
      <c r="O9">
        <v>10</v>
      </c>
      <c r="P9" s="10">
        <f t="shared" si="7"/>
        <v>0.13513513513513514</v>
      </c>
      <c r="Q9" s="10">
        <f t="shared" ref="Q9:Q17" si="21">Q8+P9</f>
        <v>1</v>
      </c>
      <c r="R9">
        <f t="shared" ref="R9:R17" si="22">(N9+M9)/2</f>
        <v>36.5</v>
      </c>
      <c r="S9" s="5">
        <f t="shared" si="1"/>
        <v>4.9324324324324325</v>
      </c>
      <c r="U9">
        <f t="shared" ref="U9:U17" si="23">V8+1</f>
        <v>25</v>
      </c>
      <c r="V9">
        <f t="shared" ref="V9:V17" si="24">U9+23</f>
        <v>48</v>
      </c>
      <c r="W9">
        <v>10</v>
      </c>
      <c r="X9" s="10">
        <f t="shared" si="8"/>
        <v>0.13513513513513514</v>
      </c>
      <c r="Y9" s="10">
        <f t="shared" ref="Y9:Y17" si="25">Y8+X9</f>
        <v>0.97297297297297303</v>
      </c>
      <c r="Z9">
        <f t="shared" ref="Z9:Z17" si="26">(V9+U9)/2</f>
        <v>36.5</v>
      </c>
      <c r="AA9" s="5">
        <f t="shared" si="2"/>
        <v>4.9324324324324325</v>
      </c>
      <c r="AC9">
        <f t="shared" ref="AC9:AC17" si="27">AD8+1</f>
        <v>25</v>
      </c>
      <c r="AD9" s="19">
        <f t="shared" ref="AD9:AD17" si="28">AC9+23</f>
        <v>48</v>
      </c>
      <c r="AE9">
        <v>19</v>
      </c>
      <c r="AF9" s="10">
        <f t="shared" si="9"/>
        <v>0.25675675675675674</v>
      </c>
      <c r="AG9" s="10">
        <f t="shared" ref="AG9:AG17" si="29">AG8+AF9</f>
        <v>0.89189189189189189</v>
      </c>
      <c r="AH9">
        <f t="shared" ref="AH9:AH17" si="30">(AD9+AC9)/2</f>
        <v>36.5</v>
      </c>
      <c r="AI9" s="5">
        <f t="shared" si="3"/>
        <v>9.371621621621621</v>
      </c>
      <c r="AK9">
        <f t="shared" ref="AK9:AK17" si="31">AL8+1</f>
        <v>25</v>
      </c>
      <c r="AL9" s="19">
        <f t="shared" ref="AL9:AL17" si="32">AK9+23</f>
        <v>48</v>
      </c>
      <c r="AM9">
        <v>23</v>
      </c>
      <c r="AN9" s="10">
        <f t="shared" si="10"/>
        <v>0.3108108108108108</v>
      </c>
      <c r="AO9" s="10">
        <f t="shared" ref="AO9:AO17" si="33">AO8+AN9</f>
        <v>0.79729729729729737</v>
      </c>
      <c r="AP9">
        <f t="shared" ref="AP9:AP17" si="34">(AL9+AK9)/2</f>
        <v>36.5</v>
      </c>
      <c r="AQ9" s="5">
        <f t="shared" si="4"/>
        <v>11.344594594594595</v>
      </c>
      <c r="AS9">
        <f t="shared" ref="AS9:AS17" si="35">AT8+1</f>
        <v>25</v>
      </c>
      <c r="AT9">
        <f t="shared" ref="AT9:AT17" si="36">AS9+23</f>
        <v>48</v>
      </c>
      <c r="AU9">
        <v>22</v>
      </c>
      <c r="AV9" s="10">
        <f t="shared" si="11"/>
        <v>0.29729729729729731</v>
      </c>
      <c r="AW9" s="10">
        <f t="shared" ref="AW9:AW17" si="37">AW8+AV9</f>
        <v>0.62162162162162171</v>
      </c>
      <c r="AX9">
        <f t="shared" ref="AX9:AX17" si="38">(AT9+AS9)/2</f>
        <v>36.5</v>
      </c>
      <c r="AY9" s="5">
        <f t="shared" si="5"/>
        <v>10.851351351351353</v>
      </c>
      <c r="BA9">
        <f t="shared" ref="BA9:BA17" si="39">BB8+1</f>
        <v>25</v>
      </c>
      <c r="BB9">
        <f t="shared" ref="BB9:BB17" si="40">BA9+23</f>
        <v>48</v>
      </c>
      <c r="BC9">
        <v>26</v>
      </c>
      <c r="BD9" s="10">
        <f t="shared" si="12"/>
        <v>0.35135135135135137</v>
      </c>
      <c r="BE9" s="10">
        <f t="shared" ref="BE9:BE17" si="41">BE8+BD9</f>
        <v>0.68918918918918926</v>
      </c>
      <c r="BF9">
        <f t="shared" ref="BF9:BF17" si="42">(BB9+BA9)/2</f>
        <v>36.5</v>
      </c>
      <c r="BG9" s="5">
        <f t="shared" si="13"/>
        <v>12.824324324324325</v>
      </c>
      <c r="BH9" s="5"/>
      <c r="BI9">
        <f t="shared" ref="BI9:BI17" si="43">BJ8+1</f>
        <v>25</v>
      </c>
      <c r="BJ9">
        <f t="shared" ref="BJ9:BJ17" si="44">BI9+23</f>
        <v>48</v>
      </c>
      <c r="BK9">
        <v>26</v>
      </c>
      <c r="BL9" s="10">
        <f t="shared" si="14"/>
        <v>0.35135135135135137</v>
      </c>
      <c r="BM9" s="10">
        <f t="shared" ref="BM9:BM17" si="45">BM8+BL9</f>
        <v>0.54054054054054057</v>
      </c>
      <c r="BN9">
        <f t="shared" ref="BN9:BN17" si="46">(BJ9+BI9)/2</f>
        <v>36.5</v>
      </c>
      <c r="BO9" s="5">
        <f t="shared" si="15"/>
        <v>12.824324324324325</v>
      </c>
    </row>
    <row r="10" spans="1:67" x14ac:dyDescent="0.2">
      <c r="A10" s="7" t="s">
        <v>225</v>
      </c>
      <c r="B10" s="37">
        <v>140</v>
      </c>
      <c r="E10">
        <f t="shared" ref="E10:E17" si="47">F9+1</f>
        <v>25</v>
      </c>
      <c r="F10">
        <f t="shared" ref="F10:F17" si="48">E10+11</f>
        <v>36</v>
      </c>
      <c r="G10">
        <v>1</v>
      </c>
      <c r="H10" s="10">
        <f t="shared" si="6"/>
        <v>1.3513513513513514E-2</v>
      </c>
      <c r="I10" s="10">
        <f t="shared" si="17"/>
        <v>0.98648648648648651</v>
      </c>
      <c r="J10">
        <f t="shared" si="18"/>
        <v>30.5</v>
      </c>
      <c r="K10" s="5">
        <f t="shared" si="0"/>
        <v>0.41216216216216217</v>
      </c>
      <c r="M10">
        <f t="shared" si="19"/>
        <v>49</v>
      </c>
      <c r="N10">
        <f t="shared" si="20"/>
        <v>72</v>
      </c>
      <c r="P10" s="10">
        <f t="shared" si="7"/>
        <v>0</v>
      </c>
      <c r="Q10" s="10">
        <f t="shared" si="21"/>
        <v>1</v>
      </c>
      <c r="R10">
        <f t="shared" si="22"/>
        <v>60.5</v>
      </c>
      <c r="S10" s="5">
        <f t="shared" si="1"/>
        <v>0</v>
      </c>
      <c r="U10">
        <f t="shared" si="23"/>
        <v>49</v>
      </c>
      <c r="V10">
        <f t="shared" si="24"/>
        <v>72</v>
      </c>
      <c r="W10">
        <v>2</v>
      </c>
      <c r="X10" s="10">
        <f>W10/74</f>
        <v>2.7027027027027029E-2</v>
      </c>
      <c r="Y10" s="10">
        <f t="shared" si="25"/>
        <v>1</v>
      </c>
      <c r="Z10">
        <f t="shared" si="26"/>
        <v>60.5</v>
      </c>
      <c r="AA10" s="5">
        <f t="shared" si="2"/>
        <v>1.6351351351351353</v>
      </c>
      <c r="AC10">
        <f t="shared" si="27"/>
        <v>49</v>
      </c>
      <c r="AD10">
        <f t="shared" si="28"/>
        <v>72</v>
      </c>
      <c r="AE10">
        <v>5</v>
      </c>
      <c r="AF10" s="10">
        <f t="shared" si="9"/>
        <v>6.7567567567567571E-2</v>
      </c>
      <c r="AG10" s="10">
        <f t="shared" si="29"/>
        <v>0.95945945945945943</v>
      </c>
      <c r="AH10">
        <f t="shared" si="30"/>
        <v>60.5</v>
      </c>
      <c r="AI10" s="5">
        <f t="shared" si="3"/>
        <v>4.0878378378378377</v>
      </c>
      <c r="AK10">
        <f t="shared" si="31"/>
        <v>49</v>
      </c>
      <c r="AL10" s="19">
        <f t="shared" si="32"/>
        <v>72</v>
      </c>
      <c r="AM10">
        <v>10</v>
      </c>
      <c r="AN10" s="10">
        <f t="shared" si="10"/>
        <v>0.13513513513513514</v>
      </c>
      <c r="AO10" s="10">
        <f t="shared" si="33"/>
        <v>0.93243243243243246</v>
      </c>
      <c r="AP10">
        <f t="shared" si="34"/>
        <v>60.5</v>
      </c>
      <c r="AQ10" s="5">
        <f t="shared" si="4"/>
        <v>8.1756756756756754</v>
      </c>
      <c r="AS10">
        <f t="shared" si="35"/>
        <v>49</v>
      </c>
      <c r="AT10" s="19">
        <f t="shared" si="36"/>
        <v>72</v>
      </c>
      <c r="AU10">
        <v>15</v>
      </c>
      <c r="AV10" s="10">
        <f t="shared" si="11"/>
        <v>0.20270270270270271</v>
      </c>
      <c r="AW10" s="10">
        <f t="shared" si="37"/>
        <v>0.82432432432432445</v>
      </c>
      <c r="AX10">
        <f t="shared" si="38"/>
        <v>60.5</v>
      </c>
      <c r="AY10" s="5">
        <f t="shared" si="5"/>
        <v>12.263513513513514</v>
      </c>
      <c r="BA10">
        <f t="shared" si="39"/>
        <v>49</v>
      </c>
      <c r="BB10" s="19">
        <f t="shared" si="40"/>
        <v>72</v>
      </c>
      <c r="BC10">
        <v>12</v>
      </c>
      <c r="BD10" s="10">
        <f t="shared" si="12"/>
        <v>0.16216216216216217</v>
      </c>
      <c r="BE10" s="10">
        <f t="shared" si="41"/>
        <v>0.85135135135135143</v>
      </c>
      <c r="BF10">
        <f t="shared" si="42"/>
        <v>60.5</v>
      </c>
      <c r="BG10" s="5">
        <f t="shared" si="13"/>
        <v>9.8108108108108105</v>
      </c>
      <c r="BH10" s="5"/>
      <c r="BI10">
        <f t="shared" si="43"/>
        <v>49</v>
      </c>
      <c r="BJ10">
        <f t="shared" si="44"/>
        <v>72</v>
      </c>
      <c r="BK10">
        <v>14</v>
      </c>
      <c r="BL10" s="10">
        <f t="shared" si="14"/>
        <v>0.1891891891891892</v>
      </c>
      <c r="BM10" s="10">
        <f t="shared" si="45"/>
        <v>0.72972972972972983</v>
      </c>
      <c r="BN10">
        <f t="shared" si="46"/>
        <v>60.5</v>
      </c>
      <c r="BO10" s="5">
        <f t="shared" si="15"/>
        <v>11.445945945945947</v>
      </c>
    </row>
    <row r="11" spans="1:67" x14ac:dyDescent="0.2">
      <c r="A11" s="7" t="s">
        <v>170</v>
      </c>
      <c r="B11" s="37">
        <v>130</v>
      </c>
      <c r="E11">
        <f t="shared" si="47"/>
        <v>37</v>
      </c>
      <c r="F11">
        <f t="shared" si="48"/>
        <v>48</v>
      </c>
      <c r="G11">
        <v>1</v>
      </c>
      <c r="H11" s="10">
        <f t="shared" si="6"/>
        <v>1.3513513513513514E-2</v>
      </c>
      <c r="I11" s="10">
        <f t="shared" si="17"/>
        <v>1</v>
      </c>
      <c r="J11">
        <f t="shared" si="18"/>
        <v>42.5</v>
      </c>
      <c r="K11" s="5">
        <f t="shared" si="0"/>
        <v>0.57432432432432434</v>
      </c>
      <c r="M11">
        <f t="shared" si="19"/>
        <v>73</v>
      </c>
      <c r="N11" s="9">
        <f t="shared" si="20"/>
        <v>96</v>
      </c>
      <c r="P11" s="10">
        <f t="shared" si="7"/>
        <v>0</v>
      </c>
      <c r="Q11" s="10">
        <f t="shared" si="21"/>
        <v>1</v>
      </c>
      <c r="R11">
        <f t="shared" si="22"/>
        <v>84.5</v>
      </c>
      <c r="S11" s="5">
        <f t="shared" si="1"/>
        <v>0</v>
      </c>
      <c r="U11">
        <f t="shared" si="23"/>
        <v>73</v>
      </c>
      <c r="V11" s="9">
        <f t="shared" si="24"/>
        <v>96</v>
      </c>
      <c r="W11">
        <v>1</v>
      </c>
      <c r="X11" s="10">
        <f t="shared" si="8"/>
        <v>1.3513513513513514E-2</v>
      </c>
      <c r="Y11" s="10">
        <f t="shared" si="25"/>
        <v>1.0135135135135136</v>
      </c>
      <c r="Z11">
        <f t="shared" si="26"/>
        <v>84.5</v>
      </c>
      <c r="AA11" s="5">
        <f t="shared" si="2"/>
        <v>1.1418918918918919</v>
      </c>
      <c r="AC11">
        <f t="shared" si="27"/>
        <v>73</v>
      </c>
      <c r="AD11" s="9">
        <f t="shared" si="28"/>
        <v>96</v>
      </c>
      <c r="AF11" s="10">
        <f t="shared" si="9"/>
        <v>0</v>
      </c>
      <c r="AG11" s="10">
        <f t="shared" si="29"/>
        <v>0.95945945945945943</v>
      </c>
      <c r="AH11">
        <f t="shared" si="30"/>
        <v>84.5</v>
      </c>
      <c r="AI11" s="5">
        <f t="shared" si="3"/>
        <v>0</v>
      </c>
      <c r="AK11">
        <f t="shared" si="31"/>
        <v>73</v>
      </c>
      <c r="AL11" s="9">
        <f t="shared" si="32"/>
        <v>96</v>
      </c>
      <c r="AM11">
        <v>4</v>
      </c>
      <c r="AN11" s="10">
        <f t="shared" si="10"/>
        <v>5.4054054054054057E-2</v>
      </c>
      <c r="AO11" s="10">
        <f t="shared" si="33"/>
        <v>0.98648648648648651</v>
      </c>
      <c r="AP11">
        <f t="shared" si="34"/>
        <v>84.5</v>
      </c>
      <c r="AQ11" s="5">
        <f t="shared" si="4"/>
        <v>4.5675675675675675</v>
      </c>
      <c r="AS11">
        <f t="shared" si="35"/>
        <v>73</v>
      </c>
      <c r="AT11" s="19">
        <f t="shared" si="36"/>
        <v>96</v>
      </c>
      <c r="AU11">
        <v>6</v>
      </c>
      <c r="AV11" s="10">
        <f t="shared" si="11"/>
        <v>8.1081081081081086E-2</v>
      </c>
      <c r="AW11" s="10">
        <f t="shared" si="37"/>
        <v>0.90540540540540548</v>
      </c>
      <c r="AX11">
        <f t="shared" si="38"/>
        <v>84.5</v>
      </c>
      <c r="AY11" s="5">
        <f t="shared" si="5"/>
        <v>6.8513513513513518</v>
      </c>
      <c r="BA11">
        <f t="shared" si="39"/>
        <v>73</v>
      </c>
      <c r="BB11">
        <f t="shared" si="40"/>
        <v>96</v>
      </c>
      <c r="BC11">
        <v>7</v>
      </c>
      <c r="BD11" s="10">
        <f t="shared" si="12"/>
        <v>9.45945945945946E-2</v>
      </c>
      <c r="BE11" s="10">
        <f t="shared" si="41"/>
        <v>0.94594594594594605</v>
      </c>
      <c r="BF11">
        <f t="shared" si="42"/>
        <v>84.5</v>
      </c>
      <c r="BG11" s="5">
        <f t="shared" si="13"/>
        <v>7.9932432432432439</v>
      </c>
      <c r="BH11" s="5"/>
      <c r="BI11">
        <f t="shared" si="43"/>
        <v>73</v>
      </c>
      <c r="BJ11" s="17">
        <f t="shared" si="44"/>
        <v>96</v>
      </c>
      <c r="BK11">
        <v>12</v>
      </c>
      <c r="BL11" s="10">
        <f t="shared" si="14"/>
        <v>0.16216216216216217</v>
      </c>
      <c r="BM11" s="10">
        <f t="shared" si="45"/>
        <v>0.891891891891892</v>
      </c>
      <c r="BN11">
        <f t="shared" si="46"/>
        <v>84.5</v>
      </c>
      <c r="BO11" s="5">
        <f t="shared" si="15"/>
        <v>13.702702702702704</v>
      </c>
    </row>
    <row r="12" spans="1:67" x14ac:dyDescent="0.2">
      <c r="A12" s="7" t="s">
        <v>223</v>
      </c>
      <c r="B12" s="37">
        <v>126</v>
      </c>
      <c r="E12">
        <f t="shared" si="47"/>
        <v>49</v>
      </c>
      <c r="F12">
        <f t="shared" si="48"/>
        <v>60</v>
      </c>
      <c r="G12" s="9"/>
      <c r="H12" s="16">
        <f t="shared" si="6"/>
        <v>0</v>
      </c>
      <c r="I12" s="16">
        <f t="shared" si="17"/>
        <v>1</v>
      </c>
      <c r="J12" s="9">
        <f t="shared" si="18"/>
        <v>54.5</v>
      </c>
      <c r="K12" s="5">
        <f t="shared" si="0"/>
        <v>0</v>
      </c>
      <c r="M12">
        <f t="shared" si="19"/>
        <v>97</v>
      </c>
      <c r="N12" s="9">
        <f t="shared" si="20"/>
        <v>120</v>
      </c>
      <c r="O12" s="9"/>
      <c r="P12" s="16">
        <f t="shared" si="7"/>
        <v>0</v>
      </c>
      <c r="Q12" s="16">
        <f t="shared" si="21"/>
        <v>1</v>
      </c>
      <c r="R12" s="9">
        <f t="shared" si="22"/>
        <v>108.5</v>
      </c>
      <c r="S12" s="5">
        <f t="shared" si="1"/>
        <v>0</v>
      </c>
      <c r="U12">
        <f t="shared" si="23"/>
        <v>97</v>
      </c>
      <c r="V12" s="9">
        <f t="shared" si="24"/>
        <v>120</v>
      </c>
      <c r="W12" s="9"/>
      <c r="X12" s="16">
        <f t="shared" si="8"/>
        <v>0</v>
      </c>
      <c r="Y12" s="16">
        <f t="shared" si="25"/>
        <v>1.0135135135135136</v>
      </c>
      <c r="Z12" s="9">
        <f t="shared" si="26"/>
        <v>108.5</v>
      </c>
      <c r="AA12" s="5">
        <f t="shared" si="2"/>
        <v>0</v>
      </c>
      <c r="AC12">
        <f t="shared" si="27"/>
        <v>97</v>
      </c>
      <c r="AD12" s="9">
        <f t="shared" si="28"/>
        <v>120</v>
      </c>
      <c r="AE12" s="9">
        <v>2</v>
      </c>
      <c r="AF12" s="16">
        <f t="shared" si="9"/>
        <v>2.7027027027027029E-2</v>
      </c>
      <c r="AG12" s="16">
        <f t="shared" si="29"/>
        <v>0.9864864864864864</v>
      </c>
      <c r="AH12" s="9">
        <f t="shared" si="30"/>
        <v>108.5</v>
      </c>
      <c r="AI12" s="5">
        <f t="shared" si="3"/>
        <v>2.9324324324324325</v>
      </c>
      <c r="AK12">
        <f t="shared" si="31"/>
        <v>97</v>
      </c>
      <c r="AL12" s="9">
        <f t="shared" si="32"/>
        <v>120</v>
      </c>
      <c r="AM12" s="9">
        <v>1</v>
      </c>
      <c r="AN12" s="16">
        <f t="shared" si="10"/>
        <v>1.3513513513513514E-2</v>
      </c>
      <c r="AO12" s="16">
        <f t="shared" si="33"/>
        <v>1</v>
      </c>
      <c r="AP12" s="9">
        <f t="shared" si="34"/>
        <v>108.5</v>
      </c>
      <c r="AQ12" s="5">
        <f t="shared" si="4"/>
        <v>1.4662162162162162</v>
      </c>
      <c r="AS12">
        <f t="shared" si="35"/>
        <v>97</v>
      </c>
      <c r="AT12" s="9">
        <f t="shared" si="36"/>
        <v>120</v>
      </c>
      <c r="AU12" s="9">
        <v>7</v>
      </c>
      <c r="AV12" s="16">
        <f t="shared" si="11"/>
        <v>9.45945945945946E-2</v>
      </c>
      <c r="AW12" s="16">
        <f t="shared" si="37"/>
        <v>1</v>
      </c>
      <c r="AX12" s="9">
        <f t="shared" si="38"/>
        <v>108.5</v>
      </c>
      <c r="AY12" s="5">
        <f t="shared" si="5"/>
        <v>10.263513513513514</v>
      </c>
      <c r="AZ12" s="9"/>
      <c r="BA12">
        <f t="shared" si="39"/>
        <v>97</v>
      </c>
      <c r="BB12" s="9">
        <f t="shared" si="40"/>
        <v>120</v>
      </c>
      <c r="BC12" s="9">
        <v>1</v>
      </c>
      <c r="BD12" s="16">
        <f t="shared" si="12"/>
        <v>1.3513513513513514E-2</v>
      </c>
      <c r="BE12" s="16">
        <f t="shared" si="41"/>
        <v>0.95945945945945954</v>
      </c>
      <c r="BF12" s="9">
        <f t="shared" si="42"/>
        <v>108.5</v>
      </c>
      <c r="BG12" s="5">
        <f t="shared" si="13"/>
        <v>1.4662162162162162</v>
      </c>
      <c r="BH12" s="5"/>
      <c r="BI12">
        <f t="shared" si="43"/>
        <v>97</v>
      </c>
      <c r="BJ12" s="9">
        <f t="shared" si="44"/>
        <v>120</v>
      </c>
      <c r="BK12" s="9">
        <v>2</v>
      </c>
      <c r="BL12" s="16">
        <f t="shared" si="14"/>
        <v>2.7027027027027029E-2</v>
      </c>
      <c r="BM12" s="16">
        <f t="shared" si="45"/>
        <v>0.91891891891891908</v>
      </c>
      <c r="BN12" s="9">
        <f t="shared" si="46"/>
        <v>108.5</v>
      </c>
      <c r="BO12" s="5">
        <f t="shared" si="15"/>
        <v>2.9324324324324325</v>
      </c>
    </row>
    <row r="13" spans="1:67" x14ac:dyDescent="0.2">
      <c r="A13" s="7" t="s">
        <v>206</v>
      </c>
      <c r="B13" s="37">
        <v>121</v>
      </c>
      <c r="E13">
        <f t="shared" si="47"/>
        <v>61</v>
      </c>
      <c r="F13">
        <f t="shared" si="48"/>
        <v>72</v>
      </c>
      <c r="G13" s="9"/>
      <c r="H13" s="16">
        <f t="shared" si="6"/>
        <v>0</v>
      </c>
      <c r="I13" s="16">
        <f t="shared" si="17"/>
        <v>1</v>
      </c>
      <c r="J13" s="9">
        <f t="shared" si="18"/>
        <v>66.5</v>
      </c>
      <c r="K13" s="5">
        <f t="shared" si="0"/>
        <v>0</v>
      </c>
      <c r="M13">
        <f t="shared" si="19"/>
        <v>121</v>
      </c>
      <c r="N13" s="9">
        <f t="shared" si="20"/>
        <v>144</v>
      </c>
      <c r="O13" s="9"/>
      <c r="P13" s="16">
        <f t="shared" si="7"/>
        <v>0</v>
      </c>
      <c r="Q13" s="16">
        <f t="shared" si="21"/>
        <v>1</v>
      </c>
      <c r="R13" s="9">
        <f t="shared" si="22"/>
        <v>132.5</v>
      </c>
      <c r="S13" s="5">
        <f t="shared" si="1"/>
        <v>0</v>
      </c>
      <c r="U13">
        <f t="shared" si="23"/>
        <v>121</v>
      </c>
      <c r="V13" s="9">
        <f t="shared" si="24"/>
        <v>144</v>
      </c>
      <c r="W13" s="9"/>
      <c r="X13" s="16">
        <f t="shared" si="8"/>
        <v>0</v>
      </c>
      <c r="Y13" s="16">
        <f t="shared" si="25"/>
        <v>1.0135135135135136</v>
      </c>
      <c r="Z13" s="9">
        <f t="shared" si="26"/>
        <v>132.5</v>
      </c>
      <c r="AA13" s="5">
        <f t="shared" si="2"/>
        <v>0</v>
      </c>
      <c r="AC13">
        <f t="shared" si="27"/>
        <v>121</v>
      </c>
      <c r="AD13" s="9">
        <f t="shared" si="28"/>
        <v>144</v>
      </c>
      <c r="AE13" s="9"/>
      <c r="AF13" s="16">
        <f t="shared" si="9"/>
        <v>0</v>
      </c>
      <c r="AG13" s="16">
        <f t="shared" si="29"/>
        <v>0.9864864864864864</v>
      </c>
      <c r="AH13" s="9">
        <f t="shared" si="30"/>
        <v>132.5</v>
      </c>
      <c r="AI13" s="5">
        <f t="shared" si="3"/>
        <v>0</v>
      </c>
      <c r="AK13">
        <f t="shared" si="31"/>
        <v>121</v>
      </c>
      <c r="AL13" s="9">
        <f t="shared" si="32"/>
        <v>144</v>
      </c>
      <c r="AM13" s="9"/>
      <c r="AN13" s="16">
        <f t="shared" si="10"/>
        <v>0</v>
      </c>
      <c r="AO13" s="16">
        <f t="shared" si="33"/>
        <v>1</v>
      </c>
      <c r="AP13" s="9">
        <f t="shared" si="34"/>
        <v>132.5</v>
      </c>
      <c r="AQ13" s="5">
        <f t="shared" si="4"/>
        <v>0</v>
      </c>
      <c r="AS13">
        <f t="shared" si="35"/>
        <v>121</v>
      </c>
      <c r="AT13" s="9">
        <f t="shared" si="36"/>
        <v>144</v>
      </c>
      <c r="AU13" s="9">
        <v>0</v>
      </c>
      <c r="AV13" s="16">
        <f t="shared" si="11"/>
        <v>0</v>
      </c>
      <c r="AW13" s="16">
        <f t="shared" si="37"/>
        <v>1</v>
      </c>
      <c r="AX13" s="9">
        <f t="shared" si="38"/>
        <v>132.5</v>
      </c>
      <c r="AY13" s="5">
        <f t="shared" si="5"/>
        <v>0</v>
      </c>
      <c r="AZ13" s="9"/>
      <c r="BA13">
        <f t="shared" si="39"/>
        <v>121</v>
      </c>
      <c r="BB13" s="9">
        <f t="shared" si="40"/>
        <v>144</v>
      </c>
      <c r="BC13" s="9">
        <v>1</v>
      </c>
      <c r="BD13" s="16">
        <f t="shared" si="12"/>
        <v>1.3513513513513514E-2</v>
      </c>
      <c r="BE13" s="16">
        <f t="shared" si="41"/>
        <v>0.97297297297297303</v>
      </c>
      <c r="BF13" s="9">
        <f t="shared" si="42"/>
        <v>132.5</v>
      </c>
      <c r="BG13" s="5">
        <f t="shared" si="13"/>
        <v>1.7905405405405406</v>
      </c>
      <c r="BH13" s="5"/>
      <c r="BI13">
        <f t="shared" si="43"/>
        <v>121</v>
      </c>
      <c r="BJ13" s="9">
        <f t="shared" si="44"/>
        <v>144</v>
      </c>
      <c r="BK13" s="9">
        <v>4</v>
      </c>
      <c r="BL13" s="16">
        <f t="shared" si="14"/>
        <v>5.4054054054054057E-2</v>
      </c>
      <c r="BM13" s="16">
        <f t="shared" si="45"/>
        <v>0.97297297297297314</v>
      </c>
      <c r="BN13" s="9">
        <f t="shared" si="46"/>
        <v>132.5</v>
      </c>
      <c r="BO13" s="5">
        <f t="shared" si="15"/>
        <v>7.1621621621621623</v>
      </c>
    </row>
    <row r="14" spans="1:67" x14ac:dyDescent="0.2">
      <c r="A14" s="7" t="s">
        <v>169</v>
      </c>
      <c r="B14" s="37">
        <v>116</v>
      </c>
      <c r="E14">
        <f t="shared" si="47"/>
        <v>73</v>
      </c>
      <c r="F14">
        <f t="shared" si="48"/>
        <v>84</v>
      </c>
      <c r="G14" s="9"/>
      <c r="H14" s="16">
        <f t="shared" si="6"/>
        <v>0</v>
      </c>
      <c r="I14" s="16">
        <f t="shared" si="17"/>
        <v>1</v>
      </c>
      <c r="J14" s="9">
        <f t="shared" si="18"/>
        <v>78.5</v>
      </c>
      <c r="K14" s="5">
        <f t="shared" si="0"/>
        <v>0</v>
      </c>
      <c r="M14">
        <f t="shared" si="19"/>
        <v>145</v>
      </c>
      <c r="N14" s="9">
        <f t="shared" si="20"/>
        <v>168</v>
      </c>
      <c r="O14" s="9"/>
      <c r="P14" s="16">
        <f t="shared" si="7"/>
        <v>0</v>
      </c>
      <c r="Q14" s="16">
        <f t="shared" si="21"/>
        <v>1</v>
      </c>
      <c r="R14" s="9">
        <f t="shared" si="22"/>
        <v>156.5</v>
      </c>
      <c r="S14" s="5">
        <f t="shared" si="1"/>
        <v>0</v>
      </c>
      <c r="U14">
        <f t="shared" si="23"/>
        <v>145</v>
      </c>
      <c r="V14" s="9">
        <f t="shared" si="24"/>
        <v>168</v>
      </c>
      <c r="W14" s="9"/>
      <c r="X14" s="16">
        <f t="shared" si="8"/>
        <v>0</v>
      </c>
      <c r="Y14" s="16">
        <f t="shared" si="25"/>
        <v>1.0135135135135136</v>
      </c>
      <c r="Z14" s="9">
        <f t="shared" si="26"/>
        <v>156.5</v>
      </c>
      <c r="AA14" s="5">
        <f t="shared" si="2"/>
        <v>0</v>
      </c>
      <c r="AC14">
        <f t="shared" si="27"/>
        <v>145</v>
      </c>
      <c r="AD14" s="9">
        <f t="shared" si="28"/>
        <v>168</v>
      </c>
      <c r="AE14" s="9">
        <v>1</v>
      </c>
      <c r="AF14" s="16">
        <f t="shared" si="9"/>
        <v>1.3513513513513514E-2</v>
      </c>
      <c r="AG14" s="16">
        <f t="shared" si="29"/>
        <v>0.99999999999999989</v>
      </c>
      <c r="AH14" s="9">
        <f t="shared" si="30"/>
        <v>156.5</v>
      </c>
      <c r="AI14" s="5">
        <f t="shared" si="3"/>
        <v>2.1148648648648649</v>
      </c>
      <c r="AK14">
        <f t="shared" si="31"/>
        <v>145</v>
      </c>
      <c r="AL14" s="9">
        <f t="shared" si="32"/>
        <v>168</v>
      </c>
      <c r="AM14" s="9"/>
      <c r="AN14" s="16">
        <f t="shared" si="10"/>
        <v>0</v>
      </c>
      <c r="AO14" s="16">
        <f t="shared" si="33"/>
        <v>1</v>
      </c>
      <c r="AP14" s="9">
        <f t="shared" si="34"/>
        <v>156.5</v>
      </c>
      <c r="AQ14" s="5">
        <f t="shared" si="4"/>
        <v>0</v>
      </c>
      <c r="AS14">
        <f t="shared" si="35"/>
        <v>145</v>
      </c>
      <c r="AT14" s="9">
        <f t="shared" si="36"/>
        <v>168</v>
      </c>
      <c r="AU14" s="9"/>
      <c r="AV14" s="16">
        <f t="shared" si="11"/>
        <v>0</v>
      </c>
      <c r="AW14" s="16">
        <f t="shared" si="37"/>
        <v>1</v>
      </c>
      <c r="AX14" s="9">
        <f t="shared" si="38"/>
        <v>156.5</v>
      </c>
      <c r="AY14" s="5">
        <f t="shared" si="5"/>
        <v>0</v>
      </c>
      <c r="AZ14" s="9"/>
      <c r="BA14">
        <f t="shared" si="39"/>
        <v>145</v>
      </c>
      <c r="BB14" s="9">
        <f t="shared" si="40"/>
        <v>168</v>
      </c>
      <c r="BC14" s="9">
        <v>1</v>
      </c>
      <c r="BD14" s="16">
        <f t="shared" si="12"/>
        <v>1.3513513513513514E-2</v>
      </c>
      <c r="BE14" s="16">
        <f t="shared" si="41"/>
        <v>0.98648648648648651</v>
      </c>
      <c r="BF14" s="9">
        <f t="shared" si="42"/>
        <v>156.5</v>
      </c>
      <c r="BG14" s="5">
        <f t="shared" si="13"/>
        <v>2.1148648648648649</v>
      </c>
      <c r="BH14" s="5"/>
      <c r="BI14">
        <f t="shared" si="43"/>
        <v>145</v>
      </c>
      <c r="BJ14" s="9">
        <f t="shared" si="44"/>
        <v>168</v>
      </c>
      <c r="BK14" s="9">
        <v>0</v>
      </c>
      <c r="BL14" s="16">
        <f t="shared" si="14"/>
        <v>0</v>
      </c>
      <c r="BM14" s="16">
        <f t="shared" si="45"/>
        <v>0.97297297297297314</v>
      </c>
      <c r="BN14" s="9">
        <f t="shared" si="46"/>
        <v>156.5</v>
      </c>
      <c r="BO14" s="5">
        <f t="shared" si="15"/>
        <v>0</v>
      </c>
    </row>
    <row r="15" spans="1:67" x14ac:dyDescent="0.2">
      <c r="A15" s="7" t="s">
        <v>199</v>
      </c>
      <c r="B15" s="37">
        <v>111</v>
      </c>
      <c r="E15">
        <f t="shared" si="47"/>
        <v>85</v>
      </c>
      <c r="F15">
        <f t="shared" si="48"/>
        <v>96</v>
      </c>
      <c r="G15" s="9"/>
      <c r="H15" s="16">
        <f t="shared" si="6"/>
        <v>0</v>
      </c>
      <c r="I15" s="16">
        <f t="shared" si="17"/>
        <v>1</v>
      </c>
      <c r="J15" s="9">
        <f t="shared" si="18"/>
        <v>90.5</v>
      </c>
      <c r="K15" s="5">
        <f t="shared" si="0"/>
        <v>0</v>
      </c>
      <c r="M15">
        <f t="shared" si="19"/>
        <v>169</v>
      </c>
      <c r="N15" s="9">
        <f t="shared" si="20"/>
        <v>192</v>
      </c>
      <c r="O15" s="9"/>
      <c r="P15" s="16">
        <f t="shared" si="7"/>
        <v>0</v>
      </c>
      <c r="Q15" s="16">
        <f t="shared" si="21"/>
        <v>1</v>
      </c>
      <c r="R15" s="9">
        <f t="shared" si="22"/>
        <v>180.5</v>
      </c>
      <c r="S15" s="5">
        <f t="shared" si="1"/>
        <v>0</v>
      </c>
      <c r="U15">
        <f t="shared" si="23"/>
        <v>169</v>
      </c>
      <c r="V15" s="9">
        <f t="shared" si="24"/>
        <v>192</v>
      </c>
      <c r="W15" s="9"/>
      <c r="X15" s="16">
        <f t="shared" si="8"/>
        <v>0</v>
      </c>
      <c r="Y15" s="16">
        <f t="shared" si="25"/>
        <v>1.0135135135135136</v>
      </c>
      <c r="Z15" s="9">
        <f t="shared" si="26"/>
        <v>180.5</v>
      </c>
      <c r="AA15" s="5">
        <f t="shared" si="2"/>
        <v>0</v>
      </c>
      <c r="AC15">
        <f t="shared" si="27"/>
        <v>169</v>
      </c>
      <c r="AD15" s="9">
        <f t="shared" si="28"/>
        <v>192</v>
      </c>
      <c r="AE15" s="9"/>
      <c r="AF15" s="16">
        <f t="shared" si="9"/>
        <v>0</v>
      </c>
      <c r="AG15" s="16">
        <f t="shared" si="29"/>
        <v>0.99999999999999989</v>
      </c>
      <c r="AH15" s="9">
        <f t="shared" si="30"/>
        <v>180.5</v>
      </c>
      <c r="AI15" s="5">
        <f t="shared" si="3"/>
        <v>0</v>
      </c>
      <c r="AK15">
        <f t="shared" si="31"/>
        <v>169</v>
      </c>
      <c r="AL15" s="9">
        <f t="shared" si="32"/>
        <v>192</v>
      </c>
      <c r="AM15" s="9"/>
      <c r="AN15" s="16">
        <f t="shared" si="10"/>
        <v>0</v>
      </c>
      <c r="AO15" s="16">
        <f t="shared" si="33"/>
        <v>1</v>
      </c>
      <c r="AP15" s="9">
        <f t="shared" si="34"/>
        <v>180.5</v>
      </c>
      <c r="AQ15" s="5">
        <f t="shared" si="4"/>
        <v>0</v>
      </c>
      <c r="AS15">
        <f t="shared" si="35"/>
        <v>169</v>
      </c>
      <c r="AT15" s="9">
        <f t="shared" si="36"/>
        <v>192</v>
      </c>
      <c r="AU15" s="9"/>
      <c r="AV15" s="16">
        <f t="shared" si="11"/>
        <v>0</v>
      </c>
      <c r="AW15" s="16">
        <f t="shared" si="37"/>
        <v>1</v>
      </c>
      <c r="AX15" s="9">
        <f t="shared" si="38"/>
        <v>180.5</v>
      </c>
      <c r="AY15" s="5">
        <f t="shared" si="5"/>
        <v>0</v>
      </c>
      <c r="AZ15" s="9"/>
      <c r="BA15">
        <f t="shared" si="39"/>
        <v>169</v>
      </c>
      <c r="BB15" s="9">
        <f t="shared" si="40"/>
        <v>192</v>
      </c>
      <c r="BC15" s="9">
        <v>0</v>
      </c>
      <c r="BD15" s="16">
        <f t="shared" si="12"/>
        <v>0</v>
      </c>
      <c r="BE15" s="16">
        <f t="shared" si="41"/>
        <v>0.98648648648648651</v>
      </c>
      <c r="BF15" s="9">
        <f t="shared" si="42"/>
        <v>180.5</v>
      </c>
      <c r="BG15" s="5">
        <f t="shared" si="13"/>
        <v>0</v>
      </c>
      <c r="BH15" s="5"/>
      <c r="BI15">
        <f t="shared" si="43"/>
        <v>169</v>
      </c>
      <c r="BJ15" s="9">
        <f t="shared" si="44"/>
        <v>192</v>
      </c>
      <c r="BK15" s="9">
        <v>1</v>
      </c>
      <c r="BL15" s="16">
        <f t="shared" si="14"/>
        <v>1.3513513513513514E-2</v>
      </c>
      <c r="BM15" s="16">
        <f t="shared" si="45"/>
        <v>0.98648648648648662</v>
      </c>
      <c r="BN15" s="9">
        <f t="shared" si="46"/>
        <v>180.5</v>
      </c>
      <c r="BO15" s="5">
        <f t="shared" si="15"/>
        <v>2.4391891891891895</v>
      </c>
    </row>
    <row r="16" spans="1:67" x14ac:dyDescent="0.2">
      <c r="A16" s="7" t="s">
        <v>142</v>
      </c>
      <c r="B16" s="37">
        <v>111</v>
      </c>
      <c r="E16">
        <f t="shared" si="47"/>
        <v>97</v>
      </c>
      <c r="F16">
        <f t="shared" si="48"/>
        <v>108</v>
      </c>
      <c r="G16" s="9"/>
      <c r="H16" s="16">
        <f t="shared" si="6"/>
        <v>0</v>
      </c>
      <c r="I16" s="16">
        <f t="shared" si="17"/>
        <v>1</v>
      </c>
      <c r="J16" s="9">
        <f t="shared" si="18"/>
        <v>102.5</v>
      </c>
      <c r="K16" s="5">
        <f t="shared" si="0"/>
        <v>0</v>
      </c>
      <c r="M16">
        <f t="shared" si="19"/>
        <v>193</v>
      </c>
      <c r="N16" s="9">
        <f t="shared" si="20"/>
        <v>216</v>
      </c>
      <c r="O16" s="9"/>
      <c r="P16" s="16">
        <f t="shared" si="7"/>
        <v>0</v>
      </c>
      <c r="Q16" s="16">
        <f t="shared" si="21"/>
        <v>1</v>
      </c>
      <c r="R16" s="9">
        <f t="shared" si="22"/>
        <v>204.5</v>
      </c>
      <c r="S16" s="5">
        <f t="shared" si="1"/>
        <v>0</v>
      </c>
      <c r="U16">
        <f t="shared" si="23"/>
        <v>193</v>
      </c>
      <c r="V16" s="9">
        <f t="shared" si="24"/>
        <v>216</v>
      </c>
      <c r="W16" s="9"/>
      <c r="X16" s="16">
        <f t="shared" si="8"/>
        <v>0</v>
      </c>
      <c r="Y16" s="16">
        <f t="shared" si="25"/>
        <v>1.0135135135135136</v>
      </c>
      <c r="Z16" s="9">
        <f t="shared" si="26"/>
        <v>204.5</v>
      </c>
      <c r="AA16" s="5">
        <f t="shared" si="2"/>
        <v>0</v>
      </c>
      <c r="AC16">
        <f t="shared" si="27"/>
        <v>193</v>
      </c>
      <c r="AD16" s="9">
        <f t="shared" si="28"/>
        <v>216</v>
      </c>
      <c r="AE16" s="9"/>
      <c r="AF16" s="16">
        <f t="shared" si="9"/>
        <v>0</v>
      </c>
      <c r="AG16" s="16">
        <f t="shared" si="29"/>
        <v>0.99999999999999989</v>
      </c>
      <c r="AH16" s="9">
        <f t="shared" si="30"/>
        <v>204.5</v>
      </c>
      <c r="AI16" s="5">
        <f t="shared" si="3"/>
        <v>0</v>
      </c>
      <c r="AK16">
        <f t="shared" si="31"/>
        <v>193</v>
      </c>
      <c r="AL16" s="9">
        <f t="shared" si="32"/>
        <v>216</v>
      </c>
      <c r="AM16" s="9"/>
      <c r="AN16" s="16">
        <f t="shared" si="10"/>
        <v>0</v>
      </c>
      <c r="AO16" s="16">
        <f t="shared" si="33"/>
        <v>1</v>
      </c>
      <c r="AP16" s="9">
        <f t="shared" si="34"/>
        <v>204.5</v>
      </c>
      <c r="AQ16" s="5">
        <f t="shared" si="4"/>
        <v>0</v>
      </c>
      <c r="AS16">
        <f t="shared" si="35"/>
        <v>193</v>
      </c>
      <c r="AT16" s="9">
        <f t="shared" si="36"/>
        <v>216</v>
      </c>
      <c r="AU16" s="9"/>
      <c r="AV16" s="16">
        <f t="shared" si="11"/>
        <v>0</v>
      </c>
      <c r="AW16" s="16">
        <f t="shared" si="37"/>
        <v>1</v>
      </c>
      <c r="AX16" s="9">
        <f t="shared" si="38"/>
        <v>204.5</v>
      </c>
      <c r="AY16" s="5">
        <f t="shared" si="5"/>
        <v>0</v>
      </c>
      <c r="AZ16" s="9"/>
      <c r="BA16">
        <f t="shared" si="39"/>
        <v>193</v>
      </c>
      <c r="BB16" s="9">
        <f t="shared" si="40"/>
        <v>216</v>
      </c>
      <c r="BC16" s="9">
        <v>0</v>
      </c>
      <c r="BD16" s="16">
        <f t="shared" si="12"/>
        <v>0</v>
      </c>
      <c r="BE16" s="16">
        <f t="shared" si="41"/>
        <v>0.98648648648648651</v>
      </c>
      <c r="BF16" s="9">
        <f t="shared" si="42"/>
        <v>204.5</v>
      </c>
      <c r="BG16" s="5">
        <f t="shared" si="13"/>
        <v>0</v>
      </c>
      <c r="BH16" s="5"/>
      <c r="BI16">
        <f t="shared" si="43"/>
        <v>193</v>
      </c>
      <c r="BJ16" s="9">
        <f t="shared" si="44"/>
        <v>216</v>
      </c>
      <c r="BK16" s="9">
        <v>0</v>
      </c>
      <c r="BL16" s="16">
        <f t="shared" si="14"/>
        <v>0</v>
      </c>
      <c r="BM16" s="16">
        <f t="shared" si="45"/>
        <v>0.98648648648648662</v>
      </c>
      <c r="BN16" s="9">
        <f t="shared" si="46"/>
        <v>204.5</v>
      </c>
      <c r="BO16" s="5">
        <f t="shared" si="15"/>
        <v>0</v>
      </c>
    </row>
    <row r="17" spans="1:67" x14ac:dyDescent="0.2">
      <c r="A17" s="7" t="s">
        <v>166</v>
      </c>
      <c r="B17" s="37">
        <v>111</v>
      </c>
      <c r="E17">
        <f t="shared" si="47"/>
        <v>109</v>
      </c>
      <c r="F17">
        <f t="shared" si="48"/>
        <v>120</v>
      </c>
      <c r="G17" s="9"/>
      <c r="H17" s="16">
        <f t="shared" si="6"/>
        <v>0</v>
      </c>
      <c r="I17" s="16">
        <f t="shared" si="17"/>
        <v>1</v>
      </c>
      <c r="J17" s="9">
        <f t="shared" si="18"/>
        <v>114.5</v>
      </c>
      <c r="K17" s="5">
        <f t="shared" si="0"/>
        <v>0</v>
      </c>
      <c r="M17">
        <f t="shared" si="19"/>
        <v>217</v>
      </c>
      <c r="N17" s="9">
        <f t="shared" si="20"/>
        <v>240</v>
      </c>
      <c r="O17" s="9"/>
      <c r="P17" s="16">
        <f t="shared" si="7"/>
        <v>0</v>
      </c>
      <c r="Q17" s="16">
        <f t="shared" si="21"/>
        <v>1</v>
      </c>
      <c r="R17" s="9">
        <f t="shared" si="22"/>
        <v>228.5</v>
      </c>
      <c r="S17" s="5">
        <f t="shared" si="1"/>
        <v>0</v>
      </c>
      <c r="U17">
        <f t="shared" si="23"/>
        <v>217</v>
      </c>
      <c r="V17" s="9">
        <f t="shared" si="24"/>
        <v>240</v>
      </c>
      <c r="W17" s="9"/>
      <c r="X17" s="16">
        <f t="shared" si="8"/>
        <v>0</v>
      </c>
      <c r="Y17" s="16">
        <f t="shared" si="25"/>
        <v>1.0135135135135136</v>
      </c>
      <c r="Z17" s="9">
        <f t="shared" si="26"/>
        <v>228.5</v>
      </c>
      <c r="AA17" s="5">
        <f t="shared" si="2"/>
        <v>0</v>
      </c>
      <c r="AC17">
        <f t="shared" si="27"/>
        <v>217</v>
      </c>
      <c r="AD17" s="9">
        <f t="shared" si="28"/>
        <v>240</v>
      </c>
      <c r="AE17" s="9"/>
      <c r="AF17" s="16">
        <f t="shared" si="9"/>
        <v>0</v>
      </c>
      <c r="AG17" s="16">
        <f t="shared" si="29"/>
        <v>0.99999999999999989</v>
      </c>
      <c r="AH17" s="9">
        <f t="shared" si="30"/>
        <v>228.5</v>
      </c>
      <c r="AI17" s="5">
        <f t="shared" si="3"/>
        <v>0</v>
      </c>
      <c r="AK17">
        <f t="shared" si="31"/>
        <v>217</v>
      </c>
      <c r="AL17" s="9">
        <f t="shared" si="32"/>
        <v>240</v>
      </c>
      <c r="AM17" s="9"/>
      <c r="AN17" s="16">
        <f t="shared" si="10"/>
        <v>0</v>
      </c>
      <c r="AO17" s="16">
        <f t="shared" si="33"/>
        <v>1</v>
      </c>
      <c r="AP17" s="9">
        <f t="shared" si="34"/>
        <v>228.5</v>
      </c>
      <c r="AQ17" s="5">
        <f t="shared" si="4"/>
        <v>0</v>
      </c>
      <c r="AS17">
        <f t="shared" si="35"/>
        <v>217</v>
      </c>
      <c r="AT17" s="9">
        <f t="shared" si="36"/>
        <v>240</v>
      </c>
      <c r="AU17" s="9"/>
      <c r="AV17" s="16">
        <f t="shared" si="11"/>
        <v>0</v>
      </c>
      <c r="AW17" s="16">
        <f t="shared" si="37"/>
        <v>1</v>
      </c>
      <c r="AX17" s="9">
        <f t="shared" si="38"/>
        <v>228.5</v>
      </c>
      <c r="AY17" s="5">
        <f t="shared" si="5"/>
        <v>0</v>
      </c>
      <c r="AZ17" s="9"/>
      <c r="BA17">
        <f t="shared" si="39"/>
        <v>217</v>
      </c>
      <c r="BB17" s="9">
        <f t="shared" si="40"/>
        <v>240</v>
      </c>
      <c r="BC17" s="9">
        <v>1</v>
      </c>
      <c r="BD17" s="16">
        <f t="shared" si="12"/>
        <v>1.3513513513513514E-2</v>
      </c>
      <c r="BE17" s="16">
        <f t="shared" si="41"/>
        <v>1</v>
      </c>
      <c r="BF17" s="9">
        <f t="shared" si="42"/>
        <v>228.5</v>
      </c>
      <c r="BG17" s="5">
        <f t="shared" si="13"/>
        <v>3.0878378378378382</v>
      </c>
      <c r="BH17" s="5"/>
      <c r="BI17">
        <f t="shared" si="43"/>
        <v>217</v>
      </c>
      <c r="BJ17" s="9">
        <f t="shared" si="44"/>
        <v>240</v>
      </c>
      <c r="BK17" s="9">
        <v>1</v>
      </c>
      <c r="BL17" s="16">
        <f t="shared" si="14"/>
        <v>1.3513513513513514E-2</v>
      </c>
      <c r="BM17" s="16">
        <f t="shared" si="45"/>
        <v>1.0000000000000002</v>
      </c>
      <c r="BN17" s="9">
        <f t="shared" si="46"/>
        <v>228.5</v>
      </c>
      <c r="BO17" s="5">
        <f t="shared" si="15"/>
        <v>3.0878378378378382</v>
      </c>
    </row>
    <row r="18" spans="1:67" x14ac:dyDescent="0.2">
      <c r="A18" s="7" t="s">
        <v>202</v>
      </c>
      <c r="B18" s="37">
        <v>109</v>
      </c>
      <c r="G18" s="8">
        <f>SUM(G7:G17)</f>
        <v>74</v>
      </c>
      <c r="H18" s="11">
        <f>SUM(H7:H17)</f>
        <v>1</v>
      </c>
      <c r="I18" s="11"/>
      <c r="J18" s="18" t="s">
        <v>255</v>
      </c>
      <c r="K18" s="12">
        <f>SUM(K7:K17)</f>
        <v>3.9324324324324325</v>
      </c>
      <c r="O18" s="8">
        <f>SUM(O7:O17)</f>
        <v>74</v>
      </c>
      <c r="P18" s="11">
        <f>SUM(P7:P17)</f>
        <v>1</v>
      </c>
      <c r="Q18" s="11"/>
      <c r="R18" s="18" t="s">
        <v>255</v>
      </c>
      <c r="S18" s="12">
        <f>SUM(S7:S17)</f>
        <v>13.04054054054054</v>
      </c>
      <c r="W18" s="8">
        <f>SUM(W7:W17)</f>
        <v>75</v>
      </c>
      <c r="X18" s="11">
        <f>SUM(X7:X17)</f>
        <v>1.0135135135135136</v>
      </c>
      <c r="Y18" s="11"/>
      <c r="Z18" s="18" t="s">
        <v>255</v>
      </c>
      <c r="AA18" s="12">
        <f>SUM(AA7:AA17)</f>
        <v>16.493243243243246</v>
      </c>
      <c r="AE18" s="8">
        <f>SUM(AE7:AE17)</f>
        <v>74</v>
      </c>
      <c r="AF18" s="11">
        <f>SUM(AF7:AF17)</f>
        <v>0.99999999999999989</v>
      </c>
      <c r="AG18" s="11"/>
      <c r="AH18" s="18" t="s">
        <v>255</v>
      </c>
      <c r="AI18" s="12">
        <f>SUM(AI7:AI17)</f>
        <v>24.418918918918919</v>
      </c>
      <c r="AM18" s="8">
        <f>SUM(AM7:AM17)</f>
        <v>74</v>
      </c>
      <c r="AN18" s="11">
        <f>SUM(AN7:AN17)</f>
        <v>1</v>
      </c>
      <c r="AO18" s="11"/>
      <c r="AP18" s="18" t="s">
        <v>255</v>
      </c>
      <c r="AQ18" s="12">
        <f>SUM(AQ7:AQ17)</f>
        <v>31.128378378378383</v>
      </c>
      <c r="AU18" s="8">
        <f>SUM(AU7:AU17)</f>
        <v>74</v>
      </c>
      <c r="AV18" s="11">
        <f>SUM(AV7:AV17)</f>
        <v>1</v>
      </c>
      <c r="AW18" s="11"/>
      <c r="AX18" s="18" t="s">
        <v>255</v>
      </c>
      <c r="AY18" s="12">
        <f>SUM(AY7:AY17)</f>
        <v>43.945945945945951</v>
      </c>
      <c r="AZ18" s="18"/>
      <c r="BC18" s="8">
        <f>SUM(BC7:BC17)</f>
        <v>74</v>
      </c>
      <c r="BD18" s="11">
        <f>SUM(BD7:BD17)</f>
        <v>1</v>
      </c>
      <c r="BE18" s="11"/>
      <c r="BF18" s="18" t="s">
        <v>255</v>
      </c>
      <c r="BG18" s="12">
        <f>SUM(BG7:BG17)</f>
        <v>42.466216216216218</v>
      </c>
      <c r="BH18" s="12"/>
      <c r="BK18" s="8">
        <f>SUM(BK7:BK17)</f>
        <v>74</v>
      </c>
      <c r="BL18" s="11">
        <f>SUM(BL7:BL17)</f>
        <v>1.0000000000000002</v>
      </c>
      <c r="BM18" s="11"/>
      <c r="BN18" s="18" t="s">
        <v>255</v>
      </c>
      <c r="BO18" s="12">
        <f>SUM(BO7:BO17)</f>
        <v>55.621621621621628</v>
      </c>
    </row>
    <row r="19" spans="1:67" x14ac:dyDescent="0.2">
      <c r="A19" s="7" t="s">
        <v>165</v>
      </c>
      <c r="B19" s="37">
        <v>107</v>
      </c>
      <c r="J19" s="18" t="s">
        <v>256</v>
      </c>
      <c r="K19" s="20">
        <f>ROUND(K18*4,0)</f>
        <v>16</v>
      </c>
      <c r="R19" s="18" t="s">
        <v>256</v>
      </c>
      <c r="S19" s="20">
        <f>ROUND(S18*4,0)</f>
        <v>52</v>
      </c>
      <c r="Z19" s="18" t="s">
        <v>256</v>
      </c>
      <c r="AA19" s="20">
        <f>ROUND(AA18*4,0)</f>
        <v>66</v>
      </c>
      <c r="AH19" s="18" t="s">
        <v>256</v>
      </c>
      <c r="AI19" s="20">
        <f>ROUND(AI18*4,0)</f>
        <v>98</v>
      </c>
      <c r="AP19" s="18" t="s">
        <v>256</v>
      </c>
      <c r="AQ19" s="20">
        <f>ROUND(AQ18*4,0)</f>
        <v>125</v>
      </c>
      <c r="AX19" s="18" t="s">
        <v>256</v>
      </c>
      <c r="AY19" s="20">
        <f>ROUND(AY18*4,0)</f>
        <v>176</v>
      </c>
      <c r="AZ19" s="18"/>
      <c r="BF19" s="18" t="s">
        <v>256</v>
      </c>
      <c r="BG19" s="12">
        <f>ROUND(BG18*4,0)</f>
        <v>170</v>
      </c>
      <c r="BH19" s="12"/>
      <c r="BN19" s="18" t="s">
        <v>256</v>
      </c>
      <c r="BO19" s="12">
        <f>ROUND(BO18*4,0)</f>
        <v>222</v>
      </c>
    </row>
    <row r="20" spans="1:67" x14ac:dyDescent="0.2">
      <c r="A20" s="7" t="s">
        <v>152</v>
      </c>
      <c r="B20" s="37">
        <v>105</v>
      </c>
      <c r="H20" s="18" t="s">
        <v>259</v>
      </c>
      <c r="I20" s="9" t="s">
        <v>253</v>
      </c>
      <c r="K20" s="8">
        <v>8</v>
      </c>
      <c r="P20" s="18" t="s">
        <v>259</v>
      </c>
      <c r="Q20" s="9" t="s">
        <v>253</v>
      </c>
      <c r="S20" s="8">
        <f>N8</f>
        <v>24</v>
      </c>
      <c r="X20" s="18" t="s">
        <v>259</v>
      </c>
      <c r="Y20" s="9" t="s">
        <v>253</v>
      </c>
      <c r="AA20" s="8">
        <f>V8</f>
        <v>24</v>
      </c>
      <c r="AF20" s="18" t="s">
        <v>259</v>
      </c>
      <c r="AG20" s="9" t="s">
        <v>253</v>
      </c>
      <c r="AI20" s="8">
        <f>AD9</f>
        <v>48</v>
      </c>
      <c r="AN20" s="18" t="s">
        <v>259</v>
      </c>
      <c r="AO20" s="9" t="s">
        <v>253</v>
      </c>
      <c r="AQ20" s="8">
        <v>57</v>
      </c>
      <c r="AV20" s="18" t="s">
        <v>259</v>
      </c>
      <c r="AW20" s="9" t="s">
        <v>253</v>
      </c>
      <c r="AY20" s="8">
        <v>80</v>
      </c>
      <c r="BD20" s="10"/>
      <c r="BE20" s="10"/>
      <c r="BG20" s="5"/>
      <c r="BH20" s="5"/>
      <c r="BL20" s="10"/>
      <c r="BM20" s="10"/>
      <c r="BO20" s="5"/>
    </row>
    <row r="21" spans="1:67" x14ac:dyDescent="0.2">
      <c r="A21" s="7" t="s">
        <v>144</v>
      </c>
      <c r="B21" s="37">
        <v>104</v>
      </c>
      <c r="H21" s="18" t="s">
        <v>260</v>
      </c>
      <c r="I21" s="9" t="s">
        <v>253</v>
      </c>
      <c r="K21" s="8">
        <f>K20*4</f>
        <v>32</v>
      </c>
      <c r="P21" s="18" t="s">
        <v>260</v>
      </c>
      <c r="Q21" s="9" t="s">
        <v>253</v>
      </c>
      <c r="S21" s="8">
        <f>S20*4</f>
        <v>96</v>
      </c>
      <c r="X21" s="18" t="s">
        <v>260</v>
      </c>
      <c r="Y21" s="9" t="s">
        <v>253</v>
      </c>
      <c r="AA21" s="8">
        <f>AA20*4</f>
        <v>96</v>
      </c>
      <c r="AF21" s="18" t="s">
        <v>260</v>
      </c>
      <c r="AG21" s="9" t="s">
        <v>253</v>
      </c>
      <c r="AI21" s="8">
        <f>AI20*4</f>
        <v>192</v>
      </c>
      <c r="AN21" s="18" t="s">
        <v>260</v>
      </c>
      <c r="AO21" s="9" t="s">
        <v>253</v>
      </c>
      <c r="AQ21" s="8">
        <f>AQ20*4</f>
        <v>228</v>
      </c>
      <c r="AV21" s="18" t="s">
        <v>260</v>
      </c>
      <c r="AW21" s="9" t="s">
        <v>253</v>
      </c>
      <c r="AY21" s="8">
        <f>AY20*4</f>
        <v>320</v>
      </c>
      <c r="BB21" s="18" t="s">
        <v>257</v>
      </c>
      <c r="BC21" s="9" t="s">
        <v>258</v>
      </c>
      <c r="BJ21" s="18" t="s">
        <v>257</v>
      </c>
      <c r="BK21" s="9" t="s">
        <v>258</v>
      </c>
    </row>
    <row r="22" spans="1:67" x14ac:dyDescent="0.2">
      <c r="A22" s="7" t="s">
        <v>228</v>
      </c>
      <c r="B22" s="37">
        <v>102</v>
      </c>
      <c r="BB22" s="18" t="s">
        <v>259</v>
      </c>
      <c r="BC22" s="9" t="s">
        <v>253</v>
      </c>
      <c r="BE22" s="8">
        <f>BB10</f>
        <v>72</v>
      </c>
      <c r="BJ22" s="18" t="s">
        <v>259</v>
      </c>
      <c r="BK22" s="9" t="s">
        <v>253</v>
      </c>
      <c r="BM22" s="8">
        <f>BJ11</f>
        <v>96</v>
      </c>
    </row>
    <row r="23" spans="1:67" x14ac:dyDescent="0.2">
      <c r="A23" s="7" t="s">
        <v>227</v>
      </c>
      <c r="B23" s="37">
        <v>102</v>
      </c>
      <c r="H23" s="18" t="s">
        <v>247</v>
      </c>
      <c r="I23" s="9" t="s">
        <v>254</v>
      </c>
      <c r="K23" s="20">
        <f>ROUND((K20-K18)*4,0)</f>
        <v>16</v>
      </c>
      <c r="P23" s="18" t="s">
        <v>247</v>
      </c>
      <c r="Q23" s="9" t="s">
        <v>254</v>
      </c>
      <c r="S23" s="20">
        <f>ROUND((S20-S18)*4,0)</f>
        <v>44</v>
      </c>
      <c r="X23" s="18" t="s">
        <v>247</v>
      </c>
      <c r="Y23" s="9" t="s">
        <v>254</v>
      </c>
      <c r="AA23" s="20">
        <f>ROUND((AA20-AA18)*4,0)</f>
        <v>30</v>
      </c>
      <c r="AF23" s="18" t="s">
        <v>247</v>
      </c>
      <c r="AG23" s="9" t="s">
        <v>254</v>
      </c>
      <c r="AI23" s="20">
        <f>(AI20-AI18)*4</f>
        <v>94.324324324324323</v>
      </c>
      <c r="AJ23" s="34">
        <f>(AI20-AI18)</f>
        <v>23.581081081081081</v>
      </c>
      <c r="AN23" s="18" t="s">
        <v>247</v>
      </c>
      <c r="AO23" s="9" t="s">
        <v>254</v>
      </c>
      <c r="AQ23" s="20">
        <f>ROUND((AQ20-AQ18)*4,0)</f>
        <v>103</v>
      </c>
      <c r="AV23" s="18" t="s">
        <v>247</v>
      </c>
      <c r="AW23" s="9" t="s">
        <v>254</v>
      </c>
      <c r="AY23" s="20">
        <f>ROUND((AY20-AY18)*4,0)</f>
        <v>144</v>
      </c>
      <c r="BB23" s="18" t="s">
        <v>260</v>
      </c>
      <c r="BC23" s="9" t="s">
        <v>253</v>
      </c>
      <c r="BE23" s="8">
        <f>BE22*4</f>
        <v>288</v>
      </c>
      <c r="BJ23" s="18" t="s">
        <v>260</v>
      </c>
      <c r="BK23" s="9" t="s">
        <v>253</v>
      </c>
      <c r="BM23" s="8">
        <f>BM22*4</f>
        <v>384</v>
      </c>
    </row>
    <row r="24" spans="1:67" x14ac:dyDescent="0.2">
      <c r="A24" s="7" t="s">
        <v>209</v>
      </c>
      <c r="B24" s="37">
        <v>99</v>
      </c>
      <c r="AJ24" s="35">
        <f>AJ23*4</f>
        <v>94.324324324324323</v>
      </c>
    </row>
    <row r="25" spans="1:67" x14ac:dyDescent="0.2">
      <c r="A25" s="7" t="s">
        <v>153</v>
      </c>
      <c r="B25" s="37">
        <v>93</v>
      </c>
      <c r="H25" s="18" t="s">
        <v>249</v>
      </c>
      <c r="K25" s="20">
        <f>K23+K19</f>
        <v>32</v>
      </c>
      <c r="P25" s="18" t="s">
        <v>249</v>
      </c>
      <c r="S25" s="20">
        <f>S23+S19</f>
        <v>96</v>
      </c>
      <c r="X25" s="18" t="s">
        <v>249</v>
      </c>
      <c r="AA25" s="20">
        <f>AA23+AA19</f>
        <v>96</v>
      </c>
      <c r="AF25" s="18" t="s">
        <v>249</v>
      </c>
      <c r="AI25" s="20">
        <f>AI23+AI19</f>
        <v>192.32432432432432</v>
      </c>
      <c r="AN25" s="18" t="s">
        <v>249</v>
      </c>
      <c r="AQ25" s="20">
        <f>AQ23+AQ19</f>
        <v>228</v>
      </c>
      <c r="AV25" s="18" t="s">
        <v>249</v>
      </c>
      <c r="AY25" s="20">
        <f>AY23+AY19</f>
        <v>320</v>
      </c>
      <c r="BB25" s="18" t="s">
        <v>247</v>
      </c>
      <c r="BC25" s="9" t="s">
        <v>254</v>
      </c>
      <c r="BE25" s="12">
        <f>ROUND((BE22-BG18)*4,0)</f>
        <v>118</v>
      </c>
      <c r="BJ25" s="18" t="s">
        <v>247</v>
      </c>
      <c r="BK25" s="9" t="s">
        <v>254</v>
      </c>
      <c r="BM25" s="12">
        <f>ROUND((BM22-BO18)*4,0)</f>
        <v>162</v>
      </c>
    </row>
    <row r="26" spans="1:67" x14ac:dyDescent="0.2">
      <c r="A26" s="7" t="s">
        <v>163</v>
      </c>
      <c r="B26" s="37">
        <v>92</v>
      </c>
      <c r="F26" t="s">
        <v>263</v>
      </c>
    </row>
    <row r="27" spans="1:67" x14ac:dyDescent="0.2">
      <c r="A27" s="7" t="s">
        <v>217</v>
      </c>
      <c r="B27" s="37">
        <v>90</v>
      </c>
      <c r="F27" s="22"/>
      <c r="BB27" s="18" t="s">
        <v>249</v>
      </c>
      <c r="BE27" s="12">
        <f>BE25+BG19</f>
        <v>288</v>
      </c>
      <c r="BJ27" s="18" t="s">
        <v>249</v>
      </c>
      <c r="BM27" s="12">
        <f>BM25+BO19</f>
        <v>384</v>
      </c>
    </row>
    <row r="28" spans="1:67" x14ac:dyDescent="0.2">
      <c r="A28" s="7" t="s">
        <v>151</v>
      </c>
      <c r="B28" s="37">
        <v>89</v>
      </c>
    </row>
    <row r="29" spans="1:67" x14ac:dyDescent="0.2">
      <c r="A29" s="7" t="s">
        <v>156</v>
      </c>
      <c r="B29" s="37">
        <v>88</v>
      </c>
    </row>
    <row r="30" spans="1:67" x14ac:dyDescent="0.2">
      <c r="A30" s="7" t="s">
        <v>172</v>
      </c>
      <c r="B30" s="37">
        <v>83</v>
      </c>
    </row>
    <row r="31" spans="1:67" x14ac:dyDescent="0.2">
      <c r="A31" s="7" t="s">
        <v>195</v>
      </c>
      <c r="B31" s="37">
        <v>80</v>
      </c>
    </row>
    <row r="32" spans="1:67" x14ac:dyDescent="0.2">
      <c r="A32" s="7" t="s">
        <v>145</v>
      </c>
      <c r="B32" s="37">
        <v>78</v>
      </c>
    </row>
    <row r="33" spans="1:2" x14ac:dyDescent="0.2">
      <c r="A33" s="7" t="s">
        <v>194</v>
      </c>
      <c r="B33" s="37">
        <v>75</v>
      </c>
    </row>
    <row r="34" spans="1:2" x14ac:dyDescent="0.2">
      <c r="A34" s="7" t="s">
        <v>191</v>
      </c>
      <c r="B34" s="37">
        <v>74</v>
      </c>
    </row>
    <row r="35" spans="1:2" x14ac:dyDescent="0.2">
      <c r="A35" s="7" t="s">
        <v>203</v>
      </c>
      <c r="B35" s="37">
        <v>71</v>
      </c>
    </row>
    <row r="36" spans="1:2" x14ac:dyDescent="0.2">
      <c r="A36" s="7" t="s">
        <v>190</v>
      </c>
      <c r="B36" s="37">
        <v>69</v>
      </c>
    </row>
    <row r="37" spans="1:2" x14ac:dyDescent="0.2">
      <c r="A37" s="7" t="s">
        <v>175</v>
      </c>
      <c r="B37" s="37">
        <v>69</v>
      </c>
    </row>
    <row r="38" spans="1:2" x14ac:dyDescent="0.2">
      <c r="A38" s="7" t="s">
        <v>232</v>
      </c>
      <c r="B38" s="37">
        <v>66</v>
      </c>
    </row>
    <row r="39" spans="1:2" x14ac:dyDescent="0.2">
      <c r="A39" s="7" t="s">
        <v>141</v>
      </c>
      <c r="B39" s="37">
        <v>66</v>
      </c>
    </row>
    <row r="40" spans="1:2" x14ac:dyDescent="0.2">
      <c r="A40" s="7" t="s">
        <v>155</v>
      </c>
      <c r="B40" s="37">
        <v>65</v>
      </c>
    </row>
    <row r="41" spans="1:2" x14ac:dyDescent="0.2">
      <c r="A41" s="7" t="s">
        <v>224</v>
      </c>
      <c r="B41" s="37">
        <v>64</v>
      </c>
    </row>
    <row r="42" spans="1:2" x14ac:dyDescent="0.2">
      <c r="A42" s="7" t="s">
        <v>201</v>
      </c>
      <c r="B42" s="37">
        <v>62</v>
      </c>
    </row>
    <row r="43" spans="1:2" x14ac:dyDescent="0.2">
      <c r="A43" s="7" t="s">
        <v>208</v>
      </c>
      <c r="B43" s="37">
        <v>62</v>
      </c>
    </row>
    <row r="44" spans="1:2" x14ac:dyDescent="0.2">
      <c r="A44" s="7" t="s">
        <v>212</v>
      </c>
      <c r="B44" s="37">
        <v>61</v>
      </c>
    </row>
    <row r="45" spans="1:2" x14ac:dyDescent="0.2">
      <c r="A45" s="7" t="s">
        <v>149</v>
      </c>
      <c r="B45" s="37">
        <v>59</v>
      </c>
    </row>
    <row r="46" spans="1:2" x14ac:dyDescent="0.2">
      <c r="A46" s="7" t="s">
        <v>193</v>
      </c>
      <c r="B46" s="37">
        <v>57</v>
      </c>
    </row>
    <row r="47" spans="1:2" x14ac:dyDescent="0.2">
      <c r="A47" s="7" t="s">
        <v>219</v>
      </c>
      <c r="B47" s="37">
        <v>56</v>
      </c>
    </row>
    <row r="48" spans="1:2" x14ac:dyDescent="0.2">
      <c r="A48" s="7" t="s">
        <v>230</v>
      </c>
      <c r="B48" s="37">
        <v>55</v>
      </c>
    </row>
    <row r="49" spans="1:2" x14ac:dyDescent="0.2">
      <c r="A49" s="7" t="s">
        <v>234</v>
      </c>
      <c r="B49" s="37">
        <v>54</v>
      </c>
    </row>
    <row r="50" spans="1:2" x14ac:dyDescent="0.2">
      <c r="A50" s="7" t="s">
        <v>196</v>
      </c>
      <c r="B50" s="37">
        <v>52</v>
      </c>
    </row>
    <row r="51" spans="1:2" x14ac:dyDescent="0.2">
      <c r="A51" s="7" t="s">
        <v>160</v>
      </c>
      <c r="B51" s="37">
        <v>50</v>
      </c>
    </row>
    <row r="52" spans="1:2" x14ac:dyDescent="0.2">
      <c r="A52" s="7" t="s">
        <v>164</v>
      </c>
      <c r="B52" s="37">
        <v>48</v>
      </c>
    </row>
    <row r="53" spans="1:2" x14ac:dyDescent="0.2">
      <c r="A53" s="7" t="s">
        <v>216</v>
      </c>
      <c r="B53" s="37">
        <v>48</v>
      </c>
    </row>
    <row r="54" spans="1:2" x14ac:dyDescent="0.2">
      <c r="A54" s="7" t="s">
        <v>148</v>
      </c>
      <c r="B54" s="37">
        <v>46</v>
      </c>
    </row>
    <row r="55" spans="1:2" x14ac:dyDescent="0.2">
      <c r="A55" s="7" t="s">
        <v>229</v>
      </c>
      <c r="B55" s="37">
        <v>46</v>
      </c>
    </row>
    <row r="56" spans="1:2" x14ac:dyDescent="0.2">
      <c r="A56" s="7" t="s">
        <v>218</v>
      </c>
      <c r="B56" s="37">
        <v>44</v>
      </c>
    </row>
    <row r="57" spans="1:2" x14ac:dyDescent="0.2">
      <c r="A57" s="7" t="s">
        <v>197</v>
      </c>
      <c r="B57" s="37">
        <v>40</v>
      </c>
    </row>
    <row r="58" spans="1:2" x14ac:dyDescent="0.2">
      <c r="A58" s="7" t="s">
        <v>157</v>
      </c>
      <c r="B58" s="37">
        <v>38</v>
      </c>
    </row>
    <row r="59" spans="1:2" x14ac:dyDescent="0.2">
      <c r="A59" s="7" t="s">
        <v>233</v>
      </c>
      <c r="B59" s="37">
        <v>38</v>
      </c>
    </row>
    <row r="60" spans="1:2" x14ac:dyDescent="0.2">
      <c r="A60" s="7" t="s">
        <v>173</v>
      </c>
      <c r="B60" s="37">
        <v>36</v>
      </c>
    </row>
    <row r="61" spans="1:2" x14ac:dyDescent="0.2">
      <c r="A61" s="7" t="s">
        <v>147</v>
      </c>
      <c r="B61" s="37">
        <v>36</v>
      </c>
    </row>
    <row r="62" spans="1:2" x14ac:dyDescent="0.2">
      <c r="A62" s="7" t="s">
        <v>158</v>
      </c>
      <c r="B62" s="37">
        <v>33</v>
      </c>
    </row>
    <row r="63" spans="1:2" x14ac:dyDescent="0.2">
      <c r="A63" s="7" t="s">
        <v>210</v>
      </c>
      <c r="B63" s="37">
        <v>33</v>
      </c>
    </row>
    <row r="64" spans="1:2" x14ac:dyDescent="0.2">
      <c r="A64" s="7" t="s">
        <v>231</v>
      </c>
      <c r="B64" s="37">
        <v>32</v>
      </c>
    </row>
    <row r="65" spans="1:2" x14ac:dyDescent="0.2">
      <c r="A65" s="7" t="s">
        <v>200</v>
      </c>
      <c r="B65" s="37">
        <v>32</v>
      </c>
    </row>
    <row r="66" spans="1:2" x14ac:dyDescent="0.2">
      <c r="A66" s="7" t="s">
        <v>205</v>
      </c>
      <c r="B66" s="37">
        <v>32</v>
      </c>
    </row>
    <row r="67" spans="1:2" x14ac:dyDescent="0.2">
      <c r="A67" s="7" t="s">
        <v>226</v>
      </c>
      <c r="B67" s="37">
        <v>31</v>
      </c>
    </row>
    <row r="68" spans="1:2" x14ac:dyDescent="0.2">
      <c r="A68" s="7" t="s">
        <v>215</v>
      </c>
      <c r="B68" s="37">
        <v>30</v>
      </c>
    </row>
    <row r="69" spans="1:2" x14ac:dyDescent="0.2">
      <c r="A69" s="7" t="s">
        <v>162</v>
      </c>
      <c r="B69" s="37">
        <v>29</v>
      </c>
    </row>
    <row r="70" spans="1:2" x14ac:dyDescent="0.2">
      <c r="A70" s="7" t="s">
        <v>146</v>
      </c>
      <c r="B70" s="37">
        <v>27</v>
      </c>
    </row>
    <row r="71" spans="1:2" x14ac:dyDescent="0.2">
      <c r="A71" s="7" t="s">
        <v>207</v>
      </c>
      <c r="B71" s="37">
        <v>25</v>
      </c>
    </row>
    <row r="72" spans="1:2" x14ac:dyDescent="0.2">
      <c r="A72" s="7" t="s">
        <v>198</v>
      </c>
      <c r="B72" s="37">
        <v>24</v>
      </c>
    </row>
    <row r="73" spans="1:2" x14ac:dyDescent="0.2">
      <c r="A73" s="7" t="s">
        <v>140</v>
      </c>
      <c r="B73" s="37">
        <v>22</v>
      </c>
    </row>
    <row r="74" spans="1:2" x14ac:dyDescent="0.2">
      <c r="A74" s="7" t="s">
        <v>237</v>
      </c>
      <c r="B74" s="37">
        <v>22</v>
      </c>
    </row>
    <row r="75" spans="1:2" x14ac:dyDescent="0.2">
      <c r="A75" s="7" t="s">
        <v>150</v>
      </c>
      <c r="B75" s="37">
        <v>20</v>
      </c>
    </row>
    <row r="76" spans="1:2" x14ac:dyDescent="0.2">
      <c r="A76" s="7" t="s">
        <v>159</v>
      </c>
      <c r="B76" s="37">
        <v>16</v>
      </c>
    </row>
    <row r="77" spans="1:2" x14ac:dyDescent="0.2">
      <c r="A77" s="7" t="s">
        <v>131</v>
      </c>
      <c r="B77" s="37">
        <v>5564</v>
      </c>
    </row>
  </sheetData>
  <autoFilter ref="A3:B77" xr:uid="{BA7BF3AB-A936-477E-96C8-BCFF74DEEB86}"/>
  <mergeCells count="8">
    <mergeCell ref="U6:V6"/>
    <mergeCell ref="M6:N6"/>
    <mergeCell ref="E6:F6"/>
    <mergeCell ref="BI6:BJ6"/>
    <mergeCell ref="BA6:BB6"/>
    <mergeCell ref="AS6:AT6"/>
    <mergeCell ref="AK6:AL6"/>
    <mergeCell ref="AC6:A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1B9E-1B58-4799-BC4E-18FF417B6F11}">
  <dimension ref="A1:V75"/>
  <sheetViews>
    <sheetView zoomScale="140" zoomScaleNormal="140" workbookViewId="0">
      <selection activeCell="K27" sqref="K27"/>
    </sheetView>
  </sheetViews>
  <sheetFormatPr baseColWidth="10" defaultColWidth="8.83203125" defaultRowHeight="15" x14ac:dyDescent="0.2"/>
  <cols>
    <col min="1" max="1" width="13.5" bestFit="1" customWidth="1"/>
    <col min="2" max="2" width="26" bestFit="1" customWidth="1"/>
    <col min="3" max="7" width="7.6640625" bestFit="1" customWidth="1"/>
    <col min="8" max="8" width="16" bestFit="1" customWidth="1"/>
    <col min="9" max="9" width="7.6640625" bestFit="1" customWidth="1"/>
    <col min="10" max="10" width="10" bestFit="1" customWidth="1"/>
    <col min="11" max="11" width="8.5" bestFit="1" customWidth="1"/>
    <col min="12" max="12" width="15.6640625" bestFit="1" customWidth="1"/>
    <col min="13" max="13" width="9.33203125" bestFit="1" customWidth="1"/>
    <col min="14" max="14" width="8.5" bestFit="1" customWidth="1"/>
    <col min="15" max="18" width="7.6640625" bestFit="1" customWidth="1"/>
    <col min="19" max="19" width="10" bestFit="1" customWidth="1"/>
    <col min="20" max="20" width="12" bestFit="1" customWidth="1"/>
    <col min="21" max="21" width="9.33203125" bestFit="1" customWidth="1"/>
    <col min="22" max="41" width="7.6640625" bestFit="1" customWidth="1"/>
    <col min="42" max="42" width="6.6640625" bestFit="1" customWidth="1"/>
    <col min="43" max="52" width="7.6640625" bestFit="1" customWidth="1"/>
    <col min="53" max="53" width="6.6640625" bestFit="1" customWidth="1"/>
    <col min="54" max="63" width="7.6640625" bestFit="1" customWidth="1"/>
    <col min="64" max="64" width="6.6640625" bestFit="1" customWidth="1"/>
    <col min="65" max="74" width="7.6640625" bestFit="1" customWidth="1"/>
    <col min="75" max="75" width="6.6640625" bestFit="1" customWidth="1"/>
    <col min="76" max="78" width="7.6640625" bestFit="1" customWidth="1"/>
    <col min="79" max="83" width="6.6640625" bestFit="1" customWidth="1"/>
    <col min="84" max="93" width="7.6640625" bestFit="1" customWidth="1"/>
    <col min="94" max="94" width="6.6640625" bestFit="1" customWidth="1"/>
    <col min="95" max="96" width="7.6640625" bestFit="1" customWidth="1"/>
    <col min="97" max="103" width="6.6640625" bestFit="1" customWidth="1"/>
    <col min="104" max="104" width="11.33203125" bestFit="1" customWidth="1"/>
    <col min="105" max="107" width="6.6640625" bestFit="1" customWidth="1"/>
    <col min="108" max="109" width="11.33203125" bestFit="1" customWidth="1"/>
  </cols>
  <sheetData>
    <row r="1" spans="1:22" x14ac:dyDescent="0.2">
      <c r="A1" s="6" t="s">
        <v>0</v>
      </c>
      <c r="B1" t="s">
        <v>5</v>
      </c>
    </row>
    <row r="3" spans="1:22" x14ac:dyDescent="0.2">
      <c r="A3" s="6" t="s">
        <v>56</v>
      </c>
      <c r="B3" t="s">
        <v>132</v>
      </c>
      <c r="I3" s="8" t="s">
        <v>5</v>
      </c>
      <c r="S3" s="8" t="s">
        <v>251</v>
      </c>
    </row>
    <row r="4" spans="1:22" x14ac:dyDescent="0.2">
      <c r="A4" s="7" t="s">
        <v>197</v>
      </c>
      <c r="B4">
        <v>4</v>
      </c>
    </row>
    <row r="5" spans="1:22" x14ac:dyDescent="0.2">
      <c r="A5" s="7" t="s">
        <v>231</v>
      </c>
      <c r="B5">
        <v>4</v>
      </c>
      <c r="H5" s="30" t="s">
        <v>240</v>
      </c>
      <c r="I5" s="30"/>
      <c r="J5" t="s">
        <v>239</v>
      </c>
      <c r="K5" s="9" t="s">
        <v>242</v>
      </c>
      <c r="L5" s="9" t="s">
        <v>252</v>
      </c>
      <c r="M5" s="9" t="s">
        <v>241</v>
      </c>
      <c r="N5" s="9" t="s">
        <v>243</v>
      </c>
      <c r="Q5" s="30" t="s">
        <v>240</v>
      </c>
      <c r="R5" s="30"/>
      <c r="S5" t="s">
        <v>239</v>
      </c>
      <c r="T5" s="9" t="s">
        <v>242</v>
      </c>
      <c r="U5" s="9" t="s">
        <v>241</v>
      </c>
      <c r="V5" s="9" t="s">
        <v>243</v>
      </c>
    </row>
    <row r="6" spans="1:22" x14ac:dyDescent="0.2">
      <c r="A6" s="7" t="s">
        <v>205</v>
      </c>
      <c r="B6">
        <v>9</v>
      </c>
      <c r="I6">
        <v>0</v>
      </c>
      <c r="J6">
        <v>4</v>
      </c>
      <c r="K6" s="10">
        <f>J6/74</f>
        <v>5.4054054054054057E-2</v>
      </c>
      <c r="L6" s="10">
        <f>K6</f>
        <v>5.4054054054054057E-2</v>
      </c>
      <c r="M6">
        <f>I6+H6</f>
        <v>0</v>
      </c>
      <c r="N6" s="5">
        <f>M6*K6</f>
        <v>0</v>
      </c>
      <c r="R6">
        <v>0</v>
      </c>
      <c r="S6">
        <v>10</v>
      </c>
      <c r="T6" s="10">
        <f>S6/72</f>
        <v>0.1388888888888889</v>
      </c>
      <c r="U6">
        <v>0</v>
      </c>
      <c r="V6" s="5">
        <f t="shared" ref="V6:V12" si="0">U6*T6</f>
        <v>0</v>
      </c>
    </row>
    <row r="7" spans="1:22" x14ac:dyDescent="0.2">
      <c r="A7" s="7" t="s">
        <v>207</v>
      </c>
      <c r="B7">
        <v>10</v>
      </c>
      <c r="H7">
        <f>I6+1</f>
        <v>1</v>
      </c>
      <c r="I7">
        <f>H7+23</f>
        <v>24</v>
      </c>
      <c r="J7">
        <v>9</v>
      </c>
      <c r="K7" s="10">
        <f t="shared" ref="K7:K19" si="1">J7/74</f>
        <v>0.12162162162162163</v>
      </c>
      <c r="L7" s="10">
        <f>L6+K7</f>
        <v>0.17567567567567569</v>
      </c>
      <c r="M7">
        <f>(I7+H7)/2</f>
        <v>12.5</v>
      </c>
      <c r="N7" s="28">
        <f t="shared" ref="N7:N19" si="2">M7*K7</f>
        <v>1.5202702702702704</v>
      </c>
      <c r="Q7">
        <f>R6+1</f>
        <v>1</v>
      </c>
      <c r="R7">
        <v>100</v>
      </c>
      <c r="S7">
        <v>2</v>
      </c>
      <c r="T7" s="10">
        <f t="shared" ref="T7:T12" si="3">S7/72</f>
        <v>2.7777777777777776E-2</v>
      </c>
      <c r="U7">
        <f t="shared" ref="U7:U12" si="4">(R7+Q7)/2</f>
        <v>50.5</v>
      </c>
      <c r="V7" s="5">
        <f t="shared" si="0"/>
        <v>1.4027777777777777</v>
      </c>
    </row>
    <row r="8" spans="1:22" x14ac:dyDescent="0.2">
      <c r="A8" s="7" t="s">
        <v>196</v>
      </c>
      <c r="B8">
        <v>10</v>
      </c>
      <c r="H8">
        <f t="shared" ref="H8:H19" si="5">I7+1</f>
        <v>25</v>
      </c>
      <c r="I8">
        <f t="shared" ref="I8:I19" si="6">H8+23</f>
        <v>48</v>
      </c>
      <c r="J8">
        <v>11</v>
      </c>
      <c r="K8" s="10">
        <f t="shared" si="1"/>
        <v>0.14864864864864866</v>
      </c>
      <c r="L8" s="10">
        <f t="shared" ref="L8:L19" si="7">L7+K8</f>
        <v>0.32432432432432434</v>
      </c>
      <c r="M8">
        <f t="shared" ref="M8:M19" si="8">(I8+H8)/2</f>
        <v>36.5</v>
      </c>
      <c r="N8" s="28">
        <f t="shared" si="2"/>
        <v>5.4256756756756763</v>
      </c>
      <c r="Q8">
        <f t="shared" ref="Q8:Q12" si="9">R7+1</f>
        <v>101</v>
      </c>
      <c r="R8">
        <f>Q8+99</f>
        <v>200</v>
      </c>
      <c r="S8">
        <v>10</v>
      </c>
      <c r="T8" s="10">
        <f t="shared" si="3"/>
        <v>0.1388888888888889</v>
      </c>
      <c r="U8">
        <f t="shared" si="4"/>
        <v>150.5</v>
      </c>
      <c r="V8" s="5">
        <f t="shared" si="0"/>
        <v>20.902777777777779</v>
      </c>
    </row>
    <row r="9" spans="1:22" x14ac:dyDescent="0.2">
      <c r="A9" s="7" t="s">
        <v>201</v>
      </c>
      <c r="B9">
        <v>11</v>
      </c>
      <c r="H9">
        <f t="shared" si="5"/>
        <v>49</v>
      </c>
      <c r="I9">
        <f t="shared" si="6"/>
        <v>72</v>
      </c>
      <c r="J9">
        <v>12</v>
      </c>
      <c r="K9" s="10">
        <f t="shared" si="1"/>
        <v>0.16216216216216217</v>
      </c>
      <c r="L9" s="10">
        <f t="shared" si="7"/>
        <v>0.48648648648648651</v>
      </c>
      <c r="M9">
        <f t="shared" si="8"/>
        <v>60.5</v>
      </c>
      <c r="N9" s="28">
        <f t="shared" si="2"/>
        <v>9.8108108108108105</v>
      </c>
      <c r="Q9">
        <f t="shared" si="9"/>
        <v>201</v>
      </c>
      <c r="R9">
        <f t="shared" ref="R9:R12" si="10">Q9+99</f>
        <v>300</v>
      </c>
      <c r="S9">
        <v>20</v>
      </c>
      <c r="T9" s="10">
        <f t="shared" si="3"/>
        <v>0.27777777777777779</v>
      </c>
      <c r="U9">
        <f t="shared" si="4"/>
        <v>250.5</v>
      </c>
      <c r="V9" s="5">
        <f t="shared" si="0"/>
        <v>69.583333333333343</v>
      </c>
    </row>
    <row r="10" spans="1:22" x14ac:dyDescent="0.2">
      <c r="A10" s="7" t="s">
        <v>216</v>
      </c>
      <c r="B10">
        <v>18</v>
      </c>
      <c r="H10">
        <f t="shared" si="5"/>
        <v>73</v>
      </c>
      <c r="I10">
        <f t="shared" si="6"/>
        <v>96</v>
      </c>
      <c r="J10">
        <v>15</v>
      </c>
      <c r="K10" s="10">
        <f t="shared" si="1"/>
        <v>0.20270270270270271</v>
      </c>
      <c r="L10" s="10">
        <f t="shared" si="7"/>
        <v>0.68918918918918926</v>
      </c>
      <c r="M10">
        <f t="shared" si="8"/>
        <v>84.5</v>
      </c>
      <c r="N10" s="28">
        <f t="shared" si="2"/>
        <v>17.128378378378379</v>
      </c>
      <c r="Q10">
        <f t="shared" si="9"/>
        <v>301</v>
      </c>
      <c r="R10">
        <f t="shared" si="10"/>
        <v>400</v>
      </c>
      <c r="S10">
        <v>10</v>
      </c>
      <c r="T10" s="10">
        <f t="shared" si="3"/>
        <v>0.1388888888888889</v>
      </c>
      <c r="U10">
        <f t="shared" si="4"/>
        <v>350.5</v>
      </c>
      <c r="V10" s="5">
        <f t="shared" si="0"/>
        <v>48.680555555555557</v>
      </c>
    </row>
    <row r="11" spans="1:22" x14ac:dyDescent="0.2">
      <c r="A11" s="7" t="s">
        <v>150</v>
      </c>
      <c r="B11">
        <v>20</v>
      </c>
      <c r="H11">
        <f t="shared" si="5"/>
        <v>97</v>
      </c>
      <c r="I11">
        <f t="shared" si="6"/>
        <v>120</v>
      </c>
      <c r="J11">
        <v>8</v>
      </c>
      <c r="K11" s="10">
        <f t="shared" si="1"/>
        <v>0.10810810810810811</v>
      </c>
      <c r="L11" s="10">
        <f t="shared" si="7"/>
        <v>0.79729729729729737</v>
      </c>
      <c r="M11">
        <f t="shared" si="8"/>
        <v>108.5</v>
      </c>
      <c r="N11" s="28">
        <f t="shared" si="2"/>
        <v>11.72972972972973</v>
      </c>
      <c r="Q11">
        <f t="shared" si="9"/>
        <v>401</v>
      </c>
      <c r="R11">
        <f t="shared" si="10"/>
        <v>500</v>
      </c>
      <c r="S11">
        <v>10</v>
      </c>
      <c r="T11" s="10">
        <f t="shared" si="3"/>
        <v>0.1388888888888889</v>
      </c>
      <c r="U11">
        <f t="shared" si="4"/>
        <v>450.5</v>
      </c>
      <c r="V11" s="5">
        <f t="shared" si="0"/>
        <v>62.56944444444445</v>
      </c>
    </row>
    <row r="12" spans="1:22" x14ac:dyDescent="0.2">
      <c r="A12" s="7" t="s">
        <v>233</v>
      </c>
      <c r="B12">
        <v>20</v>
      </c>
      <c r="H12">
        <f t="shared" si="5"/>
        <v>121</v>
      </c>
      <c r="I12" s="17">
        <f t="shared" si="6"/>
        <v>144</v>
      </c>
      <c r="J12">
        <v>4</v>
      </c>
      <c r="K12" s="10">
        <f t="shared" si="1"/>
        <v>5.4054054054054057E-2</v>
      </c>
      <c r="L12" s="15">
        <f t="shared" si="7"/>
        <v>0.85135135135135143</v>
      </c>
      <c r="M12">
        <f t="shared" si="8"/>
        <v>132.5</v>
      </c>
      <c r="N12" s="28">
        <f t="shared" si="2"/>
        <v>7.1621621621621623</v>
      </c>
      <c r="Q12">
        <f t="shared" si="9"/>
        <v>501</v>
      </c>
      <c r="R12">
        <f t="shared" si="10"/>
        <v>600</v>
      </c>
      <c r="S12">
        <v>10</v>
      </c>
      <c r="T12" s="10">
        <f t="shared" si="3"/>
        <v>0.1388888888888889</v>
      </c>
      <c r="U12">
        <f t="shared" si="4"/>
        <v>550.5</v>
      </c>
      <c r="V12" s="5">
        <f t="shared" si="0"/>
        <v>76.458333333333343</v>
      </c>
    </row>
    <row r="13" spans="1:22" x14ac:dyDescent="0.2">
      <c r="A13" s="7" t="s">
        <v>218</v>
      </c>
      <c r="B13">
        <v>25</v>
      </c>
      <c r="H13">
        <f t="shared" si="5"/>
        <v>145</v>
      </c>
      <c r="I13" s="17">
        <f t="shared" si="6"/>
        <v>168</v>
      </c>
      <c r="J13">
        <v>2</v>
      </c>
      <c r="K13" s="10">
        <f t="shared" si="1"/>
        <v>2.7027027027027029E-2</v>
      </c>
      <c r="L13" s="16">
        <f t="shared" si="7"/>
        <v>0.87837837837837851</v>
      </c>
      <c r="M13">
        <f t="shared" si="8"/>
        <v>156.5</v>
      </c>
      <c r="N13" s="28">
        <f t="shared" si="2"/>
        <v>4.2297297297297298</v>
      </c>
      <c r="S13" s="8">
        <f>SUM(S6:S12)</f>
        <v>72</v>
      </c>
      <c r="T13" s="10">
        <f>SUM(T6:T12)</f>
        <v>1</v>
      </c>
      <c r="V13" s="12">
        <f>SUM(V6:V12)</f>
        <v>279.59722222222229</v>
      </c>
    </row>
    <row r="14" spans="1:22" x14ac:dyDescent="0.2">
      <c r="A14" s="7" t="s">
        <v>234</v>
      </c>
      <c r="B14">
        <v>25</v>
      </c>
      <c r="H14">
        <f t="shared" si="5"/>
        <v>169</v>
      </c>
      <c r="I14">
        <f t="shared" si="6"/>
        <v>192</v>
      </c>
      <c r="J14">
        <v>1</v>
      </c>
      <c r="K14" s="10">
        <f t="shared" si="1"/>
        <v>1.3513513513513514E-2</v>
      </c>
      <c r="L14" s="16">
        <f t="shared" si="7"/>
        <v>0.891891891891892</v>
      </c>
      <c r="M14">
        <f t="shared" si="8"/>
        <v>180.5</v>
      </c>
      <c r="N14" s="28">
        <f t="shared" si="2"/>
        <v>2.4391891891891895</v>
      </c>
      <c r="T14" s="11"/>
    </row>
    <row r="15" spans="1:22" x14ac:dyDescent="0.2">
      <c r="A15" s="7" t="s">
        <v>215</v>
      </c>
      <c r="B15">
        <v>30</v>
      </c>
      <c r="H15">
        <f t="shared" si="5"/>
        <v>193</v>
      </c>
      <c r="I15">
        <f t="shared" si="6"/>
        <v>216</v>
      </c>
      <c r="J15">
        <v>0</v>
      </c>
      <c r="K15" s="10">
        <f t="shared" si="1"/>
        <v>0</v>
      </c>
      <c r="L15" s="16">
        <f t="shared" si="7"/>
        <v>0.891891891891892</v>
      </c>
      <c r="M15">
        <f t="shared" si="8"/>
        <v>204.5</v>
      </c>
      <c r="N15" s="28">
        <f t="shared" si="2"/>
        <v>0</v>
      </c>
      <c r="R15" s="9" t="s">
        <v>244</v>
      </c>
      <c r="T15" s="14">
        <f>V13</f>
        <v>279.59722222222229</v>
      </c>
    </row>
    <row r="16" spans="1:22" x14ac:dyDescent="0.2">
      <c r="A16" s="7" t="s">
        <v>148</v>
      </c>
      <c r="B16">
        <v>32</v>
      </c>
      <c r="H16">
        <f t="shared" si="5"/>
        <v>217</v>
      </c>
      <c r="I16">
        <f t="shared" si="6"/>
        <v>240</v>
      </c>
      <c r="J16">
        <v>5</v>
      </c>
      <c r="K16" s="10">
        <f t="shared" si="1"/>
        <v>6.7567567567567571E-2</v>
      </c>
      <c r="L16" s="15">
        <f t="shared" si="7"/>
        <v>0.95945945945945954</v>
      </c>
      <c r="M16">
        <f t="shared" si="8"/>
        <v>228.5</v>
      </c>
      <c r="N16" s="28">
        <f t="shared" si="2"/>
        <v>15.439189189189189</v>
      </c>
      <c r="R16" s="9" t="s">
        <v>245</v>
      </c>
      <c r="T16" s="13">
        <v>510</v>
      </c>
      <c r="U16" s="9" t="s">
        <v>246</v>
      </c>
    </row>
    <row r="17" spans="1:21" x14ac:dyDescent="0.2">
      <c r="A17" s="7" t="s">
        <v>200</v>
      </c>
      <c r="B17">
        <v>32</v>
      </c>
      <c r="H17">
        <f t="shared" si="5"/>
        <v>241</v>
      </c>
      <c r="I17">
        <f t="shared" si="6"/>
        <v>264</v>
      </c>
      <c r="J17">
        <v>1</v>
      </c>
      <c r="K17" s="10">
        <f t="shared" si="1"/>
        <v>1.3513513513513514E-2</v>
      </c>
      <c r="L17" s="10">
        <f t="shared" si="7"/>
        <v>0.97297297297297303</v>
      </c>
      <c r="M17">
        <f t="shared" si="8"/>
        <v>252.5</v>
      </c>
      <c r="N17" s="28">
        <f t="shared" si="2"/>
        <v>3.4121621621621623</v>
      </c>
      <c r="R17" s="9" t="s">
        <v>247</v>
      </c>
      <c r="T17" s="13">
        <f>(T16-T15)*1</f>
        <v>230.40277777777771</v>
      </c>
      <c r="U17" s="9" t="s">
        <v>248</v>
      </c>
    </row>
    <row r="18" spans="1:21" x14ac:dyDescent="0.2">
      <c r="A18" s="7" t="s">
        <v>193</v>
      </c>
      <c r="B18">
        <v>42</v>
      </c>
      <c r="H18">
        <f t="shared" si="5"/>
        <v>265</v>
      </c>
      <c r="I18">
        <f t="shared" si="6"/>
        <v>288</v>
      </c>
      <c r="J18">
        <v>1</v>
      </c>
      <c r="K18" s="10">
        <f t="shared" si="1"/>
        <v>1.3513513513513514E-2</v>
      </c>
      <c r="L18" s="10">
        <f t="shared" si="7"/>
        <v>0.98648648648648651</v>
      </c>
      <c r="M18">
        <f t="shared" si="8"/>
        <v>276.5</v>
      </c>
      <c r="N18" s="28">
        <f t="shared" si="2"/>
        <v>3.7364864864864868</v>
      </c>
      <c r="T18" s="11"/>
    </row>
    <row r="19" spans="1:21" x14ac:dyDescent="0.2">
      <c r="A19" s="7" t="s">
        <v>173</v>
      </c>
      <c r="B19">
        <v>43</v>
      </c>
      <c r="H19">
        <f t="shared" si="5"/>
        <v>289</v>
      </c>
      <c r="I19">
        <f t="shared" si="6"/>
        <v>312</v>
      </c>
      <c r="J19">
        <v>1</v>
      </c>
      <c r="K19" s="10">
        <f t="shared" si="1"/>
        <v>1.3513513513513514E-2</v>
      </c>
      <c r="L19" s="10">
        <f t="shared" si="7"/>
        <v>1</v>
      </c>
      <c r="M19">
        <f t="shared" si="8"/>
        <v>300.5</v>
      </c>
      <c r="N19" s="28">
        <f t="shared" si="2"/>
        <v>4.0608108108108114</v>
      </c>
      <c r="R19" s="9" t="s">
        <v>249</v>
      </c>
      <c r="T19" s="13">
        <f>T15+T17</f>
        <v>510</v>
      </c>
      <c r="U19" s="9" t="s">
        <v>250</v>
      </c>
    </row>
    <row r="20" spans="1:21" x14ac:dyDescent="0.2">
      <c r="A20" s="7" t="s">
        <v>237</v>
      </c>
      <c r="B20">
        <v>43</v>
      </c>
      <c r="J20" s="8">
        <f>SUM(J6:J19)</f>
        <v>74</v>
      </c>
      <c r="K20" s="11">
        <f>SUM(K6:K19)</f>
        <v>1</v>
      </c>
      <c r="L20" s="11"/>
      <c r="M20" s="18" t="s">
        <v>255</v>
      </c>
      <c r="N20" s="29">
        <f>SUM(N6:N19)</f>
        <v>86.094594594594597</v>
      </c>
    </row>
    <row r="21" spans="1:21" x14ac:dyDescent="0.2">
      <c r="A21" s="7" t="s">
        <v>146</v>
      </c>
      <c r="B21">
        <v>44</v>
      </c>
      <c r="M21" s="18" t="s">
        <v>256</v>
      </c>
      <c r="N21" s="12">
        <f>ROUND(N20*4,0)</f>
        <v>344</v>
      </c>
    </row>
    <row r="22" spans="1:21" x14ac:dyDescent="0.2">
      <c r="A22" s="7" t="s">
        <v>208</v>
      </c>
      <c r="B22">
        <v>46</v>
      </c>
    </row>
    <row r="23" spans="1:21" x14ac:dyDescent="0.2">
      <c r="A23" s="7" t="s">
        <v>210</v>
      </c>
      <c r="B23">
        <v>47</v>
      </c>
      <c r="H23" s="18" t="s">
        <v>257</v>
      </c>
      <c r="I23" s="9" t="s">
        <v>258</v>
      </c>
    </row>
    <row r="24" spans="1:21" x14ac:dyDescent="0.2">
      <c r="A24" s="7" t="s">
        <v>198</v>
      </c>
      <c r="B24">
        <v>49</v>
      </c>
      <c r="H24" s="18" t="s">
        <v>259</v>
      </c>
      <c r="I24" s="9" t="s">
        <v>253</v>
      </c>
      <c r="K24" s="8">
        <v>144</v>
      </c>
      <c r="N24" s="8"/>
    </row>
    <row r="25" spans="1:21" x14ac:dyDescent="0.2">
      <c r="A25" s="7" t="s">
        <v>232</v>
      </c>
      <c r="B25">
        <v>54</v>
      </c>
      <c r="H25" s="18" t="s">
        <v>260</v>
      </c>
      <c r="I25" s="9" t="s">
        <v>253</v>
      </c>
      <c r="K25" s="8">
        <f>K24*4</f>
        <v>576</v>
      </c>
      <c r="S25" s="9"/>
      <c r="U25" s="9"/>
    </row>
    <row r="26" spans="1:21" x14ac:dyDescent="0.2">
      <c r="A26" s="7" t="s">
        <v>145</v>
      </c>
      <c r="B26">
        <v>57</v>
      </c>
      <c r="T26" s="10"/>
      <c r="U26" s="5"/>
    </row>
    <row r="27" spans="1:21" x14ac:dyDescent="0.2">
      <c r="A27" s="7" t="s">
        <v>147</v>
      </c>
      <c r="B27">
        <v>58</v>
      </c>
      <c r="H27" s="18" t="s">
        <v>247</v>
      </c>
      <c r="I27" s="9" t="s">
        <v>254</v>
      </c>
      <c r="K27" s="12">
        <f>ROUND((K24-N20)*4,0)</f>
        <v>232</v>
      </c>
      <c r="T27" s="10"/>
      <c r="U27" s="5"/>
    </row>
    <row r="28" spans="1:21" x14ac:dyDescent="0.2">
      <c r="A28" s="7" t="s">
        <v>141</v>
      </c>
      <c r="B28">
        <v>59</v>
      </c>
      <c r="T28" s="10"/>
      <c r="U28" s="5"/>
    </row>
    <row r="29" spans="1:21" x14ac:dyDescent="0.2">
      <c r="A29" s="7" t="s">
        <v>157</v>
      </c>
      <c r="B29">
        <v>61</v>
      </c>
      <c r="H29" s="18" t="s">
        <v>249</v>
      </c>
      <c r="K29" s="12">
        <f>K27+N21</f>
        <v>576</v>
      </c>
      <c r="N29" s="8"/>
      <c r="T29" s="10"/>
      <c r="U29" s="5"/>
    </row>
    <row r="30" spans="1:21" x14ac:dyDescent="0.2">
      <c r="A30" s="7" t="s">
        <v>162</v>
      </c>
      <c r="B30">
        <v>62</v>
      </c>
      <c r="T30" s="10"/>
      <c r="U30" s="5"/>
    </row>
    <row r="31" spans="1:21" x14ac:dyDescent="0.2">
      <c r="A31" s="7" t="s">
        <v>229</v>
      </c>
      <c r="B31">
        <v>64</v>
      </c>
      <c r="T31" s="10"/>
      <c r="U31" s="5"/>
    </row>
    <row r="32" spans="1:21" x14ac:dyDescent="0.2">
      <c r="A32" s="7" t="s">
        <v>152</v>
      </c>
      <c r="B32">
        <v>66</v>
      </c>
      <c r="T32" s="10"/>
      <c r="U32" s="5"/>
    </row>
    <row r="33" spans="1:2" x14ac:dyDescent="0.2">
      <c r="A33" s="7" t="s">
        <v>225</v>
      </c>
      <c r="B33">
        <v>70</v>
      </c>
    </row>
    <row r="34" spans="1:2" x14ac:dyDescent="0.2">
      <c r="A34" s="7" t="s">
        <v>172</v>
      </c>
      <c r="B34">
        <v>71</v>
      </c>
    </row>
    <row r="35" spans="1:2" x14ac:dyDescent="0.2">
      <c r="A35" s="7" t="s">
        <v>159</v>
      </c>
      <c r="B35">
        <v>72</v>
      </c>
    </row>
    <row r="36" spans="1:2" x14ac:dyDescent="0.2">
      <c r="A36" s="7" t="s">
        <v>191</v>
      </c>
      <c r="B36">
        <v>75</v>
      </c>
    </row>
    <row r="37" spans="1:2" x14ac:dyDescent="0.2">
      <c r="A37" s="7" t="s">
        <v>223</v>
      </c>
      <c r="B37">
        <v>76</v>
      </c>
    </row>
    <row r="38" spans="1:2" x14ac:dyDescent="0.2">
      <c r="A38" s="7" t="s">
        <v>224</v>
      </c>
      <c r="B38">
        <v>80</v>
      </c>
    </row>
    <row r="39" spans="1:2" x14ac:dyDescent="0.2">
      <c r="A39" s="7" t="s">
        <v>144</v>
      </c>
      <c r="B39">
        <v>80</v>
      </c>
    </row>
    <row r="40" spans="1:2" x14ac:dyDescent="0.2">
      <c r="A40" s="7" t="s">
        <v>170</v>
      </c>
      <c r="B40">
        <v>82</v>
      </c>
    </row>
    <row r="41" spans="1:2" x14ac:dyDescent="0.2">
      <c r="A41" s="7" t="s">
        <v>156</v>
      </c>
      <c r="B41">
        <v>84</v>
      </c>
    </row>
    <row r="42" spans="1:2" x14ac:dyDescent="0.2">
      <c r="A42" s="7" t="s">
        <v>164</v>
      </c>
      <c r="B42">
        <v>85</v>
      </c>
    </row>
    <row r="43" spans="1:2" x14ac:dyDescent="0.2">
      <c r="A43" s="7" t="s">
        <v>142</v>
      </c>
      <c r="B43">
        <v>85</v>
      </c>
    </row>
    <row r="44" spans="1:2" x14ac:dyDescent="0.2">
      <c r="A44" s="7" t="s">
        <v>227</v>
      </c>
      <c r="B44">
        <v>86</v>
      </c>
    </row>
    <row r="45" spans="1:2" x14ac:dyDescent="0.2">
      <c r="A45" s="7" t="s">
        <v>199</v>
      </c>
      <c r="B45">
        <v>86</v>
      </c>
    </row>
    <row r="46" spans="1:2" x14ac:dyDescent="0.2">
      <c r="A46" s="7" t="s">
        <v>160</v>
      </c>
      <c r="B46">
        <v>86</v>
      </c>
    </row>
    <row r="47" spans="1:2" x14ac:dyDescent="0.2">
      <c r="A47" s="7" t="s">
        <v>149</v>
      </c>
      <c r="B47">
        <v>89</v>
      </c>
    </row>
    <row r="48" spans="1:2" x14ac:dyDescent="0.2">
      <c r="A48" s="7" t="s">
        <v>151</v>
      </c>
      <c r="B48">
        <v>92</v>
      </c>
    </row>
    <row r="49" spans="1:2" x14ac:dyDescent="0.2">
      <c r="A49" s="7" t="s">
        <v>190</v>
      </c>
      <c r="B49">
        <v>94</v>
      </c>
    </row>
    <row r="50" spans="1:2" x14ac:dyDescent="0.2">
      <c r="A50" s="7" t="s">
        <v>230</v>
      </c>
      <c r="B50">
        <v>96</v>
      </c>
    </row>
    <row r="51" spans="1:2" x14ac:dyDescent="0.2">
      <c r="A51" s="7" t="s">
        <v>161</v>
      </c>
      <c r="B51">
        <v>104</v>
      </c>
    </row>
    <row r="52" spans="1:2" x14ac:dyDescent="0.2">
      <c r="A52" s="7" t="s">
        <v>166</v>
      </c>
      <c r="B52">
        <v>105</v>
      </c>
    </row>
    <row r="53" spans="1:2" x14ac:dyDescent="0.2">
      <c r="A53" s="7" t="s">
        <v>203</v>
      </c>
      <c r="B53">
        <v>107</v>
      </c>
    </row>
    <row r="54" spans="1:2" x14ac:dyDescent="0.2">
      <c r="A54" s="7" t="s">
        <v>219</v>
      </c>
      <c r="B54">
        <v>112</v>
      </c>
    </row>
    <row r="55" spans="1:2" x14ac:dyDescent="0.2">
      <c r="A55" s="7" t="s">
        <v>175</v>
      </c>
      <c r="B55">
        <v>112</v>
      </c>
    </row>
    <row r="56" spans="1:2" x14ac:dyDescent="0.2">
      <c r="A56" s="7" t="s">
        <v>140</v>
      </c>
      <c r="B56">
        <v>113</v>
      </c>
    </row>
    <row r="57" spans="1:2" x14ac:dyDescent="0.2">
      <c r="A57" s="7" t="s">
        <v>158</v>
      </c>
      <c r="B57">
        <v>118</v>
      </c>
    </row>
    <row r="58" spans="1:2" x14ac:dyDescent="0.2">
      <c r="A58" s="7" t="s">
        <v>202</v>
      </c>
      <c r="B58">
        <v>120</v>
      </c>
    </row>
    <row r="59" spans="1:2" x14ac:dyDescent="0.2">
      <c r="A59" s="7" t="s">
        <v>169</v>
      </c>
      <c r="B59">
        <v>122</v>
      </c>
    </row>
    <row r="60" spans="1:2" x14ac:dyDescent="0.2">
      <c r="A60" s="7" t="s">
        <v>165</v>
      </c>
      <c r="B60">
        <v>122</v>
      </c>
    </row>
    <row r="61" spans="1:2" x14ac:dyDescent="0.2">
      <c r="A61" s="7" t="s">
        <v>155</v>
      </c>
      <c r="B61">
        <v>124</v>
      </c>
    </row>
    <row r="62" spans="1:2" x14ac:dyDescent="0.2">
      <c r="A62" s="7" t="s">
        <v>209</v>
      </c>
      <c r="B62">
        <v>126</v>
      </c>
    </row>
    <row r="63" spans="1:2" x14ac:dyDescent="0.2">
      <c r="A63" s="7" t="s">
        <v>212</v>
      </c>
      <c r="B63">
        <v>128</v>
      </c>
    </row>
    <row r="64" spans="1:2" x14ac:dyDescent="0.2">
      <c r="A64" s="7" t="s">
        <v>228</v>
      </c>
      <c r="B64">
        <v>153</v>
      </c>
    </row>
    <row r="65" spans="1:2" x14ac:dyDescent="0.2">
      <c r="A65" s="7" t="s">
        <v>195</v>
      </c>
      <c r="B65">
        <v>166</v>
      </c>
    </row>
    <row r="66" spans="1:2" x14ac:dyDescent="0.2">
      <c r="A66" s="7" t="s">
        <v>206</v>
      </c>
      <c r="B66">
        <v>173</v>
      </c>
    </row>
    <row r="67" spans="1:2" x14ac:dyDescent="0.2">
      <c r="A67" s="7" t="s">
        <v>174</v>
      </c>
      <c r="B67">
        <v>217</v>
      </c>
    </row>
    <row r="68" spans="1:2" x14ac:dyDescent="0.2">
      <c r="A68" s="7" t="s">
        <v>153</v>
      </c>
      <c r="B68">
        <v>219</v>
      </c>
    </row>
    <row r="69" spans="1:2" x14ac:dyDescent="0.2">
      <c r="A69" s="7" t="s">
        <v>194</v>
      </c>
      <c r="B69">
        <v>226</v>
      </c>
    </row>
    <row r="70" spans="1:2" x14ac:dyDescent="0.2">
      <c r="A70" s="7" t="s">
        <v>163</v>
      </c>
      <c r="B70">
        <v>228</v>
      </c>
    </row>
    <row r="71" spans="1:2" x14ac:dyDescent="0.2">
      <c r="A71" s="7" t="s">
        <v>171</v>
      </c>
      <c r="B71">
        <v>229</v>
      </c>
    </row>
    <row r="72" spans="1:2" x14ac:dyDescent="0.2">
      <c r="A72" s="7" t="s">
        <v>192</v>
      </c>
      <c r="B72">
        <v>259</v>
      </c>
    </row>
    <row r="73" spans="1:2" x14ac:dyDescent="0.2">
      <c r="A73" s="7" t="s">
        <v>154</v>
      </c>
      <c r="B73">
        <v>278</v>
      </c>
    </row>
    <row r="74" spans="1:2" x14ac:dyDescent="0.2">
      <c r="A74" s="7" t="s">
        <v>143</v>
      </c>
      <c r="B74">
        <v>305</v>
      </c>
    </row>
    <row r="75" spans="1:2" x14ac:dyDescent="0.2">
      <c r="A75" s="7" t="s">
        <v>131</v>
      </c>
      <c r="B75">
        <v>6500</v>
      </c>
    </row>
  </sheetData>
  <autoFilter ref="A3:B105" xr:uid="{C4151B9E-1B58-4799-BC4E-18FF417B6F11}"/>
  <mergeCells count="2">
    <mergeCell ref="H5:I5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Data</vt:lpstr>
      <vt:lpstr>Summary</vt:lpstr>
      <vt:lpstr>All Sizes</vt:lpstr>
      <vt:lpstr>Sample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 Edara</dc:creator>
  <cp:lastModifiedBy>Anuj chavan</cp:lastModifiedBy>
  <dcterms:created xsi:type="dcterms:W3CDTF">2026-06-09T13:50:45Z</dcterms:created>
  <dcterms:modified xsi:type="dcterms:W3CDTF">2026-07-29T09:49:49Z</dcterms:modified>
</cp:coreProperties>
</file>